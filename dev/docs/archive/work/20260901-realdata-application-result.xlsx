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02"/>
  <x:workbookPr/>
  <mc:AlternateContent xmlns:mc="http://schemas.openxmlformats.org/markup-compatibility/2006">
    <mc:Choice Requires="x15">
      <x15ac:absPath xmlns:x15ac="http://schemas.microsoft.com/office/spreadsheetml/2010/11/ac" url="C:\GitHub\StudyReport-Evaluator\sample\"/>
    </mc:Choice>
  </mc:AlternateContent>
  <xr:revisionPtr revIDLastSave="0" documentId="13_ncr:1_{76BD0D07-6A77-42CC-BBEE-F78F53499FD0}" xr6:coauthVersionLast="47" xr6:coauthVersionMax="47" xr10:uidLastSave="{00000000-0000-0000-0000-000000000000}"/>
  <x:bookViews>
    <x:workbookView xWindow="-108" yWindow="-108" windowWidth="29016" windowHeight="18696" xr2:uid="{00000000-000D-0000-FFFF-FFFF00000000}"/>
  </x:bookViews>
  <x:sheets>
    <x:sheet name="Original" sheetId="3" r:id="rId1"/>
    <x:sheet name="Quantification_Config" sheetId="4" r:id="R8a7d530cbd2b4d4e"/>
    <x:sheet name="Quantification_Results" sheetId="5" r:id="R9d722427f82b4c7d"/>
    <x:sheet name="Quantification_Run" sheetId="6" r:id="Rd26f7717825a4b1b"/>
  </x:sheets>
  <x:calcPr calcId="191029" calcMode="auto" fullCalcOnLoad="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<sst xmlns="http://schemas.openxmlformats.org/spreadsheetml/2006/main" count="3861" uniqueCount="3262">
  <si>
    <t>開始時刻</t>
  </si>
  <si>
    <t>完了時刻</t>
  </si>
  <si>
    <t>メール</t>
  </si>
  <si>
    <t>名前</t>
  </si>
  <si>
    <t>[必須ではない] 設問(1) 作成のために、生成AIに入力したPrompt</t>
  </si>
  <si>
    <t>質問</t>
  </si>
  <si>
    <t>[必須ではない] 設問(4) 作成のために、生成AIに入力したPrompt</t>
  </si>
  <si>
    <t>[必須ではない] 設問(4)(5) に関連して、自分でPromptの作成に当たって工夫した点や観点あるいは論点など</t>
  </si>
  <si>
    <t>来年度のPBLを更に良いものにするために、気づいた点があれば教えてください。演習内容、環境など。難しかった点など。</t>
  </si>
  <si>
    <t>24238162@edu.cc.saga-u.ac.jp</t>
  </si>
  <si>
    <t>ソフトウェアでの実行手段として、プログラミングと機械学習の違いは複数ある。実装方法ではプログラミングは条件分岐やループなどの命令をコードで記述するのに対し、機械学習は学習アルゴリズムにデータを与えてモデルを構築する。必要な入力は前者では明確な仕様・ルール・手順であり、後者は大量の学習データと正解ラベル（教師あり学習の場合）である。出力の決定方法では前者はプログラマが定義したロジックに基づき、後者は学習したモデルによる予測結果という違いがある。柔軟性に関してはプログラミングでは未知のケースには対応困難なのに対して、機械学習は未知のパターンにもある程度対応可能という違いがある。これにより未知の状況への対応に対して前者は明示的に定義されていないと対応不可となり、後者は過去のデータに基づいて柔軟に対応できる。</t>
  </si>
  <si>
    <t>ソフトウェアでの実装手段として、プログラミングと機械学習の違い について教えてください。推測や憶測をせずに、わからないところはわからないと答えてください。事実のみを教えてください。</t>
  </si>
  <si>
    <t>資生堂ジャパン株式会社という企業について調査する。業界は化粧品・ビューティである。利用場面は新商品発売前の需要予測であり、機械学習プラットフォーム「DataRobot」という機械学習技術が使用された。導入目的・理由は人手による統計分析の限界を補い、過剰在庫や欠品リスクを低減するため、多品種SKU（最小在庫管理単位）による在庫管理の複雑化と、従来手法の予測精度の限界のためである。発売前に販売量をシミュレーションし、原材料確保や増産判断に活用された。これにより平均絶対パーセント誤差（MAPE）を20ポイント以上改善した。出典：出典：https://neural-opt.com/machine-learning-cases/</t>
  </si>
  <si>
    <t>実世界 (社会や企業・組織など) での機械学習(AI)の利用状況1つを調査してください。どんな場面で、どんな技術が、どんな使われ方をしているのか? なぜ、機械学習を使ったのか?などを書いてください。わからない部分はわからないと答えてください。憶測や推測をせずに、事実のみ答えてください。</t>
  </si>
  <si>
    <t>AIはわからない部分を誤った情報で埋める傾向があるため、”わからない部分はわからないと答えてください”と追加した。調査において憶測や推測は情報を混乱させてしまうため、”憶測や推測をせずに”、そして釘を打つために”事実のみ答えてください”と加えた。</t>
  </si>
  <si>
    <t>事前準備における環境構築方法が言葉の説明が多くあり、意味を掴むことが難しかったです。</t>
  </si>
  <si>
    <t>24238299@edu.cc.saga-u.ac.jp</t>
  </si>
  <si>
    <t>従来のソフトウェア開発では、開発者がルールを明示的に記述する「プログラミング」によって実装が行われていましたがこの方法には、ルールの網羅性や複雑なパターンの取り扱いに限界があるという問題点がありました。たとえば、画像認識や自然言語処理などの分野では、例外や曖昧さが多く、人手によるルール定義が困難でした。
このような問題を解決する手段として登場したのが「深層学習（ディープラーニング）」です。深層学習では、人間がルールを定義する代わりに、大量のデータを使ってコンピュータ自身が特徴を学習し、判断基準を獲得する事により、従来の手法では難しかったパターン認識や推論が可能となり、音声認識、機械翻訳、医用画像診断など多くの分野で高精度な結果を実現する事ができます。
以上の事から両者の違いは、明示的なルールの有無にあると言えます。プログラミングは人がルールを定義する「設計主導型」であるのに対し、深層学習はデータに基づいてシステムが自動的にルールを獲得する「データ主導型」です。この違いにより、ソフトウェア実装のアプローチは大きく変化しています。</t>
  </si>
  <si>
    <t>ソフトウェアの実装方法がプログラミングから深層学習へ遷移していった背景について500字程度で述べてください。その際、始めにプログラミングの問題点を挙げ、つぎに深層学習がどのようにその問題点を解決したのか述べてください。最後にそれらを踏まえて両者の違いについて述べてください。</t>
  </si>
  <si>
    <t>エンタメ・広告
NetflixやSpotifyなどのストリーミングサービスでは、ユーザーの視聴履歴や評価に基づいて、好みに合った作品を推薦するレコメンドエンジンに機械学習が使われています。広告業界でも、ユーザーの行動を分析し、最適な広告を表示するために活用されています。</t>
  </si>
  <si>
    <t>現実世界における機械学習の利用例について具体的に述べてください。</t>
  </si>
  <si>
    <t>出来る限り通信環境を整え一人一人が体験できるようにする</t>
  </si>
  <si>
    <t>24238263@edu.cc.saga-u.ac.jp</t>
  </si>
  <si>
    <t>プログラミングでは人間がルールや手順を明示的に記述するものであり、機械学習ではデータからパターンを学習してルールを自動生成するものである。違いとしてプログラミングは入力に対して決められた処理を行い出力を得る一方機械学習は入力と正解データを使って出力を予測する。使い分けとしてルールが明確な処理にはプログラミングが適している。例えば計算、データの整理、画面表示など。ルールが曖昧だったり例外が多い処理には機械学習が有効である。例えば画面認識、自然言語処理など。</t>
  </si>
  <si>
    <t>ソフトウェアでの実装手段として、プログラミングと機械学習の違い について</t>
  </si>
  <si>
    <t>実世界での機械学習の利用としてユニクロによる需要予測と在庫管理の最適化がある。天候、過去の販売データ、トレンド、地域特性など大量のデータを分析した機械学習モデルが使われている。天候や流行など複雑な要因が絡むため人間の経験や勘では限界があったり、全国の店舗、商品、季節、地域ごとの変動を扱うにはAIが不可欠であるため機械学習を活用している。</t>
  </si>
  <si>
    <t xml:space="preserve">実世界 (社会や企業・組織など) での機械学習(AI)の利用状況1つを調査。どんな場面で、どんな技術が、どんな使われ方をしているのか? なぜ、機械学習を使ったのか?
</t>
  </si>
  <si>
    <t>問いの文を軸に質問をした。</t>
  </si>
  <si>
    <t>環境構築が一人で事前にすることが難しかった。同じグループの人や先輩の教えでやることができた。</t>
  </si>
  <si>
    <t>23238051@edu.cc.saga-u.ac.jp</t>
  </si>
  <si>
    <t>ソフトウェアを作る方法には大きく分けて「プログラミング」と「機械学習」がある。
プログラミングは、人間が問題を分析し、処理手順や条件分岐、計算式などのルールを明示的にコードとして記述する方法である。数値計算や在庫管理、物理シミュレーションなど、ルールが明確に定義できる分野に適している。
一方、機械学習は大量のデータから規則やパターンをコンピュータが自動的に学ぶ方法である。人間が条件をすべて定義することが難しい課題、たとえば画像認識や音声認識、自然言語処理などで力を発揮する。機械学習が登場した背景には、従来の手書きルールでは精度や汎用性に限界があったこと、そして大量データや計算資源の進歩により学習が可能になったことがある。
プログラミングは「ルールを人間が書く」方法、機械学習は「データからルールを学習する」方法といえる。前者は論理が明確な処理に強く、後者は複雑なパターン認識や予測に強い。近年は機械学習が進化し、生成AIが登場したことで、文章や画像、プログラムのような創造的な成果物も自動生成できるようになり、ソフトウェア開発の可能性が大きく広がっている。</t>
  </si>
  <si>
    <t>1.この課題してほしい。
ソフトウェアでの実装手段として、プログラミングと機械学習の違いについての述べてください。例えば、なぜ機械学習という手法が出てきたのか? 例えば、実現できる事の違い、など。生成AIを使用した場合は、その結果としてのレポートはここになります。
2. レポート提出用にまとめてほしい
3. 全体をまとめて簡潔な文書にして</t>
  </si>
  <si>
    <t>小売業では、商品の在庫や仕入れを最適化するために機械学習が使われている。たとえば Amazon では、顧客の購買履歴や季節、天候などのデータをもとに将来の需要を予測し、発注や配送を計画している。従来の単純な平均やルールでは急な需要変化に対応できなかったが、機械学習は大量のデータから自動的にパターンを学習し、高精度な予測を可能にすることで在庫切れや過剰在庫を減らし、コスト削減と顧客満足の向上に役立っている。</t>
  </si>
  <si>
    <t>1.次の質問なんだけど、実世界 (社会や企業・組織など) での機械学習(AI)の利用状況1つを調査。どんな場面で、どんな技術が、どんな使われ方をしているのか? なぜ、機械学習を使ったのか?
について答えて欲しい
2.簡潔にまとめてほしい。</t>
  </si>
  <si>
    <t>前の質問とわからなくならないように先に別の質問ということを伝えた。</t>
  </si>
  <si>
    <t>環境作りが難しかったので、文章の説明だけでなく動画にして配布した方が良いと思った。</t>
  </si>
  <si>
    <t>24238250@edu.cc.saga-u.ac.jp</t>
  </si>
  <si>
    <t>まず、プログラミングは人間が機械に対して覚えさせたり基本を作ることであり、機械学習は、今回のように機械自身がデータを読み取って学習することであると思った。</t>
  </si>
  <si>
    <t>プログラミングではできないけど、機械学習ならできるかもしれない！みたいなことはあるのでしょうか</t>
  </si>
  <si>
    <t>Amazonなどであなたへのおすすめや季節のおすすめといって出してくる商品。
これは自分が車の周辺機器を買った時に社内インテリアであったりフレグランスをお勧めしてきたという経験から考えました。ここでは、今まで、これを買った人はこれを買うといったデータを機械が学習して、自動的にお勧めし買わせると言った利益が見込めると考えたからだと思います。</t>
  </si>
  <si>
    <t>事前学習がとにかく難しくわかりにくかった。手順が早いのでスライドだったりついていけない人にも救済が欲しいなと感じた。</t>
  </si>
  <si>
    <t>24238307@edu.cc.saga-u.ac.jp</t>
  </si>
  <si>
    <t>ソフトウェアの実装には、大きく分けて従来型のプログラミングと機械学習がある。プログラミングは、人間が手続きやルールを明示的に記述する方法であり、計算や業務処理などアルゴリズムが明確な問題に適している。一方で、画像認識や自然言語処理のように、人間がすべての規則を定義することが困難な問題も存在する。そこで登場したのが機械学習である。これは大量のデータからパターンを自動的に学習し、未知の入力に対して予測や分類を行う手法である。従来手法では困難だった複雑で曖昧な処理が可能となり、応用分野は医療診断や自動運転、さらには文章や画像を生成する生成AIにまで広がっている。すなわち、プログラミングと機械学習は相補的な実装手段であり、問題の性質に応じて使い分けることが重要である。</t>
  </si>
  <si>
    <t>「ソフトウェアでの実装手段として、プログラミングと機械学習の違いについての述べてください。例えば、なぜ機械学習という手法が出てきたのか? 例えば、実現できる事の違い、など。」という問いに対して300字程度の文章で答えて</t>
  </si>
  <si>
    <t>銀行やクレジットカード会社などの金融機関では、機械学習が不正取引の検知に活用されている。従来は「取引額が一定以上」「深夜に送金された」など明示的なルールを設定して不正を判定していたが、攻撃者がルールを回避する方法を次々と編み出すため対応が困難であった。そこで導入されたのが異常検知や勾配ブースティングなどの機械学習手法である。これにより、顧客の取引履歴、金額、時間帯、デバイスや位置情報といった多様な特徴量を組み合わせ、リアルタイムに「通常とは異なる」取引を検出できるようになった。さらにモデルは過去のデータから学習を続け、新たな不正パターンにも適応可能である。機械学習を用いることで、人手による確認や単純なルール判定では難しかった複雑で膨大なデータ処理が自動化され、検知精度と速度の両立が実現し、金融機関の信頼性や顧客満足度の向上に大きく貢献している。</t>
  </si>
  <si>
    <t>実世界 (社会や企業・組織など) での機械学習(AI)の利用状況1つを調査してください。どんな場面で、どんな技術が、どんな使われ方をしているのか? なぜ、機械学習を使ったのか?などの観点から具体的にまとめて回答してください</t>
  </si>
  <si>
    <t>事前準部のマニュアルをもう少し分かりやすくしてもいいと思った．</t>
  </si>
  <si>
    <t>24238215@edu.cc.saga-u.ac.jp</t>
  </si>
  <si>
    <t>ソフトウェアの実装には「プログラミング」と「機械学習」の二つの手法がある。プログラミングは、人間がルールや手順を明確に記述しコンピュータに実行させる方法で、電卓や在庫管理など、計算や制御のようにルールが明確な処理を得意とする。一方、機械学習は人間が細かいルールを記述せず、データからコンピュータがパターンを学習する手法である。顔認識や音声認識、翻訳、生成AIなど、ルールを定義しにくい複雑な処理に適している。機械学習が必要になった背景には、問題の複雑化により人間がすべてのルールを定義できなくなったこと、大量のデータが得られるようになったこと、そしてコンピュータ性能の向上がある。要約すると、プログラミングは「ルールを人が決める」、機械学習は「ルールをデータから学ぶ」手法である。両者は競合するものではなく、現代のシステムでは互いを補完し合いながら活用されている。</t>
  </si>
  <si>
    <t>ソフトウェア実装におけるプログラミングと機械学習の違いについて、分かりやすく説明して。
プログラミングとは何か、具体例と得意な分野を挙げて説明
機械学習とは何か、具体例と得意な分野を挙げて説明
機械学習が必要になった背景
プログラミングと機械学習で実現できることの違い
最後に簡単にまとめ</t>
  </si>
  <si>
    <t>製造業では、製品の品質を維持するために不良品検査が欠かせない。従来は人間の目視やルールベースで行っていたが、欠陥の種類が多様化し、生産速度も上がる中で限界があった。そこで機械学習が導入され、カメラで撮影した画像をもとに正常品と不良品の違いを学習し、自動で判定するシステムが実用化されている。具体的には画像認識や教師あり学習、CNNといった技術が用いられ、前処理や精度評価も組み合わせることで高い検出精度を実現している。これによりリアルタイムで不良品を除外でき、検査作業の自動化・省力化、人件費削減につながっている。また、不良の発生傾向を分析することで、製造工程の改善にも役立つ。導入理由としては、多様な欠陥をルール化できないこと、人間検査のばらつきや遅さ、そして大量データと高性能計算資源が利用可能になったことが挙げられる。</t>
  </si>
  <si>
    <t>製造業における不良品検査におけるAI活用について説明して。従来手法との違いや、使用されている技術（例：画像認識・CNNなど）、導入理由や効果も含めて書いて。</t>
  </si>
  <si>
    <t>今回のプロンプト作成では、まず「何を明確にしたいか」という目的を意識した。単に機械学習の説明ではなく、「従来のプログラミングとの違い」や「なぜ必要になったのか」といった背景を含めることで、理解が深まるように工夫した。また、生成AIに丸投げするのではなく、自分の視点を反映できるよう、「具体例」や「実世界での利用状況」を盛り込むように指示した。</t>
  </si>
  <si>
    <t>今回の学習を通して、三人一組で助け合いながら取り組めたことがとても良かったと感じた。自分が理解できない部分を仲間に教えてもらったり、逆に相手が困っているところを自分が説明したりすることで、お互いに理解を深め合うことができた。また、AIについてはこれまで苦手意識が強く、自分には扱えないのではないかと不安に思っていたが、実際に使ってみると、従来時間がかかっていた作業を効率化し、短時間で成果を得られる大きな可能性があることに気づいた。AIは今後さらに発展し、社会や仕事の場面でも欠かせない存在になっていくと思うので、自分も積極的に学びを続け、AIを効果的に活用できるよう成長していきたいと思った。</t>
  </si>
  <si>
    <t>24238308@edu.cc.saga-u.ac.jp</t>
  </si>
  <si>
    <t>プログラミングは、人がルールや手順を明示的に書いてコンピュータに指示を与える方法です。条件分岐や計算式がはっきりしている問題では効率的ですが、顔認識や音声認識のようにルールを明確に書き出せない複雑な課題には向きません。そこで登場したのが機械学習です。機械学習は大量のデータからコンピュータ自身がパターンを学び、ルールを自動的に獲得します。その結果、人がコードに書けないあいまいで複雑な判断を可能にします。例えば、猫の画像を見分ける場合、プログラミングでは「耳の形」「毛の色」などを細かく条件として書く必要がありますが、機械学習なら多数の猫と非猫の画像を与えるだけで自動的に特徴を学習します。この違いが、機械学習が登場し発展した理由です。</t>
  </si>
  <si>
    <t>ソフトウェアでの実装手段として、プログラミングと機械学習の違いについての述べてください。例えば、なぜ機械学習という手法が出てきたのか? 例えば、実現できる事の違い、など。これを３００字程度で教えて</t>
  </si>
  <si>
    <t>銀行では不正送金や振り込め詐欺の早期検知に機械学習が活用されている。従来のルールベースでは新しい詐欺手口や複雑な取引パターンに対応しにくかったため、取引履歴や行動パターンなど大量のデータから自動的に特徴を学ぶ機械学習が導入された。特に連合学習という技術により、複数の銀行が顧客データを外部に出さずにモデルを共同で訓練し、検知精度を高めている。この仕組みにより、新しい不正手口への適応が早まり、偽陽性や偽陰性を減らす効果が確認されている。結果として、被害防止と利用者の安全性向上につながっており、金融分野におけるAI活用の代表例となっている。</t>
  </si>
  <si>
    <t xml:space="preserve">実世界 (社会や企業・組織など) での機械学習(AI)の利用状況1つを調査。どんな場面で、どんな技術が、どんな使われ方をしているのか? なぜ、機械学習を使ったのか?
小見出しなしでまとめて
</t>
  </si>
  <si>
    <t>小見出しがあったので書きやすいように消させてまとめさせたこと。</t>
  </si>
  <si>
    <t>事前準備の課題が自分一人では理解できず難しかった。授業の演習はわかりやすかった。</t>
  </si>
  <si>
    <t>24238328@edu.cc.saga-u.ac.jp</t>
  </si>
  <si>
    <t>プログラミングは人間が書いたルール通りに作動するものであり、機械学習はルールを作ることは難しいがデータは多くあるものである。
プログラミングはルールがはっきりしている問題に強く、機械学習はデータからコンピューターが自身で学ぶため複雑な問題に強い。</t>
  </si>
  <si>
    <t>chatGPT
ソフトウェアでの実装手段として、プログラミングと機械学習の違いについての述べてください。例えば、なぜ機械学習という手法が出てきたのか? 例えば、実現できる事の違い、など。
初心者にも分かりやすくお願いします。</t>
  </si>
  <si>
    <t>銀行、金融での不正感知
利用で異常なパターンがないか判断する。
教師ありの正常不正の検知、普段の行動データから違う利用の異常検知、不正である可能性のスコアをつける、などの場面で利用されている。
データが大量にあり、パターンが複雑で、常に不正の手口を学習し続けなければならないため機械学習が役立っている。</t>
  </si>
  <si>
    <t>実世界 (社会や企業・組織など) での機械学習(AI)はどんな場面で、どんな技術が、どんな使われ方をしているのか? なぜ、機械学習を使ったのか?</t>
  </si>
  <si>
    <t>少し短くした。</t>
  </si>
  <si>
    <t>アナコンダの設定し直しが難しい。
もう少し教室の密度を下げて欲しい。</t>
  </si>
  <si>
    <t>24238236@edu.cc.saga-u.ac.jp</t>
  </si>
  <si>
    <t>プログラミングと機械学習の主な違いは、問題解決のアプローチにある。伝統的なプログラミングでは、ルールや手順を明示的にコードで定義し、入力から出力を計算する。一方、機械学習は、データを用いてモデルが自らパターンを学習し、明示的なルールを与えなくても予測や決定を行う手法である。機械学習が登場した背景には、複雑で変化するデータやパターンを人間が手動でルール化するのが困難になったことがある。これにより、画像認識や自然言語処理など、実践的な応用範囲が広がった。</t>
  </si>
  <si>
    <t>ソフトウェアでの実装手段として、プログラミングと機械学習の違いについて述べる上で、なぜ機械学習という手法が出てきたのか、それがどのようなことをできるのかを教えて。</t>
  </si>
  <si>
    <t>実世界での機械学習の利用例として、医療分野での診断支援が挙げられる。例えば、病院では機械学習モデルがX線やMRI画像を解析し、医師が腫瘍や異常を検出するのを助けている。これは、大量のデータを学習させることで、従来の手動診断よりも迅速かつ正確な結果を提供できるためだ。</t>
  </si>
  <si>
    <t>世界中での機械学習の利用の方法を一つ挙げた上で、どんな場面で、どんな技術が、どんな使われ方をしているのかを教えて。また なぜ、機械学習を使ったのかについても教えて。</t>
  </si>
  <si>
    <t>基本的に何を聞きたいかを重要視し、キーワードを入れることで、より良い回答を出した。</t>
  </si>
  <si>
    <t>実際にやってみることで、どのようなことがどのように動いていくのかが分かった。特に問題もなかった。</t>
  </si>
  <si>
    <t>23238913@edu.cc.saga-u.ac.jp</t>
  </si>
  <si>
    <t>プログラミングは、人がルールや手順を明確に決めてコード化する方法で、同じ入力に対して常に同じ結果を返す。一方、機械学習は大量のデータからパターンを学習し、人が明文化できない複雑な判断をモデルに任せる方法である。そのため結果は確率的で、環境やデータが変化すると再学習が必要になる。
要するに、ルールを定義できる処理はプログラミング、曖昧な認識や予測が必要な処理は機械学習が適しており、実際の開発では両者を組み合わせて使うことが多い。</t>
  </si>
  <si>
    <t>あなたは天才的なプログラマーです。ソフトウェアでの実装手段として、プログラミングと機械学習の違いについて、簡潔に分かりやすく論文形式で説明してください。</t>
  </si>
  <si>
    <t xml:space="preserve">銀行やクレジットカード会社では、取引データをもとに機械学習モデルを用いて「正常な取引」と「不正な取引」をリアルタイムで判定している。たとえば Mastercard のシステムでは、過去の購入パターンを学習し、新しい取引がその正常パターンから大きく逸脱していれば不正の疑いとしてフラグを立てている。 
この仕組みにより、誤検知を減らしながら不正取引を迅速に遮断できるようになっている。  </t>
  </si>
  <si>
    <t>実世界での機械学習（AI）の利用状況1つを調査してください。
先ほどと同様に、簡潔に分かりやすく論文形式で説明してください。</t>
  </si>
  <si>
    <t>「実世界での機械学習（AI）の利用状況1つを調査してください。」だけだと、長々と箇条書きでまとめられてしまうので、フォームに貼り付けることを見越し、「簡潔にわかりやすく」「論文形式」という2語を入れ込んだ。</t>
  </si>
  <si>
    <t>環境構築がすこしむずかしかったったけど、授業開始前に終わらせて授業を迎えることができて良かったです。遠隔で繋ぎながらの授業も聞き取りやすかったです。</t>
  </si>
  <si>
    <t>23238166@edu.cc.saga-u.ac.jp</t>
  </si>
  <si>
    <t>プログラミングは、人間がルールや手順を明示的に記述し、コンピュータに実行させる方法である。税金計算や在庫管理など、条件や処理が明確な問題に適している。一方、機械学習は大量のデータから入力と出力の関係を自動的に学習し、ルールを推定する手法である。画像認識や音声認識のように、人間が明確なルールを書けない複雑な問題に有効である。両者は競合するものではなく、目的に応じて使い分けることで、より柔軟で高度なシステムを構築できる。</t>
  </si>
  <si>
    <t>具体的かつ明瞭かつ丁寧に説明してください。</t>
  </si>
  <si>
    <t>ソフトウェアでの実装手段。プログラミングと機械学習の違いについて。なぜ機械学習という手法が出てきたのか?</t>
  </si>
  <si>
    <t>近年、企業のカスタマーサポートでは、AIチャットボットに機械学習が活用されている。たとえば通信会社やECサイトでは、顧客からの質問内容を自然言語処理技術で解析し、過去のデータをもとに最適な回答を自動で提示している。これにより、24時間対応が可能となり、オペレーターの負担軽減や顧客満足度の向上が実現している。従来のプログラムでは想定外の質問に対応できなかったが、機械学習を用いることで多様な表現や文脈を理解し、柔軟な応答が可能となった点が導入の大きな理由である。</t>
  </si>
  <si>
    <t>AIなどに詳しくないため、具体的・明瞭・丁寧に説明してもらった。</t>
  </si>
  <si>
    <t>どうしていいか分からない人が多かったので、手順を丁寧に説明してほしかった。TAの方からのアドバイスには助かった。</t>
  </si>
  <si>
    <t>24238251@edu.cc.saga-u.ac.jp</t>
  </si>
  <si>
    <t>プログラミングと機械学習の違いは、処理のルールを人手が定義するか、データからコンピュータ自身が学習するかである。
プログラミングは人間が知っている問題を解決する。機械学習は複雑すぎて人間が解けない問題を記述することができる。
自動運転車の場合プログラミングのみだと特定の道を走るための手順を詳細に記述する必要があり、未知の状況には対応できない。しかし、機械学習を用いれば、運転データを学習させることにより、複雑な問題や予測不可能な状況に対しても柔軟に対処が可能である。</t>
  </si>
  <si>
    <t>ソフトウェアでの実装手段として、プログラミングと機械学習の違いについての述べてください。例えば、なぜ機械学習という手法が出てきたのか? 例えば、実現できる事の違い、など。</t>
  </si>
  <si>
    <t xml:space="preserve">​1. 複雑すぎるルールとパターンへの対応 
​人間のプログラマが明示的なルールとして記述するのが非常に困難、または事実上不可能な問題が多くあります。
2. 環境の変化への対応 
​現実世界の問題では、状況やデータが常に変化します。
3. データ量の増大 
​ビッグデータ時代において、人間の手で全てを分析しルール化するのではなく、大量のデータから価値を自動で抽出する必要が出てきました。機械学習は、このデータ駆動のアプローチを可能にします。
​プログラミングは**「どう動くべきかを人間が完全に知っている」問題を解決し、機械学習は「答え（望ましい出力）はわかるが、そこに至る具体的なルールが複雑すぎて人間には記述できない」**問題を解決するために利用されます。
</t>
  </si>
  <si>
    <t xml:space="preserve">スーパーマーケットを例にだすと、売上向上や、顧客体験の向上のために機械学習AIが使われている。
顧客が求めている商品を効率よく提示でき、購買意欲が高まり、売上が伸びることに繋がる。 ​また、顧客は「探す」手間が減り、自分に合った商品に簡単に出会えるためサービスの利便性も向上する。 </t>
  </si>
  <si>
    <t>実世界 (社会や企業・組織など) での機械学習(AI)の利用状況1つを調査。どんな場面で、どんな技術が、どんな使われ方をしているのか? なぜ、機械学習を使ったのか?
とても分かりやすく。</t>
  </si>
  <si>
    <t>・場面、技術、使われ方を別々に聞いた。
(見やすくなると考えた)
・とても分かりやすくと全部の最後の文に入れた。
(難しい言葉を分かりやすくしてもらったほうが理解しやすくなると考えた)</t>
  </si>
  <si>
    <t>隣の人と教え合いながらできる良い環境でAI実習できた。</t>
  </si>
  <si>
    <t>24238306@edu.cc.saga-u.ac.jp</t>
  </si>
  <si>
    <t>プログラミングは、人がルールや手順を細かく書いて、コンピューターに「こう動いてね」と命令する方法である。一方で機械学習は、コンピューターがたくさんの例を見て、自分でルールを学ぶ方法である。例えば、手書きの数字を見分けるとき、プログラミングでは「線の形や位置」を人が定義し、そこに人の手が加わるが、機械学習では数字の画像と答えを見せるだけで、コンピューターが学習し、自分で見分け方を覚える。機械学習が生まれた理由はルールを人が書けないような複雑な問題（音声認識、画像分類など）を解くためである。これにより、より柔軟で賢いソフトウェアが作れるようになった。</t>
  </si>
  <si>
    <t>ソフトウェアでの実装手段として、プログラミングと機械学習の違いについての述べてください。なぜ機械学習という手法が出てきたのか? 、実現できる事の違い、など　300字程度でまとめてください。　　</t>
  </si>
  <si>
    <t xml:space="preserve">実世界での機械学習の活用例として、コンビニの需要予測がある。例えば、セブン-イレブンでは、天気・曜日・過去の販売データなどをもとに、各店舗で「どの商品がどれくらい売れるか」を予測するために機械学習を使っている。
この場面では、**予測モデル（回帰や時系列モデル）**を使って、商品ごとの発注量を自動で調整を行う。この予測モデルにより人がルールを手作業で書くのではなく、機械学習が大量のデータからパターンを学び、より正確な予測を可能にする。
機械学習を使う理由は、人間では扱いきれないほど複雑で大量のデータを処理できるからである。また、人件費削減や従業員の業務軽減にもつながる。これにより、食品ロスの削減や売上の最大化が実現でき、企業の効率化と持続可能性に貢献しています。
</t>
  </si>
  <si>
    <t xml:space="preserve">実世界 (社会や企業・組織など) での機械学習(AI)の利用状況1つ具体的に教えてください。また、どんな場面で、どんな技術が、どんな使われ方をしているのか? なぜ、機械学習を使ったのか?明確な根拠についても教えてください。
</t>
  </si>
  <si>
    <t>AIが答えた内容に関する根拠を明確にするように生成AIに質問するようにした。</t>
  </si>
  <si>
    <t>環境設定のやり方がわかりにくかったため、動画などを用いて説明していただきたい。</t>
  </si>
  <si>
    <t>24238255@edu.cc.saga-u.ac.jp</t>
  </si>
  <si>
    <t>プログラミングと機械学習どちらもコンピューターにやらせたいことを実現するための手段である。異なる部分といえばやり方である。プログラミングは、人間がルールを決めて指示を送る。つまり、入力→処理→出力をすべて人間がコードに書きこむ。それに対して機械学習は、データからルールを学習させる。例として、犬と猫の写真を大量に見せてコンピューター自身に違いを見つけさせる。これの良い点として、学習したモデルを使えば、未知の画像に対して、予測や分類ができる。</t>
  </si>
  <si>
    <t>プログラミングと機械学習の違い</t>
  </si>
  <si>
    <t>調べてみると、機械学習はどちらかといえば日常生活に用いられていることが多いと思った。
プログラミングを用いた、日常生活の実例はあるのか。</t>
  </si>
  <si>
    <t>日常生活においての機械学習の利用例として、最も身近にあるスマートフォンである。特に、顔認証システム（画像認識）、音声アシスタント（siriなど）、YoutubeやNetflixなどのレコメンドシステム（ディープラーニング）等である。使われている技術として、畳み込みニュートラルネットワークというものがある。コンピュータはそれぞれの体の部位を数字に変換にする。その登録された数字が本人の顔と近いかどうかで判断する。そういった、座標のようなものを使った技術でFace ID等に活用されている。</t>
  </si>
  <si>
    <t>機械学習の利用状況において、最も身近な例を挙げてください。また、そこに用いられている技術はどのようなものか、AIに弱い人物を対象にご教授ください。</t>
  </si>
  <si>
    <t>機械学習の利用例を聞くだけでは、理解に時間がかかり、実感がわきづらいと考えたため、身近なという言葉を付け足し、容易に理解できる質問になることを心掛けた。</t>
  </si>
  <si>
    <t>環境作成については、普段からパソコン等に触れている人でないと個人で行うのはなかなか困難であると思った。逆に、焦りも出てきたのである意味良い事前学習ともいえると思った。</t>
  </si>
  <si>
    <t>25142068@edu.cc.saga-u.ac.jp</t>
  </si>
  <si>
    <t>プログラミングも機械学習もソフトウェアを作る手段だが、アプローチや考え方が根本的に異なる。プログラミングは人間がルールや手順を明示的に記述し、「何をどうするか」を細かく指示していく。ルールが固定されているため、変更には再実装が必要になる。対して機械学習はデータからルールを自動的に学習し自分で判断していくようになる。モデルがデータに応じて変化するため柔軟性が高い。</t>
  </si>
  <si>
    <t>ソフトウェアの実装手段として、プログラミングと機械学習のちがいについて教えてください</t>
  </si>
  <si>
    <t>過去の売上データや天候、曜日などをもとに売れ行きや来店数を予測する小売や飲食店の需要予測、クレジットカードの利用履歴から異常なパターンを検知し、不正利用を防止する金融業界の不正検知など。以上の場面ではAIの教師あり学習が使われている。</t>
  </si>
  <si>
    <t>実際に使われている機械学習の例を教えてください</t>
  </si>
  <si>
    <t>簡潔な質問文を考えた</t>
  </si>
  <si>
    <t>先生は優しかったが、資料が優しくない
環境設定でファイルを置いている場所によって読み込まないことがあった</t>
  </si>
  <si>
    <t>24238313@edu.cc.saga-u.ac.jp</t>
  </si>
  <si>
    <t>プログラミングは、プログラマーが書き出した明確なアルゴリズムと手順にのみ従うものであり、論理的・定型的な処理に優れている。一方で機械学習は、人間が与えたデータによってコンピューターはパターンや規則性を自動で学習し、自ら判断を導き出すもので、パターン認識や予測・推論に優れている。機械学習という手法が出てきた理由は、画像認識や音声認識などのルール化が困難なタスクへの対応をするためである。</t>
  </si>
  <si>
    <t>プログラミングと機械学習の違いについて学んでいます。機械学習という手法が出てきた理由とそれによって実現できることの違いに触れて分かりやすく表にしてまとめてください。</t>
  </si>
  <si>
    <t>機械学習の利用状況の一つとして、製造業での製造ラインにおける完成品や部品の品質検査工程がある。そこでは、機械学習の中でも特に深層学習を用いた画像認識技術を用いて、キズ、汚れ、変形、色ムラ、異物混入などの不良箇所を自動で判定・検出するために利用されている。</t>
  </si>
  <si>
    <t>製造業での製造ラインにおける品質検査で利用されている機械学習について、技術と利用方法について大学生に分かりやすく詳しく教えて下さい。</t>
  </si>
  <si>
    <t>自分にとって理解しやすい返答が返ってくるようにした。</t>
  </si>
  <si>
    <t>テーマの曖昧さが感じられたので、より分かりやすいものになれば更に良いものになると考えます。</t>
  </si>
  <si>
    <t>23238121@edu.cc.saga-u.ac.jp</t>
  </si>
  <si>
    <t>プログラミング
人間が「手続き（ルール）」を明示的に記述してソフトウェアを作る。
例えば「身長と体重を入力したらBMIを計算して表示する」という処理は、数式や条件分岐をそのままコードに書けばよい。
強みは ルールが明確に定義できる問題 に強いこと。計算、制御、論理的処理などが典型例。
機械学習
人間がルールをすべて書かずに、データからパターンを学ばせる。
例えば「写真から犬か猫かを判定する」場合、犬と猫の特徴を人間が明示的にルール化するのはほぼ不可能。でも大量の画像データを学習させれば、モデルが自動で区別する規則を獲得する。
強みは 人間が明確なルールを与えにくい問題 に強いこと。画像認識、自然言語処理、音声認識などが典型例。</t>
  </si>
  <si>
    <t>実世界での機械学習(AI)利用状況
事例：金融業界のクレジットカード不正利用検知
どんな場面で
クレジットカードの取引において、不正利用（盗難やスキミングなど）をリアルタイムで検知する場面。
どんな技術が
機械学習の一分野である「異常検知（Anomaly Detection）」や「教師あり学習（分類）」のアルゴリズム。具体的にはランダムフォレストやディープラーニングを使って、正常な取引パターンと異常な取引パターンを区別する。
どんな使われ方をしているのか
取引データ（利用金額、場所、時間、過去の利用履歴など）をモデルに入力すると、その取引が「通常の利用か、不正の可能性が高いか」を確率的に判定。高リスクと判断された場合にはカード会社が取引を一時停止したり、利用者に確認を取る仕組みになっている。
なぜ、機械学習を使ったのか
不正利用のパターンは常に変化し、人間がルールを手作業で定義するのは不可能に近い。一方で、機械学習は膨大な取引データから特徴を自動的に学習し、新しい不正の兆候にも対応できる。これにより、セキュリティの強化と顧客の安心確保が実現できる。</t>
  </si>
  <si>
    <t xml:space="preserve">実世界での機械学習の利用事例を、どんな場面で・どんな技術が・どんな使われ方をしているか・なぜ使うのか、の4点で整理して説明してください。
</t>
  </si>
  <si>
    <t>条件を指定すること</t>
  </si>
  <si>
    <t>プログラミングが高度すぎる</t>
  </si>
  <si>
    <t>24238355@edu.cc.saga-u.ac.jp</t>
  </si>
  <si>
    <t>プログラミングは“ルールを人間が決めて書く”ことが特徴．人間が“入力→処理→出力”の流れをすべて考えてアルゴリズムを設計する．コンピュータは人間が書いた手順に忠実に従うだけなので、決められたルール通りにしか動くことができない．そのため条件がはっきりしているもの(計算、制御等)に向いている．一方、機械学習は“ルールをコンピュータがデータから学ぶ”ことが特徴．人間がルールを一から書く代わりに、コンピュータにデータを大量に与えて学ばせる．機械学習のモデルはデータを学んで、数学的な数式やパラメータの組み合わせで表現されるルールを内部に作る．そのためルールがはっきりしていないもの(画像認識、音声認識等)に向いている．</t>
  </si>
  <si>
    <t>・ソフトウェアの実装手段として、プログラミングと機械学習の違いについて初心者に分かりやすく教えて　・それぞれの説明についてもう少し詳しく教えて</t>
  </si>
  <si>
    <t>交通や都市計画において“タクシー需要予測”という仕組みが利用されている．ある地点・時間帯でタクシーの需要(乗客が呼ぶ確率、呼ばれる回数等)を予測するモデルをつくり、それを基にタクシーの配車を行っている．タクシー会社目線では車両を効率的に割り当てることで空車(=収益にならない)状態の削減、利用者目線ではタクシーが来るまでの待ち時間の削減や混雑回避に繋がるというメリットがある．国内では2022年頃まで静岡県の遠鉄タクシーがNTTドコモと共同で“AIタクシー”という需要予測システムを実証導入しており、新人ドライバーの売上が1日あたり平均3,115円アップするなど一定の成果が得られたようだ．</t>
  </si>
  <si>
    <t>・実世界での機械学習(AI)の利用状況を初心者に分かりやすく教えて　・それぞれの説明についてもう少し詳しく教えて</t>
  </si>
  <si>
    <t>・“初心者に分かりやすく”という文言を入れた点　・そこからそれぞれの説明についてより詳しい説明を求めるようにした点</t>
  </si>
  <si>
    <t>24238252@edu.cc.saga-u.ac.jp</t>
  </si>
  <si>
    <t>プログラミングと機械学習は与えられた目標を解決するためのアプローチの仕方が異なる。プログラミングとはコンピュータにコードを利用して特定の指令を出すこと。よって、正確な状況や未来が予測できて条件分岐で定義できるタスクに使用される。機械学習とはAIと呼ばれるコンピュータに学習させるための手法のこと。よって機械学習では過去のデータをもとに未知の事柄に対応できるため、条件分岐できないタスクに使用される。</t>
  </si>
  <si>
    <t>実世界の機械学習の利用としてレコメンドシステムがある。例えば、ネットショッピングにおいてユーザーの購入履歴や閲覧履歴を参考にしてユーザー1人1人に相性のいい商品やサービスをお勧めする機能に使われている。ネットショッピング内には膨大な量があるため、ユーザーが商品を探す手間を省いたり、ユーザーと欲しいものが出会う確率を挙げることで「買わない」という決断を減らしたりするために使われている。</t>
  </si>
  <si>
    <t>ネット環境をよくする。</t>
  </si>
  <si>
    <t>24238358@edu.cc.saga-u.ac.jp</t>
  </si>
  <si>
    <t xml:space="preserve">違いについて　プログラミングはルールを書いて動かす、 機械学習はデータからルールを学ばせるので根本的に違う。プログラミングはが完全に定義できる場合に有効で、例えば結果の説明もしやすく、テストや保守も比較的容易である。そして機械学習は人がルールを直接書きにくい複雑な問題に強みを持つ。
機械学習が出てきたのは音声や人の感情をわかりやすく書き下すのはほぼ不可能であり、また統計学・AI研究の理論やコンピュータ性能の発展が影響した。
</t>
  </si>
  <si>
    <t>使用したprompt　ソフトウェアでの実装手段として、プログラミングと機械学習の違いについて、たくさん誰にでもわかるように丁寧にお願い
工夫した点　「丁寧に」をつけることによってもし複雑なとこがあった場合にも対応できる点</t>
  </si>
  <si>
    <t>場面　YouTubeやNetflixでの「おすすめ動画」
技術　協調フィルタリング、コンテンツベースフィルタリング、行動履歴の機械学習モデル、ディープラーニング強化学習（Reinforcement Learning）
使われ方　似た行動をした人は似た好みを持っているという考え方、「どの動画をクリックしたか」「どのくらい視聴したか」「どのタイミングで離脱したか」などの情報を大量に集めて学習、ニューラルネットで「クリック率」や「視聴完了率」を予測するなど。</t>
  </si>
  <si>
    <t xml:space="preserve">実世界 (社会や企業・組織など) での機械学習(AI)の利用状況をたくさん具体的に分かりやすく教えて
YouTubeやNetflixでの「おすすめ動画」
ではどのような技術が使われているか
</t>
  </si>
  <si>
    <t>世の中にはたくさん機械学習が使われているためpromptのなかにたくさんをつけることで自分の身近なものでわかりやすいものを見つけることができる点</t>
  </si>
  <si>
    <t>24238235@edu.cc.saga-u.ac.jp</t>
  </si>
  <si>
    <t>プログラミングは、ルールが明確な処理や制御が得意であり、機械学習では、データを学習することにより、複雑な問題にも対応できる。例を挙げると、電卓やログイン認証は単純なルールで実現できるためプログラミングが強いが、顔認識などは画像パターンを学習して実行するため機械学習が強い</t>
  </si>
  <si>
    <t>ソフトウェアでの実装手段として、プログラミングと機械学習の実現できる違いは？</t>
  </si>
  <si>
    <t>顔認証では、人間の顔のパターンが複雑すぎて、プログラミングを使うのに必要なルールを定義できないから</t>
  </si>
  <si>
    <t>顔認証がなぜ機械学習が使われているか？</t>
  </si>
  <si>
    <t>一番最初の環境構築は難しかったけど、それ以外は難なく取り組むことができた</t>
  </si>
  <si>
    <t>24238141@edu.cc.saga-u.ac.jp</t>
  </si>
  <si>
    <t>プログラミングはルールや処理が明確に定義できる場合に使用され、機械学習はルールが複雑で明確に定義できない場合に使用される。前者の具体例は、会計処理などであり、後者は音声アシスタントや異常検知である。機械学習はルールが複雑で、明確に定義できない問題が増えたことにより、これを解決するため作り出された。</t>
  </si>
  <si>
    <t>なぜ機械学習が作り出されたのですか</t>
  </si>
  <si>
    <t>クレジットカードの不正利用をリアルタイムで検知するために使われている。機械学習の強みである、複雑なデータ処理能力を活かして、膨大な取引データから信用リスクを予測し、クレジットカードの利用を自動的に許可している。</t>
  </si>
  <si>
    <t>プログラムを見て詳しくどのような処理が行われているかを、AIに質問し回答を貰っても、専門用語が多く使用され、抽象的にしか理解ができなかった。機械学習ソフトを実際に使用するのは、とても面白かった。</t>
  </si>
  <si>
    <t>24238310@edu.cc.saga-u.ac.jp</t>
  </si>
  <si>
    <t>これまでのプログラミングは人間がルールや手順を明示的にコードとして記述する手法である．この手法はあらかじめルールがはっきりしている課題においては非常に有効であり、正確さと再現性の高さが強みとなっている．
しかし画像の中に映っている動物が猫かを判断するなどルールをすべて書き下すことが難しい問題も数多く存在する．これらは単純な条件分岐では解決できない．こうした背景から機械学習という手法が登場した．機械学習では、人間がルールを直接記述する代わりに、大量のデータとその正解例をコンピュータに与えることで、データから自動的にパターンやルールを学習させる。これにより、明文化できない複雑な問題にも対応できるようになる．
プログラミングは銀行システムや家電制御のように正確さが重要な場面で活躍し、機械学習は画像認識や音声認識、生成AIのように曖昧さを扱う場面で使われる．</t>
  </si>
  <si>
    <t>ソフトウェアでの実装手段として、プログラミングと機械学習の違いについての述べてください。
小学生でもわかるようにわかりやすくお願いします．</t>
  </si>
  <si>
    <t>スマートフォンの顔認証
　私たちが日常的に使うスマートフォンには、パスワードや指紋認証に加えて「顔認証機能」が搭載されています。スマートフォンを画面に向けるだけでロックが解除されるこの仕組みは、機械学習によって支えられている．
　顔認証では、カメラで取得した画像から「顔の目や鼻、輪郭などの特徴点」を抽出し、それをあらかじめ登録してある顔データと照合する．ここでは機械学習の中でも特に ディープラーニングを用いた画像認識技術 が活用されている．ニューラルネットワークを使うことで、光の加減や角度、表情の違いなどにも対応できるようになっている
　スマートフォンの画面ロック解除，決済アプリや銀行アプリでの本人確認，
アプリやサービスへのログイン認証など日常生活のセキュリティと利便性を高めるために幅広く使われている．
　顔は人によって形が異なり、さらに髪型や表情、眼鏡の有無などでも変化する．これを「プログラムの条件分岐だけで判別」するのは不可能であり人間がルールを明確に書けないこと．本人だけを確実に認証し、他人や写真では突破されない仕組みが必要であり高い精度が求められること．スマホユーザーは膨大で、データを活用することで認識精度をどんどん高められ利用データが豊富であること．これらの理由から機械学習を使っている．</t>
  </si>
  <si>
    <t>実世界 (社会や企業・組織など) での機械学習(AI)の利用状況1つを調査。どんな場面で、どんな技術が、どんな使われ方をしているのか? なぜ、機械学習を使ったのか?
小学生でも理解できるように正確にまとめて</t>
  </si>
  <si>
    <t>誰でも理解できるように「小学生でも理解できるように」と書いた．</t>
  </si>
  <si>
    <t>環境構築をするときが少し難しく感じました．
演習内容は機械学習がどうやって学習していくのかがざっくり知ることができとても面白いと感じた．</t>
  </si>
  <si>
    <t>24238311@edu.cc.saga-u.ac.jp</t>
  </si>
  <si>
    <t xml:space="preserve">プログラミングは、ソフトウェア開発における最も基本的な手法で、人間が問題解決のための具体的な手順とルールを記述し、コンピュータにその通りに実行させる方法です。
つまりコンピュータは人間の指示通り行動します。
機械学習は、データからパターンや規則性を学習し、その学習結果に基づいて予測や判断を行います。人間がはっきり分かりやすく、ルールを記述するのではなく、アルゴリズムと大量のデータを用いてモデルを訓練します。要するに、先にたくさんのお手本を見せてそれを参考にして演習していく感じで、学校の授業の講義を受けて、それを元に演習を受けてる生徒が機会に置き換わったようなイメージです。
機械学習が生まれたのは
細かいルールを全部教えるのが大変だったからだそうです。
たとえば、お空の雲の絵を描くのに、「雲ってこう描いてね」って全部教えるのはすごく難しいと思います。
でも、雲の写真をたくさん見せたら、人間は、雲ってフワフワした形だな」ってわかるようになるでしょ。
上記のような人間的な感覚を機械にも反映させたかったんだろうとおもいます。
</t>
  </si>
  <si>
    <t>ソフトウェアでの実装手段として、プログラミングと機械学習の違いについての述べてください。
小学1年生でもわかるぐらい簡単に短くまとめて欲しい
もう詳しく分かりやすくまとめて。大学レベルで</t>
  </si>
  <si>
    <t>私たちの身の回りの物の多くのものは工場で作られていて、ちゃんとできてるチェックする仕事があり、そもそもは人がチェックをしてたが現在では機械学習されたAIがこの仕事を手伝ってることがあります。
例えば、品質チェックです。
正常品と形が同じかどうかや、傷はないかなどをたくさんのデータを学習させることで判断しています。
AIは私たちが目で見て判断するように、カメラで撮った写真を見て判断しています。この技術を画像認識といい、機械学習によく用いられる手法です。
AI 機械学習を利用することで人件費の削減や
物の大量生産など幅広いとこで良い影響があります。</t>
  </si>
  <si>
    <t>実世界 (社会や企業・組織など) での機械学習(AI)の利用状況1つを調査。どんな場面で、どんな技術が、どんな使われ方をしているのか? なぜ、機械学習を使ったのか?</t>
  </si>
  <si>
    <t>生成AIに、一旦小学生ぐらいでも分かるレベルで教えてもらって自分で内容を理解できた後に
レポートでまとめれるレベルの文章で再度
教えてもらった。</t>
  </si>
  <si>
    <t>情報系の私でもアナコンダの環境構築の説明がとても難しく感じたので、説明文ではなく、説明動画を使った方がいいのではないかと思いました。</t>
  </si>
  <si>
    <t>24238185@edu.cc.saga-u.ac.jp</t>
  </si>
  <si>
    <t>ソフトウェアを作る方法には、大きく分けて二つのアプローチがあります。ひとつは従来からあるプログラミングで、人間がルールや手順を細かく書き込むやり方です。計算や在庫の管理、機械の制御など、答えがはっきりしている作業にはとても強く、安定して正しく動いてくれるのが特徴です。ただし「犬と猫を見分ける」といった複雑で曖昧な問題になると、すべての条件を人間が言葉にして書き出すのは難しくなります。そこで登場したのが機械学習です。機械学習では、人間がルールを一から書くのではなく、大量のデータを見せてコンピュータに自分でパターンを学ばせることができる。そのおかげで画像や音声の認識、文章の理解といった、人間の感覚に近い処理を任せられるようになりました。ただし、与えられるデータに偏りがあると誤った結果を出すことがあったり、なぜその判断をしたのか説明しづらいといった弱点もあります。データが急激に増え、コンピュータの性能も上がったことで機械学習は発展しましたが、従来のプログラミングが不要になったわけではなく、論理的に処理できることはプログラミングに任せ、複雑でルール化しにくいことは機械学習に任せる、といった使い分けがこれからも大切になっていくと思います。</t>
  </si>
  <si>
    <t>ソフトウェアでの実装手段として、プログラミングと機械学習の違いについての述べてください。例えば、なぜ機械学習という手法が出てきたのか? 例えば、実現できる事の違い、など。これらの内容を５００字で一つの文章になるようにレポートにして</t>
  </si>
  <si>
    <t>金融機関では、オンラインバンキングやATM取引における不正送金や詐欺の検知に機械学習が活用されている。従来は「もし〜なら不正」といったルールを人間が定めて監視していたが、犯罪手口が巧妙化しルールだけでは対応が追いつかないことが課題であった。そこで機械学習を導入し、取引履歴や口座の利用傾向など大量のデータを学習させることで、不正なパターンを自動的に見つけ出す仕組みが導入されている。技術的には、取引金額や時間帯、頻度などを特徴量としてモデルに与え、決定木やブースティング、深層学習などのアルゴリズムで予測を行う。不正取引は全体の中で非常に少ないため、データの不均衡を補正する手法やアンサンブル学習も取り入れられている。また、複数の銀行が協力し、顧客データを直接やり取りせずに学習を進める「連合学習」も実用化されつつある。これによりプライバシーを守りながら不正検知の精度を高めることが可能になった。機械学習を使う理由は、ルールベースでは見逃される潜在的な不正を検知できること、犯罪者の手口の変化に柔軟に対応できること、そして膨大な取引データを効率よく分析できることである。こうした取り組みは、不正被害の防止と金融システムの信頼性向上に大きく貢献している。</t>
  </si>
  <si>
    <t>「実世界 (社会や企業・組織など) での機械学習(AI)の利用状況1つを調査。どんな場面で、どんな技術が、どんな使われ方をしているのか? なぜ、機械学習を使ったのか? レポートにしてまとめて」</t>
  </si>
  <si>
    <t>AIにわかりやすく答えてもらうため、具体例を1つに絞り、見る観点（場面・技術・使われ方・理由）を示して指示した。文章はレポート風にまとめてもらうようにした。</t>
  </si>
  <si>
    <t>23238907@edu.cc.saga-u.ac.jp</t>
  </si>
  <si>
    <t>プログラミングは，人間が明確な定義を以って書くものでありその結果として課題に対するアウトプットを得られる．一方，機械学習はコンピュータにデータを与えてその結果としてプログラムを得るものである．プログラミングはアルゴリズムが固定的であるのに対して，機械学習は与えるデータや時間に依存する．解決すべき課題が複雑化するほど，事前にアルゴリズムを定めておくことは困難であり，固定化することができなくなるため機械学習が出てきたと考えられる．</t>
  </si>
  <si>
    <t>クレジットカードの不正利用検知は機械学習の利用例のひとつである．これはクレジットカードの過去の利用データから正常と判断される利用から逸脱するものを見分け，フラグを立てるものである．リスクスコアリングの手法として，過去の取引額・頻度・場所等をもとにリスクスコアを割り当てている．
人間の行動は多様であり，事前にアルゴリズムを定めることは非常に困難である．したがって，機械学習により過去のデータを参照する手法が有効である．</t>
  </si>
  <si>
    <t>「モジュール」、「ターミナル」「コマンドプロンプト」など，コンピュータになじみのない人には難しい言葉が多用されていた．そのため，進行や作業に混乱が生じているように感じる．</t>
  </si>
  <si>
    <t>24238376@edu.cc.saga-u.ac.jp</t>
  </si>
  <si>
    <t>プログラミングと機械学習はどちらもソフトウェアをつくる手段である。しかし、考え方や適している課題が大きく異なる。プログラミングは人間がルールや手続きを明示的にコードとして書き下すもので、入力 → アルゴリズム（ルール）→ 出力という流れで進む。数値計算や暗号化などルールがはっきりしている課題に対して適しており、正しさを人間が定義できるため、結果の予測やテストがしやすいが、複雑で曖昧なルールを「手作業で記述する」のは困難である。機械学習は、入力データと出力（正解例）を大量に与え、アルゴリズムが「ルール」を自動的に学習する。「入力＋正解例 → 学習 → （内部モデル） → 新しい入力に対する予測」という流れで進む。プログラミングとは逆にルールを人間が記述しにくいものに適しており、画像認識、推薦システムなどがそれにあたる。膨大で複雑なパターンをデータから抽出できるが、結果の理由を必ずしも説明できず、「ブラックボックス」になりやすい。
機械学習が出てきた背景には、課題の複雑化、データ・計算資源の増加がある。インターネットやIoTで膨大なデータが集まるようになり、GPUや大規模分散処理の進化で、大規模モデルが現実的になった。機械学習のモデルは学習し直すことで、新しい状況やデータに適応できる。</t>
  </si>
  <si>
    <t>ソフトウェアでの実装手段として、プログラミングと機械学習の違いについての述べてください。例えば、なぜ機械学習という手法が出てきたのか? 例えば、実現できる事の違いなどについて述べてください。</t>
  </si>
  <si>
    <t>決済・クレジットカードの不正検知:
どんな場面か：
オンライン決済プラットフォーム／カード決済ネットワーク上で発生する不正取引のリアルタイム検知。たとえばカード番号の不正利用、アカウント乗っ取り、ボットによる大量不正注文などを決済完了前に判定してブロックするなどがある。
どんな技術を使っているか：
スコアリンクモデル：
過去の取引ラベルを使った分類モデルが多用される。
深層学習・エンベディング：
時系列や複雑な相互関係を扱うのにRNNやTransformer系、あるいは深い特徴抽出器が使われることが増えている。
異常検知・クラスタリング：
既知の不正パターンに当てはまらない未知の手口を検出するため、教師なし手法や確率モデルを併用。
特徴工学・シグナル集約：
IP、デバイスフィンガープリント、購入パターン、購買履歴、地理情報、取引時間、カートの中身など数百〜千を超える特徴を作成・利用。
ネットワーク／横断学習：
多数の加盟店・ユーザーのデータを統合して学習する「ネットワーク効果」によるモデル。
どんな使われ方:
リアルタイム推論：
取引を受け取るとミリ秒単位でモデルがリスクスコアを出す。高リスクなら自動でブロック、あるいは追加認証をする。
ルール＋モデルのハイブリッド運用：
モデルスコアに加え、手作りのルールを組み合わせて誤検知を抑える。
フィードバックループ：
人手審査の結果やチャージバック情報を学習ラベルとして継続的にモデル更新。
可視化とアラート：
不正トレンドの監視、モデル性能（検出率／誤検知率）のモニタリング、ガバナンス用途のログ保持。
なぜ機械学習を使うのか:
毎秒数千〜数万の取引をルールだけで正確に判定するのは非現実的である。MLは大量データから自動で特徴とパターンを学び、スループット高く動作する。不正手口は常に進化するため、手作りルールだけでは追いつかない。
また、MLは新しいパターンをデータから学べるため、継続的な性能維持に有利。
多数の弱いシグナルを組み合わせることで「真の不正」を検出しつつ、正当な顧客を誤ってブロックすることを減らせる。企業にとって誤ブロックは顧客離脱につながるため重要である。
複数の事業者やグローバルな取引データを学習に使える企業は、単一事業者より早く希少な不正パターンを学べる。</t>
  </si>
  <si>
    <t>実世界 (社会や企業・組織など) での機械学習(AI)の利用状況1つを調査し、どんな場面で、どんな技術が、どんな使われ方をしているのか? なぜ、機械学習を使ったのかについてのべてください。</t>
  </si>
  <si>
    <t>知りたいことを細かく指定</t>
  </si>
  <si>
    <t>24238309@edu.cc.saga-u.ac.jp</t>
  </si>
  <si>
    <t>プログラミングは人間がコンピュータに対して一つ一つ指示すること，機械学習は与えられたデータから自動でルールを見つけることに違いが存在する．プログラミングは人間が明示的なルールそのものを示す一方で，機械学習は入力と正解のペアを大量に与えることでコンピュータにルールを見抜かせるという違いがあり，プロセスとしては逆のことをしている．機械学習のメリットは，人間では到達不可能な短時間で大量のデータから正確な結果を得られるということにあり，人力の処理では難しい量であっても対応が可能となった．導入される目的は，プログラミングの場合は『指示通りのタスクを実行するため』，機械学習は『データに基づく予測，分類，判断を行うため』である．</t>
  </si>
  <si>
    <t>プログラミングと機械学習の違いについて軽く説明してください．その際，根拠が見つかりやすい検索ワードも併記すること．</t>
  </si>
  <si>
    <t>Amazonなどの通販サイトで『あなたへのおすすめ』の商品が表示される場面やYouTubeなどの動画配信サービスで次に視聴する動画が推薦されるような場面で，ユーザーの閲覧履歴や購買履歴などを基にした『協調フィルタリング』や『コンテンツベースフィルタリング』といった技術が利用されている．「対象のユーザーに似た購買傾向のユーザーはこのような商品を購入している」という協調フィルタリングまたは，「対象のユーザーが見ている商品と似た特徴を持っているのはこれらである」というコンテンツベースのロジックにより，各ユーザーの興味を持つものを選び出し，トップページなどに表示される．機械学習を使わなかった場合，数百万～数千万もの商品を扱う場合，ユーザー全員の閲覧履歴や購入履歴を読んで，「もしAを買ったらBを勧める」というルールを一つ一つ手作業で設定するのは現実的ではない．そのため，機械学習を利用することで個々の嗜好の変化にも対応でき，売り上げ増加が実現される．</t>
  </si>
  <si>
    <t xml:space="preserve">実社会での機械学習の利用状況をまとめたいので例を出してください，
まとめ方としては，『どんな場面で』『どんな技術が』『どんな使われ方を』『なぜ機械学習である必要があるのか』を一つまとめます．
検索するときのワードも一緒に．
</t>
  </si>
  <si>
    <t>自分でも実際の状態を確認しやすくするためにおすすめの検索キーワードを出力させたこと．</t>
  </si>
  <si>
    <t>24238213@edu.cc.saga-u.ac.jp</t>
  </si>
  <si>
    <t>　プログラミングの仕組みとして人間がタスクの仕様を明確に定義し、それをプログラムとして書くことで、入力とプログラムを与えると出力が得られます。特徴として、演繹的であることやアルゴリズムは固定されていて誰でも説明が可能であること、ルールがはっきりしているタスクに強いなどがあります。
　機械学習の仕組みとして入力と出力のペアを大量に与えるとコンピュータが自動的にプログラムを作り出します。それは人間が細かいルールを書かずとも、コンピュータがパターンを学習してアルゴリズムを生成します。特徴として機能的であることやアルゴリズムはデータに依存し、時間とともに変化すること、ルールを人間が簡単に書けないタスクに強いなどがあります。
　これらのことから機械学習が登場した理由として人間がルール化できない複雑なタスクを解決するためであり、データからパターンを学習することで解決できることができます。</t>
  </si>
  <si>
    <t xml:space="preserve">ソフトウェアでの実装手段として、プログラミングと機械学習の違いについて述べてください。例えば、なぜ機械学習という手法が出てきたのか？例えば、実現できることの違いなどをこの二つの写真をもとに教えてください
 </t>
  </si>
  <si>
    <t>特にないです。</t>
  </si>
  <si>
    <t>小売業では、商品が売れすぎて在庫が足りなくなったり、逆に売れ残って廃棄が出たりすることがよくあります。これを防ぐために、AIを使った需要予測が行われています。AIは、過去の販売データや季節ごとの変動、セールやキャンペーンの情報、さらには天気などのデータを組み合わせて、「これからどの商品がどれくらい売れるか」を予測します。その結果をもとに発注や在庫管理を行うことで、商品が足りなくなるのを防ぎ、売れ残りによるロスも減らすことができます。なぜ機械学習を使うのかというと、人間の経験や勘だけでは大量の商品や店舗ごとの違いを正確に予測するのは難しいからです。AIは大量のデータを処理してパターンを見つけるのが得意なので、より正確に需要を予測できるようになります。そのおかげで、無駄な廃棄を減らしたり、在庫切れによる機会損失を防いだりでき、企業にとっても環境にとってもメリットがあります。</t>
  </si>
  <si>
    <t>実世界 (社会や企業・組織など) での機械学習(AI)の利用状況1つを調査。どんな場面で、どんな技術が、どんな使われ方をしているのか? なぜ、機械学習を使ったのか?という質問に対して商業の観点から根拠となる理由と共に教えて</t>
  </si>
  <si>
    <t>自分がまずどんな分野があるか考えてみて、それについて答えさせて根拠資料なども見れるようにしたところ</t>
  </si>
  <si>
    <t>環境作成をするときに情報系のコースの人でないと理解することが難しいのではないかと思った</t>
  </si>
  <si>
    <t>23238176@edu.cc.saga-u.ac.jp</t>
  </si>
  <si>
    <t>プログラミングは、人間がアルゴリズムやルールを明示的に記述し、それに従ってコンピュータを動かす手法である。数値計算や制御など、ルールが明確な処理に強い。一方、機械学習は、ルールを人間が書き下すことが難しい問題に対して有効である。大量のデータから入力と出力の関係を統計的に学習し、未知のデータに対しても予測や分類を行うことができる。例えば画像認識や音声認識など、人間には「正解がわかるが規則を言葉で説明できない」分野に適用される。このように、プログラミングは、人間が規則を明示できる領域に適している。また、機械学習は規則が複雑・曖昧な領域に適している。実現できることの違いについては、プログラミングは正確さ・再現性に優れるが、複雑で不明瞭なタスクには弱い。機械学習は、不確実性や例外を含む状況でも有用だが、結果の解釈や完全な正確性には限界がある。</t>
  </si>
  <si>
    <t>実世界における機械学習の利用例：製造業での「異常検知」
現在、多くの製造業では機械学習を用いた 設備の異常検知システム が導入されている。例えば、自動車工場の生産ラインではセンサーから収集される温度、振動、電流値などのデータを用いて、機械の稼働状態を常時監視している。ここで使われる技術は、主に 教師あり学習や異常検知アルゴリズム。例えば、ランダムフォレスト、ニューラルネットワークである。通常時のデータを学習させ、そこから外れるパターンを「異常」と判定する仕組みである。
このような手法が使われる理由は、従来のルールベースでは「どの数値が異常か」をすべて人間が設定するのが困難だからである。機械学習を導入することで、従来の閾値設定では捉えられなかった複雑な異常パターンも検出可能となり、設備の故障を未然に防ぐことができる。</t>
  </si>
  <si>
    <t>実世界 (社会や企業・組織など) での機械学習(AI)の利用状況1つを調査。どんな場面で、どんな技術が、どんな使われ方をしているのか? なぜ、機械学習を使ったのか?
具体的にかつ分かりやすく簡潔にまとめて</t>
  </si>
  <si>
    <t>環境構築やテキストの進め方が早く、ついていけない事が多々あった。TAなど教えれる人がもう少し必要だと思った。</t>
  </si>
  <si>
    <t>24238312@edu.cc.saga-u.ac.jp</t>
  </si>
  <si>
    <t>プログラミングは人間が全てのルールや手順を設定し、コンピューターに処理を行わせるのに対し機械学習は人間が大量のデータを与えることでコンピューターが規則性を見つけ、処理を行うという違いがある。そのため明確な手順を繰り返す作業に向いているプログラミングに対して、機械学習は曖昧さを含む問題や予測などの作業に向いている。</t>
  </si>
  <si>
    <t>トヨタ自動車で自動車の製造現場において外観検査などの項目にAIによる画像認識が利用されている。部品の問題をAIが認識し、自動で判別することができるようになったことで、現場での大きな負担となる目視検査をAIで代替することができ、人員をより付加価値の高い業務に充てることができるようになった。</t>
  </si>
  <si>
    <t xml:space="preserve">
</t>
  </si>
  <si>
    <t>環境構築や演習の手順書にうまくいっていた場合の挙動が書いていなかったため、どこまで進めることができているのか分かりにくく、難しいと感じた。</t>
  </si>
  <si>
    <t>23238906@edu.cc.saga-u.ac.jp</t>
  </si>
  <si>
    <t xml:space="preserve"> プログラミングは人間自ら様々な内容の定義を行い，コンピュータに行わせる特定の動作や指示を決定している．一方で，機械学習はデータをコンピュータに渡すとAIがそのデータについて学習して特定のパターンを見つけ出し，パターンを使って予測や判断をしている．機械学習という手法が出てきた理由として，画像内の鳥を数える作業など人間が行うプログラミングでは困難なことを機械学習では短時間で行えるという利点があるからである．</t>
  </si>
  <si>
    <t>　教師あり学習の機械学習では，過去のトレンドや市場動向から将来の需要を予測するという利用がされている．機械学習が利用された理由にとして，今までは人間の勘に頼っており根拠が不明な判断がされていたが，機械学習を利用することで過去のデータのみから判断するので根拠に基づいた判断がされるからである．</t>
  </si>
  <si>
    <t>　AI実習の事前準備である環境構築が素人からすると非常に難しいと感じた．演習内容と時間，環境に不満はないが講義時間が長く最後まで集中して聞くことが難しい．</t>
  </si>
  <si>
    <t>24238271@edu.cc.saga-u.ac.jp</t>
  </si>
  <si>
    <t>寺園 智輝</t>
  </si>
  <si>
    <t>プログラミングは人間がルールを考えてコードを書く方法であり、機械学習はルールを人間が直接書かないで、コンピュータがデータから自分で学ぶ方法である。
例えば猫や犬の判別として人間は曖昧な特徴を捉えていて、条件を書き出すことが不可能なので、コンピュータがパターンを学習した方が効率的として機械学習が生まれた。
このような背景からルール化できることを実現することに向いているのがプログラミングであり、ルールを人間が書きにくい複雑な問題に向いているのが機械学習であることがわかる。
また、機械学習はコンピュータの計算力と世の中のデータが増えた現代だからこそ現実的に行えるようになったのだと考える。</t>
  </si>
  <si>
    <t>プログラミングと機械学習の違いについて簡潔に教えてください。
また、なぜ機械学習という手法が出てきたのか教えてください。</t>
  </si>
  <si>
    <t>音楽配信サービスでレコメンドエンジンが使われておすすめの音楽が流れてくる。
どの音楽が好きかは人ごとに好みが違っているので、ユーザーの行動から好みの傾向を学ぶことで精度が上がる。
個人の好みの傾向は複雑かつ曖昧なので、プログラミングより機械学習が選ばれている。</t>
  </si>
  <si>
    <t>実世界でのAIが使われてる場面。
どんな場面で、どんな技術が、どんな使われ方をしているのか</t>
  </si>
  <si>
    <t>大変興味深く面白い講義でした。プログラミングと機械学習の違いを理解することができました。もっと演習時間を丁寧に取ってもらえると嬉しかったです。</t>
  </si>
  <si>
    <t>24238508@edu.cc.saga-u.ac.jp</t>
  </si>
  <si>
    <t>プログラミングは人間が明示的にルールや手順を記述し、入力 → ルール（コード） → 出力の手順になる。対して機械学習は明示的なルールを記述せず、データからパターンを学習する。入力データと正解（教師ありの場合）を使ってモデルを構築するため、入力 → モデル（学習済み） → 出力の手順になる。
ゆえにプログラミングは高い精度と再現性が必要な場面に強く、機械学習はデータが大量にある場合に精度を高められるという強みを持つ。</t>
  </si>
  <si>
    <t>ソフトウェアでの実装手段としてプログラミングと機械学習があります。その違いについて詳細に説明してください。例えばなぜ機械学習という手法が出てきたのか、または実現できることの違い、など。</t>
  </si>
  <si>
    <t>自動運転の現場では、コンピュータビジョン、センサーフュージョン、強化学習といった機械学習が用いられている。使い方としては、カメラ・LiDARデータで周囲環境を認識、経路計画や運転判断などに利用されている。
また、これらを登用した理由としては、自動運転による安全性と効率性の向上が目的である。</t>
  </si>
  <si>
    <t>実世界で機械学習の利用状況を調べたい。どんな場面で、どんな技術がどんな使われ方をしているのか、その理由も含めて詳細に説明してください。</t>
  </si>
  <si>
    <t>まずは前提を書いてから、質問事項を入力するよう意識した。また、自分の知らない内容が出てきたときはそれが事実か、調べて確認した。</t>
  </si>
  <si>
    <t>何か作業をする場合は作業を授業の最後に回して、終わった人から帰れるようにしてほしい。
また、環境構築の段階で言葉が難しくほとんど理解できなかったのでもっとわかりやすい説明に変更してほしい。</t>
  </si>
  <si>
    <t>24238347@edu.cc.saga-u.ac.jp</t>
  </si>
  <si>
    <t>プログラミングは開発者がアルゴリズムやルールを設計、記述を行い、コンピューターが処理を行う。手書きやルールが明確に定義される計算処理、数値計算などの正解が一つに決まる問題に強い。正確な仕様が分かっていれば実装可能で入力に対する出力が基本的に同じ。
機械学習はデータを与えて、データをもとに規則性やモデルを自動的に学習する。人間の直感や経験が必要な画像認識、音声認識など膨大なデータを処理する問題に強い。データの確保やモデルの調整が成否を大きく左右し、入力に対する出力は確率的。</t>
  </si>
  <si>
    <t>プログラミング　機械学習　違い</t>
  </si>
  <si>
    <t>製造業において、工場設備や加工機械、モーターなどの機器が突発的に故障することで、業務が停止したり不良品が出たりするリスクがある。また、加工異常や不良ワークの発生率の高い場面。センサーや信号処理などの機械学習を用いて、異常を検知させている。そのため稼働ロスの削減や不良品の発生率が低下する。複雑な故障などは人間にはわかりずらいことや生産ラインを止めないように事前対応するため、機械学習を用いている。</t>
  </si>
  <si>
    <t>実世界での機械学習の利用状況</t>
  </si>
  <si>
    <t>情報で学んだことを使うことが多かったので特になかったです。</t>
  </si>
  <si>
    <t>24238316@edu.cc.saga-u.ac.jp</t>
  </si>
  <si>
    <t>プログラミングは、人間がルールや手順を明示的に記述することで、コンピュータに特定の処理を実行させる方法です。たとえば、会計ソフトや予約管理システム、交通信号の制御など、動作が決まっていて論理的に処理できるものは、プログラミングによって正確に実現できます。これらは、条件分岐や繰り返し処理などを用いて、安定した結果を得ることが可能です。
一方、機械学習は、大量のデータをもとにコンピュータが自らルールを学習し、未知のデータに対して予測や分類を行う技術です。画像認識、音声認識、自然言語処理、レコメンドシステムなど、人間でも明確なルールを定義しづらい問題に対して、機械学習は高い柔軟性と精度を発揮します。たとえば、顔写真から本人を識別したり、ユーザーの好みに合った商品を提案したりすることは、従来のプログラミングでは困難でしたが、機械学習なら実現可能です。
機械学習という手法が登場・発展してきた背景には、画像認識や音声認識、自然言語処理など、人間でも説明が難しい判断基準を必要とする分野では、従来のプログラミングでは限界による複雑な問題への対応がひつようであったため。また、インターネットやマートフォンの普及により、膨大なデータが日々生成されるようになり、それを活用する必要が出てきたため。さらに、GPUやクラウド技術の発展により、複雑なモデルの学習が現実的に可能になり、計算資源の進化が影響している。</t>
  </si>
  <si>
    <t>プログラミングと機械学習の違いについて
現実にできることの違いについて</t>
  </si>
  <si>
    <t>実世界における機械学習（AI）の活用事例として、ユニクロ（ファーストリテイリング）による需要予測と在庫管理の最適化が挙げられます。
ユニクロでは、店舗ごとの販売履歴、天候、地域特性、トレンドなどの膨大なデータをもとに、AIを活用して「どの商品が、どの店舗で、どれだけ売れるか」を予測しています。この予測結果に基づいて、各店舗への商品供給量を調整し、売れ残りや品切れを防ぐことで、在庫コストの削減と販売機会の最大化を図っています。
この取り組みには、Googleと共同開発したAIプラットフォームが使われており、機械学習モデルによって時系列データや購買傾向を分析し、精度の高い予測を実現しています。
なぜ機械学習が選ばれたのかというと、従来のプログラミングでは「この条件ならこの商品が売れる」といった明確なルールを定義することが困難だったからです。消費者の購買行動は、気候や流行、地域性など多くの要因に左右されるため、ルールベースでは対応しきれません。機械学習は、こうした複雑な要因を含むデータからパターンを自動で学習し、柔軟かつ高精度な予測を可能にします。</t>
  </si>
  <si>
    <t xml:space="preserve">実世界 (社会や企業・組織など) での機械学習(AI)の利用状況1つ
</t>
  </si>
  <si>
    <t>何度か同じような質問をし、大事だなと思った点について再度質問をしたうえで、文章にまとめてもらい、詳しい回答制作につなげている。</t>
  </si>
  <si>
    <t>ブフィールドでの活動を通して、専門的な内容に触れる中で理解が難しい点も多くありましたが、TAの方に直接質問できる環境があったことで、疑問をすぐに解消でき、学びを深めることができました。特に、自分では気づけなかった視点や考え方を教えていただけたことは非常に有意義でした。
一方で、チーム活動においては、予定していたメンバーが来られず、一人で作業を進めなければならない場面がありました。役割分担ができない中で、資料作成や発表準備をすべて一人で行うのは負担が大きく、時間的にも精神的にも大変でした。チームで協力することの重要性を改めて実感するとともに、臨機応変に対応する力の必要性も感じました。</t>
  </si>
  <si>
    <t>24238314@edu.cc.saga-u.ac.jp</t>
  </si>
  <si>
    <t>プログラミングは開発者が全てルールや手順など、すべてのロジックを設計・記述するが機械学習は開発者はモデル設計とデータ収集を行い、それをもとにしてコンピューターがパターンや規則性を学習し、判断基準を導き出す違いがある。またプログラミングにおいては入力した結果に対して出力される結果が条件が同じならば必ず同じであるが、機械学習は学習したデータに基づいて推論するため出力される結果が同じとは限らない。手順やルールが明確なタスクに適しているのがプログラミングであり（会計処理、データベース操作、ウェブサイトの表示など）、ルールが曖昧で不明確なもの（画像認識、音声認識、自然言語処理、将来の予測分析など）が機械学習に適している。</t>
  </si>
  <si>
    <t xml:space="preserve">ソフトウェアでの実装手段として、プログラミングと機械学習の違いについて根拠を含めて複数述べてください。またそれらについて解説しているWebの記事も複数挙げてください。
</t>
  </si>
  <si>
    <t>トヨタ自動車において従来の2交代による目視検査は人的コストが高く、検査精度のばらつきも課題だったので作業者がスマホやタブレットで撮影した画像をAIに学習させ画像認識を用いて不良品検査を行ったり、工場内のカメラ映像をAIが解析し異常振動や温度変化などを検知し設備異常の予兆検知を行っている。</t>
  </si>
  <si>
    <t>社会や企業などで機械学習がどのような場面どのような技術、使われた理由を具体例を含めて教えてください。またそれに関する記事も挙げてください</t>
  </si>
  <si>
    <t>記事も同時に挙げさせたこと</t>
  </si>
  <si>
    <t>演習中において上手くいっているのか、動いていないのかわからなかった。</t>
  </si>
  <si>
    <t>19238908@edu.cc.saga-u.ac.jp</t>
  </si>
  <si>
    <t>プログラミングはルールが明確で論理的な処理等に適している。逆に機械学習は人間が明確なルールを指定するのが難しい複雑な処理に適している。たとえば画像、音声、テキストといった非構造化データの処理、膨大なデータから相関関係を発見することに適している。
機械学習が生まれた背景としてはプログラミングでは解決できない「ルールが曖昧で複雑な問題」が存在するからである。画像認識の場合プログラミングで「猫」を定義するルールを書き出すのは不可能なため、データから自動的にルールを見つけ出すという新しい分野として機械学習が発展した。</t>
  </si>
  <si>
    <t>ソフトウェアでの実装手段として、プログラミングと機械学習の違いについてできるだけ詳細に述べてください。また実現できることの違いと機械学習という手法が生まれた理由を教えてください。</t>
  </si>
  <si>
    <t>推薦システム
ショッピングサイトや動画配信サービス等でユーザの好みに合わせてコンテンツを推薦する。
なぜ使われるか
利便性を高め、ユーザー利用時間を増やし売上につながるから。
どのような技術が使われているか。
協調フィルタリング
ユーザの行動履歴に基づいて似たような嗜好の他のユーザの好んだものを推薦する。
コンテンツベースフィルタリング
ユーザが過去に示したアイテムの特徴を分析しそれに似た新しいアイテムを推薦する。</t>
  </si>
  <si>
    <t>実際に機械学習が使われている場面を示してください。なぜ機械学習が用いられたのか、また、どんな技術がどのように使われているかを具体的に教えてさい。</t>
  </si>
  <si>
    <t>指示を一つ一つ区切ってセンテンスごとに回答してもらうように工夫した</t>
  </si>
  <si>
    <t>環境構築が大変だった。エラーの対処が難しかった</t>
  </si>
  <si>
    <t>21238196@edu.cc.saga-u.ac.jp</t>
  </si>
  <si>
    <t xml:space="preserve">違いとして3つ挙げます。まず実施方法、プログラミングは人間がルールや手順を明示的に記述するのに対し、機械学習はコンピューターがデータからパターンを学習します。次に入力、プログラミングはルール+データ→結果という手順に対し、機械学習はデータ + 結果 → ルール（モデル)の手順である。適した分野として、プログラミングは明確な手順や条件がある処理の場合、機械学習はパターン認識・予測・分類などが挙げられる。
機械学習が登場して理由として、ルールの定義が困難な問題が増えたことやデータが爆発的に増えた、環境が変化する問題に対応する必要がある、人間の判断を模倣するニーズが高まったなどの理由が挙げられる。
</t>
  </si>
  <si>
    <t>プログラミングと機械学習の違いについて教えて
機械学習が登場した理由を教えて</t>
  </si>
  <si>
    <t xml:space="preserve">金融業界において、不正検出(クレジットカードの利用パターンから不正利用をリアルタイムで検知する)。不正検出に使われる主な技術として、教師あり学習：過去の取引データに「不正かどうか」のラベルを付けて学習させる、教師なし学習：ラベルなしのデータから「異常なパターン」を検出する、異常検知：通常の取引パターンから大きく外れたものを「異常」として検出、強化学習：環境とのやり取りを通じて最適な検出戦略を学習、などがある。これらの技術の利用方法として、リアルタイム監視システム：クレジットカードや銀行口座の取引をリアルタイムで監視し、機械学習モデルが「通常の取引パターン」と「異常な取引」を比較し、疑わしい動きを即座に検出する。スコアリングとアラート通知：各取引に対して「不正の可能性スコア」を算出し、スコアが高い取引は自動的にフラグが立ち、担当者に通知を行う。継続的なモデル学習：詐欺の手口は日々進化するためモデルも定期的に再学習、新たな不正事例を取り込むことで、検出精度を向上。このように、継続的な利用がなされている。
</t>
  </si>
  <si>
    <t>社会や企業などで機械学習(AI)はどのように使われているか、いくつか教えて
金融業界の不正検出について、これはどのような技術ですか
これらの技術はどのように使われてるの</t>
  </si>
  <si>
    <t>初めは大まかな質問をして、それによって得られた回答の中で掘り下げたいのもを深堀するために細かな質問をする、ということを意識して作成に当たりました。</t>
  </si>
  <si>
    <t>エラーの際の対処が難しかったです。</t>
  </si>
  <si>
    <t>24238140@edu.cc.saga-u.ac.jp</t>
  </si>
  <si>
    <t xml:space="preserve">プログラミングは人間がルールや手順を明示的に記述するため結果が安定しやすくまた、バグや予期しない動作、結果が出力されたときデバッグがしやすい。機械学習とは違い、大量のモデルを必要としないため軽量の処理が可能であり、始めに述べたように人間がルールや手順を決めるため細かい制御が可能となる。ただし、ルールが曖昧な画像認識などの判別は難しい。柔軟性が低いため目的によってコードの変更が必要となる。
それに対して機械学習は画像、音声、映像の中身など人間による定義が難しい場合に適している。大量のデータが必要となるのはデメリットの一つだが、柔軟性はその分高い。
</t>
  </si>
  <si>
    <t>ソフトウェアでの実装手段として、プログラミングと機械学習の違い、メリットとデメリットをそれぞれ述べて</t>
  </si>
  <si>
    <t>NTTドコモが展開する「AIタクシー」は、AIを使い、タクシー需要予測の情報を配信するサービスである。従来、どのエリアに行けば効率よく乗客を乗せられるかは運転手の経験や勘によるものであった。だがこのサービスを使うことで新人であっても効率よく人を乗せるやすくした。携帯電話ネットワークの仕組みを利用して作成される人口統計データと、タクシーの運行データなどを活用し、自動でタクシーの需要予測を実施することで担当エリアまで空車で戻ることが多かった現状を改善することができた。</t>
  </si>
  <si>
    <t>演習用に学生与えた時間が長かったので短縮して授業のテンポを上げるのも良いと感じた</t>
  </si>
  <si>
    <t>24238180@edu.cc.saga-u.ac.jp</t>
  </si>
  <si>
    <t>プログラミングは人間がすべてのルールを作り、税金の計算や並び替えなどのルールがはっきりとしているものには強い。一方、手書き文字認識や、顔認証システムなどのルールが曖昧、または多すぎるものにはプログラミングの限界が生じたため、データからルールを作らせる機械学習が登場した。</t>
  </si>
  <si>
    <t>あなたはそうとウェアに関するエンジニアです。
ソフトウェアでの実装手段として、プログラミングと機械学習の違いについての述べてください。
この問いに対して私は、プログラミングは入力した内容(input)から何かしら目的に沿った出力(output)をするための流れのことを指し、機械学習は、入力(inout)とその出力？結果？(output)を与えることでそれに沿ったプログラミングを作るものだと考えています。
あなたは、この問いに対してどのように考えますか？私の回答を交えて高校生にもわかるくらいに教えてください。
なぜ機械学習という手法が出てきたのか? 実現できる事の違いなども教えてください</t>
  </si>
  <si>
    <t>実世界での機械学習の利用状況で私がニュースで以前見た”がん細胞の有無を初期段階から判別できるもの”を上げさせていただきます。
がん細胞の有無は規則性やルールがなく人間の目で確認するしかなかったので、機械学習を使ったのだと思います。</t>
  </si>
  <si>
    <t>環境作成が一人ではかなり難しかったので、”作成動画を貼る”などしていただけたらもっと簡単になると思いました。</t>
  </si>
  <si>
    <t>24238139@edu.cc.saga-u.ac.jp</t>
  </si>
  <si>
    <t>アプローチの違い
　・プログラミング
　　人間がルールや手順を明確的に設計し、コンピュータに実行させる
　・機械学習
　　明確なルールを人が書かず、データからコンピュータがパターンや法則を学習する。
入力と出力の関係
　・プログラミング
　　入力＋ルール（人が書いたプログラム）➡出力
　　出力は常にルール通りに決まる
　・機械学習
　　入力＋データ➡学習モデル（ルールを自動生成）
　　出力は確率的で、誤差や予測の揺らぎを含むことがある
適用領域
　・プログラミング
　　正確な手順が定義できる問題（計算、業務処理方法、自動化など）
　・機械学習
　　明確なルールを書きにくい問題（画像認識、音声認識、自然言語処理、推薦システムなど）
まとめ
　プログラミングは「人がルールを与える」アプローチ、機械学習は「データからコンピュータがルールを見つける」アプローチ</t>
  </si>
  <si>
    <t>プログラミングと機械学習の違いについて述べてください</t>
  </si>
  <si>
    <t>現代社会では、自動運転車の開発や実用化が進んでおり、実験走行や一部の地域での実用運航が始まっている。
使われている技術
　・画像認識（ディープラーニング）
　　車載カメラで撮影した映像を深層学習モデル（CNNなど）が解析し、信号機、歩行者、ほかの　　車、標識などを識別する
　・センサー融合
　　LIDARやレーダー、カメラなど複数のセンサーのデータを統合し、周囲の環境を正確に把握する
　・強化学習や経路アルゴリズム
　　安全かつ効率的に目的地へ到達するために、車線変更やブレーキ、アクセルの操作を最適化する
つまり、自動運転車では「機械学習AI」が人間の運転判断を模倣・代替する形で利用されており、社会の移動や物流の分野に大きな影響を与え始めています
●なぜ機械学習が使われるのか
１．ルールを明示的に書けない問題が多いから
　・例：画像から「犬か猫か」を判断する
　　　➡「耳の形」「毛の模様」など無数の特徴を人がルール化するのはほぼ不可能
　　　➡機械学習なら、データを大量に与えて自動で特徴を抽出・分類できる
２．大量のデータを活かせるから
　・現代社会ではSNS、センサー、Webから膨大なデータが毎日生成されている
　・機械学習ではこうしたビッグデータを利用して、予測や最適化に役立てられている
３．環境変化に適応できるから
　・従来のプログラムはルールを変えないと新しい状況に対応できない
　・機械学習は新しいデータで再学習することで、環境の変化や未知のケースにも対応可能
４．精度や効率が高いから
　・画像認識、音声認識、翻訳などで従来手法よりも機械学習を使った方が正確で高速
　・企業はコスト削減やサービス向上のために積極的に導入している</t>
  </si>
  <si>
    <t>・現代社会における機械学習AIの利用状況をひとつ挙げてどんな場面でどんな技術が使われているのか教えて
・なぜ機械学習が使われるの？</t>
  </si>
  <si>
    <t>質問が複雑で長文なので二つの文章に分けて質問した</t>
  </si>
  <si>
    <t>環境構築説明を操作ごとの写真が用意されていればよりスムーズに進むと思います</t>
  </si>
  <si>
    <t>24238518@edu.cc.saga-u.ac.jp</t>
  </si>
  <si>
    <t>ソフトウェア開発において、目的を実現するための手段として昔からよく使われてきたのは、人間がルールを作ってそれを命令として書くプログラミングである。しかし最近では、データを使ってコンピュータが自分でルールを学ぶ機械学習が広まっている。本稿では、この二つの違いについて考えてみたい。
　まずプログラミングは、人間があらかじめ手順や計算方法を考えて、その通りに書き下す点が特徴である。例えば税金の計算や在庫管理などは、入力すれば答えが一意に決まるので、プログラミングで十分対応できる。プログラムは一度作れば何度でも正確に同じことができるし、予測しやすいので社会のシステムを支えるのに向いていると思う。ただし、すべての問題に使えるわけではなくて、例えば猫の画像を見て猫だと判断するのは、人間なら簡単だがルールを言葉で書き下すのは難しい。
　そこで機械学習が役立つ。機械学習は人間がルールを書くのではなく、大量のデータを使ってコンピュータがパターンを見つける。画像認識や音声認識、翻訳などに使われていて、これまでプログラミングでは難しかった領域でも性能を発揮する。ただし学習に使うデータに偏りがあれば結果も偏るし、100％正解するわけではないという問題もある。さらに、なぜその結果になったのかが分かりにくいこともある。
　ではなぜ機械学習が広まったのかというと、理由は二つ考えられる。ひとつは、プログラミングでは対応しにくい複雑な問題が増えてきたこと。もうひとつは、コンピュータの性能が上がったり、データがたくさん集まったりしたからである。この二つがそろったことで、機械学習は今の時代に必要な手法になった。
　結論として、プログラミングと機械学習は対立するものではなく、両方を組み合わせることが大事だと思う。例えば自動運転では、ルートを計算するのはプログラミングで、信号や歩行者を見分けるのは機械学習が得意だ。このように、今後のソフトウェア開発ではどちらも理解して使い分けることが重要だと考える。</t>
  </si>
  <si>
    <t>機械学習はさまざまな分野で活用されているが、特に金融業界における「不正取引の検知」に広く利用されている。クレジットカード会社や銀行は、日々膨大な数の取引データを扱っている。その中には、盗難カードや不正アクセスによる取引が紛れ込む可能性がある。こうした不正を人間の監視だけで見抜くのは困難であり、従来はルールベースのプログラムを用いて「一定金額以上の取引」「海外からのアクセス」などの条件で判定していた。
　しかし、不正利用の手口は年々巧妙化しており、単純なルールだけでは見抜けない場合が増えてきた。ここで機械学習の技術が導入された。具体的には、過去の正常取引と不正取引のデータを学習させ、取引ごとの「特徴量」（時間帯、金額、場所、購入商品の種類など）から不正の可能性を判定するモデルが構築されている。これにより、ルールで表せない複雑なパターンを検知できるようになった。
　例えば、普段は日本国内で数千円の買い物をしている利用者が、突然海外から高額な取引を行った場合、モデルは「通常の行動パターンから外れている」と判断し、不正の可能性を通知する。このように、異常検知の仕組みとして機械学習が機能している。
　では、なぜ機械学習を使うのかという点については二つの理由がある。第一に、人間やルールベースのシステムでは捉えきれない「複雑な不正の傾向」をデータから自動的に学習できる点である。第二に、膨大な取引データをリアルタイムで処理し、高速に異常を検知できる点である。これにより、被害を最小限に抑えることが可能になる。
　このように金融業界における不正取引検知は、機械学習が実社会で有効に活用されている代表例の一つであると言える。</t>
  </si>
  <si>
    <t>24238461@edu.cc.saga-u.ac.jp</t>
  </si>
  <si>
    <t>プログラミングはルールベースであり、特ということや、徴として人間がルールを明示的に記述することや、「もしAならBする」といった条件分岐や手続きをコードで書くこと、決まった入力に対して、決まった出力を返すなどということがある。それにより、計算やファイルの操作などのロジックが明確な処理や、請求書の計算やゲームのルールの作成などのルールが固定されている問題を実行できる。機械学習はデータベースであり、特徴として人間がルールを直接書かず、データから学習させることや、入力と出力のペアを大量に与えて、パターンを自動で抽出すること、モデルが経験（データ）から予測や判断を行うことがあげられる。それにより、画像認識や音声認識などの明確なルールが書けない問題や、顔認識や異常検知、翻訳などの曖昧さや例外が多い問題が実行できる。機械学習という手法が出てきた理由としてまず、ルールが複雑すぎる問題があげられる。例えば「猫の画像を認識する」には、猫の形・色・背景など無数のパターンがあることや、人間がすべてのルールを書くのは非現実的という理由がある。他に、データが豊富になったということ。GPUやクラウドの進化により、大量のデータを高速に処理できるようになったことや、機械学習モデルのトレーニングが現実的な時間で可能になったことによる計算資源の進化がある。これらにより、ルールが明確でデータが少なく、処理が論理的・定型的なものは、プログラミングが向いており、パターンが複雑・曖昧であったり、継続的に改善したいものは、機械学習が向いている。</t>
  </si>
  <si>
    <t>AIによる乳がん・肺がん・大腸がんの診断支援で病院やがんセンターでの画像診断がある。おもに、X線、CT、MRI、病理画像などや、スクリーニング検査（乳がん、肺がん、大腸がんなど）の精度向上、個別化医療のためのゲノム解析支援がある。これらには、ディープラーニングはCNN（畳み込みニューラルネットワーク）を用いて、画像からがんの兆候を検出したり、乳がんのマンモグラム解析では、Google HealthのAIが専門医を上回る精度を達成したりしている。デジタル病理は、顕微鏡画像をデジタル化し、AIが細胞構造を解析したり、良性・悪性の判別やがんのサブタイプ分類を支援などをしている。 ゲノム・分子診断は、Iが次世代シーケンシング（NGS）データを解析し、がん関連の遺伝子変異を特定したり、治療薬の選定や臨床試験への適合判断に活用している。自然言語処理（NLP）は、電子カルテや診療記録からがんリスクのある患者を抽出や、症状、家族歴、検査結果などを統合してスクリーニング対象を選定している。AIを使う理由は、微細な異常を人間よりも高精度で検出可能な早期発見の精度向上、医師間のばらつきを減らし、標準化された診断を提供する診断の一貫性、数秒〜数分で大量の画像を解析可能な診断時間の短縮、ゲノム・画像・臨床データを統合し、最適な治療法を提案する個別化医療の実現、特に地方や発展途上国での診断支援に貢献している医師不足の補完などの理由がある。成果と実績として、乳がんはAIがマンモグラムの誤診率を大幅に低下した。肺がんは、低線量CT画像から早期の肺結節を検出した。大腸がんは、AIによるポリープ検出で腺腫検出率が向上した。臨床試験はAIが患者選定を自動化し、試験の効率と成功率を向上した。今後の展望と課題として、解釈性としてAIの判断根拠を医師が理解できるようにすることや、データの偏りとして多様な人種・性別・地域に対応するモデル構築する、法規制と倫理は、医療AIの使用に関するガイドライン整備を整える点が挙げられる。このことからわかるように、AIはがん診断の精度・速度・個別化を大きく向上させる技術として、すでに世界中の医療機関で導入が進んでいる。</t>
  </si>
  <si>
    <t>24238507@edu.cc.saga-u.ac.jp</t>
  </si>
  <si>
    <t>プログラミングとは、人間がコンピュータに命令を与えることです。そして、機械学習とはコンピュータが自分でルールを学ぶことです。この二つの決定的な違いとして、人間がどう動かすかを一から考える必要があることに対し、機械学習は考えさせる材料だけを提示するだけでコンピュータが考えてくれるところだ。</t>
  </si>
  <si>
    <t>プログラミングと機械学習の違いについて教えてください。AIについて学びを深めたい大学生にわかりやすく教えてください。</t>
  </si>
  <si>
    <t>ビジネスや社会ではAI通訳・翻訳が国際会議や観光を中心に利用されている。
機械学習（AI）が使われる理由として、スマホ上で利用でき手軽に使用できる。リアルタイム処理が可能になったことで、会話をスムーズに行うことが可能になったことが挙げられる。</t>
  </si>
  <si>
    <t>社会で機械学習はどのように利用されているか。また、機械学習が使われ始めた理由は？考えられる詳細な理由と、具体例をアップしてください。</t>
  </si>
  <si>
    <t>簡潔かつ行ってほしいことを入力した。</t>
  </si>
  <si>
    <t>環境構築のテキストの内容を理解することが難しかった。実際に行っている映像を公開するとわかりやすくなるのではないかと感じた。</t>
  </si>
  <si>
    <t>23238912@edu.cc.saga-u.ac.jp</t>
  </si>
  <si>
    <t xml:space="preserve">従来のソフトウェア開発は、人間が問題を分析し、その手順や条件を「アルゴリズム」として明示的に記述するプログラミングによって実現されてきた。例えば「2+3=5」という計算や、「もし天気が雨なら傘を持つ」といった条件分岐は、人間がルールを定義することで実行可能となる。ここではアルゴリズムは固定され、論理的に説明可能である点が特徴である。
　一方、機械学習は「人がルールを書く」代わりに「大量のデータからルールを自動的に学習させる」手法である。猫の写真を判定する例では、人間が「耳の形」や「毛並み」のルールを細かく定義するのは困難であるが、機械学習は多くの猫と非猫の画像を学習し、データに基づくモデルを生成する。アルゴリズムはデータに依存し、時間とともに更新されるため、未知の事象にも対応可能となる。
　この違いの背景には、現実世界の複雑さがある。定型的な業務はプログラミングで十分対応可能であるが、画像認識や音声認識など、人間にとって直感的には簡単でもルール化が難しい問題においては、機械学習が有効である考える。従来型プログラミングは「演繹的」にルールを組み立てるが、機械学習は「帰納的」に多くの事例から一般化を行う点で根本的に異なる。
　なぜ機械学習という手法が出てきたのか。その理由は、全ての可能性を人がプログラム化するのが困難であるためである。例えば、鉄道の線路設備異常検知の事例では、従来は人間が膨大な写真を目視で確認していたが、AIを用いることで異常装置を自動で判定できるようになった。このように機械学習は、膨大かつ複雑なデータ処理を自動化し、社会における新たな課題解決の手段を提供している。
　総じて、プログラミングは「人間がルールを記述する手法」、機械学習は「データからルールを抽出する手法」と言える。それぞれの特徴を理解し、適切に使い分けることが、現代のソフトウェア開発において極めて重要であると考える
</t>
  </si>
  <si>
    <t xml:space="preserve">＃指示文 
あなたは、大企業で働く天才的なプログラマです。 ソフトウエアでの実装手段として機械学習とプログラミングの違いについて教えてください。レポート作成のため，分かりやすく丁寧な600字の文章でまとめてください。 
＃条件 
・ 文章形式で600字 
・論文口調で 
・引用元を必ず記載すること 
・明確に比較すること
 ＃補足情報 
・ 相手はプログラム初心者 
・例：実現できる事の違い 
・例：なぜ機械学習という手法が出てきたのか? 
＃出力文
</t>
  </si>
  <si>
    <t xml:space="preserve">現代社会において、機械学習（AI）の応用は交通インフラ分野においても重要な役割を果たしている。その典型的な事例の一つが、東京メトロにおける線路設備の異常検知システムである。このシステムでは、電車が走行中に撮影した線路画像を入力データとし、AI を用いて締結装置やレールの異常を自動判定する仕組みが導入されている。従来は人間の作業員が膨大な画像を一枚ずつ目視確認していたが、これは時間的にも労力的にも大きな負担であった。
この課題に対して、機械学習の中でも「画像分類」と「物体検出」の技術が活用された。具体的には、まず線路画像から締結装置を切り出し、その後に正常か異常かを分類するモデルを構築した。さらに、Azure の Custom Vision などのクラウドサービスを用いることで、ノンコーディングでのモデル作成が可能となり、現場技術者とプロ開発者が協働しやすい環境が整備された。このような技術導入により、作業効率の大幅な向上と人為的ミスの削減が実現された。
なぜ機械学習を採用したのかという点については、未知の異常パターンや人間では見落としやすい微細な変化を検出する能力が求められたためである。従来型のプログラミング手法では、すべての異常条件を明示的に記述することは困難であるが、機械学習は大量のデータから一般化した規則を獲得できるため、現場のニーズに適合している。以上のように、東京メトロの事例は、機械学習が社会インフラの安全性と効率性を両立させる実践的手段として有効であると考える。
</t>
  </si>
  <si>
    <t xml:space="preserve">＃指示文 
あなたは、プロフェッショナルなプログラマです。 実世界の機械学習(AI)の利用状況を１つ調査して教えてください。どんな場面で、どんな技術が、どんな使われ方をしているのか?なぜ、機械学習を使ったのか?レポート作成のため，分かりやすく丁寧な500字の文章にしてください。 
＃条件 
・ 文章形式で500字 
・論文口調で 
・引用元を必ず記載すること 
＃補足情報 
・ 相手はプログラム初心者
 ＃出力文
</t>
  </si>
  <si>
    <t>今回GPT-5を使用し、promptを入れて作成をおこなった。深津式プロンプトを採用し、その設計過程において複数の工夫を施した。深津式プロンプトは「指示文・条件・補足情報・出力文」という明確な構造を有しており、曖昧な表現を極力排除することでAIの応答精度を向上させる枠組みである。特に工夫した点は三つある。第一に、指示文を簡潔かつ具体的に決まった形し、AIに対して過不足のないタスク指示を提示することである。第二に、条件の部分においては文字数や文体などの形式的要件を明示することで、生成結果の一貫性と均質性を確保した。第三に、補足情報を付与することにより、読者の知識水準や目的に適合した文脈をAIに与え、応答の妥当性を強化した。これらの工夫は、単にコピペで正確な出力を得るためだけでなく、初心者にとって理解しやすい記述を生成するうえで不可欠であると考える。結果として、深津式プロンプトの枠組みを活用することで、論点の整理を効果的に実現することができた。</t>
  </si>
  <si>
    <t>環境構築が大変だった。</t>
  </si>
  <si>
    <t>24238384@edu.cc.saga-u.ac.jp</t>
  </si>
  <si>
    <t xml:space="preserve">プログラミングは開発者が「ルール（アルゴリズム）」を明示的に記述して、入力を処理して出力を得るため、手続きや条件をはっきり書ける問題に向く。機械学習はルールを人間が直接書くのではなく、データからパターンや規則を自動的に学習させるため、「どういう条件ならスパムか」を人間が明示的にルール化しにくい問題に強い。実現できることの違いは、プログラミングは正確な手続きができる問題や、信頼性や再現性が重視される領域に向いている。機械学習は正確なルールを人間が書けないが、データにもとづいて判断をしたいパターン認識や予測に強い。このように、プログラミングは人間がルールを設計 → コンピュータがその通りに実行し、機械学習はデータを与えて、コンピュータ自身がルールを発見する。機械学習が出てきたのは、人間が明示的にルールを書けないほど複雑な問題に挑むためであり、実装手段は使い分けが必要で、両者は競合というより補完的な関係にある。
</t>
  </si>
  <si>
    <t xml:space="preserve">ソフトウェアでの実装手段として、プログラミングと機械学習の違いについての述べてください。例えば、なぜ機械学習という手法が出てきたのか? 例えば、実現できる事の違い、などの観点から述べてください。
</t>
  </si>
  <si>
    <t>実世界での機械学習として利用されているものには、NetflixやYoutubeのレコメンドシステムがある。これには協調フィルタリングやディープラーニングによる埋め込み表現の技術がつかわれている。ユーザーの視聴履歴や似たユーザーの行動からおすすめを提示する機能で、膨大な動画やユーザー数に対して、人間がルールー設計することが難しいため、データを嗜好から自動抽出する必要があり、機械学習が適任である。</t>
  </si>
  <si>
    <t>実世界での機械学習の利用方法を教えてください。どんな場面で、どんな技術が、どんな使われ方をしているのか? なぜ、機械学習を使ったのか?などに着目してください</t>
  </si>
  <si>
    <t>例えをそのままプロンプトに組み入れることにより、精度の良い回答を生成させたこと。</t>
  </si>
  <si>
    <t>24238371@edu.cc.saga-u.ac.jp</t>
  </si>
  <si>
    <t>人が作るプログラミングでは明らかなルールに従って動くように設計しているため、複雑なパターンには対応しきれないのに対し、機械学習がデータから自動抽出するので複雑なパターン認識や予測が得意で、AI生成などがその応用例である。</t>
  </si>
  <si>
    <t>ソフトウェアでの実装手段として、プログラミングと機械学習の違いについての述べてください。例えば、なぜ機械学習という手法が出てきたのか? 例えば、実現できる事の違い、など。生成AIを使用した場合は、その結果としてのレポートはここになります。 これを百字程度で書いて</t>
  </si>
  <si>
    <t>機械学習は将来どのようになっていくと思いますか。
機械学習の最終目標は何なのでしょうか。</t>
  </si>
  <si>
    <t>小売業では来店予測などに機械学習を活用している。過去のデータから来客数を時間別に予測して、シフトや在庫管理を最適化。人の勘だけに頼らない効率化とコスト削減を可能にしている。</t>
  </si>
  <si>
    <t>実世界 (社会や企業・組織など) での機械学習(AI)の利用状況1つを調査。どんな場面で、どんな技術が、どんな使われ方をしているのか? なぜ、機械学習を使ったのか?
これについて百字程度で書いて</t>
  </si>
  <si>
    <t>演習の時間が長く今まで知らなかったことを多く体験することが出来たので来年も同じ内容で良いと思う。</t>
  </si>
  <si>
    <t>24238374@edu.cc.saga-u.ac.jp</t>
  </si>
  <si>
    <t>プログラミングと機械学習はどちらもソフトウェアでの実装手段であるが、そのアプローチや特徴には大きな違いがある。従来型のプログラミングは人がルールを明示的に記述するものであり、計算やデータ処理、業務ロジックなどの決まった処理に強く、入力、人が書いたルール、出力という流れである。一方、機械学習は大量のデータを与えコンピュータ自身にルールを学習させるため、明確に人間がルールを書きにくい問題に強く、入力、学習済みモデル、出力という流れである。自然言語処理や顔認証など条件が膨大すぎて人間がコードで網羅するのは不可能であるのと、インターネット普及で大量のデータが集まり、GPUの発達で計算も高速化されたことで機械に自動でルールを発見させる機械学習という手法が現実的になった。以上のことから、プログラミングは正解手順がわかっている問題の自動化に適しており、機械学習は認識、予測、パターン抽出など人間が正解手順を書けない問題の自動化に適していると言える。</t>
  </si>
  <si>
    <t>プログラミングと機械学習の特徴と違い</t>
  </si>
  <si>
    <t>近年、金融業界ではクレジットカードやオンライン決済での不正利用や詐欺被害が深刻な問題となっており、従来のシステムでは、新しい手口への対応が遅れたり、正規取引を誤って不正と判断するケースが多発した。そのため、機械学習を用いた不正利用検知が導入されている。具体的に、利用金額、場所などの取引データを入力して学習させ、リアルタイムで通常とは異なる取引を検知する仕組みである。過去の膨大なデータから不正利用に特徴的なパターンを自動で抽出できるため、新しい手口にも柔軟に対応できる。例えば、国内で少額の買い物をしているにもかかわらず、海外で突然高額な決済が行われた際、システムは即座に利用停止や本人確認を行う。これにより被害を未然に防いでいる。</t>
  </si>
  <si>
    <t>金融業界での機械学習の利用状況の説明</t>
  </si>
  <si>
    <t>具体的な例をあげるようにした</t>
  </si>
  <si>
    <t>24238095@edu.cc.saga-u.ac.jp</t>
  </si>
  <si>
    <t>プログラミングは指示をすべて人間が決めて、きっちり決まった作業を行う．そして指示通りなら失敗しにくい．
機械学習はコンプーターが自分で学び、パターンを見つけたり、予測したりする．最初は失敗もあるが、だんだん上手になる．</t>
  </si>
  <si>
    <t>Copilot</t>
  </si>
  <si>
    <t>ソフトウェアでの実装手段として、プログラミングと機械学習の違いについて子供でも分かるように説明してください</t>
  </si>
  <si>
    <t>メルカリでは、画像認識、価格予測、自己教師あり学習、LightGBMなどの技術が使われていて、商品や値段について教えてくれる．機械学習をつかうことにより、早く正確に、初心者でも簡単に出品できるようになった</t>
  </si>
  <si>
    <t>実世界 (社会や企業・組織など) での機械学習(AI)の利用状況1つを調査。どんな場面で、どんな技術が、どんな使われ方をしているのか? なぜ、機械学習を使ったのか?について子供でも分かるように説明してください</t>
  </si>
  <si>
    <t>演習の操作する人をもっと明確にする</t>
  </si>
  <si>
    <t>24238202@edu.cc.saga-u.ac.jp</t>
  </si>
  <si>
    <t>プログラミングは手順を最初から最後まで全部教える必要があり、機械学習はコンピューターに答えを見せルールを自分で見つけださせて学習させるやり方です。プログラミング
明確な指令がある場合に有用です。機械学習は人間がルールを定義しきれないことにおいて有用です。</t>
  </si>
  <si>
    <t>ソフトウェアでの実装手段として、プログラミングと機械学習の違いについて箇条書きで
語彙力を下げて</t>
  </si>
  <si>
    <t>顔認証について
セキュリティ認証や勤怠管理、決済、防犯などで利用されている。
まず人の顔なのかの検出を行い、そこから個人としての特徴を抽出し、照合して認証するかどうかを決める。また、防犯対策として写真などの偽物の顔でないかも判断する。
人の顔なのか、特徴とされる部位はどこなのか、比較して合っているのか、本物の顔なのかと何回もルールを確認しないといけないため。</t>
  </si>
  <si>
    <t>顔認証についてどんな場面で、どんな技術が、どんな使われ方をしているのか? なぜ、機械学習を使ったのか?考察して箇条書きに</t>
  </si>
  <si>
    <t>コピペにならないよう自分なりに解釈しながらまとめました</t>
  </si>
  <si>
    <t>事前準備やパソコンのスペック、個人の能力によって演習が早く終わる人も多く終わったあとに課題などをしていいのか迷ってしまったので追加の演習や課題の作成を進めてもいいと提案してもらえるといいなと思いました</t>
  </si>
  <si>
    <t>24238515@edu.cc.saga-u.ac.jp</t>
  </si>
  <si>
    <t xml:space="preserve">プログラミングとは、人間がルールや手順を明示的にコンピュータへ伝える手法である。ソフトウェアが実行すべき処理は、ソースコードとして明確に記述されなければならず、コンピュータはその指示に従って動作する。したがって、例外的な状況に対しても、事前に例外処理を明示的に定義しておく必要がある。たとえば、ファイルの読み込み処理において、ファイルが存在しない場合のエラー処理を記述しておくことで、プログラムは予期せぬ動作を引き起こす可能性がある。
一方で、機械学習は、画像や音声等，大量のデータを収集・学習し、それらのパターンを識別することで、判断や予測を行う手法である。明示的なルールを記述する代わりに、モデルがデータの傾向からルールを自動的に抽出する。これにより、過去に学習したデータには含まれていなかった例外的な画像や入力に対しても、既存の傾向をはじきだすことで推論を行い、柔軟な判断を下すことが可能となる。たとえば、猫の画像認識モデルは、学習時に見たことのない種類の猫の画像であっても、耳や目の形状、毛のパターンなどの外見から「猫らしさ」を判断し、正しく分類できる場合がある。大変な特徴として膨大なデータの画像が必要であるため，データ収集のプロセスが大変である．
</t>
  </si>
  <si>
    <t>香川県三豊市の「ゴミ出しの日AI」．今日は何のゴミの日であるかという質問にLINEで自然言語処理技術を用いたチャットボットが回答している．これにより．ゴミ出しの日を間違えるミスが減少し，自治体のコストも減少した．</t>
  </si>
  <si>
    <t>24238259@edu.cc.saga-u.ac.jp</t>
  </si>
  <si>
    <t>プログラミングは、人間がコンピューターに対して処理の順序を明確に指示するものであり、機械学習は大量のデータを機械に与え、機械が自動的に学習・分析することである。
具体例を挙げると、試験の合否判定において、プログラミングでは「60点以上なら合格、それ未満なら不合格」とルールを直接書く。一方で機械学習では、過去の受験者データ（点数、勉強時間、欠席日数など）と合否を学習させ、新しい受験者がどのくらいの確率で合格するかを予測する。
機械学習が登場した理由の一つとして、様々な角度から物事を判断する必要が増えてきたことが挙げられる。例えば、昔の受験は点数のみで判定されていたが、最近では面接や実績、学校での態度など多様な要素で合否が決まる場合もある。そのような場合、合格者の様々なデータを学習させて判断を行う仕組みが必要になる。</t>
  </si>
  <si>
    <t>私のアルバイト先では売り上げ、在庫管理の分析にAIを活用してる。まず、そのお店独自のアプリで購入商品、年齢、性別、場所、時期など様々なデータを取る。そのデータをAIに与え、売れ残りが出ないよう在庫予測をしてもらう。ここで、AIを活用する理由として、データの膨大さ、要素の見落としがあげられる。まず、全国のデータを分析するため、人が直接分析することは不可能に近い。さらに、気温や流行など影響する要素が多いため、見落としてしまうことがある。こうした理由で機械学習を使っている。</t>
  </si>
  <si>
    <t>なし</t>
  </si>
  <si>
    <t>教室がぎゅうぎゅうで身動きがとりずらいため、次回からはコースごとに日程調整するか古リモートがいいと考える</t>
  </si>
  <si>
    <t>24238500@edu.cc.saga-u.ac.jp</t>
  </si>
  <si>
    <t>1. 実装のアプローチの違い
従来型プログラミング
開発者がルールや手続きを明示的にコードとして記述する。入力に対して「どう処理するか」を人間が設計し、それをコンピュータに実行させる。
機械学習
開発者が明示的にルールを記述するのではなく、「データ」からモデルが規則性を学習する。入力に対して「どう答えるか」をデータから統計的に導き出す。
2. 入力と出力の関係
従来型プログラミング
入力（データ） + ルール（コードで定義） → 出力
→ ルールは人間が考え、正確に定義できる必要がある。
機械学習
入力（データ） + 出力（正解ラベル） → 学習 → ルール（モデル）
→ 正解例を大量に与えることで、コンピュータがルールを自動生成する。
3. 適用領域の違い
従来型プログラミングに向く領域
ルールが明確に定義できる処理
数学的に決まった計算（税金計算、アルゴリズム実装、暗号化など）
機械学習に向く領域
ルールを明示的に書き下すのが困難な処理
複雑なパターン認識や予測（顔認識、音声認識、需要予測など）
4. メンテナンスと運用の違い
従来型プログラミング
不具合が出れば、コードを修正して再実装する。
入力条件が変わらなければ、同じ結果が保証される（決定論的）。
機械学習
環境やデータ分布が変化すると、再学習が必要（データドリフト）。
結果は確率的であり、必ずしも同じ入力に同じ出力を返すとは限らない。
運用には継続的な監視とモデル更新が求められる。
こんなにもプログラミングと機械学習との間に違いがあることに驚きました。</t>
  </si>
  <si>
    <t>ソフトウェアでの実装手段として、プログラミングと機械学習の違いは？</t>
  </si>
  <si>
    <t>ありません</t>
  </si>
  <si>
    <t>メルカリ「AI出品サポート」について
どんな場面で使われているか？
**C2Cマーケットプレイス（個人間取引）**において、ユーザーが商品を出品する場面。
出品時の「商品情報の入力」「説明文の作成」「価格設定」などが面倒で、出品をためらうユーザーが多かった。
どんな技術が使われているか？
生成AI（LLM：大規模言語モデル）：商品説明文やタイトルの自動生成。
画像認識AI：商品写真からカテゴリやブランドを推定。
価格推定モデル：過去の類似商品の価格履歴をもとに、適正価格を提案。
自己教師学習：ラベルなしの大量画像から特徴を抽出し、ブランド推定精度を向上。
エッジAI：スマホ端末上で高速推論を実現し、レスポンスを向上。
どんな使われ方をしているか？
ユーザーが商品写真を撮影または選択。
カテゴリを選ぶ。
AIが商品名・説明文・価格・状態などを自動生成。
ユーザーが確認・修正して出品完了。
なぜ、機械学習を使ったのか？
出品のハードルを下げる：手間のかかる入力作業を自動化し、初心者でも簡単に出品できるように。
出品数の増加：出品が簡単になれば、不要品を売る人が増え、プラットフォームの活性化につながる。
精度と柔軟性の両立：従来のルールベースでは対応できない多様な商品や表現に、AIなら対応可能。
継続的な改善が可能：ユーザーの行動データを学習に活かし、モデルを進化させられる。
メルカリのAI出品サポートで機械学習がどのように使われ、どのように役立っているのか知ることができた。</t>
  </si>
  <si>
    <t>実世界 (社会や企業・組織など) での機械学習(AI)の利用状況の例を一つ。それについて詳しく</t>
  </si>
  <si>
    <t>事前準備の内容が複雑で一人ですべて理解し実行することができなかった。
演習の内容もあまり具体的な説明がなく理解するのに時間がかかった。</t>
  </si>
  <si>
    <t>24238291@edu.cc.saga-u.ac.jp</t>
  </si>
  <si>
    <t>エラーが発生した場合、プログラミングでは再現が可能でデバッガなどのツールを使って原因と対策を考えることが容易である。対し機械学習では、モデルの過学習、データのバイアス、ラベル不整合、欠損値などが原因で、エラー分析はデータ側とモデル側の双方を調べる必要がある。また、プログラミングは動作が追いやすく、誰が・どのロジックで動かしたかが明確なのに対し、深層学習などは内部の重みや多数の演算で「なぜそう判断したか」が追いにくく、説明性が課題。</t>
  </si>
  <si>
    <t>課題 
• ソフトウェアでの実装手段として、プログラミングと機械学習の違い について
 • 実世界での機械学習(AI)の利用状況1つを調査 
それぞれの項目について候補などを20コ</t>
  </si>
  <si>
    <t>AIによる音声認識（siri,google assistantなど）は日常のさまざまな場面で利用されることがある。例えば質問応答を行いネット上の情報を収集してもらうことや、スマホの操作命令などである。また、身障害者や高齢者の操作サポートなども行える。
使われている技術として、ニューラルネットワークという人間の脳の神経細胞をまねた数理モデルを用いて、段階的に抽出された音声の「特徴（メル周波数、ケプストラム係数など）」が「どの単語に対応する音なのか」を判断している。
このように利用されている理由は、人間の発話は癖により多様であり、従来のルールベース認識では無数のパターンを網羅できなかったから。また、利用者が増えるほど精度が改善されるからである。</t>
  </si>
  <si>
    <t>• 課題 
• ソフトウェアでの実装手段として、プログラミングと機械学習の違い について
 • 実世界での機械学習(AI)の利用状況1つを調査 
それぞれの項目について候補などを20コ
音声認識について、たとえばどのような場面で使われているか、またなぜ機械学習を使ったか詳細に調べて、リストアップ</t>
  </si>
  <si>
    <t>リストアップしてもらうことで取捨選択ができる</t>
  </si>
  <si>
    <t>24238514@edu.cc.saga-u.ac.jp</t>
  </si>
  <si>
    <t>プログラミングはすでに手順などが明確になっていることを自動化、簡約化するもので、機械学習はまだ手順があいまいなことを人間が考えるのではなく機械にプロセスを考えさせるという違いである。</t>
  </si>
  <si>
    <t xml:space="preserve"> ソフトウェアでの実装手段として、プログラミングと機械学習の違いについて5つの観点から述べてください。</t>
  </si>
  <si>
    <t>スターバックスコーヒーでは11000以上の店舗で在庫管理をAIに任せており、棚、冷蔵庫を写真で撮ると、自動的に在庫をカウントし、少なくなった商品の警告を出す仕組みが使われている。これによって従来の在庫管理システムの8倍効率があがった。それだけでなく、ヒューマンエラーをへらしたり、人件費の削減という点でも大きなメリットがあるので機械学習を使ったと考えられる。</t>
  </si>
  <si>
    <t>実世界 (社会や企業・組織など) での機械学習(AI)の利用状況1つを調査。どんな場面で、どんな技術が、どんな使われ方をしているのか?会社名を挙げて10通り教えてください。その際企業が公式で出しているwebからのみ情報を習得してください。
スタバはなぜ機械学習を使っているとかんがえられる？</t>
  </si>
  <si>
    <t xml:space="preserve">1度に多くの企業を出させることによって、自分で探すより効率的にかつ、正確に情報を持ってくることが出来る。
</t>
  </si>
  <si>
    <t xml:space="preserve">特に難しいと感じる点はなかったです。
</t>
  </si>
  <si>
    <t>24238182@edu.cc.saga-u.ac.jp</t>
  </si>
  <si>
    <t xml:space="preserve">プログラミングとは、人間がコンピューターに命令を与えるための手段であり、人間がルールをあらかじめ定義することである。足し算を足す、などの明確な指示を目的とする場合に使用され、電卓やWebサイトなどに利用されている。
一方で機械学習とは、コンピューターがデータからパターンやルールを学習し、自分で判断基準を作らせることを指す。例えば、たくさんの数字の画像を覚えさせて、3の数字を見せた時に「この形は3だ」というように判断基準を作らせる。このように、主にパターンを予想したり分類したりする際に使用され、画像認識や翻訳の際に利用されている。
</t>
  </si>
  <si>
    <t>プログラミングと機械学習の明確な違いについて具体的かつ初心者にも伝わる様に教えて</t>
  </si>
  <si>
    <t>医療において、患者の医療画像を診断する際に、医師がすべての画像を目で見て診断するのは時間がかかるため、機械学習モデルが自動で異常を検出するようにし、医師の負担を減らしている。</t>
  </si>
  <si>
    <t>機械学習は社会において例えばどのように利用されている？具体的かつ誰にでも伝わる様に教えてまた、それらが機械学習を利用するメリットとデメリットを付け足して</t>
  </si>
  <si>
    <t>機械学習を扱ったときに発生するメリットだけでなくデメリットにも目を向けることで設問についてより深く考えることができた</t>
  </si>
  <si>
    <t>環境を作る際に画像と文章だけの説明だと分かりにくいところがあったので、作る過程を動画にするとより良くなると思います</t>
  </si>
  <si>
    <t>24238268@edu.cc.saga-u.ac.jp</t>
  </si>
  <si>
    <t>プログラミングはルールを明示的に記述する手法である。特徴として、同じ入力に対しては必ず同じ出力が得られる、確実性と安全性がある。計算処理やデータ管理など処理手順が明確で論理的に記述できるタスクに向いている。機械学習はデータからルールを自動で学習する手法である。特徴として、予測・推論の結果は統計的・確率的であり、データが増えるほど制度が向上する柔軟性と進化の可能性がある。画像・音声認識、言語処理などルール化が難しく、データに依存するタスクに向いている。機械学習が必要になったのは、従来のプログラミングでは対応が困難な課題が増えたためである。特に、ルールを全て人間が記述することが不可能な分野において、大量のデータからコンピュータが自律的に知識を獲得する能力が必要不可欠となったからである。これにより、人間にとって難しく複雑なパターンや傾向を捉え、ソフトウェアの適用範囲を大きく広げることが可能になった。</t>
  </si>
  <si>
    <t>ソフトウェアでの実装手段として、プログラミングと機械学習の違いについての述べてください。例えば、なぜ機械学習という手法が出てきたのか? 例えば、実現できる事の違い、など。文章で簡単にまとめて。</t>
  </si>
  <si>
    <t>Eメールサービスなどで、受信したメールをユーザーが見るべき「受信トレイ」に入れるか、見る必要のない「迷惑メールフォルダ」に入れるかを判断する場面で、機械学習（特に分類アルゴリズムや自然言語処理（NLP）の一種）が使われている。届いたメールの文章や送り主、これまでの履歴などのデータをAIに分析させ、「これは迷惑メールである可能性が高い」と判断されたメールを自動で迷惑メールフォルダに移動させている。
迷惑メールは、日々新しい手口や言葉遣いで送られてくるため、もし人間が「この言葉が含まれていたら迷惑メール」というルールを一つ一つ手作業で設定していたら、新しい手口が出たときに対応が間に合わない。しかし機械学習を使うことで、AIが自動で常に新しい迷惑メールの傾向を学習し、ルールを更新していくことができる。これにより、人がルールを設定するよりもはるかに速く、高い精度で、日々進化する迷惑メールをブロックし、ユーザーの負担を減らすことができる。</t>
  </si>
  <si>
    <t>実世界 (社会や企業・組織など) での機械学習(AI)の利用状況1つを調査。どんな場面で、どんな技術が、どんな使われ方をしているのか? なぜ、機械学習を使ったのか?初心者にもわかりやすい言葉で文章を作って。</t>
  </si>
  <si>
    <t>講師の方が使用されていた資料を各自で見れるようにしてほしい。ZOOMであったため、理解に追いつけない部分が多々あった。</t>
  </si>
  <si>
    <t>24238181@edu.cc.saga-u.ac.jp</t>
  </si>
  <si>
    <t>ソフトウェアでの実装手段において、プログラミングは開発者がアルゴリズムやルールを明示的に記述する方法であり、同じ入力に対して決定的に同じ出力を返す。一方で機械学習は大量のデータをもとにモデルが規則性を自動で学習する方法であり、明示的にするのが困難な問題に有効であるが、出力は確率的であり誤差を生む場合がある。したがって、ルールが明確に定義できる処理はプログラミングで、複雑でパターン認識を要する処理は機械学習で実装される。</t>
  </si>
  <si>
    <t>ソフトウェアでの実装手段として、プログラミングと機械学習の違いについての述べてください。
文章を箇条書きでまとめて、要点を分かりやすくしてください。</t>
  </si>
  <si>
    <t>機械学習で同じ結果が出てこないのはなぜか気になった。質問するたびにその質問も学習しているのだろうか。</t>
  </si>
  <si>
    <t>機械学習の実用例の一つとしてゲームがある。ゲームの世界におけるAIといえば「AlphaGo」が有名であり、囲碁・チェス・将棋すべての場面において強化学習を用いることで対応している。</t>
  </si>
  <si>
    <t>環境を作ることに少し苦戦したが、教えあえる環境があったためよかった。</t>
  </si>
  <si>
    <t>24238444@edu.cc.saga-u.ac.jp</t>
  </si>
  <si>
    <t>実装手法の違いについて、プログラミングは人間がルールを定義し、指示をするもので、機械学習はルールを定義せず、データをもとに学習させモデルが自動的にルールを構築するものである。つまり、ルールベースとデータベースという違いがある。
機械学習が登場した理由として挙げられるのは、音声認識や画像分類などはルールの曖昧さや例外が多いなどの観点からプログラミングでは対応できない部分が出てきたのだと考えられる。
インターネットの普及によりデータが大量に入手できるようになったためデータベースでアプローチできるようになったと考えられる。</t>
  </si>
  <si>
    <t>ソフトウェアでの実装手段として、プログラミングと機械学習の違いについての述べてください。例えば、なぜ機械学習という手法が出てきたのか? 例えば、実現できる事の違い、など。いくつか出してほしい</t>
  </si>
  <si>
    <t>使われる場面も一例としてコールセンター業務があげられる。コールセンターでは生成AIなどを使って、問い合わせ内容に対してAIが即座に回答案を提示するなどして、提案品質の向上に役立っている。
機械学習が使われた理由として、業務の複雑さや多様性に対してはパターンが多く、ルールベースでは処理しきれない。しかし、データベースなら過去のデータからパターンを学習し、柔軟に対応できるため、機械学習のほうが優れていると考えられる。</t>
  </si>
  <si>
    <t xml:space="preserve">
社会や企業・組織などでの機械学習(AI)の利用状況1つを調査を見たとき。どんな場面で、どんな技術が、どんな使われ方をしているのですか。その場合なぜ、機械学習を使われたのですか。</t>
  </si>
  <si>
    <t>論点をずらさないように、かつ具体的に作成すること</t>
  </si>
  <si>
    <t>anaconda　promptを触れる時などに専門知識や用語がわからなかったもでスムーズにいかず難しく感じた</t>
  </si>
  <si>
    <t>24238279@edu.cc.saga-u.ac.jp</t>
  </si>
  <si>
    <t>プログラミングと機械学習では主に基本的なアプローチの違いがあり、プログラミングでは人間がルールやアルゴリズムを明示的に設計してコード化し入力、手続き、出力という流れが固定されていて、機械学習では人間ではなくコンピューターがデータをもとにして規則性やパターンを学び、入力、学習済みモデル、出力という流れで動作する。</t>
  </si>
  <si>
    <t xml:space="preserve"> ソフトウェアでの実装手段として、プログラミングと機械学習の違いについての述べてください。</t>
  </si>
  <si>
    <t>ATMやネットパンキングなどの金融機関で使われており、取引データを学習させたモデルを使って、不正の可能性をリアルタイムで判定し疑わしい取引を停止させたりして調査を行っている。不正手口は巧妙に変化するので人間が見抜くのは困難なため機械学習を使うことで過去データから複雑な特徴を自動的に抽出して不正を検知できるようになった。</t>
  </si>
  <si>
    <t>簡潔にまとまっていなかったのでそのあとにひとつの文章にまとめてほしいと入力した。</t>
  </si>
  <si>
    <t>環境構築が一番難しかった。</t>
  </si>
  <si>
    <t>24238498@edu.cc.saga-u.ac.jp</t>
  </si>
  <si>
    <t xml:space="preserve">プログラミングの特徴
・人間がルールや手順を明示的に記述する
・入力は「ルール（アルゴリズム）」と「データ」
・出力は「処理された結果」
・明確な条件や手順がある問題に強い
　(例) 郵便番号が7桁かどうかをチェックする処理
機械学習の特徴
・コンピュータがデータからルールを自動的に学習する
・入力は「大量のデータ」と「正解ラベル（教師ありの場合）」
・出力は「予測モデル」や「分類器」
・曖昧さや例外が多い問題に強い
　(例) 手書きの数字画像から数字を認識する
機械学習が登場した背景
・複雑すぎて人間がルールを定義できない問題が増えた
・例外や曖昧さが多く、ルールベースでは限界がある
・ビッグデータの活用が求められるようになった
・統計的な推論やパターン認識が必要な場面が増えた
実現できることの違い
・プログラミング：計算、ソート、検索、制御系など論理的な処理
・機械学習：画像認識、音声認識、自然言語処理、予測などパターン抽出
使い分けの考え方
・ルールが明確 → プログラミング
・ルールが曖昧・複雑 → 機械学習
</t>
  </si>
  <si>
    <t>プログラミングと機械学習の違いについて述べてください。なぜ機械学習という手法が出てきたのか、実現できる事の違い、など。</t>
  </si>
  <si>
    <t>背景と課題
工場の生産ラインでは、機械の故障が発生すると生産が止まり、莫大な損失が発生します。従来は定期点検や経験則に頼っていましたが、突発的な故障を防ぐには限界がありました。
活用されている技術
- センサーデータの収集：温度、振動、圧力、電流などをリアルタイムで取得
- 異常検知アルゴリズム：正常時のパターンと比較して異常を検出
- 時系列予測モデル：故障の兆候を事前に予測
- クラスタリング：似たような故障パターンを分類し、対策を最適化
実際の導入事例
- 日立製作所：IoTとAIを組み合わせた「Lumada」プラットフォームで、設備の故障予測を実現
- ファナック：工作機械の稼働データをAIで分析し、メンテナンスのタイミングを最適化
- GE（General Electric）：航空機エンジンのセンサーデータを使って、故障の兆候を事前に検知
得られた効果
- 故障によるダウンタイムの大幅削減
- メンテナンスコストの最適化（必要なときだけ整備）
- 安全性の向上と品質の安定化
- 熟練技術者のノウハウをデータ化・共有可能に</t>
  </si>
  <si>
    <t>実世界 (社会や企業・組織など) での機械学習(AI)がどんな場面で、どんな技術が、どんな使われ方をしているのか? 1つ詳しく教えて</t>
  </si>
  <si>
    <t>詳しく知りたかったので「１つ詳しく」という文を入れた</t>
  </si>
  <si>
    <t xml:space="preserve">事前準備が情報系の人以外は難しいと思った。
</t>
  </si>
  <si>
    <t>24238303@edu.cc.saga-u.ac.jp</t>
  </si>
  <si>
    <t>機械学習とプログラミングの違いについて、プログラミングは人間自らがルールを明確に記入するので、コンピューターは手順通りにしか動かない。一方機械学習のほうは、明示的なルールは存在せず、コンピューターが与えられたデータから学習し、それらをもとに確率的な判断を行う、両者にはこのような違いがある。
機械学習ができた理由について、プログラミングでルールを定義することが難しいもの、音声認識や画像認識などあいまいな情報からの判断を行うために機械学習ができた。
例えば、機械学習でできることとして、音声認識や顔認証、自動車の自動運転なども機械学習によってできることである。</t>
  </si>
  <si>
    <t xml:space="preserve">・機械学習ができた理由をプログラミングの特徴と比較しながら教えて。
</t>
  </si>
  <si>
    <t>トライアルについて福岡県の店舗にAIカメラ1500台を導入し、来店客の購買行動を分析し、売れ行きに応じて、AIが電子値札の価格を自動で変更したり、弁当の売れ残りなどを判断し、バーコード情報を変更し値下げを反映したりしている。
売上高を拡大するため。</t>
  </si>
  <si>
    <t>トライアルの公式情報をもとに機械学習を使用している例を紹介して。</t>
  </si>
  <si>
    <t>AIが持ってきた情報を自分でもあっているか確認しに行く</t>
  </si>
  <si>
    <t>24238485@edu.cc.saga-u.ac.jp</t>
  </si>
  <si>
    <t>プログラミングは人間がルールを書き込むことで計算や指示したことを実行するのに対し、機械学習はデータからコンピューター自身がルールを学習するため、複雑なものの認識も可能です。機械学習は、人間が手作業でルール化できないものを扱う必要性から作られた手法であり、現在の多くのソフトウェアは、基盤をプログラミングで構築しつつ、高度な処理が機械学習に任せられることもあります。</t>
  </si>
  <si>
    <t>ソフトウェアでの実装手段として、プログラミングと機械学習の違いについて述べてください。例えば、なぜ機械学習という手法が出てきたのか? 例えば、実現できる事の違いを教えてください。端的に文章で教えてください。</t>
  </si>
  <si>
    <t>プログラミングと機械学習を学ぶ上で、それぞれどのようなスキルを習得するべきでしょうか？</t>
  </si>
  <si>
    <t>小売業では、過去の販売データをもとに需要を予測する技術が使われていて、在庫や発注をうまく管理しています。製造業では、センサーのデータから機械の異常を見つける仕組みに使われています。これらのような機械学習が使われるのは、人間には扱うのが難しい大量のデータを分析して、素早く正確に判断や予測ができるからです。</t>
  </si>
  <si>
    <t>企業での機械学習の利用にはどのようなものがありますか？また、それが、どんな場面で、どんな技術が、どんな使われ方をしているのかも教えてください。それと、機械学習を使っている理由も教えてください。端的な文章でお願いします。</t>
  </si>
  <si>
    <t>設問で聞かれたことをなるべくpromptに入力して、自分にも理解できるように簡単に短くまとめてもらっています。</t>
  </si>
  <si>
    <t>なるべく早くこの2日間の時間割の予定が分かると良いと思いました。授業の内容は特に難しい点はありませんでした。</t>
  </si>
  <si>
    <t>24238416@edu.cc.saga-u.ac.jp</t>
  </si>
  <si>
    <t>機械学習とはAIと呼ばれるコンピュータに学習させるための手法のこと。プログラミングとは、コンピュータにコードを利用して特定の指令を出すこと。ちなみに顔認識や手書き文字判定はプログラミングではできないが、機械学習では可能。</t>
  </si>
  <si>
    <t xml:space="preserve">ソフトウェアでの実装手段として、プログラミングと機械学習の違いについて分かりやすく解説してほしい
</t>
  </si>
  <si>
    <t>スマホの顔認証・指紋認証で機械学習が利用されている。顔の特徴点を抽出するディープラーニングモデルや指紋パターン認識の技術。ユーザーの顔や指紋のパターンを学習し、本人かどうかを高速かつ高精度で判別。顔や指紋は個人ごとに微妙に異なり、人間が細かい特徴をルール化するのは難しいが、機械学習なら大量のサンプルから識別特徴を自動で抽出できるため利用されている。</t>
  </si>
  <si>
    <t xml:space="preserve">身近なところでの機械学習(AI)の利用状況1つを教えて。どんな場面で、どんな技術が、どんな使われ方をしているのか、なぜ機械学習を使ったのか、をまとめて。
</t>
  </si>
  <si>
    <t>anacondaの環境作成を行うときにうまくいかないことが多々あったが、原因を探るのが難しかった。</t>
  </si>
  <si>
    <t>24238397@edu.cc.saga-u.ac.jp</t>
  </si>
  <si>
    <t>プログラミングは人間がルールを明示的に記述する手法で、決まった処理に強みがあります。一方、機械学習は大量のデータからパターンを学習し、ルールを自動で構築します。画像認識や音声認識など、複雑で曖昧な問題に対応するために登場しました。両者は目的に応じて使い分けられます。</t>
  </si>
  <si>
    <t>あなたは大学院教授です。生徒にプログラミングと機械学習の違いについて授業で説明するときにわかりやすく、具体例を挙げながら３００字程度で答えて。</t>
  </si>
  <si>
    <t>機械学習でコンピューターが自動的に構築したルールと、プログラミングの結果としてできたルールに違いはあるのか、そもそもルールがどんな基準で決められるのか</t>
  </si>
  <si>
    <t>資生堂ジャパンは、AIを活用して新製品の需要予測を高度化しています。従来は過去の販売実績や担当者の経験に基づいて予測していましたが、精度に限界があり、在庫過剰や欠品のリスクがありました。そこで、機械学習プラットフォーム「DataRobot」を導入し、気温、天候、SNSのトレンド、過去の販売データなど多様な要因を組み合わせて予測モデルを構築。これにより、発売前の段階で販売量を高精度に予測できるようになり、原材料の調達や生産計画を最適化できるようになりました。結果として、在庫ロスの削減や販売機会の最大化に成功しています。機械学習を使うことで、人間の経験だけでは捉えきれない複雑な要因を分析し、意思決定の質を向上させた好例です。</t>
  </si>
  <si>
    <t>実在する有名企業を対象にして機械学習の利用状況を５００字程度でおしえて</t>
  </si>
  <si>
    <t>AIにたいして立場を仮定してあげること。
また自分が気になる分野（美容）の企業に絞って検索をかけること</t>
  </si>
  <si>
    <t>個人的にPCの扱いに慣れていないので、事前準備の内容が少し難しく感じた。</t>
  </si>
  <si>
    <t>24238395@edu.cc.saga-u.ac.jp</t>
  </si>
  <si>
    <t>プログラミングと機械学習は、ソフトウェア開発における問題解決の手段ですが、そのアプローチは根本的に異なります。従来のプログラミングは、人間がルールや手順を明示的に記述する方法です。例えば「もしAならBをする」といった条件分岐や、数値計算、データ処理などを論理的に組み立てていきます。この手法は、ルールが明確で、期待される出力が定義できる問題に非常に適しています。一方、機械学習は、明確なルールを記述するのが困難な問題に対して登場した手法です。例えば画像認識や自然言語処理など、人間の感覚や経験に基づく判断が必要な領域では、ルールを手作業で書くのがほぼ不可能です。そこで、機械学習では大量のデータを使って「パターン」を学習させ、未知の入力に対して予測や分類を行います。なぜ機械学習が必要なのかというと、機械学習は、「ルールが曖昧」「例外が多い」「人間の直感が必要」といった問題に対して、データから自動的に最適な判断基準を導き出すことができます。これにより、従来のプログラミングでは対応できなかった複雑な問題にも対応可能となりました。実現できることの違いとしてはプログラミングは計算、制御、データ処理、業務ロジックの実装など、決まった手順がある問題に強い。機械学習は画像認識、音声認識、異常検知、レコメンドなど、パターン認識や予測が必要な問題に強い。次に将来性について、機械学習は今後ますます重要性を増す分野です。特に生成AIや自動運転、医療診断などの分野では、機械学習が中心的な役割を担っています。一方で、プログラミングも基盤技術として不可欠であり、機械学習モデルの運用やシステム統合には依然として重要です。両者は対立するものではなく、補完関係にあります。今後の開発現場では、プログラミングと機械学習の両方を理解し、適材適所で使い分けるスキルが求められるでしょう。</t>
  </si>
  <si>
    <t>あなたはシステムエンジニア職の開発部署の人間です．ソフトウェアでの実装手段として、プログラミングと機械学習の違いについて600文字程度で述べてください。なぜ機械学習という手法が出てきたのか? 実現できる事の違い，将来性の違いについても聞きたいです</t>
  </si>
  <si>
    <t>今の学生に求められる分野は学ぶ優先度としてプログラミングと機械学習のどちらだと思いますか．</t>
  </si>
  <si>
    <t xml:space="preserve">三井住友カード株式会社では、カスタマーサポートの効率化を目的に、自然言語処理（NLP）技術を活用した機械学習モデルを導入しています。月10万件以上の問い合わせを、従来はオペレーターが手動で分類していましたが、BERTベースのAIモデルにより、問い合わせ内容を自動で適切な部署やFAQに振り分けることが可能になりました。
この技術により、平均応答時間は2時間超から30分以下に短縮され、初回解決率も向上。チャット・電話・Webフォームなど複数チャネルに対応し、現場の混乱を避けるために人手とのハイブリッド体制で段階的に導入されています。
機械学習を採用した理由は、多様な言い回しや曖昧な表現に対応できる柔軟性と、継続的な精度向上が可能な点にあります。結果として、顧客満足度の向上と業務負荷の軽減を両立し、FAQ整備にも波及効果をもたらしています。 </t>
  </si>
  <si>
    <t>あなたは生成AIを使い，プロンプトエンジニアリングをしたり新たなサービスを生み出したり，作業の効率化に尽力する社会人です．あなたの所属する企業や団体の中での機械学習(AI)の利用状況を一つ，具体的な企業名を挙げて600文字以内で答えた下さい，また，それがどんな場面で、どんな技術が、どんな使われ方をしているのか? なぜそのサービスに機械学習を使ったのかなどを答えてくれるとありがたいです．</t>
  </si>
  <si>
    <t>生成AIに対して何文字以内で答えてほしいなどの条件や，そのAI自体にあなたはこういう人間だという人格を与えてあげてその立場で答えさせるなど質問内容をより濃くできるようにした点</t>
  </si>
  <si>
    <t>今勢いのある生成AIの利用例や，その仕組みなどをプログラミングと比較する演習内容などは，とても生成AIの利点などが洗い出されてくる質の良い演習だと思った．</t>
  </si>
  <si>
    <t>24238517@edu.cc.saga-u.ac.jp</t>
  </si>
  <si>
    <t>プログラミングと機械学習は、どちらもソフトウェアで問題を解決する方法だが、考え方が違う。
従来のプログラミングは、人間がルールを明確に書く。入力に対して、決められた条件や手順を適用して出力を得る。条件が明確な問題に強く、税計算や在庫管理などに向いている。しかし、画像認識や音声認識のようにルールを定義できない複雑な問題には弱い。
機械学習は、データからルールを自動的に学習する。大量のデータを使ってモデルを作り、そのモデルで予測や分類を行う。複雑なパターン認識や予測に強く、顔認識や音声認識などで活用されている。しかし、大量のデータと計算資源が必要で、モデルの判断理由が分かりにくいという課題がある。機械学習が登場した背景には、データ量の増加、計算資源の進化、従来手法では対応できない課題の増加がある。よって、プログラミングはルールが明確な問題に、機械学習はルールを明示できない複雑な問題に適しているといえる。</t>
  </si>
  <si>
    <t>ソフトウェアでの実装手段として、プログラミングと機械学習の違いについて述べてください。例えば、なぜ機械学習という手法が出てきたのか? 例えば、実現できる事の違い、など。</t>
  </si>
  <si>
    <t>実世界での機械学習の利用例として、ECサイトのレコメンドシステムを挙げられる．
これはAmazonや楽天などのECサイトで、ユーザーが商品を閲覧したり購入した後に「あなたへのおすすめ」や「この商品を買った人はこんな商品も買っています」という提案を表示する場面で使われ，協調フィルタリングや，ディープラーニング，ランキング学習などの技術が使われている．
これらの技術は，ユーザーごとにパーソナライズされた商品リストの表示，メールやプッシュ通知でおすすめ商品の提案，検索結果の並び順をユーザーの嗜好に合わせて最適化などに使われている．
このように機械学習が使われている理由として，商品数やユーザー数が膨大で、手作業や固定ルールでは対応不可能であり，ユーザーの嗜好は多様で変化するため、データから自動的に学習する必要があるのと，機械学習を使うことで、購入率や顧客満足度を大幅に向上できることなどが挙げられる．</t>
  </si>
  <si>
    <t>以下に従って実世界 (社会や企業・組織など) での機械学習(AI)の利用状況1つ挙げよ。
・どんな場面で、どんな技術が、どんな使われ方をしているのか
・なぜ、機械学習を使ったのか</t>
  </si>
  <si>
    <t>工夫した点は，条件を箇条書きにすることで分かりやすくしたこと．</t>
  </si>
  <si>
    <t>phthonのプログラムで，解説の時間がなかったため，調べてもわからないところが分からないままで終わってしまったため，充分な理解ができなかった．</t>
  </si>
  <si>
    <t>24238273@edu.cc.saga-u.ac.jp</t>
  </si>
  <si>
    <t>これまでのソフトウェア開発では、人間がルールや手順を細かく決めてプログラムを書き、その通りにコンピュータを動かしていました。たとえば、計算や条件分岐のように、やることがはっきりしている問題はこの方法で簡単に作れます。しかし、手書き文字を認識したり、音声を理解したりするような問題ではルールを人間が書くのはとても難しいです。そこで登場したのが機械学習です。機械学習では、人間はルールを書かずに、たくさんのデータと答えをコンピュータに渡します。コンピュータはそこから自動でパターンを見つけ、判断する方法を覚えます。つまり、プログラミングは人間がルールを決める、機械学習はコンピューターがルールを決めるという違いがあります。</t>
  </si>
  <si>
    <t>プログラミングと機械学習の違いについて教えてください。</t>
  </si>
  <si>
    <t>製造業では、設備や機械が突然壊れると生産ラインが止まり、大きな損失や納期遅れにつながります。これを防ぐために、近年では予知保全という仕組みが多くの工場で導入されています。予知保全では、機械に取り付けられたセンサーから振動、温度、電流などのデータを常に集め、機械学習モデルを使って分析します。モデルは正常なときのパターンを学習しているため、普段と違う振動や温度の変化があれば故障の前兆として検出できます。さらに、深層学習を使ったモデルではあと何時間で故障する可能性が高いかを予測することもできます。従来の方法では、決まった間隔で機械を止めて点検する予防保全が主流でしたが、これはまだ使える部品を早めに交換してしまう無駄や、点検の間に故障が発生してしまうリスクがありました。機械学習を用いた予知保全では、設備の状態に合わせて最適なタイミングでメンテナンスできるため、突発的な停止を減らし、点検や交換のコストも抑えられます。このように、予知保全は止まらない生産ラインを実現し、工場の稼働率を上げるための重要な技術として、世界中の製造業で広く活用されています。データ収集やAI技術の進化により、今後さらに精度が高まり、より効率的な工場運営が可能になると期待されています。</t>
  </si>
  <si>
    <t xml:space="preserve">実世界での機械学習の利用状況1つを調査し、どんな場面で、どんな技術が、どんな使われ方をしているのかを簡単に教えて。
</t>
  </si>
  <si>
    <t>まだ情報に関する知識がないので簡単にという言葉を付け加えた。</t>
  </si>
  <si>
    <t>もっと演習時間が欲しいと感じましたが、とても自分のためになると感じました。</t>
  </si>
  <si>
    <t>23238916@edu.cc.saga-u.ac.jp</t>
  </si>
  <si>
    <t>プログラミングは「人間が考えた手順を正確に実行する方法」で、機械学習は「データからパターンを見つけ出して判断する方法」であるといえる。前者は電卓や在庫管理システムのように単純な処理に向いており、後者は顔認証や自動運転のように膨大で曖昧な情報を扱う場面に向いていると考える。実際のソフトウェア開発では、この二つが組み合わされることが多く、例えばスマートフォンの顔認証では「暗号化処理」や「セキュリティ管理」はプログラミングで、「顔の識別部分」は機械学習で実現されている。プログラミングの、「完全にルール化されていない複雑な問題に対処しづらい」という課題を、機械学習が補っている。機械学習が登場した背景には二つの要因がある。一つ目は、社会で扱うデータが爆発的に増え、人間が全てのルールをコード化することが非現実的になったこと。二つ目は、コンピュータの性能向上とアルゴリズムの発展により、大量データを扱った学習が可能になったことである。</t>
  </si>
  <si>
    <t>スマートフォンで文字を入力するときに、次に入力しそうな単語を自動で提案してくれる「予測変換」や「予測入力」の機能が利用されている。LINEやメールを打つとき、多くの人が自然に使っている。この予測入力では、過去の入力履歴や膨大なテキストデータをもとに、ある文字列の後に続く可能性の高い単語を推定する。具体的には統計的言語モデルやニューラルネットワークが用いられ、文脈を理解しながら自然な候補を提示することができる。例えば、「ありがとう」と入力した際に、「ございます」や「ね」といった続きやすい言葉が提案されるのはこうした学習の成果である。この技術は、ユーザの入力効率を高めるとともに、誤字脱字を減らす効果も持つ。従来のプログラミングによる辞書ベースの変換では、あらかじめ登録された語しか提示できなかったが、機械学習を用いることで文脈に応じた柔軟な予測が可能となり、より自然で使いやすいインターフェースが実現されている。</t>
  </si>
  <si>
    <t>やることや、時間配分、スケジュールが明確で作業しやすかった。</t>
  </si>
  <si>
    <t>24238304@edu.cc.saga-u.ac.jp</t>
  </si>
  <si>
    <t>プログラミングは、人間がルールを明示的に書く方法で、ルールがはっきりしている問題に強い。
機械学習は、人間がルールを書く代わりに、データから規則性を学ばせる方法で、具体的なルールはコンピュータ自身がデータから推測する。
ルールを明示できない問題や入力のバリエーションが膨大な問題、曖昧さを含む問題などプログラミングでは難しい問題が増えてきたため、大量のデータを使って傾向を学ばせる方が効率的である。そのため機械学習という手段が出てきた。
プログラミングは単純な計算や処理など、ルールがはっきりとしているものに強く、反対に機械学習は大量のデータから学習するため、パターン認識や画像・音声認識など、複雑なルールや曖昧な問題にも対応できる。</t>
  </si>
  <si>
    <t>プログラミングと機械学習の違いについて教えてください。なぜ機械学習という手段が出てきたのか、実現できる事の違いなど。</t>
  </si>
  <si>
    <t>金融業界の不正利用検知に利用されていて、クレジットカードなどの不正取引の検知に役立っている。機械学習を用いて正常な取引のパターンを大量に学習し、怪しい取引を見つけている。また、ディープラーニングやランダムフォレストなどの分類モデルがよく使われている。
怪しい取引が見つかると、自動でアラートが作動し、決済を一時停止したり本人確認を入れたりする。
不正利用の手口が常に進化しているため、過去の膨大なデータから特徴を学習でき、誤検知を減らしつつ本当に怪しい取引を見抜ける機械学習が使われている。</t>
  </si>
  <si>
    <t>社会や企業・組織など、実世界での機械学習(AI)の利用状況を1つ教えてください。使われている場面、技術、使われ方、なぜ機械学習を使ったのか。</t>
  </si>
  <si>
    <t>できるだけ短く簡潔な文章で質問した。</t>
  </si>
  <si>
    <t>事前に環境を自分で準備しておくのが難しくて分かりませんでした。</t>
  </si>
  <si>
    <t>24238489@edu.cc.saga-u.ac.jp</t>
  </si>
  <si>
    <t>プログラミングは、人間がルールを決めて、コンピュターに命令する方法である。一方で、機械学習はコンピュターが大量のデータからルールを自分で学ぶ方法であるため、動作は100％ではないが確率的で、複雑な問題に強い。また、機械学習が必要とされるようになった背景には、従来のプログラミングでは対応が難しい問題が増えてきたことがある。さらに、プログラミングは明確なルールがある処理を得意とし、結果の説明性も高いが、複雑であいまいな処理は苦手なのに対し、機械学習は複雑な処理は得意であるが、明確なルールがある処理には遅く結果が曖昧。</t>
  </si>
  <si>
    <t>ソフトウェアでの実装手段として、プログラミングと機械学習の違いについての述べてください。かなりわかりやすく教えてください。また、なぜ機械学習という手法が出てきたのかも述べて。</t>
  </si>
  <si>
    <t>それぞれに利点があり、ダメな点がるのは知れたのですが、どっちもとることのできる完ぺきなものはこれから生まれる可能性はありますか？</t>
  </si>
  <si>
    <t>ユニクロでは、商品の需要予測と在庫管理の最適化に機械学習を活用している。小売業においては、どの商品をどのタイミングでどれだけ仕入れるかという判断が、売上や在庫コストに大きな影響を与える。従来は、過去の販売実績や担当者の経験に基づいて予測を行っていたが、商品の種類や店舗数が増えるにつれて、人間の判断だけでは対応しきれない複雑さが生じた。そこでユニクロは、Googleと共同でAI需要予測システムを開発し、機械学習を用いて販売データ、天候、地域特性、トレンドなどの多様なデータを分析することで、より精度の高い需要予測を実現した。このシステムは、各店舗ごとに「どの商品を、どのくらい、いつ補充すべきか」を自動的に提案し、在庫の過不足を防ぐと同時に、売り逃しや廃棄ロスの削減にも貢献している。このように、ユニクロが機械学習を導入した理由は、膨大なデータをもとに客観的かつ高精度な判断を行うためだ。</t>
  </si>
  <si>
    <t>ユニクロについてどんな場面で、どんな技術が、どんな使われ方をしているのか? なぜ、機械学習を使ったのか?</t>
  </si>
  <si>
    <t>まず、初めから1つの企業に絞るのではなくあらゆる業種で機械学習が使われているのかを調べてそこからPrompt作成に当たるように工夫した。</t>
  </si>
  <si>
    <t>手書きの数字を認識する演習の時にコードのコメントの理解が難しかったので、もう少しわかりやすくして欲しかった。写真やカメラでLobeを使って演習をするのは興味深かったです。</t>
  </si>
  <si>
    <t>24238396@edu.cc.saga-u.ac.jp</t>
  </si>
  <si>
    <t>プログラミングは、開発者が明確なルールや手順を設計してそれをコードとして記述する方法である。機械学習は大量のデータを用いて、コンピュータに自動的にパターンやルールを見つけ出させる手方法であり、過去の経験からモデルが学習して、未知のデータに対して予測や判断を行う方法である。
プログラミングは条件や仕様がはっきりしている問題に向いてるが、機械学習は画像認識や自然言語処理など、複雑で明確なルール化が難しいものに向いている。また、プログラミングではバグや仕様変更に対してコードを直接修正する必要があるが、機械学習ではデータを追加したりモデルを再学習させることで性能を改善することができる。
自分なりにまとめると、プログラミングは人がルールを設計する方法で、機械学習はデータからルールを学習する方法であると考える。</t>
  </si>
  <si>
    <t>ソフトウェアでの実装手段として、プログラミングと機械学習の違いについてわかりやすく文章でまとめてほしい。</t>
  </si>
  <si>
    <t>物流業界でドライバー不足や輸送効率の改善が課題であるため、多数の輸送依頼をAIが解析し、最適なルートを自動で組み合わせる機械学習を活用した共同輸送マッチングシステムが導入されている。これにより、トラックの空車率が減り、コスト削減や業務効率化が実現している。企業は機械学習によって迅速かつ正確な輸送計画が可能になり、競争力強化と環境負荷低減の両立を図っている。</t>
  </si>
  <si>
    <t>実世界での機械学習の利用状況1つをしりたい。どんな場面で、どんな技術が、どんな使われ方をしているのか? なぜ、機械学習を使ったのか運送業界目線で短く文でまとめてほしい</t>
  </si>
  <si>
    <t>最近やたらと運送業者の人手不足について見かけることが多かった。人手不足でも何とかやれているということはAI の力を借りているのではないかと思い、運送業者目線で考えてほしいと付け加えた。</t>
  </si>
  <si>
    <t>最初のほうはコンピュータに学習させること意味が分かっていなかった。しかし自分でやっているうちにだんだん意味を理解できるようになった。大量の情報や、人間ではできないこともコンピュータでやることによりスムーズにできるということがわかった。特に写真を分別したりとか、写真の中の鳥の数を数えたりとかいろんなことができていいなと思った。</t>
  </si>
  <si>
    <t>24238325@edu.cc.saga-u.ac.jp</t>
  </si>
  <si>
    <t>プログラミングは"人間"があらかじめ手順やルールを定義して、それをコードに書き込み、入力に対して「どう処理するか」を人間が明確に指示すること。人間が明確な規定をするため、ソートや計算などを明確で正確な処理を行うことが出来るが、複雑・あいまいな問題は難しい。
機械学習は大量のデータから入力と出力の関係を"モデル"が学習する。機械学習において人間はルールを直接書くのではなく、学習アルゴリズムにデータと目的を与える。データからルールを学ぶため、ルールの定義が難しい画像認識などの曖昧さや複雑さがある問題にも対応することが出来る。しかし、機械学習の性能は与えられたデータの質と量に大きく依存するため、注意が必要である。</t>
  </si>
  <si>
    <t>ソフトウェア作成において、プログラミングと機械学習の違いとは？</t>
  </si>
  <si>
    <t>小売業界でAIを活用した需要予測や商品開発が進んでいる。ユニクロでは、販売履歴、天候データ、トレンド情報など膨大なデータをAIで解析し、需要を高精度で予測している。それにより在庫の過不足を防いで、サプライチェーン全体の効率化を実現している。
技術は、機械学習の回帰モデルや時系列予測モデルが用いられて、データ解析と組み合わせることで、従来の人間の経験に頼った予測よりも正確な結果を得ることが出来る。
導入理由としては、消費者ニーズの多様化と変化のスピードに対応する必要があることや競争力を維持するための迅速な商品開発などが挙げられる。</t>
  </si>
  <si>
    <t>社会で今実際に機械学習（AI）が活用されている場面を詳細に教えてください。またその場面で用いられている技術や利用方法、なぜその利用をするに至ったかの理由まで詳細に教えてください。</t>
  </si>
  <si>
    <t>場面、技術、方法、理由を全部詳細にまとまった状態で出るように文章を作った。</t>
  </si>
  <si>
    <t>最初の1コマ目が準備できている人にとっては退屈だったので必要がないと感じた。</t>
  </si>
  <si>
    <t>24238326@edu.cc.saga-u.ac.jp</t>
  </si>
  <si>
    <t xml:space="preserve">プログラミングではルールを明示的に書くのが難しい問題に対処することが難しい。そこでルールの明示が困難な問題を、データを使って解決する手法として、機械学習が登場した。実現できることの違いは、プログラミングは人がルールを定義できる問題に強いのに対し、機械学習はルールを定義できないが、データから学べる問題に強いという点である。
</t>
  </si>
  <si>
    <t>ソフトウェアでの実装手段として、プログラミングと機械学習の違いについて,なぜ機械学習という手法が出てきたのかと、実現できる事の違い、の二点について教えてください。</t>
  </si>
  <si>
    <t>病院で撮影されるX線やCT、MRIなどの画像を見て、病気の兆候を探す医療現場で、機械学習が使われている。例えば、がんや脳出血などの異常が写っていないかを調べるときなど。この分野では、特に畳み込みニューラルネットワークというディープラーニング技術が使われる。これは画像の特徴を自動で見つけて、病変の可能性を高い精度で判定できるものである。実際には、医師が画像を見ながらAIが示す異常候補を参考にしている。例えば、Google Healthの乳がん検出AIは、マンモグラフィ画像を分析して、乳がんの疑いがある部分を教えてくれる。医師とAIが協力することで、診断の見逃しを減らす効果が期待できる。画像診断のルールを人が全て書くのは非常に難しい。しかし病気はたくさんの症例のデータが存在しているので、大量のデータから学ぶ機械学習が適していた。また、医師の負担軽減や診断の効率化も期待されている。</t>
  </si>
  <si>
    <t>実世界での機械学習(AI)の利用状況1つ教えてください。どんな場面で、どんな技術が、どんな使われ方をしているのかやなぜ、機械学習を使ったのかについて詳しくお願いします。</t>
  </si>
  <si>
    <t>必要事項を端的に伝えるように心がけた。</t>
  </si>
  <si>
    <t>24238345@edu.cc.saga-u.ac.jp</t>
  </si>
  <si>
    <t>プログラミングと機械学習はアプローチが異なる。プログラミングは人間がルールや手順を決め、コードを書く。一方、機械学習は人間がルールや手順を決めるのではなく、コンピュータがルールを自分で学習する。そのため、プログラミングはルールが明確なものに強く、機械学習はルールが明確でないものに強い。具体的には、プログラミングは計算やデータ処理などに用いられ、機械学習は画像処理や音声処理などに用いられる。機械学習という手法が出た背景には、前述のとおりプログラミングにはルールが明確でないものに向いていないという問題があったからだと考える。また、インターネットの普及により、大量のデータを集めることが簡単になったことや、コンピュータの性能の向上により機械学習の精度、演算速度が向上した。このような背景が、機械学習という手法が出た要因である。</t>
  </si>
  <si>
    <t>プログラミングと機会学習の違いについてのレポートをかいて
・実現できることの違い
・なぜ機会学習ができたのか
この2点でお願い</t>
  </si>
  <si>
    <t>場面　医療診断
技術　ディープラーニング（CNN）
使われ方　がんの早期発見、骨折の検出
理由　機械学習は大量の画像から学習できるため、高精度なパターン認識が可能になり、医師が見落とす可能性のある細かい異常を検出できるため。</t>
  </si>
  <si>
    <t>実世界での機械学習の利用状況を教えて。
場面、技術、使われ方、機械学習を用いた理由の4点について教えて</t>
  </si>
  <si>
    <t>簡潔に自分が求めてることを伝えられるように文を分けて、１つ１つの文が短くなるように意識しました。</t>
  </si>
  <si>
    <t>環境構築が難しかったので、最初に構築する時間を設けていただけて良かったです。</t>
  </si>
  <si>
    <t>24238287@edu.cc.saga-u.ac.jp</t>
  </si>
  <si>
    <t>プログラミングは、人間がルールを作りデータを与えることでルールに応じた値を返すシステムなのに対して、機械学習は、与えられた莫大なデータをもとにコンピュータ自身がルールを作るという違いがある。たとえば、犬と猫を判別するシステムを作る場合、プログラミングで作ろうとすると、比較する特徴などを細かく設定しなければならない。しかし機械学習だと犬と猫の写真などを大量に与えることによって、コンピュータ自身が比較する対象を研究し判別ができるようになる。このように機械学習を行うと、人間が緻密で多量な命令文を書く必要がないという利点がある。</t>
  </si>
  <si>
    <t>プログラミングと比較したときの機械学習の利点</t>
  </si>
  <si>
    <t>飲食店での来店客予測のために機械学習が用いられた例がある。天気や気温、曜日や店舗周辺の状況など、様々な要因で来店客数は変化する。もし人間が要因などを一つ一つ調査していくと莫大な時間と労力がかかる。しかし、機械学習ではデータを入力するだけで規律を見つけ出し答えを導き出してくれるため、費用と労力を抑えながら最適な売り方を行うことができる。</t>
  </si>
  <si>
    <t>企業での機械学習の応用例</t>
  </si>
  <si>
    <t>生成AIは情報収集のためにのみ利用し、詳しい内容は自分で調べる</t>
  </si>
  <si>
    <t>24238146@edu.cc.saga-u.ac.jp</t>
  </si>
  <si>
    <t>従来のプログラミングの仕組みは、人間がルールを明示的に記述し、それに従ってコンピューターが処理を行う。
特徴としてはルールが明確な問題に強いこと。
(計算機、在庫管理システムなど)
また、正解を人間が完全に定義できる領域で効果的。
機械学習仕組みは、大量のデータと正解例を基にコンピューター自身がルール(モデル)をつくる。
特徴は人間が定義できない問題に強いこと。
(画像識別や音声認識など)
ただし、モデルがどう判断しているかは分かりずらい。
まとめると、プログラミングは人間がコンピューターにルールを与えて従わせる。
機械学習は人間がコンピューターにデータを与えてコンピューター自身がルールを獲得することである。</t>
  </si>
  <si>
    <t>生成AI prompt
｢ソフトウェアの実装手段として、プログラミングと機械学習の違いについて、またそれぞれが実現出来ることについて分かりやすく教えて。｣</t>
  </si>
  <si>
    <t>スマートフォンの顔認証
スマートフォンのロックを解除する際に利用する。ユーザーがスマートフォンに自分の顔を登録すると、システムはその顔の特徴をデータとして学習する。ロック解除の際にカメラ画像を読み取り、学習モデルと一致するかで判断する仕組み。
従来はパスワードを入力して解除していたが、パスワードを入力する手間を省くことが出来る。
より早く、安全にスマートフォンを利用することができるので利用されている。</t>
  </si>
  <si>
    <t>環境構築を1人ですることが大変だと感じた。
授業で教えてくれたのは非常に助かりました。</t>
  </si>
  <si>
    <t>24238264@edu.cc.saga-u.ac.jp</t>
  </si>
  <si>
    <t>プログラミングと機械学習の大きな違いは、コンピュータを動かす際に人間がルールを定めるか、データからルールを学習させるかという点にあります。プログラミングは、動作が予測可能で制御しやすく、ルールが明確な問題に強いという特徴があります。一方で、機械学習は柔軟性が高く、予測や分類といった処理に優れており、ルールが曖昧な問題にも対応できるのが特徴です。
機械学習が登場した背景には、問題が複雑化し、人間がルールを明示的に記述することが困難になったことがあります。さらに、インターネットやセンサー技術の発展により大量のデータが手に入るようになり、それを高速に処理できる計算資源も整ったことで、機械学習という手法が現実的かつ有効な選択肢となりました。</t>
  </si>
  <si>
    <t>ソフトウェアでの実装手段として、プログラミングと機械学習の違いについての述べて。そのうえで​なぜ機械学習という手法が出てきたのか？や実現できる事の違いを分かりやすくおしえて。​</t>
  </si>
  <si>
    <t>コンビニの商品の発注システムを例にします。
例えば、セブンイレブンやローソンなどのコンビニでは、毎日たくさんの商品が売られています。おにぎり、飲み物、お菓子など、どれをどれだけ仕入れるかを決める「発注」がとても重要です。売れ残ると廃棄になり、足りないと売り逃しになります。
ここで使われているのが機械学習による需要予測です。
AIが、過去の販売データ（曜日、天気、時間帯、イベント、気温など）を学習して、「明日はこの商品が何個売れるか」を予測します。
店員が発注する際、AIが「このおにぎりは明日30個売れる可能性が高いです」などと予測を表示してくれます。店員はそれを参考にして、無駄なく、かつ売り逃しのないように発注できます。
人間が「この条件ならこの商品が売れる」といったルールをすべて書くのはとても大変でありほぼ不可能だと思います。しかし、機械学習なら過去の膨大なデータからパターンを自動で学習して、精度の高い予測ができます。
コンビニの発注業務では、機械学習が「売れる数を予測するAI」として活躍しています。
人間では難しい複雑な判断を、AIがデータから学んでサポートしてくれることで、食品ロスの削減や売上アップにつながっています。</t>
  </si>
  <si>
    <t>実世界 (社会や企業・組織など) での機械学習(AI)の利用状況1つをどんな場面で、どんな技術が、どんな使われ方をしているのか? なぜ、機械学習を使ったのか?などを滅茶苦茶分かりやすく教えて</t>
  </si>
  <si>
    <t>AIに書いてほしい条件をなるべくたくさん分かりやすくあげた。</t>
  </si>
  <si>
    <t>特にありません</t>
  </si>
  <si>
    <t>23238063@edu.cc.saga-u.ac.jp</t>
  </si>
  <si>
    <t>機械学習はルールを学ばせてコンピュータが自分で学びを行うため曖昧な判断や人がルールを説明しにくいことを得意とし、プログラミングはルールや方法を明確に決めてそれにそって動くため計算・ゲーム・操作など決まりがはっきりしているものが得意である</t>
  </si>
  <si>
    <t>ソフトウェアでの実装手段として、プログラミングと機械学習の違いについて簡潔に中学生でもわかるようにまとめて解説してください</t>
  </si>
  <si>
    <t>お店やインターネットサービスにおけるおすすめ機能は人が見た動画や買った商品をaiが学習し自動で「あなたへのおすすめ」や「これも好きかも」をたくさんのデータソースから好みを予測し提案してくる。</t>
  </si>
  <si>
    <t>実世界 (社会や企業・組織など) での機械学習(AI)の利用状況2つあげて中学生にもわかりやすく簡潔にまとめてください</t>
  </si>
  <si>
    <t>課題は1つだが2つあげさせることでより良いもの、より正しいものを自分が見つけられるようにした。
また中学生という文言を入れることで身近で簡単な文章になりよりわかりやすくなると考え加えた。</t>
  </si>
  <si>
    <t>1日目の色んなものを入れたり文章を売ったりするところが具体性にかける説明ではあったためスクリーンショットや画像、動画を入れていただけるとスムーズには行くと思いました。がそこも学びの1部になり得ていた気もするのでありかなとも思いました。</t>
  </si>
  <si>
    <t>24238383@edu.cc.saga-u.ac.jp</t>
  </si>
  <si>
    <t xml:space="preserve">プログラミング（ルールベース）は、人間がアルゴリズムやルールを明示的に記述する方法のこと。例として、数値を入力したら、その数が偶数か奇数かを判定するプログラムを書く場合、if (n % 2 == 0) のように「偶数なら〜、そうでなければ〜」という条件分岐を記述する。そのため、ルールがはっきりしている問題に強く、間違いはほぼないと考えられる。
機械学習（AI）は、コンピュータ自身が大量のデータからパターンを学習し、そのモデルを使って処理を行う方法のこと。例として、猫の画像か犬の画像かを判別する場合、人間が「耳の形」「鼻の大きさ」などのルールを全部書くのは難しい。その代わり、大量の猫・犬の画像データを与えて学習させることで、自動的に判別できるモデルを構築する。そのため、複雑でルール化が難しい問題に強が、間違いをする可能性がある。
</t>
  </si>
  <si>
    <t>・ソフトウェアでの実装手段として、プログラミングと機械学習の違いについて
﻿﻿・実世界での機械学習（AI）の利用状況1つを調査
ChatGPT</t>
  </si>
  <si>
    <t>銀行の不正利用検知システムとして、クレジットカードや銀行口座の取引には、機械学習が利用されている。大量の過去の取引データを学習し、「通常のパターン」と「不正利用のパターン」をモデル化して、新しい取引があったときに、そのパターンが不正利用に似ていないかをリアルタイムで判定する。これにより、不正利用の早期発見や自動ブロックが可能になっている。</t>
  </si>
  <si>
    <t>1度聞かれている質問のまま聞いてみること
出された内容があっているか1度その内容を調べること</t>
  </si>
  <si>
    <t>オンラインでして欲しい
オンラインで出来なかった人が対面に参加する方法の方が嬉しい</t>
  </si>
  <si>
    <t>24238476@edu.cc.saga-u.ac.jp</t>
  </si>
  <si>
    <t>ソフトウェアの実装手段としての「従来型プログラミング」と「機械学習」の違い
従来型プログラミングは、人間がルールを明示的に記述してコード化し、システムに実装する方法です。税計算や入力チェックのように、仕様が明確で再現性が重視される処理に向いています。
一方で機械学習は、ルールを人が書かず、大量のデータから規則性を学習してモデルを作り上げる手法です。画像認識や自然言語処理のように、ルールを明示的に書くのが難しい分野で力を発揮します。
機械学習が登場した背景には、従来のプログラミングでは解決できない複雑な問題が増えたこと、そして大量のデータと計算資源が利用可能になったことがあります。
両者の特徴を整理すると次のようになります。
	•	従来型プログラミングは再現性や説明性に優れ、決定的な処理を必要とする分野に適している。
	•	機械学習はデータから自動でパターンを抽出し、柔軟に予測や分類を行えるが、説明性が低く、データ依存性が高い。
具体例としては、画像認識では従来型プログラミングではルールが膨大で破綻しがちですが、機械学習ならCNNのような手法で高精度に認識できます。逆に、請求額の計算や住所の正規化といった処理は従来型プログラミングの方が堅牢です。</t>
  </si>
  <si>
    <t>1回目に入力したPrompt
ソフトウェアの実装手段としての「従来型プログラミング」と「機械学習」の違いを説明してください。
・なぜ機械学習という手法が登場したのか（歴史的背景や課題解決の必要性）
・両者で実現できることの違い
・それぞれの長所と短所
・具体例(画像認識、ルールベース処理など)
を分かりやすく整理し、詳細に述べてください。
2回目に入力したPrompt
Zoomに文章を入力する方式で提出するので、表などは使わないように修正してください。その他、箇条書きの使い方等も適当なものに修正してください。</t>
  </si>
  <si>
    <t>実世界における機械学習（AI）の利用事例
事例：金融業界での不正取引検知
どんな場面で利用されているのか
クレジットカード会社や銀行では、不正利用やマネーロンダリングといった取引の監視が重要な課題です。膨大な数の取引の中から怪しい取引を即時に見つける必要があります。
どんな技術が使われているのか
機械学習の中でも「異常検知」や「予測モデル」が使われています。過去の正常な取引と不正取引のデータを学習させ、リアルタイムで取引のパターンを分析する仕組みです。
どのように活用されているのか
ユーザーがカード決済をした際に、その金額、時間帯、利用場所などをもとに「通常の行動パターンと一致しているか」を判定します。怪しい取引が検出されるとシステムが警告を出し、カードを一時停止するなどの対応につながります。
なぜ機械学習を導入したのか
従来は人間がルールを設定（例：「10万円以上の海外取引は警告」）して監視していましたが、ルールベースでは新しい不正手口に対応できませんでした。機械学習なら取引データから新しいパターンを自動で学習できるため、精度が高く、迅速な不正検知が可能になります。</t>
  </si>
  <si>
    <t>実世界（社会や企業・組織など）における機械学習（AI）の利用事例を1つ挙げて説明してください。
・どんな場面で利用されているのか
・どんな技術（例：画像認識、自然言語処理、予測モデルなど）が使われているのか
・どのように活用されているのか
・なぜ機械学習を導入したのか（従来手法では難しい点や利点）
を分かりやすく整理して述べてください。</t>
  </si>
  <si>
    <t>プロンプトを作る際には、答えが漠然とならないように観点を明確にしました。「どんな場面で」「どんな技術が」「どのように使われているのか」「なぜ機械学習を使うのか」という4点を指定することで、整理された答えを引き出せるようにしました。また、技術の例を示して具体性を持たせ、「分かりやすく」と指示して専門的になりすぎないように工夫しました。さらに、事例を「1つ」に絞ることで、深掘りされた内容を得られるようにしました。</t>
  </si>
  <si>
    <t>実習で扱う課題がやや抽象的で、実社会の事例と結びつけにくい場面がありました。医療や金融など具体的な応用例を演習課題に取り入れると、学びがより実感しやすくなると思います。</t>
  </si>
  <si>
    <t>24238487@edu.cc.saga-u.ac.jp</t>
  </si>
  <si>
    <t>プログラミングでは、人間が書いた明確なルールに従って計算や検索などを行うことができるが、ルールが曖昧なものの判断や予測、新しいパターンへの対応などの柔軟性に欠け、複雑だったり量が多かったりして人間では書けないこともあるため、データから自動的にルールを見つけることのできる機械学習という手法が出てきた。</t>
  </si>
  <si>
    <t>・ソフトウェアでの実装手段として、プログラミングと機械学習の違いについて教えてください。
・なぜ機械学習という手法が出てきたのか教えてください。
・プログラミングと機械学習で実現できることの違いを教えてください。</t>
  </si>
  <si>
    <t>似たような質問をすることで、同じ内容に対して少し違う答えをいくつか得て、自分に理解しやすい表現を探した</t>
  </si>
  <si>
    <t>金融業界では、詐欺検出において機械学習が役立っている。クレジットカードの利用履歴から詐欺かどうかを分類したり、クラスタリングで他と違う取引を見つけたり、通常とは異なる「怪しいパターン」を判断することができる。人間が定義した「〇〇なら不正」というルールに頼る方式だと、新しい詐欺手口に対応できず誤検出も多いが、機械学習によって検出精度が向上し、リアルタイムでの詐欺ブロックも可能になった。</t>
  </si>
  <si>
    <t>・実世界 (社会や企業・組織など) での機械学習(AI)の利用状況を教えてください。
・詐欺検出について詳しく教えてください。
・なぜ詐欺検出で機械学習を使ったのか教えてください。</t>
  </si>
  <si>
    <t>まずいろいろな例を知ってから、気になったものについて詳しく質問した</t>
  </si>
  <si>
    <t>事前準備の資料が少し分かりにくかったように思う。</t>
  </si>
  <si>
    <t>24238488@edu.cc.saga-u.ac.jp</t>
  </si>
  <si>
    <t>プログラミングは、人が1から10まで細かく指示を書き、コンピュータはその指示通りに動く。それに対し、機械学習は、人が大量のデータを与え、コンピュータ自身がデータからルールやパタンを学習する。そのため、写真に写っているものを判定するプログラムを作成する場合、プログラミングでは人がすべてのパターンを記述することになるが、それは不可能に近い。この問題を解決するために、機械学習という手法が出てきた。</t>
  </si>
  <si>
    <t>ソフトウェアでの実装手段として、プログラミングと機械学習の違いについて教えて下さい。例えば、なぜ機械学習という手法が出てきたのかや実現できることの違いについてなどです。</t>
  </si>
  <si>
    <t>質問の内容だけではなく、例も含めることによって生成AIが回答を生成しやすくした。</t>
  </si>
  <si>
    <t>Eコマースや動画配信サイトなどを利用する場面で機械学習が使われている。多くのユーザーの行動データ（評価、購買履歴など）を利用して、ユーザー間の「類似度」を計算する技術や、あなた自身が過去に好んだアイテムの『特徴』に注目し、それと似た特徴を持つ別のアイテムを推薦する技術を用いて、「この商品を買った人はこんな商品も見ています」や「あなたにおすすめの映画」などを表示するという使われ方をしている。Eコマースや動画配信サイトは多くの人が利用し、多くの商品がある。そのため、どの商品とどの商品が関連しているのかを人が関連性を定義するのは困難であるため、機械学習が使われている。</t>
  </si>
  <si>
    <t>・実世界で機械学習がどんな場面で、どんな技術が、どんな使われ方をしているのかについて教えて下さい。また、なぜ機械学習を利用したのかについて教えて下さい。例を5つ以上上げて回答してください。
・レコメンドエンジンについて詳しく教えて下さい。
・なぜ機械学習を使っているのかについても詳しく教えて下さい。</t>
  </si>
  <si>
    <t>・例を5つ以上上げて回答してくださいと、具体的な数を入力して複数の例を作ってもらった。
・その生成AIの解答の中で興味のあるものを選び、それについて再度生成AIを利用してより詳しく調べた。
・回答が不十分だと感じた部分に関して、もう一度生成AIに回答作ってもらった。</t>
  </si>
  <si>
    <t>Jupyter Notebookで動かしたプログラムの違いを理解するのが難しく感じました。</t>
  </si>
  <si>
    <t>24238443@edu.cc.saga-u.ac.jp</t>
  </si>
  <si>
    <t>1点目はアプローチの仕方についてである。プログラミングは人間がルールを明示的に記述するのに対し、機械学習はデータからルールを自動的に学習する。２点目は入力の方法である。プログラミングはルールとデータを入力するのに対し、機械学習はデータと正解を入力する。３点目は出力の方法である。プログラミングは結果を出力するのに対し、機械学習はモデルを出力する。</t>
  </si>
  <si>
    <t>ソフトウェアでの実装手段として、プログラミングと機械学習の違いについての述べてください。例えば、なぜ機械学習という手法が出てきたのか? 例えば、実現できる事の違い、などを簡潔に比較しながらリストアップしてください。</t>
  </si>
  <si>
    <t>ユニクロのAI活用についてまとめていく。店舗ごとの需要予測と在庫管理の場面で用いられている。技術としては機械学習モデルやクラウドAIが使われている。販売傾向や天候、地域性を分析をし、商品供給量を最適化している。機械学習を利用した理由としては、人間の勘では対応困難な複雑な要因をデータで予測するためなどが挙げられる。</t>
  </si>
  <si>
    <t>実世界 (社会や企業・組織など) での機械学習(AI)の利用状況1つを調査。どんな場面で、どんな技術が、どんな使われ方をしているのか? なぜ、機械学習を使ったのか?それぞれの項目を表形式で簡潔にまとめて。</t>
  </si>
  <si>
    <t>場面、技術、使われ方、機械学習を使った理由をそれぞれの項目ごとにまとめてほしかったのでこのような聞き方にした。</t>
  </si>
  <si>
    <t>1人1人が作業できたらいいなと思ったのでインターネット環境がもっと整備されたらいいなと思った。</t>
  </si>
  <si>
    <t>24238348@edu.cc.saga-u.ac.jp</t>
  </si>
  <si>
    <t>プログラミングは人間が明確なルールを記述して処理を実行する手法で、機械学習は大量のデータから自動的に規則性を学習して曖昧で複雑な問題に対応できる手法である．つまりプログラミングは“人間がルールを与える”アプローチであり，機械学習は“データからルールを発見させる”アプローチである．また，機械学習が生まれた理由は人間がルールを記述できない複雑な問題が増えたためである．</t>
  </si>
  <si>
    <t>プログラミングと機械学習について，なぜ機械学習という手法が生まれたかについて教えてください．</t>
  </si>
  <si>
    <t>機械学習の利用状況の例の一つとして，スマートフォンの音声入力があります．これは，あらかじめ学習データから得た音声と文字の対応パターンを基に音声データを機械学習モデルが分析し，テキストへ変更をする仕組みです．音声入力に機械学習が使われる理由は発音や声質，話し方は明確なルールを決めることができないほど多様であり，機械学習なら機械学習なら大量の音声データから自動的に複雑なパターンを学び、柔軟に認識できるようになるためです．</t>
  </si>
  <si>
    <t>生活の中で機械学習が使われている例を一つ上げ，それについて説明してください．また，それはなぜ機械学習を使うのか理由を教えてください．</t>
  </si>
  <si>
    <t>質問を明確に分け順序だてて一個づつ質問すること．</t>
  </si>
  <si>
    <t>特にないです．</t>
  </si>
  <si>
    <t>24238214@edu.cc.saga-u.ac.jp</t>
  </si>
  <si>
    <t>プログラミングは人間がルールを設計し、その手順をコードとして記述をする方法である。強みは、処理の正確性が高いため再現性が高い。また数値計算などのルールが明確である問題に強い。実現できることとしては、銀行のシステムの金額計算やシミュレーション処理である。機械学習は、あるデータをもとに自動的にルールを作らせるための方法である。強みとしては、大量のデータからパターンを発見する能力が高いことが挙げられる。また予測や分類、生成など幅広く応用することが可能である。実現できることとしては、顔認証や音声アシスタント、生成AIよる文章や画像の生成などがある。</t>
  </si>
  <si>
    <t>プログラミングと機械学習の違い、実現できることの違いを教えて</t>
  </si>
  <si>
    <t>日本のゲーム会社では約51％がAIをゲーム開発に使用している。技術としてはジェネレーティブAI（画像生成モデル、画像アップスケーリング）やコード補完ツール（GitHub Copilot など）が使われている。主な使用用途としては、キャラクターや背景などの生成やプログラミング効率の向上やミスを減らすためにプログラミングの作成や補助を行っている。AIを使う理由としては、効率の向上やコストの削減、アイデアを広げるための支えなどの理由が挙げられる。</t>
  </si>
  <si>
    <t xml:space="preserve">ゲーム制作会社におけるAiの使われ方教えて
</t>
  </si>
  <si>
    <t>AIに伝わりやすいように簡潔に丁寧にした。</t>
  </si>
  <si>
    <t>プログラミングの意味を理解するのが、難しかった。</t>
  </si>
  <si>
    <t>24238437@edu.cc.saga-u.ac.jp</t>
  </si>
  <si>
    <t>プログラミングは人間が手動で記述するが、機械学習はデータをコンピューターに学ばせて、自動で手順を学ばせるという点で違うと言える。
プログラミングでは手順の決まっているタスクなどの処理に向いており、機械学習は膨大な情報からパターンの発見や、予測、分析ができる。
そのため、写真の見分けや手書き文字の認識、自動運転での歩行者の発見など特徴が曖昧だったり、例外が多い場合は大量のデータからコンピューターにパターンを学ばせる機械学習が使われるようになった。</t>
  </si>
  <si>
    <t>機械学習とプログラミングの違いを簡潔にリストアップしてください。また、どういう違いのもと機械学習という手法が生まれたか、実現できることの違いは何かについて簡潔にまとめてください。</t>
  </si>
  <si>
    <t>トヨタには、機械学習を用いたプロジェクトの一つとして車の塗装品質の推定がある。塗料の制作・調達から評価までをデジタル化することで開発のリードタイムを短くすることに成功した。
塗装は、塗料の配合を少し変えただけで仕上がりが全く変わってくる。また、同じ塗料でも垂直面と水平面に塗る場合では仕上がりが異なってくる。そこで、塗料の配合量や含まれている材料の特徴量などを機械学習で品質予測する技術を開発した。
防錆や樹脂といった材料分野への展開も視野に入れている。</t>
  </si>
  <si>
    <t>Jupiter Notebookを用いた機械学習の演習が難しいと感じた。</t>
  </si>
  <si>
    <t>24238373@edu.cc.saga-u.ac.jp</t>
  </si>
  <si>
    <t>プログラミングは人間がルールや手段を明示的に入力するもので、機械学習は人間がAIにデータを与え、そのデータを基に学習するもの。プログラミングの例を上げると、電卓である。一方で機械学習の例は、音声認識、顔認識である。プログラミングの良い点は、全ての処理を人間が設計できるため動作が予測しやすい点や、バグの原因をコードから直接追えるためデバックが容易であると言える点である。また、プログラミングの課題は、画像や顔の認識のような曖昧な処理は不得手である点が挙げられる。機械学習の良い点は、過去のデータから学習し未知のパターンに対応可能である点や、複雑な判断が可能な点が挙げられる。また、機械学習の課題は、質と量が十分なデータを与えなければ、求める精度に達しにくい点や、なぜそのような判断にしたのか分かりにくい点が挙げられる。よって、ルールが明確な処理ではプログラミングが、パターン認識や予測が必要な処理では機械学習が適していると言える。</t>
  </si>
  <si>
    <t>ソフトウェアを実装するための手段として、プログラミングと機械学習の違いについて述べてください。それぞれの良さや課題があるとなおよいです。</t>
  </si>
  <si>
    <t>今、医療業界では機械学習は、MRIやCT検索の画像診断や、病気の予測に使用されている。使われている技術は、ディープラーニング(CNN)や自然言語処理(NLP)である。使用する目的は、医師の負担軽減や診断精度の向上、病気の早期発見のためである。</t>
  </si>
  <si>
    <t>今の社会での機械学習がどんな場面で、どんな技術が、どんな使われ方をしているのか、またなぜ機械学習を使ったのかを述べてください。</t>
  </si>
  <si>
    <t>AIが質問内容を勘違いして間違った情報を集めるのを防ぐために、余計な文章を挟まずになるべく簡潔に聞きたいことだけを書くよう工夫した。</t>
  </si>
  <si>
    <t>事前準備が1番難しかったので、手本の動画等が欲しいと思った。講義自体は、皆で楽しく学べたと思う。</t>
  </si>
  <si>
    <t>24238378@edu.cc.saga-u.ac.jp</t>
  </si>
  <si>
    <t>プログラミングと機械学習はどちらもソフトウェアを作るためも手段だが、アプローチや得意分野が大きく異なる。プログラミングは人間がルールや手順を明示的に記述するのに対し、機械学習はデータからルールやパターンを自動的に学習する実実装方法について、プログラミングは人間がルールや手順を明示的に記述し、機械学習はデータからルールを自動的に学習する。入力について、プログラミングは明確なロジックと条件があり、機械学習は大量のデータと目的(分類、予測など)がある。出力について、プログラミングは決められた動作や結果があり、機械学習はモデル(関数)と予測結果がある。得意分野について、プログラミングはルールが明確な処理(計算、制御、UIなど)があり、機械学習はパターン認識、予測、分類、自然言語処理などがある。</t>
  </si>
  <si>
    <t>金融業で不正取引検出、信用スコアリング、リスク分析をするために教師あり学習(ロジスティック回帰、SVM)、異常検知が使われており、リアルタイムでの不正防止、融資判断の精度向上の効果がある。</t>
  </si>
  <si>
    <t>現在、どのようなところで機械学習がどんな技術がどんな使われているのか</t>
  </si>
  <si>
    <t>どんな場面、どんな技術、どんな機械学習なのか知ることができるような質問にした。</t>
  </si>
  <si>
    <t>ダウンロードの説明が難しかった。</t>
  </si>
  <si>
    <t>24238491@edu.cc.saga-u.ac.jp</t>
  </si>
  <si>
    <t>プログラミングとは、人間がルールを明示的に提示して、それをもとにコンピュータは入力を処理し出力する。対して、機械学習は人間は正解付きのデータを与えることで、コンピュータはデータを解析し規則性を学習することで新しい入力に対して予測・分類する。
機械学習という手法が出てきた理由は、従来のプログラミングは人間がルールを明確に記述する必要があり、人間が書けないような複雑なルールを用いるときはこの作業が困難となったから。</t>
  </si>
  <si>
    <t>・ソフトウェアでの実装手段として、プログラミングと機械学習の違いはなに。
・なぜ機械学習という手法が出てきた</t>
  </si>
  <si>
    <t>小売業では需要の予測に対して機械学習が活用されている。過去の販売データや天候、イベント情報などを入力し、将来の売上を予測するモデルを構築する。これによって発注量を最適化し、在庫過多や欠品を防ぐことができる。従来のルールベースでは複雑な要因を考慮しきれなかったが、機械学習は多変量のパターンを考えることができるため、精度の高い予測が可能となっている。</t>
  </si>
  <si>
    <t>実世界 (社会や企業・組織など) での機械学習(AI)の利用例はどのようなものがあるか</t>
  </si>
  <si>
    <t>環境設定はとても一人でできるものではなかった。</t>
  </si>
  <si>
    <t>24238439@edu.cc.saga-u.ac.jp</t>
  </si>
  <si>
    <t>どちらもコンピュータに特定のタスクを実行させるための手段ですが、そのアプローチと考え方が根本的に異なる。一言で言うと、プログラミングは「人間が考えたルールをコードで記述する」のに対し、機械学習は「コンピュータ自身にルールやパターンを学ばせる」違いがある。プログラミングで実現できることは、ルールが明確なタスクや、正確性がもとめられる計算などである。プログラミングで実現する際のメリットは、人が出力される結果を予測しやすいことや、制御ができる点である。デメリットとしては、曖昧なタスクに対して対応することが難しい点である。機械学習で
実現できるのは、パターン認識やレコメンデーション機能などである。機械学習のメリットは、曖昧でルール化しにくいデータでもタスク化することができる点である。デメリットとしては、大量の学習データが必要なこと、出力された際の処理がブラックボックス化してしまうこと、計算資源を大量に消費する必要があることが挙げられる。</t>
  </si>
  <si>
    <t>ソフトウェアでの実装手段として、プログラミングと機械学習の違いについて考えてみてください。
機械学習の歴史や、実現できることの違い、メリットとデメリットなどを具体的に考えてみてください。</t>
  </si>
  <si>
    <t>違いを示すために、実現できることの違いの他に、違いが分かりやすいメリットとデメリットを挙げるようにプロンプトを組んだ。また、教えて下さいではなく、あくまでも一緒に考えるというスタンスの質問を投げかけている。</t>
  </si>
  <si>
    <t>近年、機械学習は迷惑メールフィルターに利用されている。例えば、メールが普及し始めた当初、迷惑メール対策は「このキーワード（例：『儲かる』）が含まれていたら迷惑メール」といった手作業のルールで行われていた。しかし、迷惑メール業者が少し単語を変える（例：『儲.か.る』）だけで簡単にかいくぐられてしまう。日々巧妙化する迷惑メールに対応するため、コンピュータ自身に迷惑メールの特徴を学習させ、自動で判断できる機能の開発が進んだ。具体的な技術としては、機械学習の分類問題を解くために、ナイーブベイズ分類器という手法をとって、どのような単語が使われやすいかを学習させている。</t>
  </si>
  <si>
    <t>社会や企業などで、機械学習が利用されている事例を2つ挙げてみてください。
利用事例は機械学習を知らない日本人にも有名であったり、分かりやすい利用事例が望ましいです。
また、その利用事例が活用された背景、その技術の具体的な説明をそれぞれ述べてください。</t>
  </si>
  <si>
    <t>事例を2つ挙げてもらうことで手戻りを減らしている。また、身近な例を示してもらうことで、自分でも理解が進むように工夫した。背景や具体的な説明を盛り込むことで、自身の内容の理解を深めることができる。</t>
  </si>
  <si>
    <t>環境構築が難しかったため、もう少し分かりやすいと嬉しいです。特に、CUIは使っている学生が少ないと感じるため、馴染みにくく、学生のコンピュータへの苦手意識につながると感じました。</t>
  </si>
  <si>
    <t>24238237@edu.cc.saga-u.ac.jp</t>
  </si>
  <si>
    <t>プログラミングは、コンピュータに厳守すべきルールであるコードとデータを与え、コードにより処理されたデータを結果として出力させる。機械学習モデルはコンピュータにデータとそのデータの処理結果を与えることで、その過程である適切なルールを導かせる。プログラミングではデータを処理するためのアルゴリズムを人間が完全に理解している必要があるが、機械学習モデルでは人間がそのアルゴリズムを理解している必要がない。
よって、機械学習モデルでは人間が認識することのできない高度で複雑な事象に対してもコンピュータの能力で対応することできる。</t>
  </si>
  <si>
    <t>AmazonやGoogleでは機械学習モデルを用いて、顧客の閲覧履歴や検索履歴を収集、管理し、その顧客がどんな分野に興味があるのかを調査し、サイト内の掲載情報を関連のあるものに変更している。膨大な数の利用者が存在するウェブサイトでは人間では到底管理することのできない量の情報のやり取りが行われており、その効率的な利用には機械学習モデルが必要不可欠である。</t>
  </si>
  <si>
    <t>個人的に事前準備がとても難しかったので、解説動画のようなものを用意していただけると大変ありがたいです。</t>
  </si>
  <si>
    <t>24238375@edu.cc.saga-u.ac.jp</t>
  </si>
  <si>
    <t>まずプログラミングの特徴は、人間が明確なルールや手順を定義しそれをコードとして記述する。また、入力に対して、プログラムに書かれたルール通りに処理が行われ、出力が得られる。次に機械学習の特徴はルールを人間が直接書かずに、データから自動的に学習 してモデルを構築する。また、入力と期待される出力（教師データ）が大量にあれば、そこから一般化されたルールを獲得できるなどである。なぜ機械学習という手法が出てきたのかというと従来のプログラミングでは、「ルールを人間が記述する」必要があった。しかし現実には、ルールが 膨大・曖昧・動的に変化 する領域がある。例えば、手書き文字の認識 → 人間ごとに書き方が違うや、自然言語 → 文法や表現が多様で完全にルール化できないなど、このような「ルール化が困難」な領域を扱うために、データからルールを学ばせる 機械学習が有効となったのである。</t>
  </si>
  <si>
    <t>ソフトウェアでの実装手段として、プログラミングと機械学習の違いについて教えてください。</t>
  </si>
  <si>
    <t>「金融業界における不正取引／不正送金検知」を取り上げ、その内容を整理したものである。連合学習やプライバシー保護技術を取り入れた学習方式、データそのものを他機関と共有せず、モデルのパラメーターや統計的な情報を暗号化などで保護しつつ複数機関で協調して学習を行う方式が使われている。不正者が用いる手口が日々変化しており、過去には「よくあるパターン」から外れた取引でも不正であるケースがある。機械学習は「データからパターンを学ぶ」ので新しいタイプの手口にも比較的柔軟なようにルールベースだけでは検知できないパターンがあるためである。</t>
  </si>
  <si>
    <t>実世界での機械学習の利用状況を一つ調査し、どんな場面でどんな技術がどんな使われ方をしているのかと、なぜ機械学習を作ったのか教えて。</t>
  </si>
  <si>
    <t>知らない単語が沢山出てきて難しかったです。</t>
  </si>
  <si>
    <t>24238017@edu.cc.saga-u.ac.jp</t>
  </si>
  <si>
    <t>プログラミングは人間が指示をしてコンピュータを動かすのに対し、機械学習はコンピュータ自身が考えて自分で動くものである。つまり、機械学習はプログラミングの1歩先を行くものである。プログラミングは、人間の指示のもと動くため、思った通りに動かせるが、プログラムを考えなければいけないという欠点がある。一方機械学習は、自分で学ぶため複雑な問題も対応できるが、高度な認識をするには多く学習する必要があるため時間がかかるという欠点がある。自分の必要な場面によって使い分けることが大切である。</t>
  </si>
  <si>
    <t>プログラミングと機械学習の違いについて利点と欠点を明確にして、子供でも理解できるように説明して</t>
  </si>
  <si>
    <t>機械学習の利用状況の例としてYouTubeやSpotifyなどの動画や音楽の配信サービスのおすすめ機能があげられる。今まで見た映画や聞いた音楽をもとにしておすすめの動画や曲を教えてくれる機能である。よく聞くジャンルや好きなアーティストを学習し、似たような曲を提案するという、まさに機械学習の一つの例である。長く使えば使うほど、自分の好きなジャンルが明確になるため、ユーザーにとってとても便利な機能である。</t>
  </si>
  <si>
    <t xml:space="preserve">実世界での機械学習の情報分野での利用状況の例をリストアップして、どのようなものか説明して
</t>
  </si>
  <si>
    <t>自分が知りたい情報を特に強調し、あまり知識のない自分でもわかるように文面を書いた点。</t>
  </si>
  <si>
    <t>班で行うことで、悩んでも相談できる点が良かった。</t>
  </si>
  <si>
    <t>24238379@edu.cc.saga-u.ac.jp</t>
  </si>
  <si>
    <t>プログラミングではルールが明確に決められているため必ず答えが一緒になる。機械学習ではパターンを出して答えを出すため必ず答えが一緒になるわけではない。実現できることの違いに注目すると、人間では画像を認識するプログラミングを作れと言われても判断材料が多く作ることが難しいが、機械学習ではルールを明確にする必要はないため、機械学習ならではと言える。</t>
  </si>
  <si>
    <t>プログラミングと機械学習の違いについて述べて。
実現できることの違いは。</t>
  </si>
  <si>
    <t>社会の交通の面で自動運転のためにAIが利用されている。自動運転では周囲の状況を認識するためセンサーフュージョンという技術をつかっている。→カメラやセンサーなど
機械学習である理由はセンサーごとの誤差が複雑であるためである。</t>
  </si>
  <si>
    <t xml:space="preserve">社会、企業、組織でのAIの利用状況は
センサーフュージョンはなぜAIを使う？
</t>
  </si>
  <si>
    <t>主語を曖昧にせず何が知りたいか明確にした。</t>
  </si>
  <si>
    <t>事前準備のファイルが分かりにくく難しいと感じた</t>
  </si>
  <si>
    <t>24238270@edu.cc.saga-u.ac.jp</t>
  </si>
  <si>
    <t>ソフトウェアの実装手段として、従来のプログラミングと機械学習は性質や適用範囲に明確な違いがある。プログラミングは人間がルールや処理手順を明示的に設計し、そのロジックをコードとして記述する方法である。この方法の利点は、動作が予測可能で安定しており、バグの原因も特定しやすい点にある。一方で、すべての処理をルールとして明確に設計する必要があり、複雑なパターン認識や曖昧な判断を求められる問題に対しては対応が困難である。
これに対して機械学習は、大量のデータから特徴や規則性を独自で自動的にに学習し、モデルを作っていく方法である。1950年代に人工知能研究の一環として誕生し、近年では計算資源の進歩とビッグデータの蓄積により急速に発展してきている。機械学習の強みは、人間が設計困難な複雑なパターンや関係性の少ないデータを抽出し、未知の入力に対しても柔軟に対応可能な点にある。実際に画像認識や音声認識、自然言語処理、推薦システムなど実世界で多く利用されている。しかし、学習結果は学習データに強く依存し、データの偏りや質の低下が誤った判断を招くリスクを持つ可能性あると言われている。
プログラミングは明確かつ論理的なルール設計に適し、動作の透明性や制御性に優れる一方で、機械学習は複雑で曖昧なパターンを扱い、大量のデータを活用して柔軟な予測や分類を実現する。現在では両者を組み合わせることで、それぞれの強みを活かしたソフトウェア開発が一般的となっている。したがって、問題の性質や目的に応じて適切に使い分けることが重要である。</t>
  </si>
  <si>
    <t>機械学習のメリットデメリット、プログラミングのメリットデメリットを比較しながら違いを文章にしてください。機械学習の起源や実際の使用法なども添えて。
ですますではなく断定形で。</t>
  </si>
  <si>
    <t>プログラミングと機械学習はどちらのほうが多く使われていますか。</t>
  </si>
  <si>
    <t>製造業における機械学習の実用例として、住友電気工業株式会社と株式会社データグリッドが共同開発した不良品判定AIシステムが挙げられる。住友電気工業では、自動車や情報通信向けのケーブル製造において、製品の外観検査工程が品質維持の重要なポイントとなっているためAI技術が大いに使用されている。従来の目視検査では熟練技術者の技術に依存しており、人手不足や検査のばらつき、疲労による見逃しのリスクが課題であった。
そこで、データグリッドが開発した「疑似不良画像生成技術」を用いて、不良品の実際の画像が少ない環境でもAIモデルの学習を可能にする仕組みを機械学習により構築した。この技術により、実際に存在しないが現実的な不良画像を大量に生成し、AIに学習させることで、不良品検出の精度を飛躍的に高めることに成功した。
このAIシステムは、製造ラインで撮影された製品の画像をリアルタイムに解析し、細かな傷や欠け、形状の異常などを高精度で検出する。不良判定の自動化によって検査工程の効率が大幅に改善され、検査にかかる時間が短縮された。人による判定のばらつきも解消された。しかし機械の見落としやコストなど課題も残っている。また、新たな製品ラインへの適応も、追加学習によって迅速に行えるため、導入後の運用コスト削減にも寄与している。</t>
  </si>
  <si>
    <t xml:space="preserve">どこの企業が使っている。
文章にして。
具体的に示して。
</t>
  </si>
  <si>
    <t>文章にしてもらい、具体的にしてもらうことでまとめやすくした。</t>
  </si>
  <si>
    <t>自分たちが何をするべきなのか曖昧だったので、何をすべきか明確にしていただけるとありがたいです。</t>
  </si>
  <si>
    <t>24238104@edu.cc.saga-u.ac.jp</t>
  </si>
  <si>
    <t>ソフトウェアの実装手段として用いられる「プログラミング」と「機械学習」は、目的や処理方法において本質的な違いがある。プログラミングは、開発者が明確なルールや手順をコードとして記述し、コンピュータに指示を与える手法である。これにより、計算処理やファイル操作など、決まった動作を正確に実行することが可能となる。一方、機械学習は大量のデータをもとに、コンピュータが自らパターンやルールを学習する手法であり、画像認識や音声認識など、人間の感覚に近い判断を必要とする場面に適している。例えば、電卓アプリはプログラミングによって構築されるが、犬と猫を識別するアプリは機械学習が有効である。両者の特性を理解し、用途に応じて適切に使い分けることが、実用的かつ柔軟なソフトウェア開発には不可欠である。</t>
  </si>
  <si>
    <t>ソフトウェアでの実装手段として、プログラミングと機械学習の違いについての述べてください。例えば何ができて何が苦手か。わかりやすくレポートっぽく３００字くらいで</t>
  </si>
  <si>
    <t>実世界における機械学習の活用事例として、ユニクロ（株式会社ファーストリテイリング）の「需要予測と在庫管理」が挙げられます。
ユニクロは、Googleと共同でAIを活用した需要予測システムを導入しています。この技術では、天候、過去の販売データ、トレンド情報など大量のデータを機械学習モデルに取り込み、各商品の販売数を予測します。その結果、店舗ごとの在庫を最適化し、売り逃しや過剰在庫を防ぐことが可能になりました。
機械学習を用いた理由は、従来の人手による予測では対応しきれない複雑な要因（季節変動、地域差、流行の変化など）を、AIが高精度に分析できるからです。これにより、サプライチェーン全体の効率化と収益性の向上が実現されています。</t>
  </si>
  <si>
    <t>実世界 (社会や企業・組織など) での機械学習(AI)の利用状況1つを調査。どんな場面で、どんな技術が、どんな使われ方をしているのか? なぜ、機械学習を使ったのか。わかりやすくレポートっぽく３００字で</t>
  </si>
  <si>
    <t>字数の設定とわかりやすくという命令</t>
  </si>
  <si>
    <t>MacBookの環境設定が難しい。できなかった</t>
  </si>
  <si>
    <t>24238078@edu.cc.saga-u.ac.jp</t>
  </si>
  <si>
    <t>従来のプログラミングと機械学習の違いは、問題解決のアプローチにあると感じました。プログラミングでは、人間がルールや手順を明示的に記述し、それに従ってコンピュータが動作します。たとえば「もしAならBする」といったように、すべての条件や処理を人が設計する必要があります。
一方、機械学習では、コンピュータが大量のデータからパターンやルールを自動的に学習します。人間がルールを定義しづらい複雑な問題、たとえば画像認識や音声認識などに対して、機械学習は非常に有効です。今回の演習でも、手書き数字や動物の写真を分類する課題に取り組みましたが、明確なルールを人が書くのは難しく、機械学習の強みを実感しました。
また、生成AIを使った演習では、画像処理の仕組みやAIの活用方法を学ぶことができました。便利で賢い一方で、意外と単純な仕組みで動いていたり、誤判定をすることもありました。そうした経験から、AIに頼りすぎるのではなく、仕組みを理解した上で適切に使うことが大切だと感じました。
機械学習は、従来のプログラミングでは対応しきれない複雑な問題に対して、新しい可能性を開く手法です。今後は、AIを補助的な道具として活用しながら、自分自身の判断力や技術力も高めていきたいと思います。</t>
  </si>
  <si>
    <t>あなたは今日初めて機械学習について深く学んだ大学生です。教授から「ソフトウェアでの実装手段として、プログラミングと機械学習の違いについて述べてください。例えば、なぜ機械学習という手法が出てきたのか? 例えば、実現できる事の違い、など。」と投げかけられました。あなたならどう答えますか？端的な言葉で答えて。</t>
  </si>
  <si>
    <t>製造業における品質管理について調査しました。この利用例では、製品の外観や性能に異常がないかを確認する工程が非常に重要です。従来は人の目による検査や、ルールベースのシステムによって不良品の判定が行われてきましたが、近年では機械学習を活用した自動化が進んでいます。
具体的には、製造ラインで撮影された製品画像をもとに、傷や汚れ、形状の異常を検出するために画像認識モデル（CNNなど）が使われています。また、センサーから得られる温度や振動などの時系列データを分析し、設備の異常や故障の予兆を検知するモデルも導入されています。これにより、目視では見逃しやすい微細な異常を高精度で検出できるようになりました。
機械学習が品質管理に導入された背景には、複雑な異常パターンを人がすべて定義するのが困難であること、そして大量のデータを高速に処理する必要があることがあります。さらに、検査の属人性を減らし、標準化・効率化を図るという目的もあります。
このように、機械学習は品質管理の現場において「見逃しを減らす」「検査を自動化する」「異常を予測する」といった形で活用されており、製品の信頼性向上とコスト削減の両立に貢献しています。</t>
  </si>
  <si>
    <t>あなたは先ほどと同様にあまり専門的な知識のない学生です。そのうえで品質管理について、どんな場面で、どんな技術が、どんな使われ方をしているのか? なぜ、機械学習を使ったのか?をまとめてほしい。端的にわかりやすい文章でお願い</t>
  </si>
  <si>
    <t>生成AIに前提としてどの立場から考えてほしいのかを最初に伝えておくようにしました</t>
  </si>
  <si>
    <t>自分は建築環境デザインコースを専攻しているのですが、コマンドプロンプトから作業を進める段階などで使い慣れないソフトやツールを使用しなければいけなかったので少し戸惑いました。特にビジュアルスタジオというソフトを自分のpcには入れていなかったのは作業の途中でつまずいてしまいました。</t>
  </si>
  <si>
    <t>24238278@edu.cc.saga-u.ac.jp</t>
  </si>
  <si>
    <t>ソフトウェアの実装手段として，プログラミングと機械学習には明確な違いがある．プログラミングは人間がルールや手順を設計し，コードとして記述することでコンピュータに処理を実行させる方法であり，計算や並べ替えなどに論理的に定義できる処理に適している．しかし，画像認識や音声認識のように手順を明確に記述できない複雑な課題には対応が難しいという限界があった．こうした問題を解決するために登場したのが機械学習であり，大量のデータからコンピュータ自身が規則性を学習することで，未知のデータに対する予測や分類を可能にした．その結果，顔や音声の認識，スパムメールの判定，さらには生成AIによる文章や画像の生成など，従来のプログラミングでは実現困難であった応用が可能となっている．このように，プログラミングは人間がルールを与える手法，機械学習はデータからルールを発見する手法として，互いに異なる強みを持ちながら現代のソフトウェア開発を支えている．</t>
  </si>
  <si>
    <t>ソフトウェアでの実装手段として、プログラミングと機械学習の違いについての述べてください。と入力し，両方が存在する意義と各々が得意な分野を対話形式で質問し，その回答を自分なりにまとめました．</t>
  </si>
  <si>
    <t>近年，物流業界では機械学習が効率化のために活用されている．配送センターや倉庫では，商品や荷物の入出庫データ，配送経路，交通状況など膨大なデータが日々生成される．これらのデータを機械学習で解析することで，配送遅延の予測や在庫の最適配置，最短ルートの自動提案が可能となる．従来の手作業や単純なアルゴリズムでは，変動の大きい交通や需要のパターンを正確に扱うことは困難であったが，機械学習を導入することで，より柔軟かつ精度の高い意思決定が可能となる．このように，複雑で大量のデータを活かし，最適化や予測に役立てられる点が，機械学習の大きな強みである．</t>
  </si>
  <si>
    <t>１，実世界 (社会や企業・組織など) での機械学習(AI)の利用状況1つ挙げてください．
２，どんな場面で、どんな技術が、どんな使われ方をしているのか簡潔にまとめてください．
３，機械学習を使う意味を教えてください．</t>
  </si>
  <si>
    <t>一つ一つ気になることを質問することで，生成AIが混乱しないように気を付けた．対話形式で質問することで，理解を深めた．</t>
  </si>
  <si>
    <t>環境設定の方法が少しわかりにくかった．方法の動画をあらかじめ用意しておくことで円滑に授業を進めることができると思った．</t>
  </si>
  <si>
    <t>24238324@edu.cc.saga-u.ac.jp</t>
  </si>
  <si>
    <t>プログラミングは、人間が手順やルールをあらかじめ決めてコンピュータに指示する方法．計算や処理のやり方がはっきりしている問題に強いという長所がある．しかし，ルールを細かく決めることが難しい問題や、環境が変化する場合には対応しにくいという弱点がある．一方で機械学習は、たくさんのデータを使ってコンピュータに自分でパターンを学ばせる方法．ルールを決めにくい問題（画像，音声など）にも対応でき、状況が変わっても新しいデータで学習し直せば柔軟に対応できるという長所がある．ただし、大量のデータや計算の力が必要であり、なぜその結果になったのかを説明しにくいという弱点がある．</t>
  </si>
  <si>
    <t>プログラミングと機械学習の違いについて実現できることの違いを両者の強みや弱みを挙げながら教えてください</t>
  </si>
  <si>
    <t>画像認識での病気の早期発見．人間が膨大な画像を一枚ずつ目で見るのは時間も労力もかかり，正確さにも限界がある．機械学習を使えば大量の画像から自動で特徴を学び，瞬時に分類・認識できる．</t>
  </si>
  <si>
    <t>機械学習の利用例を挙げてください．その時になぜ必要なのか，どんな使われ方をしているか教えてください</t>
  </si>
  <si>
    <t>焦点を明確にして，視点を指定している．</t>
  </si>
  <si>
    <t>グループで作業することで新たな交流が増えてよかった．</t>
  </si>
  <si>
    <t>24238357@edu.cc.saga-u.ac.jp</t>
  </si>
  <si>
    <t>プログラミングと機械学習は本質の違いとして、プログラミングでは人が明示的にルールを書き、機械学習ではデータからモデルがルールを学習するようになっている。例として、プログラミングでは給与計算のルール、銀行のトランザクション処理、アルゴリズムでのソート、機械学習では、画像分類、音声認識、需要予測を行うことができる。
　結果として、プログラミングでは、再現性高くて説明しやすく、ルール化できる問題に最適で、機械学習では、複雑なパターン認識には強いが、データと計算資源が必要となっている。</t>
  </si>
  <si>
    <t>プログラミングと機械学習の違いを明確に表記し、詳細に述べてください。</t>
  </si>
  <si>
    <t>自動運転に使われる機械学習について考えると、従来のプログラムでは、画像認識、音声認識、自然言語処理などは「ルールを明示的に書く」ことがほぼ不可能であり、新しい技術へ変えていく必要があった。そこで、機械学習では、データから自動的にパターンを抽出でき、膨大で複雑な特徴を人間が手作業でルール化しなくても処理可能。また、環境やデータが変化しても、モデルを再学習することで適応できるため、機械学習が用いられた。</t>
  </si>
  <si>
    <t>機械学習は、実際にどこでどのように使用されているのか。また、それはどのような技術となっているのか。なぜ、機械学習である必要であったのか教えてください。</t>
  </si>
  <si>
    <t>24238248@edu.cc.saga-u.ac.jp</t>
  </si>
  <si>
    <t>プログラミングは、「こう動かせ」と直接命令を書く方法であり、問題が明確でルールを作りやすい場合に有効である。
そして、機械学習は、「どう処理すべきか」をデータから学ばせる方法であり、複雑なパターン認識や予測、変化する環境での柔軟対応に強いという違いがある。</t>
  </si>
  <si>
    <t>交通情報、ルート予測
交通量データから渋滞を予測し最適ルートを提示。
複雑な環境認識やリアルタイム制御に人間の判断を補完・代替する必要があるため。</t>
  </si>
  <si>
    <t>社会や企業、組織などでの機械学習(AI)の利用状況がどんな場面で、どんな技術が、どんな使われ方をしているのかや、なぜ機械学習を使ったのか などを教えてほしい。</t>
  </si>
  <si>
    <t>正確に問いを伝えるためにあまり変えずに作成した。
そして、多くの選択肢から自分で選択できるように数を指定しなかった。</t>
  </si>
  <si>
    <t>コードが難しかった。
機械学習の複雑さがよく分かった。</t>
  </si>
  <si>
    <t>24238179@edu.cc.saga-u.ac.jp</t>
  </si>
  <si>
    <t>プログラミングとは、「人間がルールを決めて、コンピュータに命令する」方法。機械学習は「コンピュータが自分でルールを学ぶ」方法。このように、プログラミングと機械学習の間には根本的な違いがある。プログラミングは、人間によってルールが決められるため複雑すぎるコードだと書くことができない。しかし、機械学習ではデータを大量に見せることで、コンピュータが「パターン」を見つけてくれるため可能なことが増えてくる。例えば、音声認識や画像認識、翻訳はプログラミングには不可能だが、機械学習なら可能である。プログラミングは計算、条件分岐、制御を得意とし、電卓、ゲーム、家電制御を実現させる。機械学習はパターン認識、予測、分類を得意とし、顔認識、音声アシスタント、スパム判定を実現する。ここでは、プログラミングと機械学習の違いについてわかりやすくするために対立させて述べたが、両者は対立するものではなく、組み合わせて使うことでより強力なシステムが作れるため、人間がうまく仲介役となって共存させていくことが重要になってくる。</t>
  </si>
  <si>
    <t>ソフトウェアでの実装手段として、プログラミングと機械学習の違いについての述べてください。例えば、なぜ機械学習という手法が出てきたのか? 例えば、実現できる事の違い、など。専門外の人でもわかりやすく説明して</t>
  </si>
  <si>
    <t>機械学習の実例としては、コンビニのレジなどがあげられる。商品をスキャンしなくても、カメラで商品を認識して自動で会計できるレジが登場している。このレジには、商品をカメラで見て、形や色、パッケージから種類を判定できる「画像認識AI」、大量の画像データから学習して精度を向上「深層学習（ディープラーニング）」の技術が取り入れられており、機械学習が過去のデータから、商品の認識を行い、顧客に支払いを要求する。商品の種類が多く手作業なら時間が掛かってしまうが、機械学習なら、スピーディーにかつ正確に商品を判別できるため。また、少子高齢化に伴う、従業員の減少による、人手不足を解消したり、深夜営業をこのレジに任せて、営業の効率化を図るために導入されている。</t>
  </si>
  <si>
    <t>実世界 (社会や企業・組織など) での機械学習(AI)の利用状況1つを調査。どんな場面で、どんな技術が、どんな使われ方をしているのか? なぜ、機械学習を使ったのか?専門外の人にもわかりやすいように
他の企業についてはどう</t>
  </si>
  <si>
    <t>専門外の人でもわかりやすくなるようにすること。
ほかの実例も求めて、様々な情報の中から興味のあるものについて取り上げた。</t>
  </si>
  <si>
    <t>環境設定の説明に様々な情報が載っており何をすればよいのかわかりにくかった。</t>
  </si>
  <si>
    <t>24238415@edu.cc.saga-u.ac.jp</t>
  </si>
  <si>
    <t xml:space="preserve">プログラミングは人間が明確にルールを決めてそれに従って処理をする。
機械学習はコンピューターがデータから学びルールやパターンを自動で見つける。(たくさんの例を見せて仕組みを覚えさせる)
現実には画像を犬か猫か見分ける日本語の文章を自然な英語に翻訳するなど、細かいルールなどを明確に書けない問題がある。また、インターネットやスマートフォンによって大量のデータが記録されるようになった。これらのことからルールを書けない問題を解決するためにデータから学ばせる機械学習が登場した。
プログラミングは手順が明確で、例外が少ない処理・結果が常に同じな問題に強い。（例　数学の計算　在庫や売り上げの管理など）
機械学習は複雑で例外が多く人間がルールを書ききれない処理・データから学習して予測や分類を行うような問題に強い。
（例　写真から物体を認識　自動運転の車が周囲を認識する　）
</t>
  </si>
  <si>
    <t xml:space="preserve">なぜ気機械学習が出てきたの？
プログラミングと機械学習の実現できることの違いは
</t>
  </si>
  <si>
    <t>金融業界での不正取引検出
オンラインでクレジットカード決済がされたときにこの取引が本人によるものかどうかという判断を即座に下す。
異常検知（過去の取引データで一般的な取引パターンを学び、それから大きく外れる取引を異常とする）や教師あり学習（過去の取引データに正しいか不正取引かがラベル付けされていて、それを学習して新しい取引が不正取引かどうかを判断する）などの技術が使われている。
過去の取引データから不正か正常かを判断し、判定結果がで不正が一定の値を超えると、アラートを出したり、取引を保留したり、追加認証を要求したりする。
この例はパターンが複雑で多様、ルールには限界がある、などの特徴があり機械学習が適しているので使用された。</t>
  </si>
  <si>
    <t>実世界で機械学習が使われている一例を教えて。どんな場面で、どんな技術が、どんな使われ方をしているのか教えて。
なんで機械学習が使われてる？</t>
  </si>
  <si>
    <t>書きたいことについてちゃんと出てくるように細かく送った。</t>
  </si>
  <si>
    <t>やっぱり通信が少し重いです</t>
  </si>
  <si>
    <t>24238272@edu.cc.saga-u.ac.jp</t>
  </si>
  <si>
    <t>プログラミングは開発者が手順やルールを明示的に記述する方法であり、同じ入力に対して必ず同じ結果を返す決定的な性質を持つ。仕様が明確な計算処理や条件分岐などに強い。一方、機械学習は大量のデータからコンピュータ自身がパターンを学習し、ルール化が難しい問題を近似的に解く手法である。画像認識や音声認識、需要予測といった複雑なタスクに有効だが、結果は確率的で必ずしも完全な正解を保証しない。プログラミングは要件変更時にコード修正が必要なのに対し、機械学習は新しいデータで再学習することで対応可能である。両者は用途や課題の性質に応じて使い分けるべき手段である。</t>
  </si>
  <si>
    <t>ソフトウェアでの実装手段として、プログラミングと機械学習の違いについて</t>
  </si>
  <si>
    <t xml:space="preserve">機械学習（AI）は社会や企業・組織において幅広く活用されている。身近な例としては、スマートフォンの顔認証や音声アシスタント、自動翻訳などがあり、画像認識や自然言語処理といった技術が使われている。企業では、ECサイトにおけるレコメンド機能やコールセンターの自動応答、需要予測が導入され、顧客満足度の向上や業務効率化に役立っている。さらに組織や産業分野では、自動運転や医療診断支援、製造業における異常検知などで活用され、ディープラーニングやIoTセンサーと組み合わせた技術が用いられる。これらにより安全性の向上やコスト削減が可能となり、機械学習は現代社会において不可欠な基盤技術となっている。
</t>
  </si>
  <si>
    <t>実世界 (社会や企業・組織など) での機械学習(AI)がどんな場面で、どんな技術で、どんな使われ方をしているか教えて</t>
  </si>
  <si>
    <t>24238350@edu.cc.saga-u.ac.jp</t>
  </si>
  <si>
    <t>プログラミングは、人間が明確な手順やルールをコードとして記述し、計算や処理を実行させる方法。一方、機械学習は大量のデータを与え、コンピュータ自身に規則や特徴を学ばせる方法。従来の手法では困難だった画像認識や自然言語処理など、曖昧で複雑な問題を解決できる点が大きな違い。
機械学習のメリットは、効率化と高速処理、コスト削減が望める。学習を重ねることで精度が、上がって改善されていく点。
デメリットは、事前に大量のデータを用意する必要がある。データにより偏りがある。また人間のような思考力の柔軟性がない点。</t>
  </si>
  <si>
    <t xml:space="preserve">プログラミングと機械学習とでは何が違うのか。機械学習を使うと何が出来るようになるのか。また、機械学習を使うことのメリットとデメリットはなにか。
</t>
  </si>
  <si>
    <t>企業では需要予測や顧客対応のチャットボット、製造業の不良品検出、金融業の不正取引監視など。社会では自動運転や医療診断支援、災害予測などに使われている。
それぞれ詳しく調べてみると、製造業の不良品検出では、ロボットとカメラを使用して、検査品質の安定化を実現した。
不正取引監視では、aiアルゴリズムを使用して大量のデータを分析し、異常パターンを検出する。
災害予測では、過去の気象データを分析することで地震、台風、洪水などを予測する。
AIを使う理由は、人間では処理しきれない膨大なデータを高速かつ高精度に分析し、効率化や新しい価値創出につなげられるから。</t>
  </si>
  <si>
    <t>社会や企業、組織でAIはどのように使用されているか。どんな場面で、どのような技術が使われているのか。また、なぜAIを使用するのか?</t>
  </si>
  <si>
    <t>教えて欲しいことがブレないように、キーワードを残しながらも簡潔に命令した。</t>
  </si>
  <si>
    <t>アナコンダの環境構築の設定方法の説明がわかりにくかったので、詳しく追加で説明があると良かったと思いました。</t>
  </si>
  <si>
    <t>24238184@edu.cc.saga-u.ac.jp</t>
  </si>
  <si>
    <t>プログラミングとは、人間がコンピュータに「何をどうするか」を一つ一つ命令として書くことであり、機械学習は、コンピュータが自分でルールを学ぶ方法である。機械学習が必要になったのは、音声認識や自動運転など、ルールが複雑すぎて人間がすべてを定義できない問題が増えたためである。つまり、プログラミングは明確なルールがある問題に強く、機械学習は曖昧で複雑な問題に強いという違いがある。</t>
  </si>
  <si>
    <t>私は以下の文に関して全く知らないといっていいほど無知です。そんな私でもわかるように丁寧に説明してください。ソフトウェアでの実装手段として、プログラミングと機械学習の違いについての述べてください。例えば、なぜ機械学習という手法が出てきたのか? 例えば、実現できる事の違い、など。</t>
  </si>
  <si>
    <t>現在の車の中には人が運転しなくても車が走ってくれる自動運転という機能がある。自動運転車には、カメラやセンサーが搭載されており、これらの機器から得られる情報をもとに、AIが「前方に人がいるか」「信号は何色か」「他の車との距離は安全か」などをリアルタイムで判断する。これらの判断は、機械学習によって行われており、AIはより正確な予測と判断が可能になる。
この技術は人間による運転ミスや疲労による事故を解決するために機械学習を用いて作られた。</t>
  </si>
  <si>
    <t>以下の文に関して無知な人でも分かるように詳しく教えて。実世界 (社会や企業・組織など) での機械学習(AI)の利用状況1つを調査。どんな場面で、どんな技術が、どんな使われ方をしているのか? なぜ、機械学習を使ったのか?</t>
  </si>
  <si>
    <t>24238092@edu.cc.saga-u.ac.jp</t>
  </si>
  <si>
    <t>プログラミングとは、人がルールを作りコンピュータに手順を教えるもので、決まったルールや手順が明確な場合に強い。ただし、ルールが複雑すぎたり曖昧だったりすると実装が困難になる。
機械学習とは、データからコンピュータ自身がルールを学ぶもので、画像認識・音声認識・自然言語処理など明確なルールをかけない問題に強い。ただし、大量のデータや計算資源が必要で、結果のルールがブラックボックスになりやすい。
現実には、ルールを明示的に書くことができない問題があり、プログラミングのみで実行するには限界がある。そのため、機械学習を利用することでより複雑な問題を解けるようになった。機械学習を実行する上でデータの数が必要になってくるが、データの増加や、計算資源の進化により機械学習がより容易になったことも要因になる。</t>
  </si>
  <si>
    <t>ChatGPT
質問：ソフトウェアでの実装手段として、プログラミングと機械学習の違いは何ですか？
質問：なぜ機械学習という手法が出てきたのですか？</t>
  </si>
  <si>
    <t>日常生活での利用として「顔認証」がある。
スマートフォンでのApple Face IDやオフィスや空港での本人確認ゲート、防犯として犯罪捜査や入国審査で特定人物を追跡するなど、様々な場面で利用されている。
カメラで撮影した画像をもとに、「その人が誰か」を識別する技術であり、その仕組みとして「カメラ画像から顔を検出→特徴を数値化→登録データと照合」という流れになっている。
機械学習の役割として、顔の検出、特徴抽出の部分でDeep learningが活躍している。</t>
  </si>
  <si>
    <t>ChatGPT
質問：実世界での機械学習の利用状況について教えてください。
質問：顔認証について詳しく教えてください。</t>
  </si>
  <si>
    <t>一つの質問ですべてを知ろうとするわけではなく、まず利用状況の種類・一覧を認識して、自分が気になったものについて詳しく聞くことで、より簡潔に、解説捨てもらえる用にした。</t>
  </si>
  <si>
    <t>パソコンを利用するひとが多いので一つ一つの実行が遅いと感じた。班のメンバーと情報を共有しようとしても、パソコンが重いせいで、うまくいかないことがあった。</t>
  </si>
  <si>
    <t>24238281@edu.cc.saga-u.ac.jp</t>
  </si>
  <si>
    <t>プログラミングとは必要な手順や決まりをすべて人間が設計します．そして入力を行い自分の期待する答えが出るかどうかを試します．したがって処理内容は明確で考えやすい仕組みとなっていると考えられる．一方で，機械学習とは，コンピュータに対して大量のデータを読み込ませてそこから手順や規則をコンピュータが予測する．よって人間がすべてに対して対応するプログラミングに対して複雑な入力の場合は機械学習の方が良いとされる．しかし，処理内容は明確ではないことに気を配る必要がある．そのため使い分けのために機械学習は生まれたのだと思います．使い分けの例として，画像認識においてはプログラミングでする場合，すべての場合についてを対応するため複雑になってしまう．しかし機械学習においてはデータを学習させるだけで識別を可能とする．よって曖昧で複雑なものは機械学習，手順，規則が決まっているものはプログラミングにと使い分けることで効率化を挙げられる．</t>
  </si>
  <si>
    <t>プログラミングと機械学習のメリットデメリット</t>
  </si>
  <si>
    <t>YouTubeで使われている「興味あるものが多く表示される仕組み」について調査した．YouTubeはトップページにお勧めの動画が多く表示される．機械学習の中でもディープラーニングが使われている．使われている技術の例として，自分と同じ動画を多く視聴している人が他に見ている動画を参考にする協調フィルタリング，膨大なデータ（視聴履歴、検索履歴、クリック履歴など）を入力として、ユーザーごとの「興味の特徴量」を学習するディープニュートラルネットワーク，候補となる膨大な動画（数十万件以上）をまず機械学習で絞り込み、さらに「関連性」「最新性」「多様性」などを考慮して並べ替えるランキングアルゴリズムがあげられる．動画は数十億本以上あり、視聴者も数えきれないほど存在する．その中で人間が決めた決まりだけでそれらを仕分けることは不可能に近い．そのため機械学習を利用することで膨大なデータを効率よく学習して仕分けることを可能にする．</t>
  </si>
  <si>
    <t>YouTubeに使われる「興味あるものを多く表示される仕組み」について使われている技術を教えて</t>
  </si>
  <si>
    <t>4では機械学習，プログラミングについてメリットデメリットを調べ，明確な違いや使い分けからなぜ機械学習ができたのかを考えた．5では普段の日常生活でつかわれているものはないかを考えYouTubeのお勧め機能が一番に出た．ほかにも出たが自分が一番知りたいと思ったことを優先して調べ上げた．</t>
  </si>
  <si>
    <t>環境構築がとても困りました．動画などがあればもっとわかりやすくなったのかなと思います．また，班活動にする意味があったのかなと思いました．</t>
  </si>
  <si>
    <t>24238360@edu.cc.saga-u.ac.jp</t>
  </si>
  <si>
    <t>プログラミングと機械学習の違いは主に目的達成のアプローチにあります。
プログラミングは人間があらかじめ設定した手順を踏んでコンピューターを動かすのに対して、機械学習は過去のデータからコンピューターが自らパターンやルールを学習し、未知の事象に対しても推論や予測を行えるようにする技術です。
人間が決めた型にのっとり課題を解決するのがプログラミングで、その型を自ら作り出して課題を解決するのが機械学習となります。</t>
  </si>
  <si>
    <t>例えば過去の売上データから今後の需要を予測する場合になどに用いられます。また、かけた広告費と来店者数の関係を数字として分析することも可能です。 回帰分析を用いることで、データがないところまで予測が可能になるのです。
実例としては、佐川急便株式会社が不在配送問題に取り組んだ際の機械学習活用例があります。
各家庭に設置されたスマートメーターから取得される電力データを元に、AIが荷受人の在宅状況を予測し、最適な配送ルートを案内するシステムを開発しました。これにより東京大学内で行われた配送実験で、9割の不在配達を削減することに成功しました。</t>
  </si>
  <si>
    <t>実習の際にもう少しだけ明確な目標があると個人的には助かりました。
自分が話を理解できていない点もあるのですが、何をしたらいいのかわからない時間が多かったように思いました。</t>
  </si>
  <si>
    <t>24238100@edu.cc.saga-u.ac.jp</t>
  </si>
  <si>
    <t>ソフトウェアでの実装方法として、プログラミングはif文やfor文などでロジックを手動で記述するのに対して、機械学習では学習アルゴリズムにデータを渡してモデルを訓練するをいう違いがある。つまりプログラミングはタスクを解決するための手順を1からすべて記述しなくてはならないが、機械学習は以前のデータを渡すことにより自動で目的に導いてくれる。プログラミングは、人間が機械に命令するために使用されたもので、人間がルールを教える方法である。それに対して、機械学習は、人間がルールをかけない問題を機械に自分で学ばせるために使用されたもので、コンピュータがルールを自分で学ぶ方法という違いがある。</t>
  </si>
  <si>
    <t>「ソフトウェアでの実装手段として、プログラミングと機械学習の違いについてわかりやすく説明して」
「それぞれどういう理由で生まれたのか教えて」</t>
  </si>
  <si>
    <t>人間が作るのとコンピュータ自ら作るのとでどのくらい違いが出るのか気になる。</t>
  </si>
  <si>
    <t xml:space="preserve">機械学習の1つに教育分野の教員の負担軽減や学習の向上に関わるものがある。英語のスピーチ練習にAIを導入する事だ。 佐賀県武雄市の川登中学校では英語のスピーチ練習においてAIを導入した。AIを導入する前では、1人の教員が40人近い生徒の発音や文法のフィードックを行うには膨大な時間や体力が必要で教員の負担が大きいことや、教員の指導時間が生徒の数によって左右されるため、生徒の学習機会の減少やそれに付随した学習意欲の低下などが問題点として挙げられていた。 そこで、その中学校はOpenAIやGPT－4などのAIの導入によってこの問題を解決した。その結果の内容は、授業の準備時間が約35％削減し、生徒が英語を発する回数が増加し、それによって生徒が英語に対する自信が向上した。それと他に、AIが記録した会話のログが授業後に自動的に削除されるように設定されており、個人情報の保護にも役立っている。このAIが行うことは、英語を話した生徒に対してすぐにその発音や文法について細かく指導し、アドバイスを返す仕組みとなっている。これにより、教員が一人一人について指導する必要がなくなり、生徒が各々のペースで学習することができた。 この成功事例を受けて、川登中学校は文部科学省から「生成AIパイロット校」に指定された。さらなる展望としては、英語だけでない他教材へのAIを導入の検討、川登中学校を含んだ武雄市の全15の小中学校と連携してノウハウの蓄積を行っている。 </t>
  </si>
  <si>
    <t>機械学習の利用例を1つ出力してください。但し、以下の点に対応するように作成せよ。・利用例として扱った場所や団体などの固有名詞を記述すること・その例においてAIを導入することに至った問題点、そのAIの働き、導入後の効果を詳しく記述せよ。</t>
  </si>
  <si>
    <t xml:space="preserve">出展元や固有名詞を出すように指示を出すなどのように、できるだけ不確定な要素を減らした。
 </t>
  </si>
  <si>
    <t>事前準備でうまくいかないことが多かったので、事前準備の方法を動画に録画してもらってた方がやりやすかった。</t>
  </si>
  <si>
    <t>24238093@edu.cc.saga-u.ac.jp</t>
  </si>
  <si>
    <t>プログラミングは人間が書くもので、特定の出力が得られるの根拠が明確なうえ、そのアルゴリズムは固定されているものである。それに対し、機械学習はソフトウェアが書くもので、特定の出力が得られるための根拠が曖昧なうえ、アルゴリズムがデータに依存しているものである。人間は様々な経験から問題に対して、対応できるケースがあるが、AIはそうすることを目標としている。</t>
  </si>
  <si>
    <t>自動運転
・どんな場面か→車の周囲の物体検出や交通状況の予測
・どんな技術か→画像認識、強化学習
・どう使われているか→カメラやセンサーの情報をAIが予測し、動きを制御する。
・なぜ機械学習を使ったか？→複雑な環境にも柔軟に対応できる。</t>
  </si>
  <si>
    <t>「実世界での機械学習の利用状況を、利用される場面、技術、またどのように使われているか、さらになぜそのために機械学習を使ったのか、わかりやすく説明してください」</t>
  </si>
  <si>
    <t>自分が必ず欲している条件を読点を使って区切り、「わかりやすく説明」を追加して、理解するのに専門的な知識を必要としないように回答を得た。</t>
  </si>
  <si>
    <t>機械学習やディープラーニングをする場面では、何をするプログラムか説明して動きを論理的に理解したい。</t>
  </si>
  <si>
    <t>24238499@edu.cc.saga-u.ac.jp</t>
  </si>
  <si>
    <t>プログラミングはコンピュータに命令を与えて特定の処理を実行させることであり、機械学習はコンピュータがプログラミングなしでデータから学習し予測や判断を行う技術である。
プログラミングの技術を応用して実現できることは、ウェブサイトやアプリの開発、自動化ツールの作成などがあげられる。機械学習で実現できることは、顔認識や音声認識、自動運転や売り上げや天気の予測などがある。
プログラミングと機械学習はソフトウェアの開発手段として使われるが、目的やアプローチが異なる。基本的な考え方として、プログラミングでは人間がルールを決めるが、機械学習ではコンピュータがデータからルールを学ぶという違いがある。実装方法としては、プログラミングは手動でロジックを書くが、機械学習ではコンピュータがモデルを構築し、データで学習させるという違いがある。
機械学習は、人間が明示的にルールを定義できない複雑な問題を、コンピューターがデータから自動で学習して解決できるようにするために出てきた手法であるといえる。</t>
  </si>
  <si>
    <t>プログラミングについて概要を教えてください。機械学習について概要を教えてください。ソフトウェアでの実装手段として、プログラミングと機械学習の違いについての述べてください。</t>
  </si>
  <si>
    <t>資生堂ジャパンで機械学習が利用されている。資生堂ジャパンでは、新商品の発売前に販売量を予測するために機械学習を活用している。機械学習には、多様な社内外データ（過去の販売実績、トレンド、気象情報など）を利用している。また自動特徴量生成機能を活用して、精度の高い予測モデルを構築している。機械学習を利用して、発売前に販売量をシミュレーションし、原材料の確保や増産判断を前倒しで行えるようにし、予測結果は社内のダッシュボードで共有され、意思決定の迅速化に貢献している。またリードタイム（発注から納品までの時間）を2週間短縮した。従来の人手による統計分析では、予測精度に限界があり、過剰在庫や欠品のリスクが高かったが、機械学習を使うことで、より正確な予測が可能になり、機会損失を低減できるようになった。</t>
  </si>
  <si>
    <t>一番初めに行う環境構築が難しかったです。環境構築のやり方をもう少し詳しく説明した動画やサイトがあればいいなと思いました。</t>
  </si>
  <si>
    <t>24238440@edu.cc.saga-u.ac.jp</t>
  </si>
  <si>
    <t>プログラミングでは、人間がルールや手順を明示的に記述します。条件分岐や計算式などをコードに書き、それに従ってコンピュータが動作します。機械学習では、人間がルールを書く代わりに、データを使ってコンピュータが自らルールを学習します。正解付きのデータからパターンを見つけ出し、未知のデータに対しても予測できる。</t>
  </si>
  <si>
    <t>ソフトウェアでの実装手段として、プログラミングと機械学習の違いについての述べてください。</t>
  </si>
  <si>
    <t>交通業界におけるタクシー配車予測。
都市部のタクシー会社では、乗客の需要を予測して効率的に配車するために、AIを活用している。従来はベテランドライバーの経験や勘に頼っていた「どこに乗客がいるか」の判断を、データに基づいて予測するようになった。AIが30分後の乗客の出現確率を予測しドライバーに「今、どこに行けば乗客がいるか」をアプリで通知、配車アプリと連携し、リアルタイムで最適なルートを提案する。機械学習モデル（予測モデル）、ビッグデータ解析、時系列データ処理、地理情報（GIS）と統計データの統合が技術として利用されている。使用されるデータにはタクシーの走行履歴、気象データ、イベント情報、公共交通機関の運行状況、人口統計や周辺施設の情報を主に使用している。
＜なぜ機械学習を使ったのか＞
人間の経験に依存しない判断が可能で新人ドライバーでも判断がしることができる。
予測精度が高く、売上向上に直結しており実証実験では、1人あたり1日平均1400円以上の売上増加を記録されている。利用者の待ち時間短縮、利便性向上により、顧客満足度もアップにつながる。人手不足への対応にもなり、高齢化が進む業界で、効率的な運用が求められている</t>
  </si>
  <si>
    <t>ネットで検索したら出てくるのだが自分が検索して知りたかった内容全てが一度に出てくるわけではないが生成ＡＩは自分が質問したいことを聞くとそのことに関して一つ一つきちんと回答してくれるので利便性が高いと思った。</t>
  </si>
  <si>
    <t>機械学習モデル作成におけるコードの内容が分からなく、何をしているのか理解出来なかった。また、機械学習以前の環境構築の説明が少し分からない部分があったので動画で手順を説明した方が良いと思った。画像処理に関しては説明が分かりやすく手順も容易だったのでスムーズに行うことが出来た。</t>
  </si>
  <si>
    <t>24238385@edu.cc.saga-u.ac.jp</t>
  </si>
  <si>
    <t>プログラミングは、人間がルールや手順をあらかじめ明確に定義して実装する方法であり、四則演算のような計算や条件分岐、データの並べ替えなど手順が明確な処理に適している。一方で、機械学習は、人間がすべてのルールを書くのではなく、大量のデータをもとにコンピュータが自動的にパターンや特徴を学習する方法である。これはスマートフォンの予測変換や顔認証など、単純な条件分岐では対応できないような複雑な問題に有効であり、人間がルールを一つひとつ定義するのは現実的に不可能な場面に適している。従来のプログラムで解決できない課題の増加や、大量のデータ・高性能な計算資源の利用が可能になったことが機械学習という手法が出てきた一因である。</t>
  </si>
  <si>
    <t>ソフトウェアの実装手段としてプログラミングと機械学習の違いについて述べてください。初心者でもわかるようにお願いします。</t>
  </si>
  <si>
    <t>機械学習の利用状況として、スマートフォンの予測変換が挙げられる。予測変換には機械学習の仕組みが用いられており、利用者自身の過去の入力履歴や、多くの人が実際に使っている膨大な言語データを学習している。例えば「ありがとう」と入力した後に「ございました」や「ね」などの候補が出てくるのは、学習したデータに基づいて予測しているためである。この機能により、短い時間で効率よく入力できるようになっている。またユーザーごとの癖やよく使う表現にも適応するため、使えば使うほど自分に合った予測が提示される点も大きな特徴である。</t>
  </si>
  <si>
    <t>実世界での機械学習の利用状況としてスマホの予測変換があると思います。どんな場面でどんな技術がどんな使われ方をしているのか、なぜ機械学習を使ったのかを詳しく説明してください。</t>
  </si>
  <si>
    <t>「初心者でもわかりやすく」や「詳しく説明して」という文章を入れることで自分が理解しやすい回答が出てきやすいように工夫した。</t>
  </si>
  <si>
    <t>24238362@edu.cc.saga-u.ac.jp</t>
  </si>
  <si>
    <t xml:space="preserve">プログラミングは解法を設計したものに則って計算、シミュレーションをしているので、正確で再現性が高いものとなるのに対して、機械学習は学習アルゴリズムにデータを与えモデルがパターンを抽出して、予測をすることができるので、複雑な解法のものや、データからパターンを見つけることができる。
</t>
  </si>
  <si>
    <t>ソフトウェアでの実装手段として、プログラミングと機械学習の違いについて対照的に違いを分かりやすく教えてください。</t>
  </si>
  <si>
    <t xml:space="preserve">金融(銀行・証券・決済)において不正検知が取引パターンの異常を検出するのに使われている。なぜ機械学習が使われているのかというと大量で多様なデータから複雑なパターンを自動的に抽出し、リアルタイムで意志判断や自動化を行えることから、精度の向上、コスト削減が期待できるから。
</t>
  </si>
  <si>
    <t>現代の社会において機械学習(AI)はどこで、何が、どのようにして使われているのか、またそこで機械学習を利用した理由を詳細にわかりやすく教えてください。</t>
  </si>
  <si>
    <t>聞かれていることに沿うように生成AIに聞くようにした。</t>
  </si>
  <si>
    <t>環境構築の際に分かりずらいところがあったので、
そこを改善してほしい</t>
  </si>
  <si>
    <t>24238361@edu.cc.saga-u.ac.jp</t>
  </si>
  <si>
    <t>プログラミングは人間が機械の動作を直接設定するのに対して、機械学習は大量のデータを機械に与えることでコンピュータの動作を学習させる。プログラミングにおいて音声認識や画像認識などを行う際、人間が一から動作に設定をすることは現実的でなかったが、機械学習を用いることでデータから自動的にパターンを抽出することで大量のデータさえあれば複雑なものでも扱えるようになった。具体的に、プログラミングは計算や会計システムなどルールが明確な処理に特化しているののに対して、機械学習は音声アシスタントや自然言語処理に特化している</t>
  </si>
  <si>
    <t>ソフトウェアの実装手段としてプログラミングと機械学習の違いについて根拠を示しながら説明して。このときなぜ機械学習という手法が出てきたのか、実現出来ることの違いなどを説明して。</t>
  </si>
  <si>
    <t>PayPayでは利用者の不正検出やリスク管理で機械学習の技術が用いられている。過去の取引データやログデータを用いて「普通/異常」のパターンをモデル化し分類モデル、ディープラーニングといった技術が用いられている。人手では取引件数が膨大でありほぼ不可能であるが機械学習を用いると、膨大な取引データをリアルタイムで検出できるというメリットがある。</t>
  </si>
  <si>
    <t xml:space="preserve">実世界の社会や企業で機械学習はどのように利用されている？どんな技術、使われ方、なぜ機械学習を使うのかを説明して。またどの企業か、情報源も示して。
 </t>
  </si>
  <si>
    <t>長文で説明するのではなく簡潔に用件をまとめ、正確性の担保のため情報源も示すように指示をした。</t>
  </si>
  <si>
    <t>AIについての知識が曖昧なまま実習を行い混乱してしまった部分があったので明確なゴールを作たうえでそのプロセスまで説明してくれると分かりやすかった。</t>
  </si>
  <si>
    <t>24238359@edu.cc.saga-u.ac.jp</t>
  </si>
  <si>
    <t>機会学習とプログラミングの違いはルールを誰が作るかという部分である。プログラミングは、開発者がルールやアルゴリズムを明確に記述する。なのでルールがはっきりしている問題に対してプログラミングは強い。それに対して機械学習は、開発者はルールを直接書かず、代わりにデータを与えてコンピュータ自身にルールを見つけさせる。なので機械学習は正確なルールを人間が書きにくい問題に強い。</t>
  </si>
  <si>
    <t>機械学習とプログラミングの違いをわかりやすくまとめて</t>
  </si>
  <si>
    <t>顔認証でスマホのロックを解除する時に画像処理と機械学習を使って登録してあるデータと照合して本人からどうかを判定している。顔認証では、個人ごとに微妙に異なる特徴を捉える必要があり、高速かつ高精度な照合が可能なためである。</t>
  </si>
  <si>
    <t>24238349@edu.cc.saga-u.ac.jp</t>
  </si>
  <si>
    <t>「プログラミング」と「機械学習」は、現代の問題解決のために利用される手法である。どちらも似ているようにみえるが、本質的には異なるアプローチを取っていて、それぞれが得意とする分野や適用可能な問題の性質も異なる。その違いの一つとして、「プログラミング」の本質は人間が世界をどう理解しているのかをコードにする「設計」にあり、「機械学習」の本質は、世界がどうなっているかをデータから「発見」する行為であるということだ。
ではなぜ、「機械学習」という手法が出てきたのか。それは人間の限界を補完するためである。講義でもおっしゃっていたように点検という作業において、専門家でもミスを犯したり、またそれを行うのに莫大な時間がかかる。つまり、人間の認知能力や経験には限界があるということだ。「機械学習」モデルを活用し、大量のデータを学習させることで、高精度で異常を検出することが可能になった。</t>
  </si>
  <si>
    <t>上記の質問についてレポートにまとめたいため、キーワードや伝えるべきポイントを書き出して、意図などもそれぞれまとめて。
より詳細に説明して。</t>
  </si>
  <si>
    <t>実世界での機械学習の利用状況として、セブンイレブンの新商品開発が挙げられる。今までは、人間の経験や勘に頼った商品開発をしていたが、現在は売り上げデータや購買履歴を機械学習を用いて分析を行い、需要予測を行う。また、時系列解析を行い、季節性やトレンドを考慮した予測モデルの構築も行われている。これらの技術により、ヒット商品の予測精度が格段に向上し、開発スピードも大幅に改善された。
機械学習が導入された背景としては、消費者の嗜好が多様化され、絶えず変化する中、リアルタイムでの分析が必要となり、商品開発に長い時間をかけれなくなったためである。それにより、トレンドに即した商品を素早く提供することができる。</t>
  </si>
  <si>
    <t>上記の質問について例を一つ述べて。
根拠となるデータを複数挙げて、またそれが確かな情報か精査して。またあなたの予想であれば予想だということを明記して。</t>
  </si>
  <si>
    <t>その情報が果たしてAIの予測による不確かなものなのか、事実なのかを確実にするため聞きました。</t>
  </si>
  <si>
    <t>時々流れるBGMがリラックスるものではなくEDM的なものがあり、それが流れる時はあまり集中できなかったです。</t>
  </si>
  <si>
    <t>23238312@edu.cc.saga-u.ac.jp</t>
  </si>
  <si>
    <t>プログラミングは予め人間が手順を提示しコンピューターに忠実に実行させる手法であるが、複雑なパターンを含む作業や人間が規則を定義しにくい問題等には弱い。
そういった背景から弱点を補う形で機械学習が生まれ、大量のデータからパターンを抽出することで人間が定義しにくい規則を得られるようになった。
なので画像判定など人の感覚に近い推定を行いたいのであれば機械学習、一貫性のｐある判定処理に関してはプログラミングが適しているといえるだろう。</t>
  </si>
  <si>
    <t>人の感覚に近い分析ができるのは、機械学習、プログラミングのどちらだと思いますか</t>
  </si>
  <si>
    <t>検索エンジン
検索エンジンでは、ユーザーの検索意図を理解し各個人にとって最適な結果を提示するために機械学習が利用されている。自然言語処理で文章を解析し、ランキング学習やディープラーニングで関連度を評価、過去の行動に基づきパーソナライズも行う。人間がルール化しにくい文脈や意味をデータから学習できるため、精度の高い検索結果と利用者満足度の向上が可能となる。</t>
  </si>
  <si>
    <t>検索エンジンについて、どのような形でAIが使われているのか教えて</t>
  </si>
  <si>
    <t>直接アンサーを求めないこと</t>
  </si>
  <si>
    <t>環境構築についてもう少し授業で体系化してもいいと思う</t>
  </si>
  <si>
    <t>24238372@edu.cc.saga-u.ac.jp</t>
  </si>
  <si>
    <t xml:space="preserve">プログラミングはルールが明確な問題(ex.交通信号の制御は、時間やセンサーに基づく決まった動作がある)に強く、それに対し機械学習はルールが曖昧で、データが豊富な問題(ex.顔認識は顔の形や色、表情などが多様で、特徴を手書きで定義できない)に強い。 両者は補完関係にあり、現代のソフトウェアでは両方を組み合わせることが一般的である。
</t>
  </si>
  <si>
    <t xml:space="preserve">ソフトウェアでの実装手段として、プログラミングと機械学習の違いについての述べてください。例えば、なぜ機械学習という手法が出てきたのか? 例えば、実現できる事の違い、など。を分かりやすくまとめて。
出てきた答えに対してルールが明確な問題とルールが曖昧な問題の例を教えてと入力し具体例を出して分かりやすくした。
</t>
  </si>
  <si>
    <t xml:space="preserve">セブン-イレブンのAI活用：商品発注の自動化
 活用場面は店舗で売る商品を「どれだけ仕入れるか」を決めるときに使われています。
使われている技術は機械学習（AI）が、過去の売上データ・天気・曜日・イベント情報などをもとに「明日どの商品がどれくらい売れるか」を予測します。
使われ方は店舗の場所や客層に合わせて、AIが個別に最適な発注量を計算してくれます。その例として「明日は雨だから、おでんがよく売れる」とAIが判断し、店員に「おでんを多めに発注しましょう」と提案することなどがあります。機械学習を使う理由は、- 店員の経験だけでは限界があるため、AIがデータからパターンを学んで予測する方が正確で効率的だからです。
</t>
  </si>
  <si>
    <t xml:space="preserve"> 実世界 (社会や企業・組織など) での機械学習(AI)の利用状況1つを調査。どんな場面で、どんな技術が、どんな使われ方をしているのか? なぜ、機械学習を使ったのか?を簡単にわかりやすく説明して、具体例も出して。
</t>
  </si>
  <si>
    <t>説明を簡単にしてと頼むことで、読み手が分かりやすいようにした。また具体例も求めて、より分かりやすくなるようにした。</t>
  </si>
  <si>
    <t>グループで課題を提出するものがあったけどグループだと課題をする人が偏ると思った。だから、課題は最終的に個人で出すほうがいいと思った。</t>
  </si>
  <si>
    <t>24238283@edu.cc.saga-u.ac.jp</t>
  </si>
  <si>
    <t>プログラミングは，人間がルールや手順を明示的に記述し，コンピュータに処理方法を教える方法．例えば，会計処理や予約管理システム，決まった処理や業務ロジックなどルールが明確な問題に適している．一方，機械学習は複数のデータからパターンを学習し，ルールをコンピュータ自身が自動的に構築する方法．画像認識や音声認識，自然言語処理など，人間ではルール化が難しい問題に向いている．また機械学習が登場した理由として複雑な問題への対応やデータの増加，計算資源の進化などが挙げられる．</t>
  </si>
  <si>
    <t>プログラミングと機械学習の違いを実現できることの違いを交えて教えてください．</t>
  </si>
  <si>
    <t>特になし</t>
  </si>
  <si>
    <t>現代の人手不足や働き方改革への対応，生成AI技術の発展を背景に三菱UFJ銀行では，業務の高知塚と提案品質の向上を目的として，生成AIを導入している．具体的には，営業提案書の作成やコールセンター業務などに活用されており，定型業務の自動化によって，行員がより付加価値の高い業務に集中できるようになっている．また，機械学習は人間では困難な顧客のニーズの予測を明確なルールの定義が可能で，継続的に学習と改善を繰り返すことができるため使われている．</t>
  </si>
  <si>
    <t>2025年現在の社会や企業における機械学習の利用状況を教えてください</t>
  </si>
  <si>
    <t>できるだけ無駄な言葉を省いて聞きたい内容だけを短く聞くようにした．また，最新の情報が欲しかったので2025年もPromptに付け加えた．</t>
  </si>
  <si>
    <t>序盤のオリエンテーションから専門用語が多かったら2日間を通して何を目的とした時間なのか分かりにくかった．</t>
  </si>
  <si>
    <t>24238417@edu.cc.saga-u.ac.jp</t>
  </si>
  <si>
    <t>従来の人間によるプログラミング実装では、初めから要求する最適解に向けてプロセスを明確に設計しコードを組むことに対して、機械学習では統計量を用いたデータを大量に用意し、その内容を読み取ることから目的への最適解となるよう反復試行を繰り返し作成される。
また、エラーへの対処法は従来型では「入力値がゼロ」や「ファイルが見つかりません」などの原因を明確化して、開発者の修正する手段も設定する。
機器学習においては、反復的な思考であるため未知のデータが入力された場合もプログラムを停止することなくこれまでの統計的なデータに基づいて思考を試みる。
複雑なプログラムになればなるほど、手動ではすべてを確認することは難しく、誤った出力となっても対処が難しくなる。機械学習を用いることで手動では確認が難しかったコードも反復的な思考で様々な手段の対処法を考えることが出来る。そして、プログラマーがいなくなってしまうと、どんなコードだったかの解明も無地かしくなる。このような場合も機械学習に頼ることで、解明することが可能となる。</t>
  </si>
  <si>
    <t>・ソフトウェア実装において、手動によるプログラミングのような「プロセス設計」と、機械学習による「データからの反復試行」以外に特に重要な違いを教えて。</t>
  </si>
  <si>
    <t>機械学習に向いている、つまり大量の統計量を入手可能で、そのデータを用いることで我々に適切なコンテンツを提供するようなシステムで特に多く使われている。ユーザーの行動ログから、ウェブ広告・SNS内のおすすめ表示などの多くのコンテンツで、1人1人の趣味嗜好に合わせたコンテンツを提供してくれる。これらのサービスは様々な情報がインターネット上に存在する情報社会である以上、データを生かすという行為が非常に有効である。便利なサービスを提供するために機械学習を使ったともいえる。</t>
  </si>
  <si>
    <t>大量のデータを持ち、そのデータ内の複雑なパターンを認識したり、将来の結果を予測したりすることによって、ビジネス上の意思決定や製品価値が大幅に向上する企業はどのような企業か。また、その企業はなぜ機械学習を利用する必要があったのか。</t>
  </si>
  <si>
    <t>機器学習において必要となる要素を明確化し、その要素を用いてビジネスをすることが出来る企業や仕事を見つけやすいように工夫した。</t>
  </si>
  <si>
    <t>初めの環境設定から少し戸惑って時間を要してしまったので、大変な作業なことは承知ですが、画面遷移時の画像を1枚ずつ表示していただくか、設定作業の動画をいただけますと非常に助かると感じました。実習内容自体は非常に勉強になりました。</t>
  </si>
  <si>
    <t>24238228@edu.cc.saga-u.ac.jp</t>
  </si>
  <si>
    <t>プログラミングは計算手順が明確な処理で数値計算、データベース処理などルールを人間が正確に記述できる場合に強い。一方で機械学習はルールが複雑すぎて人間が書けない処理などであり、パターン抽出や予測に強い。</t>
  </si>
  <si>
    <t>プログラミングと機械学習の得意場面の違い</t>
  </si>
  <si>
    <t>パナソニックによる生成AIアシスタントの導入がある。パナソニックが開発した社内AIアシスタントを社員向けに展開した。これは労働時間削減や、スキル向上などのために利用されている。社内の情報の検索や文書作成支援、商品企画などのためにも利用されている。自然言語処理や大規模言語モデル、機械学習による最適化などの技術が使用されている。</t>
  </si>
  <si>
    <t>日本企業の機械学習の利用例。またそこに使用されている技術</t>
  </si>
  <si>
    <t xml:space="preserve">日本国内での利用例を調べた点
</t>
  </si>
  <si>
    <t>環境構築を1人で家出するのは難しかった。
電波が重くなって利用できない時があった</t>
  </si>
  <si>
    <t>24238475@edu.cc.saga-u.ac.jp</t>
  </si>
  <si>
    <t>ソフトウェアの実装には、プログラミングと機械学習の二つの方法がある。プログラミングは人間が手順や乗ン件を設計してコード化するため、処理の内容や結果が明確で、計算や検索などルールがはっきりした問題に適している。これに対し機械学習は、大量のデータを用いてコンピュータ自身が規則を隔週する方法であり、画像認識や音声認識のようにルール化が難しい複雑な問題に強い。ただし結果の仕組みは理解しにくく、ブラックボックス化しやすいという課題もある。</t>
  </si>
  <si>
    <t>ソフトウェアの実装手段として、プログラミングと機械学習の違いについてわかりやすく説明してください。</t>
  </si>
  <si>
    <t>実世界では廃棄物処理の現場で機械学習が活用されている。カメラで廃材を撮影し、画像認識によって材質や形状を判定し、ロボットが自動で分別する仕組みである。人手不足や作業の負担軽減、処理効率の向上が目的で、従来のプログラミングでは複雑すぎる判定を、学習済みモデルが高精度に行える点が採用理由となっている。</t>
  </si>
  <si>
    <t>実世界での機械学習の利用状況を1つ、人があまり考えなさそうな例で紹介してください。</t>
  </si>
  <si>
    <t>なるべく人と被らないようにするために、「人があまり考えなさそうな例で」と書いた</t>
  </si>
  <si>
    <t>環境設定が少し大変だったが、授業自体は特に問題なく受講することができた。</t>
  </si>
  <si>
    <t>24238091@edu.cc.saga-u.ac.jp</t>
  </si>
  <si>
    <t>プログラミングは人間がプログラムのコードを作成するのに対し、機械学習は人間がデータを渡し、そこからコンピュータが決まった規則を推測する、という違いがある。プログラミングでは四則演算や確率計算など、ルールがはっきりしていて手順が論理的に説明できるものを得意とする。しかし、例えば写真からそれがなんの動物か判別したいとき、その判別方法は論理的に説明することは難しい。それを解決するのが機械学習であり、複数の写真をデータとして与えることで機械自身が学習し、見分けることができるようになる。</t>
  </si>
  <si>
    <t>ソフトウェアでの実装手段として、プログラミングと機械学習の違いについてわかりやすく説明してください。また、なぜ機械学習という手法が出てきたのですか？</t>
  </si>
  <si>
    <t>AmazonやYouTubeなどでおすすめの商品や動画を提示するシステムがある。これは、その人が過去に閲覧した商品や購入した商品などをもとに、好みを分析し、その人独自のおすすめを作ってくれるものである。利用者ごとに好みが異なるので人間がルールを定義することは不可能であること、膨大な行動データから似たユーザーの傾向を学習し、精度の高い提案ができることが機械学習を使った理由である。</t>
  </si>
  <si>
    <t>少し用語が難しい箇所があったのでパソコンに疎い人にも分かるようにしてほしいです。
今まで考えたことが無かった機械学習の領域を教えていただいてすごくためになりました。</t>
  </si>
  <si>
    <t>24238496@edu.cc.saga-u.ac.jp</t>
  </si>
  <si>
    <t>プログラミングは、人間が明示した指示をルールとして、明確なロジックをもとに処理を行うものである。ルール化できる問題に対応することに向いている。機械学習は多数のデータをもとに、機械にデータの特徴などを学ばせる仕組みのこと。データから学んだパターンをもとに機械が自主的に予測を立てるため、明確なルールを人間の手で決めない。</t>
  </si>
  <si>
    <t>プログラミングと機械学習の違いとは何だろう。できることや、その構造などをわかりやすく教えてほしい。</t>
  </si>
  <si>
    <t>具体的に聞きたいことのみに着目して尋ねた</t>
  </si>
  <si>
    <t>ATMの通話振り込め詐欺に対する、通話動作AI検知センサー(例TCI)。ATM前における通話中などの動作をAIに検知させる。通話による振り込め詐欺の動作パターンに着目し、AIを使うことで低コストで犯罪への対策ができるため。</t>
  </si>
  <si>
    <t>pythonやanacondaの学習した時期から少し時間がたっていたため、コードが難しく感じた。</t>
  </si>
  <si>
    <t>24238421@edu.cc.saga-u.ac.jp</t>
  </si>
  <si>
    <t>プログラミングは人間がルールを書き、明確な手続きな問題に強いのに対し、機械学習はコンピュータがデータからルールを学び、あいまいなパターンや膨大な変化に強いという違いがある。機械学習はルールを明示できない問題で人間がコードを書くことがほぼ不可能になったときに必要になりその手法が出てきた。具体的にはプログラミングは数値計算や制御システムが、機械学習は画像認識や音声認識が実現できます。</t>
  </si>
  <si>
    <t>私は理系大学生でいまAI実習という授業を受け、生成AIについて学んでいます。 ソフトウェアでの実装手段として、プログラミングと機械学習の違いについての述べてください。例えば、なぜ機械学習という手法が出てきたのか? 例えば、実現できる事の違い、など。ステップバイステップで考えてください。</t>
  </si>
  <si>
    <t>金融業界における機械学習を活用した事例について調査しました。特にクレジットカード決済やオンラインバンキングで使われています。教師あり学習と異常検知モデルを組み合わせて、過去の取引データを学習させ取引金額や時間帯など様々なデータから、各取引に対して不正リスクスコアを算出させる。高リスク取引をリアルタイムでブロックまたは追加認証する役割を担っている。その結果不正検知精度が向上しリアルタイム対応で被害額を大幅削減することができている。</t>
  </si>
  <si>
    <t>私は理系大学生です。いまＡＩ実習という授業を受けており生成ＡＩについて学習しています。実世界 (社会や企業・組織など) での機械学習(AI)の利用状況1つを調査。どんな場面で、どんな技術が、どんな使われ方をしているのか? なぜ、機械学習を使ったのか?ステップバイステップで説明してください。金融分野の不正検知を詳しく説明してください。</t>
  </si>
  <si>
    <t>自分のことを教えることでそのレベルに合わせた説明を受けれるように工夫した。またステップバイステップで説明をお願いすることで順を追って理解できるようにした。</t>
  </si>
  <si>
    <t>事前にやらせる環境準備のやり方をもっとわかりやすく教えてほしかった。</t>
  </si>
  <si>
    <t>24238191@edu.cc.saga-u.ac.jp</t>
  </si>
  <si>
    <t>プログラミングは、人間がコンピュータに明確なルールを一つひとつ教え込む手法。計算やWebサイトの表示など、答えが一つに決まる処理を得意とする。一方、機械学習は、大量のデータからコンピュータ自身がルールやパターンを発見する手法。猫の画像を大量に見せて「猫とは何か」を学ばせるように、状況で変化したりする問題に対応するために生まれた。
これにより、画像認識や未来予測、迷惑メール判定といった、曖昧な判断が求められるタスクが可能になった。</t>
  </si>
  <si>
    <t>工場の生産ラインで、ベルトコンベアを流れる部品や製品に傷や汚れがないかをチェックする場面。
まず、AIに大量の「正常な製品」の画像を学習させ、「正常な状態とは何か」のパターンを覚えさせる。ライン上を製品が通過すると、カメラが撮影し、AIがその画像と学習した「正常パターン」を比較する。もし画像がパターンから大きく逸脱していれば、それを「異常（不良品）」として瞬時に検出し、自動で仕分けする。従来の人間の目視検査では、見逃しや担当者ごとの判断のばらつきが課題だったため、機械学習を使ったのだろうと考えた。</t>
  </si>
  <si>
    <t>環境構築の資料をわかりやすくする。</t>
  </si>
  <si>
    <t>24238111@edu.cc.saga-u.ac.jp</t>
  </si>
  <si>
    <t>プログラミングと機械学習は、どちらもソフトウェアを作るための実装手段です。
プログラミングは、人間がルールを細かく書き、そのとおりにコンピュータを動かす方法です。これは「レシピを見て料理を作る」ことに似ています。レシピ通りなら必ず同じ料理が作れますが、材料が足りないときなど応用は苦手です。
一方で機械学習は、人間がルールを決めるのではなく、データをたくさん見せてコンピュータ自身にルールを学ばせる方法です。これは「子どもがいろいろな料理を食べて味を覚え、自分なりに作れるようになる」ことに似ています。細かい作り方を教えなくても、経験からだんだん学んで応用ができます。
そのため、プログラミングは「計算」や「条件がはっきりしている処理」に向き、機械学習は「画像認識」や「音声認識」などルールを人間が書きにくい処理に向いています。
つまり、どちらもソフトウェアの実装手段ですが、適する場面が異なるという違いがあります。</t>
  </si>
  <si>
    <t>ソフトウェアでの実装手段として、プログラミングと機械学習の違いについて教えて
普段の日常生活でわかりやすい違いも教えてほしいな</t>
  </si>
  <si>
    <t>実世界における機械学習（AI）の利用事例として、銀行や金融機関での「不正送金・不正取引の検知」を紹介します。
銀行では振り込め詐欺やマネーロンダリングなど、不正なお金のやり取りを早期に見つける必要があります。従来は「一定金額を超えたら警告」「特定の国への送金はチェック」といったルールを人間が定め、それに基づいて監視していました。しかし、犯罪の手口は年々巧妙化しており、固定的なルールだけでは新しい不正パターンを見逃すことが多くなっていました。
そこで導入されているのが機械学習です。過去の膨大な取引データを使って「正常な取引」と「不正な取引」の特徴を学ばせることで、AIは「なんとなく怪しいパターン」を自動で見抜けるようになります。技術的には、各銀行が保有するデータを持ち寄らなくても学習できる「連合学習（Federated Learning）」という仕組みが活用されています。これは、顧客の個人情報をそのまま共有せず、各銀行内で学習したモデルの情報だけを集めることで、プライバシーを守りつつ協力できる方法です。さらに暗号化技術を組み合わせることで、データの安全性も確保されています。
実際の実証実験では、複数の銀行が協力してAIを学習させることで、従来のルールベースでは見逃していた不正取引を高い精度（80％以上）で検出することに成功しました。これにより、口座凍結や被害防止を従来より早い段階で行えるようになり、業務効率の向上や人的コストの削減にもつながっています。
このように金融分野で機械学習が使われている理由は、主に次の3点です。
 1. 不正の手口が複雑化し、人間がルールを一つひとつ書くのでは対応しきれないため。
 2. 複数の銀行が協力してデータを活用することで、より多様なパターンを学習できるため。
 3. モデルが経験を積むことで、未知の新しい手口にも柔軟に対応できる可能性があるため。
まとめると、金融機関での不正検知は、固定的なルールでは限界がある分野であり、機械学習を活用することで「複雑で曖昧なパターンを見つけられる」点が最大のメリットです。社会的にも重要な分野であり、今後さらに多くの組織でAIの利用が進んでいくと考えられます。</t>
  </si>
  <si>
    <t>今の日常になににAIは使われてる？
どんな場面かどんな技術か、どんな使われて方をしているかわかりやすいものがいいな
なんでそれはAIをつかいだしたの？</t>
  </si>
  <si>
    <t>普段AIやプログラミングを深く勉強するコースではないのでおもしろかったです。
失敗してもどうしてそうなったのか？成功するためにはどうすればいいのか？を、グループで意見を出し合うのがすごくいいと思いました。</t>
  </si>
  <si>
    <t>24238067@edu.cc.saga-u.ac.jp</t>
  </si>
  <si>
    <t>プログラミングは人がルールを定義するのに対し機械学習はデータからルールを学習する。明確なルールを人間が見いだせないときに機械学習が用いられる。現実社会で人間がルールを明確化できなくなる事象が多くなったため機械学習という手法が出てきた。</t>
  </si>
  <si>
    <t xml:space="preserve">ソフトウェアでの実行手段として、プログラミングと機械学習の違いについて
</t>
  </si>
  <si>
    <t>Googleなどの検索エンジンで検索順位の決定や関連情報の提示など
似たようなものでSNSのおすすめに表示される動画
ユーザーが入力したキーワードを解析しスペル訂正や拡張を行うクエリ処理
ユーザーのクリック履歴や検索履歴を利用して検索結果の順位に反映させる</t>
  </si>
  <si>
    <t>実社会での機械学習(AI)の利用状況とそれに用いられている技術</t>
  </si>
  <si>
    <t xml:space="preserve">できるだけ簡潔に質問通りにPromptを作成した
</t>
  </si>
  <si>
    <t>事前準備の環境作成でどこのどれを触ればいいかの指示が少なかったのでできればファイルの作成時などに画像を添付してほしい。Teamsの質問を見返すとわかりやすかったのでこれをそのまま載せててもいいと思う。</t>
  </si>
  <si>
    <t>24238479@edu.cc.saga-u.ac.jp</t>
  </si>
  <si>
    <t>プログラミングでは人がある場合にはこういった処理をするというルールをあらかじめ決めてからコードを書くが、機械学習は人が細かいルールを作るのでなく膨大な量のデータを利用しコンピュータにパターンを学ばせる方法となっている。機械学習という手法が出てきた理由としてプログラミングで解決できる問題に限界が出てきたためである。例としてキリンの写真を見分けるプログラムを作れと言われても耳の形や模様、毛並みなどの特徴が無限にあるため人間が条件をすべて書くのは無理があるが、キリンの写真を大量に学習させることでコンピュータが自動で見つけてくれる。まとめとしてこの二つには実現できることの違いとして、プログラミングは手順がはっきりしているデータ処理、計算があげられ、機械学習は正解を定義しにくいがデータのたくさんある問題、画像・音声認識などの複雑なことの実現があげられる。</t>
  </si>
  <si>
    <t>最近のソフトウェア開発では、従来のプログラミングと機械学習の両方が使われています。それぞれの考え方や役割の違い、そして機械学習が必要とされるようになった理由を、大学生向けに文章を作成してください</t>
  </si>
  <si>
    <t>機械学習でデータを学習させる場合最低どの程度の量が必要なのか</t>
  </si>
  <si>
    <t>病院等でＸ線、MRIなどの画像を撮影した後、その画像の中から異常を自動で検出、着目点を提示する支援として使われている。この分野では主にディープラーニングが画像から特徴を抽出して分類や検出を行うために使われている。また、少ないデータしか得られない場合を考慮して、転移学習を使う事例もある。理由として学習用の医療画像は専門家によるアノテーションが必要で、それがコストや工数の障壁になるためである。
医療画像診断支援に機械学習が使われる理由は主に間に書ききれない複雑な特徴を深層学習は画像から自動で特徴抽出できる。大量の画像データを使ってモデルを訓練すれば、異常を正しく見つけたり誤検出を減らしたりする精度を改善できることがあげられる。</t>
  </si>
  <si>
    <t>社会や企業で実際に使われている機械学習の事例を一つ取り上げて説明してください。その事例について、どのような場面で使われているのか、具体的にどんな技術が用いられているのか、さらに従来の方法ではなく機械学習を使う必要があった理由も書いてください</t>
  </si>
  <si>
    <t>具体的な使われ方を知るために一度調べてみて内容を考えた</t>
  </si>
  <si>
    <t>演習の内容はとても楽しくできた。特に不自由なく参加できよかったと思う。</t>
  </si>
  <si>
    <t>24238018@edu.cc.saga-u.ac.jp</t>
  </si>
  <si>
    <t>プログラミングは、人がルールを決めて書くもので、ルールが明確な処理（計算、データ整形など）に向いている。それに対して、機械学習は、データからルールを学ぶもので、ルールが複雑で人が書きにくい問題（画像認識など）に強い。</t>
  </si>
  <si>
    <t>ソフトウェアでの実装手段として、プログラミングと機械学習の違いについて、わかりやすく、簡潔にまとめてください。また、情報の元となったWebサイトを明確にしてください。</t>
  </si>
  <si>
    <t>小売業、飲食業、製造業などで、教師あり学習が、過去の販売データや市場動向を分析し、将来の商品の需要を予測することに使われている。従来は「経験や勘」に頼っていた予測を、AIがデータに基づいて高精度に予測することで、業務の効率化とコスト削減が可能になる。</t>
  </si>
  <si>
    <t>実世界での機械学習（AI）の利用状況１つを調査して、わかりやすく、簡潔にまとめてください。また、情報の元となったWebサイトを明確にしてください。</t>
  </si>
  <si>
    <t>ネット上の情報が必ず正しいとは限らないので、1次情報を確認するため、情報元となったWebサイトを明記するようにPromptを工夫した。</t>
  </si>
  <si>
    <t>今回、生成AIの様々な使い方を知れてよかったので、来年度でも継続してほしい。</t>
  </si>
  <si>
    <t>24238110@edu.cc.saga-u.ac.jp</t>
  </si>
  <si>
    <t>プログラミングは、開発者がルールや手順を明示的に記述するため、決まりきったルールやアルゴリズムが明確な場合に有効なのに対して、機械学習は開発者がルールを直接書くわけではなくデータを与えることによってモデルに学習させるため、人間がすべての条件を定義しづらいケースに強いという違いがある。</t>
  </si>
  <si>
    <t>ソフトウェアでの実装手段として、プログラミングと機械学習の違いについての述べてください</t>
  </si>
  <si>
    <t>実世界における機械学習の利用状況の一つとして、医療における疾病予測・管理が挙げられます。例えば、がんの予後予測、分類問題に対しては、得られるデータが少ないため、少ないデータでも特徴をうまく扱えるサポートベクターマシンというモデルが使われています。
機械学習を使うことで、人間では困難な大量・多量のデータを扱うことができ、予測精度を上げて早期発見や治療改善が期待できるため医療において機械学習の利用が行われています。</t>
  </si>
  <si>
    <t>実世界での機械学習の利用状況を１つ調査してください。どんな場面で、どのような技術がどんな使われ方をしているのか、また機械学習が使われている理由も含め具体的に調査してください。</t>
  </si>
  <si>
    <t>答えて欲しい情報を明確に指定し答え方も「具体的に」というキーワードを入れるようにした。</t>
  </si>
  <si>
    <t>24238203@edu.cc.saga-u.ac.jp</t>
  </si>
  <si>
    <t>プログラミングは明確なロジックがある問題に適用でき柔軟性が低いが、機械学習は複雑で曖昧な問題にも適用でき柔軟性がある。</t>
  </si>
  <si>
    <t>医療業界で、ディープラーニングによる画像認識と医療ビッグデータ解析などの技術を使い医療の診断を補助、病気の早期発見に役立つ
AIは人間では認識しずらい異常を高精度で検出できるため</t>
  </si>
  <si>
    <t>24238407@edu.cc.saga-u.ac.jp</t>
  </si>
  <si>
    <t>人間は「ルールを全部覚える」より「経験からパターンを学ぶ」ことで認識や判断をしている。
機械学習はこの考え方を取り入れ、データから自動的にルールを抽出する仕組みである。
インターネットやIoTの普及で、膨大なデータが生成され、活用するためには、ルールベースではなくデータ駆動型のアプローチが必要であり、GPUやクラウドコンピューティングの発展により、大規模なデータ処理や学習が現実的になった。
画像認識や音声認識など、ルールを人間が書けない複雑な問題を、データと計算力で解決するための機械学習が生まれた。
実現できることの違い、プログラミングはルールを人間が書くので明確な問題に強い。
機械学習はルールをデータから学ぶので複雑で曖昧な問題に強い。</t>
  </si>
  <si>
    <t>プログラミングと機械学習</t>
  </si>
  <si>
    <t>動画生成AIを用いた広告の作成
撮影やスタジオ費用などコスト削減、従来より短期間での作品の完成、現実では難しいシーンやファンタジー表現が容易である。AIを活用することで「テクノロジーに強い」「未来志向」という印象を与えられ、特に若年層やデジタルネイティブ層に好印象を与えることが期待される。</t>
  </si>
  <si>
    <t>生成AIを用いることによるイメージへの影響</t>
  </si>
  <si>
    <t>環境設定に時間がかかった。</t>
  </si>
  <si>
    <t>24238261@edu.cc.saga-u.ac.jp</t>
  </si>
  <si>
    <t>田村 惺椰</t>
  </si>
  <si>
    <t>プログラミングは、料理のレシピのようなもの。
人が「こうしたらいいよ！」というきまり（手順）をぜんぶ書くと、コンピュータはその通りに動きます。つまり、人が細かく指示しないと機能しません。
機械学習は、自分で勉強するロボットのようなもの。
人は「たくさんのお手本」を見せるだけで、ロボットが自分で法則や規則を見つけて学びます。
世の中には、きまりをぜんぶ書くのが難しい問題があります。
たとえば写真の中から「猫」を見つける場合、耳の形や色のパターンを全部書いたら何万ページにもなってしまいます。
だからこそ、コンピュータ自身に学ばせる機械学習という方法が生まれました。
難しくて複雑な仕事をさせたいときには、機械学習の力が必要なのです。</t>
  </si>
  <si>
    <t>ソフトウェアでの実装手段として、プログラミングと機械学習の違いについて何も知らない小学生でも分かるように教えて。また、例えば、なぜ機械学習という手法が出てきたのか? 例えば、実現できる事の違い、などについても調べて。</t>
  </si>
  <si>
    <t>病院での医療画像（レントゲン・CT・マンモグラム）診断支援
病院では、患者さんの体の中を調べるためにレントゲン写真やCT画像を撮ります。
でも、その画像の中から「がんのサイン」や「骨の異常」などを見つけるのは、とてもむずかしくて、医師の目だけに頼ると見落としてしまうことがあります。そこで登場するのがAIによる診断支援です。
ここで使われるのは深層学習（ディープラーニング）という機械学習の仲間です。
たとえば、AIに「病気がある画像」「病気がない画像」を何十万枚も見せると、AIはだんだんと「ここに影があると病気かもしれない」というようなパターンを覚えます。
この仕組みを使うと、AIは新しい画像を見たときに「この部分があやしいよ」と教えてくれるようになります。
患者さんがレントゲンやCTを撮る、まずは医師が画像を確認、同時にAIも画像をチェックして、「ここに注目して」と知らせる。医師はAIの指摘を参考にして、より早く正確に診断できる
つまり、AIはお医者さんの目をサポートする助手のような存在です。
「もし影の大きさが〇cmなら病気」といった単純なルールでは、すべてのケースに対応できません。病気の形や場所はとても多様だからです。
AIはたくさんの例を学ぶことで、人間が言葉で説明できないような細かい特徴も見つけられます。
また、医師の負担を減らせる。毎日何百枚もの画像を診る医師にとって、AIが手伝うと見落としが減り、診断もスピードアップします。このように、機械学習利用することで多くのメリットがあるため、機械学習が利用されている。</t>
  </si>
  <si>
    <t>実世界 (社会や企業・組織など) での機械学習(AI)の利用状況を複数調査して。どんな場面で、どんな技術が、どんな使われ方をしているのか? なぜ、機械学習を使ったのか?何も知らない小学生でも分かるように教えて。</t>
  </si>
  <si>
    <t>何も知らない小学生でも分かるように教えて。という文を付けることで分かりやすくした。
複数調査させることで自分で色々な情報を取捨選択できるようにした。</t>
  </si>
  <si>
    <t>環境構築ができていない人が多かったので、環境構築の動画を作り分かりやすくして欲しかった。</t>
  </si>
  <si>
    <t>24238036@edu.cc.saga-u.ac.jp</t>
  </si>
  <si>
    <t>プログラミングは、人間がルールを定義し演繹的にアプローチするが、機械学習はデータからアルゴリズムを生成し、帰納的にアプローチすることで、互いに補完的に活用されている</t>
  </si>
  <si>
    <t xml:space="preserve">プログラミングと機械学習の違いを初心者向けにわかりやすく説明してください。  
なぜ機械学習が生まれたのか、どんなことができるのか、簡単な例を使って教えてください。
</t>
  </si>
  <si>
    <t xml:space="preserve">プログラミングと機械学習では、ルールを人間が定義するかデータから学習するかという違いがありますが、これの実際の応用分野でどのように影響するのか説明してほしい
</t>
  </si>
  <si>
    <t>どんな場面：銀行やクレカの不正利用や詐欺の疑いの取引の検知。どんな技術か:・異常検知アルゴリズム・教師あり学習・深層学習、使われ方:取引データを特徴量化し、正常な取引パターンから逸脱している取引を検知。。なぜ機械学習を使ったのか:不正取引のパターンは複雑で、ルールベースのシステムだけでは新たな手口に対応しきれない。</t>
  </si>
  <si>
    <t xml:space="preserve">企業や社会での機械学習の利用例を1つ紹介してください。  
その利用場面、使われている技術、具体的な使われ方に加えて、導入時に直面した課題や今後の展望についても教えてください。  
また、なぜ機械学習が採用されたのか、その理由も説明してください。
</t>
  </si>
  <si>
    <t>具体例を1つに絞り、多角的に情報を引き出す設計、課題と展望を含み、なぜ機械学習を採用したのかという理由の明示したこと</t>
  </si>
  <si>
    <t>そもそもが難しい内容でいろんな専門用語を取り扱っているため、説明されてもその説明の使われている用語がわからないので、説明するよりももっと例題などを用いて演習を増やすのがいいなと思った</t>
  </si>
  <si>
    <t>24238148@edu.cc.saga-u.ac.jp</t>
  </si>
  <si>
    <t>従来のプログラミングは、人間がルールや手順を明確に記述してコンピュータに実行させる仕組みであり、数値計算や検索処理など規則が定まった課題に強みを持つ。しかし現実には、明確なルールを列挙できない、画像の中での判断や音声の中での判断などの複雑な問題が存在する。こうした課題に対応するために登場したのが機械学習である。機械学習は大量のデータを基にモデルが特徴を自動的に学習し、人間が規則を与えなくても予測や分類を可能にする。さらに新しいデータを追加することで精度を高め、環境の変化にも柔軟に対応できる点が大きな利点である。したがって、プログラミングは確実性や制御性に優れ、機械学習は適応性や柔軟性に優れるため、両者を組み合わせて活用することがソフトウェア開発の発展において不可欠である。</t>
  </si>
  <si>
    <t>プログラミングと機械学習の違いやそれぞれのメリットデメリットを教えて</t>
  </si>
  <si>
    <t xml:space="preserve">機械学習は医療の現場で利用されている。
レントゲンやCT画像の診断では、医師が膨大な画像を確認する負担や見落としのリスクが課題となっている。これを補うため、CNN（畳み込みニューラルネットワーク）などの深層学習を用いたAI診断支援が導入されている。AIは腫瘍や肺炎の影といった特徴を自動抽出し、異常の可能性を提示する。Google Healthは糖尿病性網膜症の検出に成功し、富士フイルムのソフトは肺がんや肺炎の診断を支援する。新型コロナの際も胸部レントゲンから肺炎進行度を判別するAIが活用された。導入理由は診断効率向上、見落とし防止、専門医不足解消であり、実際に診断精度向上や時間短縮といった成果が報告されている。今後は医師とAIが協働し、より質の高い医療提供が進むと期待されている。
</t>
  </si>
  <si>
    <t>実際に機械学習が使われている場面とどのように使われているかの利用状況を教えて。</t>
  </si>
  <si>
    <t>WiFiを強くし、できるだけ多くの生徒が実際にパソコンを動かして演習できる環境を作ればより良くなると考える。</t>
  </si>
  <si>
    <t>24238332@edu.cc.saga-u.ac.jp</t>
  </si>
  <si>
    <t>プログラミングとは、技術者が人の手でルールや手順を明確にし、処理を実現することであり、機械学習とは、大量のデータから機会自身がルールやパターンを理解して処理を実現することである。また、プログラミングは人の手で行うため、ルールが明確な処理は行うことができ、機械学習はルールが明確でない複雑なパターン認識や予測を行うことができるため、使い分けが重要である。</t>
  </si>
  <si>
    <t>chatGPT
プログラミングの具体例と実現出来ること
AIの具体例と実現出来ること</t>
  </si>
  <si>
    <t>日本の銀行、金融機関での特殊詐欺、ATM不正利用、振り込め詐欺などの犯罪行為を未然に防ぐための取引監視にAIが用いられている。これは、AIを用いて通常取引と不正と思われる取引を区別するものである。複数の金融機関の取引の例をデータ共有することによって機械学習を増幅させ、区別の制度を高めている。</t>
  </si>
  <si>
    <t>chatGPT
金融機関におけるAIの利用状況と使用理由</t>
  </si>
  <si>
    <t>先にGoogleなどである程度条件を絞ってPromptを作成することでchatGPTの回答の精度をあげようとした</t>
  </si>
  <si>
    <t>環境構築のところが少し難しかった。</t>
  </si>
  <si>
    <t>24238026@edu.cc.saga-u.ac.jp</t>
  </si>
  <si>
    <t>まずプログラミングは人間がやり方を全部決めて教える方法です。ここでわかりやすくスパムメールかどうかを判断するソフトを作るとします。プログラミングでは件名にお得があればスパム、無料という単語があったらスパム、送信元が知らない人ならスパムといっらルールを自分で考え、コードを書く必要があります。反対に機械学習は人間が直接ルールを書かず、データを使ってコンピューター自身に学ばせる方法です。</t>
  </si>
  <si>
    <t>ソフトウェアでの実装手段においてプログラミングと機械学習の違いについてを初めて習う初心者にもわかりやすく教えて</t>
  </si>
  <si>
    <t>身近な例の一つとしてスマートフォンの顔認証を例にとる。ここでは画像認識という技術が使われていて、カメラで撮った顔画像をコンピューターが分析して、本人かどうかを判断。主にディープラーニングという機械学習の方法が使われる。機械学習である理由は毎回顔の角度や形、明るさが少しずつ違うためである。これによってコンピュータが自分で人の顔の特徴を見つけることができるようになり、より高い精度で使いやすいロック解除が可能になりました。</t>
  </si>
  <si>
    <t>実世界での機械学習の利用状況を教えて。またどんな場面でどんな技術がどんな使われ方をしているのか、なぜ機械学習を使ったのかを初心者にもわかりやすく教えて。</t>
  </si>
  <si>
    <t>初心者にもわかりやすくと言う文言を入れることによりより噛み砕いた内容を得れるようにした。</t>
  </si>
  <si>
    <t>こんな授業がもっと増えたらいいなと思いました。</t>
  </si>
  <si>
    <t>24238404@edu.cc.saga-u.ac.jp</t>
  </si>
  <si>
    <t>プログラミングは人間が明示的にやり方を書くもので、書かれた通りにしか動かない演繹的なもので、機械学習はデータからパターンを学習するやり方で人間が細かい指示ややり方を明示しなくていいという帰納的なものである。プログラミングで出来るものは電卓アプリや在庫管理システムなど人間がルールを完全に定義できるものに関しては強い傾向にあり、機械学習はスパムメール判定や自動運転の制御などカメラやセンサーと言ったルールを完全に定義しきれず複雑なパターン認識に強い傾向にある。また機械学習は人間の生活が複雑化したことが起因となり生まれたものであり、プログラミングでは対応しきれない分野や、曖昧すぎて定義しようにも定義できない分野が広がってきたことにより機械学習は発展してきた。そして技術開発によって、機械学習にも対応できるコンピュータや、CPU・GPUが発展してきたため現在のようなAIの進出につながっている。</t>
  </si>
  <si>
    <t>プログラミングと機械学習の違いについて
プログラミングで実現可能なものと機械学習で実現可能なものを例示して欲しいです
なぜ機械学習という手法が出てきたのか考えられる原因の詳細な説明をお願いします</t>
  </si>
  <si>
    <t>日本では、生成AIを使ったことがある個人が2024年度で26.7%となっており、企業では50％を超しており、海外などではさらに普及が進んでいる。（参照：総務省「令和7年度 情報通信白書」）。企業などでは製造業を一つ例にとると工場の不良品検知などに使われていて、AIによってディープラーニングによる画像認識の技術を使い、不良品であるかそうでないかを判断している。そのほかにも佐賀大学で使っているAIチャットボットや、マーケティング分析、業務の効率化などディープラーニングによる音声分析や画像分析、生成AIなどを組み合わせて、使用している企業が多い。</t>
  </si>
  <si>
    <t>AIの現在の利用状況に関して、場所、技術の詳細、使用方法などを詳しく説明してください</t>
  </si>
  <si>
    <t>生成AIを活用する際、私はまず総務省の公開データやインターネット上の一次情報を用いて裏取りを行い、出力の信頼性を確保するよう努めた。また、質問文はできるだけ詳細かつ具体的に記述し、条件や背景を明示することで精度の高い回答を得られるよう工夫した。さらに、端的な表現やカンマによる区切りを用いてAIが整理された回答を生成しやすくし、その結果に対して問いを重ねることで、段階的に深掘りを進められるようにした。これらの工夫を通じて、Prompt作成においては信頼性、精度、効率性、発展性を意識した活用を実現した。</t>
  </si>
  <si>
    <t>事前準備が少し難しかった</t>
  </si>
  <si>
    <t>24238190@edu.cc.saga-u.ac.jp</t>
  </si>
  <si>
    <t>基本的な考え方の違いとして、プログラミングは人間がルールを明確に記述し、それに沿って動作をするものであり、機械学習はデータからパターンや規則を学習し、未知の入力に対して予測、判断するものである。プログラミングが得意な問題としては、計算や文字列の処理などの明確なルールで解決可能なタスクであり、機械学習が得意な問題としてはパターン認識や画像認識などの明確なルール化が難しい問題である。また、プログラミングにおいて重要なことが効率的で正しい処理手順で設計することによる処理速度やメモリ使用量の最適化であるのに対し、機械学習では処理手順よりもデータの質や量が重要になるという違いがある。</t>
  </si>
  <si>
    <t>機械学習の利用状況の例としては、自動車産業での自動運転技術があげられる。自動運転には、畳み込みニューラルネットワーク（CNN）という技術が使われている。CNNとはカメラ映像から車や歩行者、信号、標識などを認識、検出すす技術である。この技術は、周囲の物体や道路状況などのリアルタイムでの認識、ほかの車や周りの動きの予測、安全な運転行動の選択に使われている。この技術に機械学習が用いられる理由としては、天候や交通状況などの多様で複雑な環境に対応するためである。人間が設計したルールベースではすべてのパターンを網羅したり、ほかの車や歩行者の動きを予測することは難しいが、機械学習では大量の行動データをもとに予測モデルを構築でき、環境変化に対応可能である。</t>
  </si>
  <si>
    <t>24238149@edu.cc.saga-u.ac.jp</t>
  </si>
  <si>
    <t>プログラミングとは人間がルールを決めてコンピュータに教えることで、機械学習とはコンピュータ自身がデータを使い自らルールを学ぶことです。機械手法が生まれた要因は人間が決めにくいルールが増えたこと、大量のデータの活用、計算機の進化、人間の学習能力の模倣があります。ルールをデータから学ぶようになったことで人間と同じように学習することができ、次第に人間が指示することなく自分自身で考えられるようになった。</t>
  </si>
  <si>
    <t>プログラミングと機械学習の違いを分かりやすく教えて、またなんで機械学習という手法が生まれたのかも教えて。</t>
  </si>
  <si>
    <t>機械学習を作る際に自分で考えるというプログラミングをどのように行ったのですか</t>
  </si>
  <si>
    <t xml:space="preserve">視聴履歴や購入履歴からその人に合いそうな動画や商品を提案する。主な仕組みとして協調フィルタリングがあります。これは似た行動をするユーザーは似た好みを待っているという考え方で、ユーザーの嗜好を直接反映できるが、新規ユーザーや新しいアイテムに弱い。機械学習を使った理由としては最適な候補を提示することができ、視聴時間の増加、購入率の向上、顧客満足度アップが期待できるから。
</t>
  </si>
  <si>
    <t>現実世界での機械学習の利用状況を教えて→おすすめ機能について詳しく教えて</t>
  </si>
  <si>
    <t>いったん広い範囲で検索しそこから自分の気になった情報について再検索することで自分の気になる部分について詳しく知ることができる。</t>
  </si>
  <si>
    <t>Wi-Fiの環境が悪くスムーズに作業を行えなかった。</t>
  </si>
  <si>
    <t>24238068@edu.cc.saga-u.ac.jp</t>
  </si>
  <si>
    <t>プログラミングは人間がルールを決めて明示的に条件を書くことに対して, 機械学習はコンピュータにデータを与えパターン学習をさせることでルールを見つけさせる. 
プログラミングは在庫管理やゲームの動作など自動化・効率化をすることが目的で, 機械学習は画像認識や音声認識など自動でルールを見つけさせるのが目的.</t>
  </si>
  <si>
    <t>プログラミングと機械学習について
プログラミングと機械学習の目的について</t>
  </si>
  <si>
    <t>医療分野において, 画像認識AIによるがんの早期発見
NEC「WISE VISION Endodcopy」
大腸内視鏡の映像からポリープなどの異常をリアルタイムで検出, 画像に枠で表示
国立がん研究センターを使って大規模データ(病変の種類・形・位置のバリエーションを含む)を用いることで訓練
内視鏡検査で医師が操作しているモニターにAIソフト接続してモニタリングする
異常を疑われる部位が検出されると通知音が鳴り,画面にマークで提示</t>
  </si>
  <si>
    <t>24238381@edu.cc.saga-u.ac.jp</t>
  </si>
  <si>
    <t>ソフトウェアを実装する手段として、プログラミングと機械学習がある。プログラミングは人間がルールや手順を明示的にコードとして記述し、入力から出力までの流れを論理的に定義する方法である。数値計算や条件分岐のように手順が明確に表せる処理では高い正確性を発揮し、銀行システムや制御プログラムなどに適している。機械学習は人間がルールを設計する代わりに、大量のデータを基にコンピュータが自動的にパターンを学習する手法である。例えば画像認識や音声認識のように、人間が特徴をすべて列挙してルール化することが難しい分野で力を発揮する。</t>
  </si>
  <si>
    <t>ソフトウェアでの実装手段として、プログラミングと機械学習の違いについて、大学二年生がかけそうな語彙力で400字程度で考えてほしい。</t>
  </si>
  <si>
    <t>実世界での機械学習の活用例として、企業の「顧客対応」におけるチャットボットが挙げられる。多くの企業は、電話やメールだけでは対応しきれない大量の問い合わせに対して、機械学習を用いた自動応答システムを導入している。具体的には、自然言語処理という技術を使い、顧客が入力した文章を理解し、最適な回答を返す仕組みである。従来のシステムでは、あらかじめ用意された決まった回答しか返せず、少し表現が変わると対応できないことが多かった。しかし機械学習を用いることで、過去のやり取りデータを学習し、質問の意味を柔軟に理解できるようになった。その結果、顧客はスムーズに問題解決でき、企業側も人件費の削減や業務効率の向上が実現できる。機械学習を使う理由は、複雑で多様な問い合わせに人間のように対応するには、従来のプログラミングでは限界があったからである。</t>
  </si>
  <si>
    <t xml:space="preserve"> 実世界 (社会や企業・組織など) での機械学習(AI)の利用状況1つを調査。どんな場面で、どんな技術が、どんな使われ方をしているのか? なぜ、機械学習を使ったのか?について大学二年生の語彙力でかけそうな範囲で400字程度でまとめてほしいです。</t>
  </si>
  <si>
    <t>環境作成において、書いてある手順を読み取るのが難しかった。専門用語を知らなかったため、指定してあるものが分からず作業が滞ってしまった。</t>
  </si>
  <si>
    <t>24238422@edu.cc.saga-u.ac.jp</t>
  </si>
  <si>
    <t>プログラミングは人間がルールを定義してソフトウェアがそのルールに従って動作して、機械学習は大量のデータからコンピュータが自らルールを学習し動作する。そのため、プログラミングは電卓や予約管理などルールが明確な問題に強く、機械学習は顔認識や自然言語処理などルールが明確に定義できない問題に強い。</t>
  </si>
  <si>
    <t>ソフトウェアでの実装手段として、プログラミングと機械学習の違いを教えて</t>
  </si>
  <si>
    <t>タクシー業界で過去の乗車データををもとに需要を予測して配車最適化するAIタクシーの実証実験を実施している。需要を予測して配車を決めるため効率よくサービスが行われており、売り上げも上がっている。</t>
  </si>
  <si>
    <t>現代の社会や企業で機械学習が使われている状況を教えて
タクシー業界でAIを使ってる理由を教えて</t>
  </si>
  <si>
    <t>簡潔に状況を絞ってPromptを作成した。</t>
  </si>
  <si>
    <t xml:space="preserve">環境設定が自分一人では難しかったので、環境設定を実際に行っている動画などがあれば嬉しいなと思った。
</t>
  </si>
  <si>
    <t>24238066@edu.cc.saga-u.ac.jp</t>
  </si>
  <si>
    <t>プログラミングは人間が決めた手順通りに処理を実行し、決められたこと以外にはうまく対応できないため業務システムやウェブ開発などに用いられる。機械学習は過去のデータからうまくいく方法を自分で考え、予測できない状況にも対応できるため自動運転や画像分析など複雑なタスクの処理に向いている。</t>
  </si>
  <si>
    <t>建築の現場では設計支援や安全管理などにAIが使用されている。建築設計プロセスにおいて３Dモデルや設計案を自動生成したり、建築現場での作業委員の安全を確保するため、リアルタイムで行動を監視したりするのに用いられている。これにより現場での事故リスクの軽減や、複雑な工程管理や資材管理が効率的に行うことができる</t>
  </si>
  <si>
    <t>建築の現場で使用されているAI</t>
  </si>
  <si>
    <t>事前準備の環境設定の説明にわかりやすい工程の画像や動画などを載せ自分がどこまでできているかを確認しやすくしてほしい。</t>
  </si>
  <si>
    <t>24238161@edu.cc.saga-u.ac.jp</t>
  </si>
  <si>
    <t>プログラミングとは、人間がルールや手順を明示して、コンピュータに処理を実行させる方法であり、入力に対してどのような処理を行い、どのような出力をするかすべて人間が設計している。一方、機械学習は人間がルールを書き下すのではなく、データからルールを「学習」させる手法である大量のサンプルを与えることで、コンピュータが自動的にパターンを抽出し予測や分類を行うこと。</t>
  </si>
  <si>
    <t>ソフトウェアでの実装手段として、プログラミングと機械学習の違いについてレポートを作ってください</t>
  </si>
  <si>
    <t>ヤマト運輸の荷物量予測システム。
日本全国にある役６５００の拠点を対象に将来の荷物量を予測するAIシステムを導入している数か月先の荷物量をあらかじめ予測することで、人員の配置や車両手配を最適化し、業務効率を上げている。</t>
  </si>
  <si>
    <t>実世界 (社会や企業・組織など) での機械学習(AI)の利用状況1つを調査してください。具体的に示してください。</t>
  </si>
  <si>
    <t>具体的に回答するようにした</t>
  </si>
  <si>
    <t>環境せいびが難しかった。</t>
  </si>
  <si>
    <t>24238041@edu.cc.saga-u.ac.jp</t>
  </si>
  <si>
    <t>井手上 陽斗</t>
  </si>
  <si>
    <t>プログラミングは人がルールを書き込むが、機械学習はデータから自動で学習する。複雑な問題に対応するためにこの手法が登場し、生成AIなどの創造的な応用も可能にした。</t>
  </si>
  <si>
    <t>三菱UFJ銀行で生成AIが導入された。業務の効率化や業務時間の削減のために提案書作成や顧客対応の場面で使われている。</t>
  </si>
  <si>
    <t>23238114@edu.cc.saga-u.ac.jp</t>
  </si>
  <si>
    <t>従来のプログラミングは人間がルールや手順を具体的に記述するのに対して、機械学習は人間がルールを直接書かずデータからパターンを学習させる。なぜ機械学習が必要になったかというとインターネットに膨大なデータが集まるようになり人間がコードを書くのが不可能になり、GPUやクラウドの発展で大規模な学習が可能になったからだ。またプログラミングが得意なのはルールが明確で、決定的な処理であり、機械学習が得意なのは曖昧さやパターン認識が必要な処理である。</t>
  </si>
  <si>
    <t>ソフトウェアでの実装手段として、プログラミングと機械学習の違いについての述べてください。例えば、なぜ機械学習という手法が出てきたのか? 例えば、実現できる事の違い、などです。</t>
  </si>
  <si>
    <t>・場面：がんの早期発見
・技術：ディープラーニングでX線やMRI画像を解析
・使われ方：医療画像解析・血液検査・リスク予測モデル・複合診断など
・理由：目視で診断していましたが、時間がかかる・見落としリスクがあるという課題があった</t>
  </si>
  <si>
    <t>１実世界で機械学習がどんな場面で、どんな技術が、どんな使われ方をしているのか? なぜ、機械学習を使ったのか?をどれだけ時間がかかってもいいので詳細にわかりやすく説明してください。
２がんの早期発見の場面で機械学習がどんな使い方をされているのかをどれだけ時間がかかってもいいので丁寧で詳細にわかりやすく説明してください。</t>
  </si>
  <si>
    <t xml:space="preserve">詳細にわかりやすく説明してくださいとしれいすること。
</t>
  </si>
  <si>
    <t>mnistの環境構築のところでconda clean --allを実行しないと環境構築ができなかった。</t>
  </si>
  <si>
    <t>24238298@edu.cc.saga-u.ac.jp</t>
  </si>
  <si>
    <t>手書きの数字を判別する方法を例にとると、プログラミングでは0の形、1の形とそれぞれの特徴を人が定義してコードを書かないといけないが、機械学習ではたくさんの手書き数字の画像と正解を与えて学習させることでコンピュータがそれぞれの違いを学んで数字を判別できるようになる。まとめると、プログラミングでは人間がルールを決める、機械学習ではデータからコンピュータがルールを学ぶという違いがある。</t>
  </si>
  <si>
    <t>プログラミングと機械学習の違いについて、いくつか例をあげて初心者でも理解できるようなわかりやすい言葉で説明して</t>
  </si>
  <si>
    <t>機械学習が使われている身近なものとしてスマートフォンの顔認証などがあり、スマートフォンのロックを解除する時、パスワードを入力する際に使われる。顔認証では目、鼻、口などの顔の特徴を数値化して顔の特徴ベクトルに変換している。検出した顔と学習済みの顔データの類似度を計算することで顔認証を行う。機械学習を使うことで、人の顔という複雑で変化しやすい情報を正確かつ安全に認識することができる。</t>
  </si>
  <si>
    <t>実世界で活躍されている機械学習の具体例、その仕組み、メリットについてわかりやすく説明して。また参考にした情報などのソースを明示して。</t>
  </si>
  <si>
    <t>仕組みについて簡単に説明してもらうことで理解しやすいようにした。またソースを明示してもらうことで正しい情報かどうかをわかるようにした。</t>
  </si>
  <si>
    <t>環境構築する際に何をすれば良いかが分からなかった。</t>
  </si>
  <si>
    <t>24238504@edu.cc.saga-u.ac.jp</t>
  </si>
  <si>
    <t>ルール構築のアプローチの違い
プログラミングは、明確な手順や条件分岐をコードで記述するように、ルールを人間が全て書くが、機械学習は、コンピュータがデータから自動でパターンを学習して、モデルとして構築する。
プログラミングは、インプットとルールが同じなら、アウトプットは必ず同じになるが、機械学習は、インプットと学習データに基づいて確率的に予測する。
プログラミングは、プログラマーが想定しなかったエラーや新しいケースは処理できないが、機械学習は、学習データに含まれていないケースでも、類似性から推論して、ある程度柔軟に対応できる。
実現できることの違い
プログラミングが得意なことは、計算処理やデータ処理、制御システムの作成などで、機械学習が得意なことは、画像認識や音声認識、株価や天気などの予測、異常検知などである。</t>
  </si>
  <si>
    <t>ソフトウェアでの実装手段として、プログラミングと機械学習の違いについて分かりやすく述べてください。 例えば、実現できる事の違い、など。</t>
  </si>
  <si>
    <t>動画/音楽ストリーミング
教師なし学習という技術が使われており、ユーザーの視聴や再生履歴、スキップ行動、視聴時間、評価データから、次に見る/聞く可能性が最も高い曲や映画を予測し、ホーム画面やプレイリストの形で提案するという方法で使われている。
また、機械学習が使われる理由は、人間がルールを定義するのが不可能な領域だからというもので、ユーザーの好みは膨大かつ複雑で、流行も時代とともに変化していくためという理由だったり、ユーザーがより快適に使えるようにという理由でした。</t>
  </si>
  <si>
    <t>実世界 (社会や企業・組織など) での機械学習(AI)の利用状況1つを調査。どんな場面で、どんな技術が、どんな使われ方をしているのか? なぜ、機械学習を使ったのか?</t>
  </si>
  <si>
    <t>英語で書かれてあることが多く、理解するのが難しかった。</t>
  </si>
  <si>
    <t>23238222@edu.cc.saga-u.ac.jp</t>
  </si>
  <si>
    <t>24238207@edu.cc.saga-u.ac.jp</t>
  </si>
  <si>
    <t xml:space="preserve">1. 「プログラミング」とは？
プログラミングは、人間が「こう動いてほしい」とルール（アルゴリズム）を明確に書いてコンピューターに指示することです。
具体的には
例えば、買い物リストを整理するプログラムなら、
* 「もし買い物リストに ‘リンゴ’ があったら、赤い文字で表示する」
* 「合計金額を計算する」
などのルールを、人がコードで書いていきます。
2. 「機械学習」とは？
機械学習は、人が細かいルールを全部書くのではなく、コンピューターがデータを使って自分でルールやパターンを「学習」する技術です。
なぜ機械学習が出てきたのか？
昔からプログラミングはルールを全部決めて動かしてきましたが、例えば「写真の中に犬がいるか判定する」ような問題は、
人間が全ての「犬の特徴」をルールで書き出すのがとても難しい。
そこで、「大量の犬の写真をコンピューターに見せて、『これは犬』『これは犬じゃない』と教え、特徴を自動で見つけてもらう」方法が機械学習です。
 3. プログラミングと機械学習の違い
| 観点       | プログラミング               | 機械学習                         |
| -------- | --------------------- | ---------------------------- |
| ルールの書き方  | 人が明確にルールを作る           | コンピューターがデータからルールを見つける        |
| 適した問題    | 明確な処理や計算（例：計算機、文字列処理） | 複雑でパターン認識が必要な問題（例：画像認識、音声認識） |
| 入力と出力の関係 | 入力→決まった処理→出力          | 入力と正解データから学習→未知の入力に対して推論     |
4. 具体例での違い
プログラミングの例
「郵便番号から住所を検索するプログラム」
→ 郵便番号と住所の対応表を用意して、
「この郵便番号ならこの住所」と決められたルールで返す。
 機械学習の例
「メールが迷惑メールかどうか判定する」
→ 過去の迷惑メール・通常メールの大量のメールを機械に学習させて、
新しいメールが来た時に「迷惑メールかそうでないか」を判断。
 5. 生成AIのような機械学習応用事例
近年話題の生成AI（例：ChatGPTや画像生成AI）は、
膨大な文章や画像のデータからパターンや文法、意味の関係を学び、
「人間が書いたような文章を作ったり」「新しい画像を生成したり」します。
この生成AIは、
ただのプログラムのルールを書くだけでは作れない複雑さがあるため、機械学習の技術（特に「深層学習」）が使われています。
タクシーの需要は時間帯や天候、イベントの有無、地域特性など複数の要素が複雑に影響します。従来の方法でこれらの要素をすべて考慮するのは難しいですが、機械学習ならデータから複雑なパターンを自動的に学習し、より正確に需要を予測できます。
社会への影響
6. 実世界での機械学習の利用例：タクシー需要予測
近年、日本の16のタクシー事業者が協力して、機械学習を活用したタクシー需要予測に取り組んでいます。このプロジェクトでは、各事業者が自社のデータを直接共有せずに、プライバシーを保護しながら学習モデルを構築する「フェデレーテッドラーニング」という技術を使っています。
社会への影響
この需要予測の精度向上により、タクシーの配車効率がアップし、利用者の待ち時間が短縮されるほか、運転手の稼働効率も向上します。さらに、都市全体の交通渋滞の緩和にもつながると期待されています。
 まとめ
プログラミング**は「人がルールを書いてコンピューターに指示する技術」
機械学習は「コンピューターが大量のデータから自分でルールやパターンを学ぶ技術」
機械学習は複雑でルール化しにくい問題を解くために登場した
生成AIのような最新技術は機械学習の応用で、人間のように創造的なアウトプットを可能にしている
</t>
  </si>
  <si>
    <t xml:space="preserve">ソフトウェア開発における「プログラミング」と「機械学習」の違いについて説明してください。  
特に以下の内容も含めてください。  
・なぜ機械学習という手法が出てきたのか背景  
・プログラミングと機械学習でできることの違い   
・具体例を交えた解説  
・生成AIのような機械学習応用の事例も簡単に触れてください  
</t>
  </si>
  <si>
    <t>Promp作成のために工夫したことは明確に違いを示してその中で具体的な項目を考えましたまたできるだけわかりやすく、初心者にも理解できるように説明してください。という文言も付け加えた</t>
  </si>
  <si>
    <t xml:space="preserve">6. 実世界での機械学習の利用例：タクシー需要予測
近年、日本の16のタクシー事業者が協力して、機械学習を活用したタクシー需要予測に取り組んでいます。このプロジェクトでは、各事業者が自社のデータを直接共有せずに、プライバシーを保護しながら学習モデルを構築する「フェデレーテッドラーニング」という技術を使っています。
社会への影響
この需要予測の精度向上により、タクシーの配車効率がアップし、利用者の待ち時間が短縮されるほか、運転手の稼働効率も向上します。さらに、都市全体の交通渋滞の緩和にもつながると期待されています。
</t>
  </si>
  <si>
    <t>「実社会や企業・組織における機械学習（AI）の利用例を一つ取り上げてください。その例について、以下の点を含めて説明してください。
どんな場面で使われているか
どんな技術が使われているか（具体的に可能なら）
どのように利用されているか（使われ方）
なぜ機械学習を使う必要があったのか（利用の目的や背景）」</t>
  </si>
  <si>
    <t>具体的な質問項目を盛り込み、欲しい情報を明確にした。
技術面だけでなく背景や目的も含めて多角的に情報を引き出すようにした。
分かりやすく答えやすい表現を心がけた。
回答の幅を残しつつ、必要なポイントは必ず含むようにした。</t>
  </si>
  <si>
    <t>環境構築が難しかった</t>
  </si>
  <si>
    <t>24238076@edu.cc.saga-u.ac.jp</t>
  </si>
  <si>
    <t xml:space="preserve">プログラミングは、人間がルールをを考えて、それをコンピューターに教える方法ですべての動きを人が決めて書くのに対して機械学習は、コンピューターがたくさんのデータを見て、自分でルールを学ぶ方法になっている。機械学習が登場した理由は人間でも説明が難しい問題が増えてきているのが理由で、画像認識、音声認識、翻訳など複雑であいまいな情報を扱うには、コンピュータが自分で学ぶ必要があったから。
</t>
  </si>
  <si>
    <t>プログラミングと機械学習のアプローチの違い
1.[必須] ソフトウェアでの実装手段として、プログラミングと機械学習の違いについての述べてください。例えば、なぜ機械学習という手法が出てきたのか? 例えば、実現できる事の違い、など。生成AIを使用した場合は、その結果としてのレポートはここになります。
誰でもわかるように説明してください
まとめて文章にしてください</t>
  </si>
  <si>
    <t>実世界でのAI活用事例：三菱UFJ銀行
三菱UFJ銀行では、業務の効率化を目的にAI（機械学習）を導入しています。具体的には、コールセンターでの対応文の作成や、顧客向けの提案書の自動作成などに、ChatGPTのような生成AIを活用しています。
この技術を使うことで、人が手作業で行っていた定型業務を自動化でき、年間で22万時間以上の業務時間を削減することに成功しました。また、AIが過去のデータを学習して提案内容を作成するため、提案の質も向上しています。
このように、AIは人手不足の解消や業務の質の向上に役立つツールとして、企業の中で実際に活用されています。</t>
  </si>
  <si>
    <t>AIの実世界の利用の調査
4.[必須] 実世界 (社会や企業・組織など) での機械学習(AI)の利用状況1つを調査。どんな場面で、どんな技術が、どんな使われ方をしているのか? なぜ、機械学習を使ったのか?
わかりやすく簡潔に説明してください
まとめて文章にしてください</t>
  </si>
  <si>
    <t>誰でもわかるように簡潔にまとめてという言葉をおくった</t>
  </si>
  <si>
    <t>何をすればいいかをもっと明確にしてほしいです途中で何をすればいいかがわからない時間があった。</t>
  </si>
  <si>
    <t>23238498@edu.cc.saga-u.ac.jp</t>
  </si>
  <si>
    <t>従来のプログラミングは、人間が「入力」と「ルール（コード）」を明確に記述し、その結果「答え」を出します。処理手順は完全に人間が指定するため、結果は確実で追跡可能です。これは、計算やデータベース操作など、明確なロジックがあるタスクに適しています。一方、機械学習は、「入力データ」と「正しい答え（結果）」を与え、コンピュータ自身がその関係性から自動的にルールを導き出します。機械学習が登場した背景には、従来のプログラミングでは対処が困難なルールが複雑すぎる問題や、環境変化への適応があります。機械学習は、未知のデータに対する予測や分類、複雑なパターンの認識といったタスクに優れています。現代のAIシステムは、この機械学習による柔軟で進化する能力によって支えられています。</t>
  </si>
  <si>
    <t>プログラミングと機械学習の違いについての述べて</t>
  </si>
  <si>
    <t>特にありません。</t>
  </si>
  <si>
    <t>・小売業における需要予測と在庫
利用場面：コンビニ、スーパー、アパレルなど、商品の発注や在庫管理が必要なすべての小売店舗。特に、消費期限の短い生鮮食品や日配品、需要の変動が激しい季節商品の発注。
利用技術：機械学習
使われ方：AIが上記データを学習し、「明日、この商品が何個売れるか？」を店舗ごと、商品ごとに高精度で予測します。この予測結果に基づき、発注システムが自動的に最適な発注数量を提案したり、自動で発注を実行したりします。
なぜ、機械学習をしようしたのかは、人間の経験と勘では処理しきれない複雑性と膨大なデータ量があるからです。</t>
  </si>
  <si>
    <t>実世界 (社会や企業・組織など) での機械学習(AI)の利用を行っている例をいくつかあげて。</t>
  </si>
  <si>
    <t>実際に利用されているものをいくつかリストアップしてもらいました。そのからは、自分の考えも踏まえて肉付けを行いました。</t>
  </si>
  <si>
    <t>途中で接続が悪くなって話の内容がとびとびになっていたので、そこの環境がより改善されたらもっと良くなると思います。</t>
  </si>
  <si>
    <t>24238430@edu.cc.saga-u.ac.jp</t>
  </si>
  <si>
    <t>Matsumoto Takeru</t>
  </si>
  <si>
    <t>長らくプログラミングでの処理では四則演算のような明確なルールが必要であったが、現実世界の問題にはそれを定義できない、対応できないものが非常に多い。ここで、データから学習し柔軟に判断する手法として機械学習が発達してきた。
技術的な観点として、プログラミングは直接コードを書く一方、機械学習はモデルにデータを学習させることで環境を構築する。そのためプログラミングはルールが明確であったり入力から出力への関係がはっきりしていたりする処理に向いており、また機械学習は画像や音声の認識などのデータが豊富であったり、ルールが複雑なものの処理に向いている。</t>
  </si>
  <si>
    <t>Amazonではユーザーのサイト利用状況から「あなたへのおすすめ」やレコメンド商品を表示する。技術として行動パターンのディープラーニング、レビューや検索のテキストデータの理解のための自然言語処理などがあげられる。
手動では処理できないほど膨大な量のデータから意味のある関連性を抽出可能であるため、機械学習を活用されている。</t>
  </si>
  <si>
    <t>24238293@edu.cc.saga-u.ac.jp</t>
  </si>
  <si>
    <t>機械学習が登場した背景。従来のプログラミングでは、すべての処理手順を人間が明示的に記述する必要がありました。たとえば「猫の画像を認識する」タスクでは、猫の特徴（耳の形、目の位置、毛の模様など）をすべてルールとして書く必要があります。しかし、こうした複雑で曖昧な特徴を網羅的に記述するのは現実的ではありません。
そこで登場したのが機械学習です。機械学習では、過去のデータ（例：猫の画像と「これは猫」というラベル）を大量に与えることで、コンピュータが自らパターンを学習し、未知のデータに対しても判断できるようになります。
実像できることの違い（例：自動車運転）
プログラミング：交差点で左折、信号が赤なら停止など、決まったルールに従って動作。
機械学習：過去の運転動作から「人が飛び出したら止まる」などの判断を学習し、未知の状況にも対応可能。</t>
  </si>
  <si>
    <t xml:space="preserve">機械学習とプログラミングの違い、また機械学習が出てきた背景、実像できることの違いを教えて。
</t>
  </si>
  <si>
    <t xml:space="preserve">実関亜での機械学習の代表的な利用事例の一つは、需要予測です。これは小売業や飲食業、製造業などで広く活用されており、企業の業務効率化やコスト削減に大きく貢献しています。
どんな場面で使われるか
商品抽出量を自動で算出
来店客数の予測によるシフト最適化
在庫切れの防止と過剰在庫の削減
使われている技術
教師あり学習：過去の販売データに「売れた・売れなかった」などのラベルを付けて学習
時系列予測モデル：季節性やトレンドを考慮した予測
ディープラーニング：複雑なパターンをとらえるためにニューラルネットワーク（脳の神経回路の動作を模した数理モデル）を活用
具体的な効果
人件費の削減
売上機会の最大化
業務負担の軽減
このように、機械学習は「人間」の勘や経験」に頼っていた業務を、データに基づく予測と判断に置き換えることで、より効率的で正確な運営を可能にしている。
</t>
  </si>
  <si>
    <t>実世界（企業や店舗）での機械学習の利用状況の一つは何か。身近な例で例えよ。またどんな場面でどんな技術どんな使われ方をしているのか。</t>
  </si>
  <si>
    <t>与えられた質問に対してAIが適切な回答ができるように考え作成した
なるべく身近な例で説明してもらって自分の感覚に落とし込めるようにした。</t>
  </si>
  <si>
    <t>難しかった点としては聞きなれない言葉が多く理解が自分の言葉に落とし込むのが大変だった。</t>
  </si>
  <si>
    <t>24238029@edu.cc.saga-u.ac.jp</t>
  </si>
  <si>
    <t>機械学習→AIと呼ばれるコンピュータに学習させるための手法
訓練方法：教師あり→入出力データを用いて訓練　教師なし→入力データのみを活用
ディープラーニング→機械学習の発展型
プログラミング→コンピュータにコードを利用して特定の指令を出すこと。
プログラミング言語を使用する。
違い　
その１・与えられた目標を解決するアプローチが異なる。プログラミングはすべて記述。機械学習は以前のデータを渡すことで自動で目標に近づく。
その２・人間が予測できない結果をだせるかどうか、人間がコンピュータにさせる動作をすべて記述。
共通点：特定のタスクを解決するために用いられる手段。
機械学習が用いられる理由は上記のように解決できることが増すことによる。</t>
  </si>
  <si>
    <t>コールセンター
24時間365日機械学習などをもとに相手の求めてる回答を出すことができるため。</t>
  </si>
  <si>
    <t>24238101@edu.cc.saga-u.ac.jp</t>
  </si>
  <si>
    <t xml:space="preserve">ソフトウェアでの実装手段として、プログラミングと機械学習の違いについて
プログラミングと機械学習の違いについて、プログラミングは、if文やfor文などでロジックを手動で記述し、タスクを解決するための手順を1からすべて記述しなくてはならない。機械学習は、学習アルゴリズムにデータを渡してモデルを訓練し、以前のデータを渡すことにより自動で目標に導いてくれる。プログラミングは人間が機械に命令を出すために利用されたもので、機械学習は人間がルールをかけない問題を機械に自分で学ばせるために利用されてきた。これらから、プログラミングは人間がルールを教える方法であるのに対して、機械学習はコンピュータがルールを自分で学ぶ方法であるという違いがある。
</t>
  </si>
  <si>
    <t>ソフトウェアでの実装手段として、プログラミングと機械学習の違いについてわかりやすく説明して
それぞれどういう理由で生まれたのか詳しく教えて</t>
  </si>
  <si>
    <t xml:space="preserve">機械学習の利用方法の１つとして挙げられるのは、漁業分野におけるナマコの乱獲や密猟の対策である。この実施例は北海道の函館市で行われている。このAI活用が導入される前はナマコの価格高騰によって密猟が増加したり、漁師の経験則に依存しすぎていることによる乱獲のリスクの増加、後継者への技術継承が困難であったりし、ナマコの生息数が激減した。 
この問題を受け、函館市では公立はこだて未来大学と地元の漁師が協力し、機械学習の導入を行った。内容に関して、例えば、漁師がiPadなどで漁獲情報を記録し、GPSと漁獲量のデータを組み合わせて「適正漁獲モデル」を作成、漁場ごとの漁獲傾向を可視化することによって乱獲を行う可能性が高いエリアに対して警告を発する。 
成果としては、漁獲量の管理は当然ながらデータを基にした監視の強化により密猟の抑制、ベテラン漁師の知見などをデータ化することによって若手育成の促進などが挙げられた。 
そしてこの成功事例を受けて、函館市は、ウニやアワビなどの他魚種への応用や、ドローンなどと連携をとることによって海洋の環境をリアルタイムでモニタリング、函館市にとどまらず地域間と連携しより広い範囲での漁業管理の実現を目指している。 </t>
  </si>
  <si>
    <t>機械学習の利用例を以下の点に注意しながら1つ出力してください。
・利用例として扱った場所や団体などの固有名詞を必ず明記するようにしてください
・その例でAIを導入することに至るまでの問題点を記述してください
・AIを導入するにあたって、そのAIの働き、導入後の効果を詳しく記述するようにしてください
・そのAIの導入結果を受けて、そこからの展望についても記述してください</t>
  </si>
  <si>
    <t>固有名詞を出すように指示を出したりし、不確定な要素を可能な限り減らすように努力した</t>
  </si>
  <si>
    <t>1日目のパイソンを使って演習を行うとき、どのようにそのプログラムが機能しているのか調べて解読していくのがとても難しかった。</t>
  </si>
  <si>
    <t>24238027@edu.cc.saga-u.ac.jp</t>
  </si>
  <si>
    <t>プログラミングは基本的に人間が直接打ち込んで教える方法になる。例えばスパムメールかどうか判断するソフトを作るとすると、お得、無料、という言葉が入っていればスパムと判断するなどのルールを自分で考えコードを打ち込み教える必要がある。それに対して機械学習は人間か直接ルールを作らず考えず、データを使ってコンピュータ自身が学ぶ方法になる。</t>
  </si>
  <si>
    <t>身近な例としてスマートフォンの顔認証で考える。ここでは画像認識の技術が使われており、カメラで撮った顔写真をコンピュータが分析し本人を判断。主にディープラーニングという機械学習が用いられている。これによりこんぴゅが自分で人の顔の特徴を掴むことができ、精度の高い顔認証でのロック解除が可能になった。</t>
  </si>
  <si>
    <t>初心者にもわかりやすくという文言をいれて、噛み砕いた内容を得れるようにした</t>
  </si>
  <si>
    <t>全体的にとても良い講義でやりがいや初めて知ることがおおくとても興味深い内容でした。今では当たり前になっている生成 AIについて知識を知れて今後AIに触れるモチベーションが上がりました。AIに画像データを覚えさせて判断する演習では同じような画像を送りまくるのではなく様々な状態の画像を送らないと精度が上がらないなどまだまだ難しい部分が多いので今後その改善も学んでいきたいです。</t>
  </si>
  <si>
    <t>24238292@edu.cc.saga-u.ac.jp</t>
  </si>
  <si>
    <t>プログラミングとは人間がルールや手順を明示的にコードとして記述し実行すること。機械学習とはデータを送信すると機会が自動学習し、モデルを作成する。そのモデルをもとに新しい入力に対する予測すること。つまりプログラミングと機械学習の違いは、実行したいことに対するアルゴリズムを人間が直接コードを打ち込むか、データを送信して自動学習させて作るかの違いがある。</t>
  </si>
  <si>
    <t>（１の設問のスクリーンショットを送信して）これについてプログラミングと機械学習の違いについて明記して説明してください。</t>
  </si>
  <si>
    <t>プログラミングと機械学習の違いを明記させたこと。</t>
  </si>
  <si>
    <t>場面：株価や為替の変動予測
技術：回帰分析、時系列解析、決定木・ランダムフォレスト、勾配ブースティング、ディープラーニング
使われ方：回帰分析による数値予測、時間の経過に伴うデータの予測、分析したい特徴の重要度を考慮した予測
なぜ機械学習を使うのか：人間が定義できない複雑な問題に対応できるから。データを活用することで精度を高めることができるから</t>
  </si>
  <si>
    <t>機械学習についてどんな場面で、どんな技術が、どんな使われ方をしているかの実用例を挙げてください。</t>
  </si>
  <si>
    <t>実用例を挙げさせたところ。</t>
  </si>
  <si>
    <t>24238102@edu.cc.saga-u.ac.jp</t>
  </si>
  <si>
    <t xml:space="preserve">プログラミングと機械学習の違いについて、プログラミングは、if文やfor文などでロジックを手動で記述し、タスクを解決するための手順を1からすべて記述しなくてはならない。機械学習は、学習アルゴリズムにデータを渡してモデルを訓練し、以前のデータを渡すことにより自動で目標に導いてくれる。プログラミングは人間が機械に命令を出すために利用されたもので、機械学習は人間がルールをかけない問題を機械に自分で学ばせるために利用されてきた。これらから、プログラミングは人間がルールを教える方法であるのに対して、機械学習はコンピュータがルールを自分で学ぶ方法であるという違いがある。 </t>
  </si>
  <si>
    <t>ソフトウェアでの実装手段として、プログラミングと機械学習の違いについてわかりやすく説明して
それぞれどういう理由で生まれたのか教えて</t>
  </si>
  <si>
    <t xml:space="preserve">機械学習の活用でその例としてメルカリのAI出品サポートがある。株式会社であるメルカリは、顧客同士が商品を売買するにあたって、出品体験を改善するために機械学習を活用した「AI出品サポート機能」を導入した。 この機械学習を導入する前では、出品情報の手入力に平均として３~４分要していたり、適切な価格がわからず出品した商品の売れ残りが多発、手入力の手間や売れ残りやすさから出品車の負担が大きく、出品するユーザの数が減ったりするなどの課題が存在していた。しかし、メルカリは機械学習の導入を行った結果、入力する時間が1分ほどに短縮、出品後の売買成約率が15％増加、リリースから半年で開発費要を回収することに成功し、モデル改善サイクルを確立することに成功した。導入内容としては2000万枚以上の実際の取引画像を用いてブランド推定制度を向上、画像認識と価格推定モデルを組み合わせたAIシステムを開発、エッジAIで軽量推論を採用して返信速度を確保するなどである。 これらの取り組みにより、ユーザ満足度とサービス継続の改善、流通の拡大、競争優位性の確立に成功した。この成功事例により、AIモデルの学習と改善の精度の上昇、他の機能へのAIシステムの拡張、グローバル化に従って多言語対応の強化が考えられている。 </t>
  </si>
  <si>
    <t>出典元や固有名詞を出すように指示を出す等のように、できるだけ不確定な要素を減らした</t>
  </si>
  <si>
    <t>24238380@edu.cc.saga-u.ac.jp</t>
  </si>
  <si>
    <t>プログラミングは、人間が明確なルールや手順をコードとして記述し、ソフトウェアに動作を指示する方法のこと。従来のプログラムは固定的なルールに基づき、条件分岐や計算処理を明示的に定義する。一方、機械学習は大量のデータからパターンや特徴を自動的に学習し、未知の入力に対して柔軟に判断や予測を行う技術のこと。機械学習が登場した背景には、複雑で多様な現実世界の問題を、すべてルール化するのが困難であったことが存在する。例えば、画像認識や自然言語処理など、人間でも判断が難しい曖昧な情報を扱う際に、手作業でのプログラミングでは限界があった。機械学習はデータを基に「学習」することで、高度なパターン認識や推論を実現し、従来のプログラミングでは実現困難だった柔軟な応用を可能にする。つまり、プログラミングは「教える」手法であるのに対し、機械学習は「機械が経験から学ぶ」手法と言える。</t>
  </si>
  <si>
    <t>ソフトウェアの実装手段として、プログラミングと機械学習にはどんな違いがありますか？例えば、なぜ機械学習という手法が生まれたのか、またそれぞれで実現できることの違いなども教えてください。生成AIを使った場合、その結果はどうなるのかも知りたいです。</t>
  </si>
  <si>
    <t>金融機関では、詐欺や不正引き出しなどの犯罪対策として機械学習（AI）の活用が進んでいる。例えば、千葉銀行はセキュリティ企業LACと連携し、過去の不正取引データをもとに学習したAIモデル「AI Zero Fraud」を導入している。不審な取引や不正に使われた可能性のある口座を自動で検出し、担当部門に通知する仕組みを構築している。これは教師あり学習を用いたモデルで、犯罪の特徴に似たパターンをリアルタイムで分析し、リスクの高い取引にフラグを立ている。従来のルールベースでは対応しきれなかった巧妙かつ多様化する手口に対して、AIの柔軟な学習能力が有効である。また、取引件数が膨大な中で人手による監視には限界があるため、機械学習による自動検知を取り入れることで、検出精度の向上と業務負荷の軽減が実現されている。このように、機械学習は安全性と効率性の両立を支える重要な技術として活用されている。</t>
  </si>
  <si>
    <t>実際の社会や企業・組織で、機械学習（AI）がどのように使われているかを教えてください。具体的にどんな場面で、どんな技術が使われていて、どのような使われ方をしているのか知りたいです。また、なぜ機械学習を使う必要があったのか、その理由も教えてください。</t>
  </si>
  <si>
    <t>事前準備をしっかりしてから授業に臨むことが大切。授業中にやろうとすると時間がかっかて授業についていけなくなっていく可能性がある。</t>
  </si>
  <si>
    <t>24238478@edu.cc.saga-u.ac.jp</t>
  </si>
  <si>
    <t>プログラミングの起源は1940年代でありコンピュータの命令体系として誕生した。1950年代にあると機械学習がAI研究の一環として誕生した。プログラミングがプログラミング言語で人間が明確にルールや手順を与えるのに対し、機械学習はアルゴリズムとデータを用いてパターンを学習し自動でルールを構築する。プログラミングは計算やファイル操作などの定型業務、手順が明確な自動化を実現するとこに長けており、予測・分類、自律的な改善などは不得意としている。一方機械学習は定型業務には不向きであり、その他予測・分類、自動化、自律的な改善には向いている。特に自動化に関してはプログラミングと比べてもより複雑な判断を含む場合にも対応できる。</t>
  </si>
  <si>
    <t>ソフトウェアでの実装手段として、プログラミングと機械学習の違いを起源や実現できることの違いなど複数の観点から示して</t>
  </si>
  <si>
    <t>実世界において機械学習は小売・物流業界で活用されている。例えば店舗での商品の発注を行うとき、天候・曜日・過去の販売データ、消費期限や販売傾向から発注数を自動で算出し、人の手間を省くと同時に過剰箇条在庫を在庫を防止し廃棄ロス削減に繋がっている。また、物流での配送量や倉庫在庫の変動を予測し、人員配置や車両数を計算したり、渋滞・天候・荷物量から最短ルートを自動で選定する。慢性的な人手不足の解消や、変化する需要や状況に即座に対応できること、無駄な在庫や配送を減らすことによる収益性の改善などの目的で機械学習(AI)が使用されている。</t>
  </si>
  <si>
    <t>社会や企業・組織など実世界での機械学習(AI)の利用状況を示して。使われる場面、技術、使われ方をしているか、なぜ機械学習を使ったのかなど
小売・物流について詳しく教えて</t>
  </si>
  <si>
    <t>24238243@edu.cc.saga-u.ac.jp</t>
  </si>
  <si>
    <t>プログラミングはデータとプログラムを入力して出力を得るが、機械学習はデータと出力を入力してプログラムを得るという点が異なる。機械学習は、人間がプログラムすることが難しい根拠が曖昧な事象に対して、多くの事例からアルゴリズムを定義することができるため機械学習という手法が生まれた。</t>
  </si>
  <si>
    <t>Appleは深層学習ベースの顔認証モデルを利用してFace IDを実現しました。Face IDには3D深度センサー × CNNによる特徴抽出、高次元埋め込みベクトルによる類似度判定、オンデバイス学習でユーザーに適応、生体情報はセキュア領域に閉じ込める設計のようなML設計上の特徴があります。人や環境の多様性に対応しつつ、高精度・高セキュリティな認証を実現するため機械学習を使用したと考えられます。</t>
  </si>
  <si>
    <t>Appleがどのように顔認証システムを実装したのか、機械学習の観点から教えてください
どうしてFace IDを実現するために機械学習を使用したのですか？</t>
  </si>
  <si>
    <t>機械学習の観点から顔認証システムがどのようなものかを説明してもらうために、プロンプトに機械学習という単語を意識的に含ませました。</t>
  </si>
  <si>
    <t>24238502@edu.cc.saga-u.ac.jp</t>
  </si>
  <si>
    <t>　機械学習とは、コンピューターが大量のデータからパターンやルールを自動的に学習し、明示的なプログラムなしに判断や予測を行う技術である。基本的には1. 	データ収集：センサー、Web、アンケートなどから大量のデータを集める
2. 	前処理：ノイズ除去、欠損値補完、正規化などでデータを整える
3. 	アルゴリズム選択：問題に応じて適切な学習手法を選ぶ（例：決定木、SVM、ニューラルネットワーク）
4. 	モデル訓練と評価：訓練データで学習し、テストデータで性能を評価する
という仕組みではたらき、入力データを通してコンピュータを「経験」させ、自発的に学習をさせることで、コンピューターが自ら賢くなっていく。
　プログラミングとの相違点は、大きく人間による指示、つまりプログラムによる明確なルールや手順の記述の有無であり、プログラミングは人間により厳密に指定されたルールに基づいて入力データを処理し、結果を出力するのに対して、機械学習はコンピューターがデータからルールを学習し、入力データをモデル（予測器）として出力する。プログラミングは明確な手順がある問題（計算、制御、UIなど）を得意とし（電卓、ゲームロジック、交通信号制御）、機械学習はパターン認識、予測、分類、異常検知などを得意とする。（顔認識、音声認識、スパムメール判定）
　機械学習は、上記例のような　1. ルールが複雑すぎる問題　2. ルールが変化する問題　3. 人間が知らないパターンの発見　に対応するための手法として出てきた。プログラミングと比較すると実現できることに違いがあり、従来の機械には不可能で、人間の領分とされていた「あいまいな領域」にも機械学習は対応・認識・処理ができると私は考えている。
　プログラミングは論理的で確定的な処理に強く（例：計算、制御、UI設計）、機械学習は曖昧で複雑なパターン認識に強い。（例：画像、音声、予測）総じて、両者は補完関係にあるといえる。実際のシステムでは、両者を組み合わせて使うことが多い。（例：機械学習モデルをAPI化して、プログラムで呼び出す）私の興味のある分野でいくと、例えば欠陥検出や材料特性の予測など、従来のルールベースでは難しかった問題に機械学習が非常に役立つ。</t>
  </si>
  <si>
    <t>機械学習とはなんですか？　具体例も含めて説明せよ
ソフトウェアでの実装手段として、プログラミングと機械学習の違いについて説明しなさい。また、なぜ機械学習という手法が出てきたのか? 　実現できる事の違い、など付随する情報も絡めて詳しく知りたいです</t>
  </si>
  <si>
    <t>求める答えが少ない手順で出るように可能な限りはプロンプトを明示的にして実行しました。
機械学習の判断材料と基準がどうなっているか、興味があります。</t>
  </si>
  <si>
    <t>活用事例：ユニクロの需要予測と在庫管理（多変量予測モデル）
　ユニクロでは、店舗ごとの商品需要を予測し、適切な在庫量を確保するために機械学習を活用している。これは、売れ残りや品切れを防ぎ、サプライチェーン全体の効率化を図るための取り組みである。教師（正解）あり学習による予測モデルと、Google Cloud AIとの連携による大規模データ処理を用い、過去の販売実績・天候情報・トレンドデータ（SNSや検索動向）・地域ごとの消費傾向などを主とする入力データを活用する。
　この学習によって生まれた結果は、例えば商品ごとの「どの店舗で、何枚売れるか」を予測したデータである。このデータは、店舗ごとの発注量を自動調整する際の指標として活用される。これにより、在庫過剰による廃棄ロスの削減や、品切れによる機会損失の防止に役立ち、コストカットとパフォーマンス（売上）の向上、両軸の点から利益の最大化を追求することができる。
　ではなぜ機械学習を使用する必要があったか。従来のルールベースでは、天候やトレンドの変化に対応しきれない・店舗ごとの需要のばらつきを人間が予測するのは困難・担当者の経験に依存し、属人化しやすい　などといった課題があった。機械学習を使用することで、複雑な変数間の関係の自動的な学習・予測精度を向上させ、意思決定がデータドリブンに・継続的なモデル改善　などといったことが可能になり、この結果、ユニクロは「サプライチェーンの最適化」「収益性の向上」「顧客満足度の向上」を同時に実現することができるようになった。</t>
  </si>
  <si>
    <t>実世界 (社会や企業・組織など) での機械学習(AI)の利用状況について具体例1つを調査。どんな場面で、どんな技術が、どんな使われ方をしているのか? なぜ、機械学習を使ったのか?　わかりやすく説明しなさい。</t>
  </si>
  <si>
    <t>適切な解を得るために、いったん地震でほしい情報を整理し、簡潔で具体的かつ細かい指示を意識したプロンプトを考えた。あらかじめ条件や自身の目指すゴールをしっかり明示することが大事だと感じている。</t>
  </si>
  <si>
    <t>環境構築が難しかった。より具体的かつ細かな手引き（日本語を含むパスは利用できないなどの気を付ける要素）か、担当官の充実があればより助かったかなと感じた。</t>
  </si>
  <si>
    <t>24238510@edu.cc.saga-u.ac.jp</t>
  </si>
  <si>
    <t>従来のプログラミングは人間がルールを明確にそして具体的にに記述し、決まった処理を実行する。一方、機械学習では、大量のデータからパターンを自動で学習し、ルール化が困難な画像認識や自然言語処理などに対応可能である。特に複雑で変化の多い問題に強く、未知の状況にも柔軟に適応できる。また、モデルの更新により継続的な性能向上が可能であり、従来の手法では困難だった高度な予測や分類を実現できる。</t>
  </si>
  <si>
    <t>従来のプログラミングは人間がルールを明示的に記述し、決まった処理を実行する。一方、機械学習は大量のデータからパターンを自動で学習し、ルール化が困難な画像認識や自然言語処理などに対応可能。特に複雑で変化の多い問題に強く、未知の状況にも柔軟に適応できる。また、モデルの更新により継続的な性能向上が可能であり、従来手法では困難だった高度な予測や分類を実現できる。</t>
  </si>
  <si>
    <t>これからAIはどのように進化すると思いますか</t>
  </si>
  <si>
    <t>タクシーでは、AIによる乗客需要予測が導入せれている。ドコモや富士通などが開発した予測モデルにより、ドライバーは経験に頼らずに乗客の多い場所へ効率的に移動できるようになり乗車率が向上し売り上げ増加や利用者の待ち時間の短縮に成功した。膨大な過去の移動や乗車データをもとにパターンを抽出し、予測精度を高められる点で使われている。</t>
  </si>
  <si>
    <t>実世界 (社会や企業・組織など) での機械学習(AI)の利用状況1つを調査。どんな場面で、どんな技術が、どんな使われ方をしているのか? なぜ、機械学習を使ったのか?200字から220字で書いて</t>
  </si>
  <si>
    <t>なるべく簡潔に課題と対策を書いた</t>
  </si>
  <si>
    <t>夏休み期間しないほうがいい</t>
  </si>
  <si>
    <t>24238132@edu.cc.saga-u.ac.jp</t>
  </si>
  <si>
    <t>プログラミングは人が明示的にルールを定めるため、アルゴリズム設計から同じことを繰り返すことができ、動作も予測がたちやすい。機械学習は大量のデータからパターンを学習していくので学習した状況により結果が変わることがある。これにより複雑になるが、プログラミングでは対応できない曖昧なものにも対応することができる。</t>
  </si>
  <si>
    <t>プログラミングと機械学習の違いについてそれぞれの特徴を挙げて説明してください。
プログラミングの特徴を5つリストアップしてください。
機械学習の特徴も5つ挙げて比較表を作成してください。</t>
  </si>
  <si>
    <t>医療現場では業務を効率化しより病気を見つけやすく、正しく判断するために機械学習が使われている。AIが膨大な情報から検索することで、画像診断の支援として用いられ、重大な病気の早期の発見に役立っている。また患者の遺伝情報や生活習慣データを基に疾病リスクを予測することにも使われている。</t>
  </si>
  <si>
    <t>世界で機械学習の利用状況を教えてください
医療の分野における機械学習の利用状況を教えてください</t>
  </si>
  <si>
    <t>なるべく知りたい情報を得られるように簡潔に文章をまとめることやわかりやすいように図などを使って視覚的にわかりやすいようにしました。</t>
  </si>
  <si>
    <t>事前準備がわかりにくかったので操作の動画などがあればわかりやすくなると思いました。</t>
  </si>
  <si>
    <t>24238127@edu.cc.saga-u.ac.jp</t>
  </si>
  <si>
    <t>プログラミングは人間がルールを決めるので人間が決めた範囲内でしか動けず機械学習は機械がルールを決めるので制御がしにくい。しかしその分機械学習のようなブラックボックスではなく論理的に説明できる。機械学習のメリットはたくさん学習データを増やすことで性能が増す。</t>
  </si>
  <si>
    <t>プログラミングと機械学習の自由度の違い</t>
  </si>
  <si>
    <t>教育現場においてAIが生徒一人一人の弱点を分析してやるべき課題を作成している。一人一人の正答率や解答時間を学習し次に出す問題を調整するという機械学習が使われている。これは生徒一人一人が一番効率よく学習し成績を上げるための学習方法として利用されている。</t>
  </si>
  <si>
    <t>教育現場でどのようにAIが使われているか</t>
  </si>
  <si>
    <t>24238189@edu.cc.saga-u.ac.jp</t>
  </si>
  <si>
    <t>プログラミングは人間がルール（アルゴリズム）を考えて書くり入力、決められたルール、出力という構造です。例えば、電卓、データベース検索、if文での条件分岐などがあります。
また、機械学習はルールを人間が書かず、データから「学習」させることです。入力と出力の例を組み合わせることでモデルがルールを自動生成し、新しい入力に対応することが出来ます。例えば、画像認識、音声認識、自然言語処理、レコメンドシステムなどがあります。
なぜ機械学習が必要になったのかというと人間がルールを書けない、または非常に難しい場合があるからです。問題の複雑性が高く、手動でルールを書ききれないことがあります。例えば、顔認識は目や鼻の位置など全てルールで書くのは現実的ではありません。次に音声認識は方言や声質の違いに対応するルールを書くのは困難です。そして、データが多くなったことで、「学習」する余地が生まれました。計算資源（GPUなど）やアルゴリズムの進化により、実用化が可能になりました。実現できることの違いをいくつか調べました。四則演算、会計システムはプログラミングは得意で機械学習はあまり向いていない。自動翻訳、ゲームのAIはプログラミングは不向きであるが、機械学習はとても向いています。
ふたつには違いが沢山あるが、実際はふたつを組みあわせて使うことが多いです。</t>
  </si>
  <si>
    <t xml:space="preserve">オンライン決済を扱う金融機関や決済サービスプロバイダーでクレジットカード決済や電子マネー、インターネットバンキング等を使う場面で従来から、人がルールを設定して「怪しい取引」をチェックしていたが、不正の手口が巧妙・多様化してきて、リアルタイムで大量データを扱う必要が出てきています。
教師あり機械学習の技術を使って過去の「正常な取引」と「不正取引」のラベル付きデータを使ってモデルを訓練します。また、特徴量エンジニアリングで取引金額、時間帯、取引頻度、取引先（国・業者）、デバイス情報、過去の異常履歴など、多様な特徴を取ります。これがモデルの性能に大きく影響します。また、リアルタイム推論（リアルタイム／オンライン検知）を使って取引が発生するたびにその取引が不正かどうかをモデルが判断し、疑われるものをブロックしたりアラートを上げたりします。
なぜ「機械学習」が採用されたかについていくつか説明します。1つ目はスケールと量の増加したことが原因です。オンライン決済・クレジットカード取引など、取引量が膨大で毎秒数千〜数百万件にもなるため、人がルールを作って見て回るのが非現実的です。2つ目はパターンの複雑化・変化したからです。不正を働く側も手法を変えてきます。手書きルール（if 条件）だけでは、新しい手口に対応できません。機械学習なら過去のデータに基づいてパターンを学び、新しい異常 を検知する可能性があります。3つ目は、リアルタイム性の要求されるからです。取引が完了する前に不正を防ぎたい。遅延が許されないシステムにおいて、モデルによる即時予測が必要となります。更に4つ目はコスト・効率を考えると誤アラートを減らす、人手でのチェックを削減することでコスト削減になるからです。人的ミスや疲労による見落としのリスクも軽減されます。最後に5つ目は期待されるROI（投資対効果）が明確だからです。不正が防げれば損失を直接減らせるので、モデル導入のコストを上回る利益が見込めます。
</t>
  </si>
  <si>
    <t>24238152@edu.cc.saga-u.ac.jp</t>
  </si>
  <si>
    <t>ソフトウェアの実装手段として従来用いられてきたのはプログラミングである。これは人間がルールや手順を明示的に記述し、入力に対して決定的な出力を与える方式である。これは計算処理や定型的な業務の自動化に適している。しかし画像認識や音声理解のように「境界が曖昧で、人間自身も明確な規則を言語化できない問題」には対応が難しい。こうした背景から登場したのが機械学習である。機械学習は大量のデータから統計的なパターンを学習し、未知の入力に対して確率的に予測を行う。したがってルールを直接与えなくても、複雑なパターンや曖昧な情報を扱うことが可能となる。ただし出力は常に正しいとは限らず、精度の指標（正解率や再現率など）で性能を評価する必要がある。すなわち、プログラミングは「正確さと再現性」に強みを持ち、機械学習は「ルール化困難な複雑問題」への適用を可能にするという点で異なる。</t>
  </si>
  <si>
    <t>①課題:以下の内容についてレポートを書きます。要点を挙げてください。
1.ソフトウェアでの実装手段として、プログラミングと機械学習の違いについて。
②例えばなぜ機械学習という手法が出てきたのか、実現できることの違いとかを入れる。
もちろん他にこの二つの違いを説明できるような疑問や疑問解決があればそれでも良い。
③ポイントを箇条書きにせよ。
④添削して(間違った語彙や文脈など)</t>
  </si>
  <si>
    <t>建築の現場でも機械学習は使われていた。その一例が資材の発注や施工計画に関する予測だ。これまでは担当者が経験を頼りに必要な量を見積もっていたが、天気や工期の遅れ、地域の需要などが重なり合うと読み違いが起きやすかった。そこで導入されているのが、過去の工事データや気象情報、地域の動向をまとめて学習させるシステムである。これによって資材の使われ方を先読みし、足りなくなったり余りすぎたりするのを防げるようになった。結果としてコスト削減やスケジュールの安定につながっている。人間の経験だけでは考慮しきれない複雑な要因をAIが処理できる点が、建築業界で機械学習が使われる大きな理由といえる。</t>
  </si>
  <si>
    <t>①課題:以下の内容についてレポートを書きます。要点や例を挙げてください。
※ なお、建築業で使われている機械学習の事例があればそれが良い
実世界 (社会や企業・組織など) での機械学習(AI)の利用状況1つを調査。
どんな場面で、どんな技術が、どんな使われ方をしているのか? なぜ、機械学習を使ったのか?
②生成AIではなく機械学習
③ポイントにして箇条書きにして
④上のレポートを添削して教えてください。
(語彙、文脈、起承転結の間違いと修正)</t>
  </si>
  <si>
    <t>AI実習は続けた方が良い</t>
  </si>
  <si>
    <t>24238438@edu.cc.saga-u.ac.jp</t>
  </si>
  <si>
    <t>プログラミングは、人がルールや手順をはっきりと示して、人が全てのルールや手順を決め、最終的にコンピュータに仕事をさせる方法があります。機械学習は、大量のデータをもとにコンピュータ自身でルールを学ばせる方法でありパターンをデータから推定、自動で学習させることができます。
従来のプログラミングでは人間が「ルールを定義できること」が前提でした。例えば「画像の中から動物を見分ける」「音声から言葉を認識する」などの問題はルールが曖昧かつ複雑でスムーズに対応ができなくなってきました。そこで、人間がルールを書かなくても、データから学ばせる機械学習が誕生しました。機械学習が誕生したことにより顔認識や売り上げ予測が可能になってきました。</t>
  </si>
  <si>
    <t>私はプログラミング初心者です。時間がかかってもいいのでソフトウェアでの実装手段として、プログラミングと機械学習の違いについての述べてください。例えば、なぜ機械学習という手法が出てきたのか? 例えば、実現できる事の違い、など。</t>
  </si>
  <si>
    <t>教育分野AIによる学習支援(長崎北高校の事例)
「活用場面について」、ChatGPTを使って英作文の添削や長文読解のサポート、生徒からAIの使い方を試行錯誤し、ガイドラインを自ら作成
「使用技術について」、大規模言語モデル(LLM)、自然言語処理
「なぜ機械学習を使ったのか」について、生徒一人ひとりに合わせた学習支援が可能、自主的な学びと問題解決能力の育成
「なぜ機械学習を使うのか」
人間の判断や経験に依存していた作業を、大量のデータから学習して再現できる。
大量のデータを高速・高精度で処理できる。
人手不足や業務効率化といった社会問題の解決に貢献できる。</t>
  </si>
  <si>
    <t>私はプログラミング初心者です。時間がかかってもいいので 実世界 (社会や企業・組織など) での機械学習(AI)の利用状況1つを調査。どんな場面で、どんな技術が、どんな使われ方をしているのか? なぜ、機械学習を使ったのか?</t>
  </si>
  <si>
    <t>自分が機械学について初心者という点。
主語と述語をしっかりと指示する点。</t>
  </si>
  <si>
    <t>今回の講義を受け、プログラミングと機械学習の違いを知り、生成AIに興味がわいた。特に講義中に紹介された畠山先生が生成AIと会話していた場面は恐らく走馬灯に出てくるだろうと思うくらい衝撃を受けた。驚きの感情と共に人間の知能を超えてしまうのではないかという恐怖も感じた。また生成AIを利用するときは個人情報や言葉不足、情報提供などの内容をきちんと確認、指定することがより良い回答を得られる一歩になると感じたという点。</t>
  </si>
  <si>
    <t>24238459@edu.cc.saga-u.ac.jp</t>
  </si>
  <si>
    <t>プログラミングは問題を解くための手順や計算方法を考え仕様に基づきルールを設計するが機械学習はルールをデータから自動的に学習させている。</t>
  </si>
  <si>
    <t>実世界で使われるAIの一つの実例として自動運転が可能な車があげられる。AIで画像認識やセンサーデータ解析で物体検出や状況把握を行い交通状況や障害物情報をもとに、最適経路をAIが動的に算出する。あとAIが計算した指示を車の制御システムに渡し、実際の動作を行っている。</t>
  </si>
  <si>
    <t>課題への取り組みは難しかったけど班のみんなと協力することでできました。</t>
  </si>
  <si>
    <t>23238903@edu.cc.saga-u.ac.jp</t>
  </si>
  <si>
    <t>プログラミングと機械学習の違いについて述べる．
プログラミングは開発者が「入力→処理（明示的な条件分岐・計算・ループ等）→出力」をすべて明示的に記述する．つまり，問題解決のための規則・手順を開発者が設計・実装する．
それに対して，機械学習は多くの場合，「過去のデータ」を用いてモデル（関数や統計モデルなど）を学習し，未知の入力に対して予測・分類・意思決定を行う方式をとる．モデル自体の構造や重み（パラメータ）は，人手ではなくデータと最適化アルゴリズムによって決定される．明示的にすべての規則・手順を記述しないという点で大きく異なる．
次になぜ機械学習という手法が出てきたのかについて述べる．
従来のプログラミングでは複雑・曖昧・多様な現象を明示的ルールで記述するのには限界がある．例えば，画像認識，音声認識，自然言語処理などは入出力の対応関係が複雑すぎて，人手で条件分岐や特徴抽出をすべて書き切れない．
最後に実現できることの違いについて，私の専攻であるロボットの制御工学において述べる．
プログラミングでは，決まった環境で決まった手順を正確に実行することができる．例えば，産業用ロボットアームが溶接，組み立て，塗装などを常に同じ軌道を繰り返すような動作ではプログラムで指定された角度や速度，タイミングでアクチュエータを動かすため従来のプログラムでよい．
機械学習では，「ルールを人が書ききれない」ような複雑で曖昧な状況を扱うのに強く，環境が変化しても適応できたり，パターンを自動で学習できたりする．例えば，最新のロボット掃除機はLiDARからのデータをもとに部屋の地図を作成し，効率的なルート計画を自動生成している．また，深層学習による画像識別を利用し，障害物を認識することができる．</t>
  </si>
  <si>
    <t>ソフトウェアでの実装手段として、プログラミングと機械学習の違いについての述べてください。例えばなぜ機械学習という手法が出てきたのか? 例えば、実現できる事の違い、などについて詳細な説明と引用元をリストアップしてください。</t>
  </si>
  <si>
    <t>前項でも述べたが機械学習は，「ルールを人が書ききれない」ような複雑で曖昧な状況を扱うのに強く，環境が変化しても適応できたり，パターンを自動で学習できたりする．最新のロボット掃除機はLiDARからのデータをもとに部屋の地図を作成し，効率的なルート計画を自動生成している．また，深層学習による画像識別を利用し，障害物を認識することができる．
従来のプログラミングベースのものは壁や障害物にぶつかるたびにランダムに進行方向を変えるランダムウォーク方式や壁や障害物にぶつかるたびにランダムに進行方向を変えるセンサ連動方式で動いていた．これらは作業効率が悪かった．</t>
  </si>
  <si>
    <t>2日では難しいと思いますが，機械学習のロジックをもっと教えてほしかった．</t>
  </si>
  <si>
    <t>24238153@edu.cc.saga-u.ac.jp</t>
  </si>
  <si>
    <t>プログラミングと機械学習は、ともにソフトウェアを実装する方法だが、その考え方は大きく異なる。プログラミングは人間がルールを定めて処理を記述し、入力されたデータに従って結果を導く演繹的な手法である。例えば計算処理やWeb表示のように、手順が明確なタスクに適している。これに対し機械学習は、多数のデータとその正解を与え、そこからコンピュータ自身にパターンを抽出させてルール（モデル）を作り出す帰納的な手法である。画像認識や音声認識のように、条件分岐で書ききれない曖昧で多様な問題を扱える点が強みだ。この背景には、現実世界の複雑さが従来型の記述では対応困難であったことがある。機械学習は分類や予測、クラスタリングなどを通じて、未知の状況に対応する汎化能力を持つ。一方で完全な代替ではなく、決定的な処理は従来のプログラミングが依然として有効である。両者は対立するものではなく、機械学習で得たモデルをプログラムに組み込み活用するなど、補完関係として現代のソフトウェアを支えている。</t>
  </si>
  <si>
    <t>添付した資料を参考にして
ソフトウェアでの実装手段として、プログラミングと機械学習の違いについて述べてください。</t>
  </si>
  <si>
    <t>　ソフトウェア開発には、人間がルールを定義するプログラミングと、データからAIがルールを学ぶ機械学習という二つの手法がある。後者は、ルール化が困難な複雑な課題を解決するために生まれた。
　実用例として、生成AIを活用した「GitHub Copilot」は、コードの自動生成やバグ発見で開発者を支援する。AIは仕事を奪うのではなく、生産性を高め、プログラマーの創造性を解放する強力な相棒だ。そのため、未来の開発者にはAIを使いこなし、設計など、より高度な課題解決に挑む能力が重要になる。</t>
  </si>
  <si>
    <t xml:space="preserve">wifiが重すぎたのでオンライン受講できるようにするべきだと思う
</t>
  </si>
  <si>
    <t>24238511@edu.cc.saga-u.ac.jp</t>
  </si>
  <si>
    <t>プログラミングは人間がルールや手順を明確に記述するもので、従来のソフトウェア開発に用いられてきた。一方、機械学習は大量のデータからパターンを学習し、ルールを自動的に構築するものである。複雑で明確なルール化が困難な画像認識や自然言語処理などの問題に対応するために登場した。機械学習は柔軟性が高く、未知の状況にも適応可能である。</t>
  </si>
  <si>
    <t>ソフトウェアでの実装手段として、プログラミングと機械学習の違いについての述べてください。例えば、なぜ機械学習という手法が出てきたのか? 実現できる事の違い、などです。理工学部の大学生が書いたようにしてください。文字数は２００字程度でお願いします</t>
  </si>
  <si>
    <t>deep learningのように今後もそのような新しい分野がどんどん出てくると思いますか？また、知っている人と知らない人で大きな違いが生まれるのは時間の問題でしょうか？</t>
  </si>
  <si>
    <t>メルカリでは、出品時の手間と価格設定ミスを減らすために機械学習を導入した。画像から商品カテゴリや適正価格を自動提案するAI出品サポート機能により、入力時間が短縮され、成約率が１割程度向上した。また、価格推定技術が用いられており、膨大な取引データを学習することで精度を高めている。人手では困難な判断をAIが代替することで、利便性と成果の両立が可能となった。</t>
  </si>
  <si>
    <t>実世界 (社会や企業・組織など) での機械学習(AI)の利用状況1つを調査。どんな場面で、どんな技術が、どんな使われ方をしているのか? なぜ、機械学習を使ったのか?理工学部の大学生が書いたようにしてください。文字数は２００字程度でお願いします</t>
  </si>
  <si>
    <t>自分がどういう立場なのか教える、文字数を指定する。</t>
  </si>
  <si>
    <t>近くの人と話し合う時間があれば、みんなが集中力を保って講義をうけれると思います</t>
  </si>
  <si>
    <t>24238151@edu.cc.saga-u.ac.jp</t>
  </si>
  <si>
    <t>従来のプログラミングは、人間がルールやアルゴリズムを明示的に記述する方法で、明確な仕様があるタスクに適している。
一方、機械学習は大量のデータからパターンを学習し、自動的にアルゴリズムを生成する方法で、ルールを定義しにくい複雑な問題や未知の事象にも対応できる。
機械学習が登場した背景には、実世界のあらゆるケースを人間がルール化することの困難さがある。特に画像認識や音声認識のように、従来のプログラミングでは対応が難しかったタスクを実現するために必要とされた。
要するに、プログラミングは「人がアルゴリズムを書く」決定論的な方法で説明可能性に優れ、機械学習は「データがアルゴリズムを作る」確率的な方法で汎化能力に優れていると言える。</t>
  </si>
  <si>
    <t>両者のアプローチで、エラーへの対処や仕様変更への対応といった開発プロセスにどのような違いが生じますか？</t>
  </si>
  <si>
    <t>リクルートはオンライン学習サービス「スタディサプリ」に、機械学習を活用したアダプティブ学習機能を導入している。
この機能は、生徒の学習履歴や解答の傾向を分析し、習熟度やつまずきやすいポイントを判定したうえで、次に取り組むべき最適な講義や問題を自動的に提示する仕組みだ。これにより、生徒一人ひとりに合わせた個別最適化学習が実現し、学習効率を高めている。
従来、このような個別対応は教師の大きな負担となり、現実的には難しかった。しかしAIを活用することで、効率的かつ精度の高いレコメンドが可能になった。さらに宿題配信や進捗管理と組み合わせることで、教師の業務負担を軽減しながら、生徒の学習体験も向上させている。
このように、機械学習の導入は教育現場における「個別最適化」と「効率化」を両立させるうえで欠かせない手段となっている。</t>
  </si>
  <si>
    <t xml:space="preserve">普段、プログラミングやAIに触れる機会がないため、AI実習での環境構築の際につまづいた点をAIに聞くことが容易ではなかったです。どういう文章でAIが希望通りに答えてくれるかを予想しながら聞くという、普段は考えないようなことを行うことができていい経験になりました。
</t>
  </si>
  <si>
    <t>24238406@edu.cc.saga-u.ac.jp</t>
  </si>
  <si>
    <t>プログラミングと機械学習の違い
プログラミングと機械学習の違いは、実装方法、入力、出力、の三点で違いがある。実装方法においての違いは、プログラミングは人間がルールを明示的に記述するのに対し、機械学習はデータからルールを自動的に学習する。入力においての違いは、プログラミングがコード＋データなのに対し、機械学習はデータ＋結果である。出力においての違いは、プログラミングは結果（処理されたデータ）を出力するのに対し、機械学習は、モデル（予測器）を出力する。
なぜ機械学習という手法が出てきたのか
従来のプログラミングではすべてのルールを人間が記述する必要がありました。しかし、ルールが複雑すぎる場合（画像から猫を認識するには「猫らしさ」を定義するルールが膨大で曖昧）、ルールが明確でない場合（言語のニュアンスや人間の感情など、定義が難しい）、大量のデータがある場合（データからパターンを抽出した方が効率的）、人間がルールを記述するのが困難でした。そこで、人間がルールを教えるのではなく、データからルールを学ばせるという考えから機械学習が生まれました。
生成AIの登場とできること
生成AIは機械学習の中でも「深層学習（ディープラーニング）」を活用しているモデルです。特に「Transformer」という革新的なニューラルネットワーク構造で従来にない方法で急成長しました。生成AIの特徴として、文章、画像、音楽などの創造的出力、過去の会話や文章の流れを理解して応答できる文脈理解能力、自動翻訳、コード生成、画像生成、音声合成などの多様な応用もできます。従来のプログラミングでは「猫の絵を描いて」と言われても、「猫とは何か」を定義する必要がありましたが、生成AIは大量の猫画像と説明文を学習し、猫らしい特徴を抽出し、創造する能力があるので猫の絵も描くことができます。</t>
  </si>
  <si>
    <t>プログラミングと機械学習の違いについてわかりやすく丁寧にまとめてください。またなぜ機械学習ができたのか、生成AIの誕生とできることについてもわかりやすく教えてください。</t>
  </si>
  <si>
    <t>メルカリのAI出品サポート機能
メルカリでは、ユーザーが商品を出品するときに「商品名、カテゴリ、価格」などを手入力する必要があります。また価格設定ミスによる売れ残りも多くあり、ユーザー体験や売上に課題がありました。そこで以下の技術を導入し解決を目指したそうです。
・画像認識で商品画像からブランドやカテゴリを推定
・価格予想モデルでLightGBM（勾配ブースティング）＋分位点回帰
・2,000万枚以上の実取引画像を活用し自己教師学習
・エッジAI でスマホ端末上で高速推論を実現
ルールベースでは限界があった（商品画像からブランドや価格を推定するには、膨大なパターンと曖昧な特徴があり、従来のプログラミングでは対応困難）、メルカリには大量のデータが存在（メルカリには膨大な取引履歴と画像があり、機械学習に最適な環境）、ユーザー体験の向上をさせたかった（出品の手間を減らし、売れやすくすることで、流通を拡大したかった。）ことからメルカリはAI を導入したそうです。
AI導入の成果としては、入力時間が3～4分→約１分に短縮、成約率が出品後２４時間以内で１５％アップ、ブランド推定精度の大幅向上、リリース半年で開発費を回収などのすごい成果が得られたそうです。</t>
  </si>
  <si>
    <t>実世界での機械学習の使われている場面、どのような技術がどのような場面で、どのような使われ方をしているのか、なぜ機械学習を使ったのかを、具体例を挙げてわかりやすくまとめてください。</t>
  </si>
  <si>
    <t>わかりやすくなどの言葉を入れた</t>
  </si>
  <si>
    <t>たまにWi-Fiがおもかった</t>
  </si>
  <si>
    <t>23238909@edu.cc.saga-u.ac.jp</t>
  </si>
  <si>
    <t>プログラミングは人がコンピュータに希望の動きをする手順やルールを明確にコードで書き記す。決められたルールに従って条件に従って動く仕組みを設定(プログラム)する。プログラムされた設定以上のことをコンピュータが自主的に行う事は出来ない。電卓アプリ、WEBサイトの動き、ゲームの操作などがプログラミングによって行う事ができる。
機械学習とはデータやパターンやルールをコンピュータ自身が学習して判断や予測をする技術のこと。人が細かいルールを全部書くのではなく特徴量設定を行い、未知のデータに対して推測・判断できるようにする。機械学習にもプログラミングは使われており、機械学習の`データから学習する‘仕組み自体を動かすためにはプログラムを書く必要がある。画像認識、音声認識、レコメンドシステムなどが機械学習によって行われる。</t>
  </si>
  <si>
    <t>・プログラミングと機械学習の違いについて教えてください。
・機械学習にはプログラミングが埋め込まれているのですか？</t>
  </si>
  <si>
    <t>異常検知システム
場面：製造業の故障予測、金融の不正検知、ネットワークセキュリティ
使われている技術：教師なし学習（クラスタリング、オートエンコーダー）、時系列解析
利用方法：通常とは異なるパターンを検知し、故障や不正を早期に発見
例）銀行のクレジットカード不正利用検知、工場の設備異常の予兆検知</t>
  </si>
  <si>
    <t>現在、実世界で利用されている機械学習の利用状況をおしえてください。どんな場面でどんな技術がどのように利用されているのか</t>
  </si>
  <si>
    <t>24238341@edu.cc.saga-u.ac.jp</t>
  </si>
  <si>
    <t>プログラミングとは人間が手続きやルールを考え、それをコンピュータに指示する行為であり、数値計算やシステム制御などの計算が明確、ルールがはっきりしている問題が得意であり、機械学習はデータから規則やパターンをコンピュータ自身に学習させる方法論であり、画像認識、自然言語処理などの複雑でルールを明示できない問題が得意である。</t>
  </si>
  <si>
    <t>プログラミングと機械学習の違いについて詳しく教えてください</t>
  </si>
  <si>
    <t>将来的にプログラミングの需要は低くなるのか気になる。</t>
  </si>
  <si>
    <t>医療分野での画像診断支援システムで使われている。画像の数が非常に多い、医師の負担が大きい、見落としのリスクがあるなどという課題の解決のため、機械学習が使われるようになった。学習データとして過去の医療画像と医師がつけた診断ラベルをCNNなどの画像認識モデルを学習させ、新しい患者の画像を入力すると、モデルが「異常の可能性」を確率で出力し、医師はその結果を参考にし、最終判断を下す。</t>
  </si>
  <si>
    <t>実世界での機械学習(AI)の利用状況1つを例として詳しく教えてください</t>
  </si>
  <si>
    <t>詳しくと書くことで情報量をより多く獲得できるようにした。</t>
  </si>
  <si>
    <t>１日目の機械学習のプログラムの理解が難しかった。</t>
  </si>
  <si>
    <t>24238247@edu.cc.saga-u.ac.jp</t>
  </si>
  <si>
    <t xml:space="preserve">実装手段としてプログラミングは人間がルールを明示的に記述するもので、機械学習はデータからルールを自動的に学習するものである。機械学習はパターン認識、予測、自然言語処理、画像認識など、ルールが複雑で人間が明示的に書きにくい問題に向いている。
</t>
  </si>
  <si>
    <t xml:space="preserve">パーソナライズされた顧客体験（ECサイト）
活用内容としては、顧客の購買履歴や閲覧履歴をAIが解析し、 好みに合った商品をレコメンドした。
効果は、購入率の向上や顧客満足度アップ、在庫管理の最適化など。
</t>
  </si>
  <si>
    <t>1日目のプログラミングの内容が良く分からなかった。</t>
  </si>
  <si>
    <t>24238016@edu.cc.saga-u.ac.jp</t>
  </si>
  <si>
    <t xml:space="preserve">プログラミングは、人間がルールや手順を明示的に書き、コンピュータが書かれた通りに正確に実行する。しかし、未知の状況や膨大なデータに対応するのが難しい。それに対して機械学習は、大量のデータからパターンを自動で学習し、未知の状況にも推論・判断できる。 つまり、プログラミングは「ルールを書く」、機械学習は「データから学習する」という考え方の違いから誕生した技術である。 </t>
  </si>
  <si>
    <t xml:space="preserve"> プログラミングと機械学習の違い、出来た理由について説明して</t>
  </si>
  <si>
    <t xml:space="preserve">自動運転車の道路の状況認識、信号や標識の判別、障害物回避などの技術に使われている。道路状況、信号、歩行者や他の車など、現実世界は複雑で予測不能な要素が多い。すべてのルールを人間がプログラムするのは不可能であり、機械学習を使ってデータからパターンを学習させる必要がある。機械学習は過去のデータから学習することで、未知の状況にもある程度柔軟に対応できるため、用いられている。  </t>
  </si>
  <si>
    <t>実世界で機械学習が使われている例と、その使われ方を教えて</t>
  </si>
  <si>
    <t>事前準備の環境構築の手順の説明が難しかった</t>
  </si>
  <si>
    <t>24238490@edu.cc.saga-u.ac.jp</t>
  </si>
  <si>
    <t xml:space="preserve">プログラミングとは人がルールや手順を書いてコンピューターに命令する。一方で機械学習はコンピューターが多量のデータを見てコンピューター自身がルールを学び判断する。
</t>
  </si>
  <si>
    <t>プログラミングと機械学習の違いて教えて</t>
  </si>
  <si>
    <t>機械学習はいつごろから行われるようになったのですか。</t>
  </si>
  <si>
    <t>すかいらーくぐるーぷが導入している配膳ロボット（BallaBot）。料理の配膳や食器の回収を自動で行う。SLAM（Simultaneous Localization and Mapping）技術や音声認識・顔認識、自律走行技術などが使われている。回転率の向上や人件費の削減など経営効率を高めるパートナーとして活躍している。
https://neural-opt.com/restaurant-ai-cases/</t>
  </si>
  <si>
    <t>飲食店で使われているAIロボットについて詳しく教えて
配膳ロボットにはどんな技術がつかわれているの？</t>
  </si>
  <si>
    <t>内容を掘り下げるように質問をした</t>
  </si>
  <si>
    <t>総じて難易度がとても高いなと感じた。普段から聞きなれない専門用語だったり、操作を行ったので何がわからないのかすらわからなかったです。ですが、今回行った操作が機械学習への意欲だったり、興味関心を高めていくのかなと思いました。</t>
  </si>
  <si>
    <t>24238501@edu.cc.saga-u.ac.jp</t>
  </si>
  <si>
    <t xml:space="preserve">プログラミング：作り手がすべての手順や条件分岐をコード記述し、その気記述に対して常に同じ結果が出力されるように設計されている。
機械学習：過去のデータを基にしてパターンやルールを作成する。
機械学習が生まれた背景としてIoTやインターネットの普及により、人が捌ける数を超え複雑な問題に対して対応が出来なくなってしまったため、過去からの傾向やルールを見つけるために誕生した。
これによって、パターン認識と分類の分野では顔認識や医療画像診断、スマートセンシング、スマートスピーカー、文字認識などのシステムが誕生した。（自動車やスマートフォンに搭載されている）
自然言語処理では、翻訳や長文の要約、レビューやSNSの投稿から感情の判定AIチャットボットなどのAIが誕生した。
予測と推論の分野では、主に企業にとって重宝されるシステムが生まれた。例えば在庫管理や販売戦略を考えてくれる需要予測や株価を予測してくれる金融市場の動向を分析してくれるもの、セキュリティなどの警備用いられる異常検知をしてくれるソフトウェアなど様々な分野で活躍してくれるシステムが誕生した。
</t>
  </si>
  <si>
    <t>プログラミングと機械学習の違いについて教えて
機械学習が誕生したことによって新たにできるようになったことを教えて</t>
  </si>
  <si>
    <t>三菱UFJ銀行の不正検知：異常検知アルゴリズム
これは教師なしの機械学習が利用されている。なぜなら不正手口が多様化・巧妙化しており、ルールベースでは対応困難なのでリアルタイムで検知できる仕組みが必要だったからである。
スタディサプリ
これは私も利用していたが、学習履歴によって最適化された学習計画が組まれていて、弱点が克服されるようなプランを考えてくれるシステムである。生徒ごとに最適化されたプラン構築する必要があるため機械学習に向いている。
ヤマト運輸：配送の最適化
配送ルートの最適化や荷物量の予測をして再送達を減らせるように最適化されている。
富士フイルム：画像診断AI
（X線、CT、MRI）医療画像から疾患を検出する支援ツールとして活用している。
ディープラーニングによる画像認識が使われている。</t>
  </si>
  <si>
    <t>企業で使われている機械学習の事例を教えて</t>
  </si>
  <si>
    <t>AIは具体性に欠けた回答をすることが多々あるので完結に事実を述べてくれるような質問をし、繰り返し似た質問をして精度の高い回答を得られるようにPromptを作成した。</t>
  </si>
  <si>
    <t>事前準備のシートの内容が難しく感じました。</t>
  </si>
  <si>
    <t>24238144@edu.cc.saga-u.ac.jp</t>
  </si>
  <si>
    <t>プログラミングは、人間がルールを明示的に書き、手書きのロジックで入力し、プログラムの動作結果として出力し、明確な手順を実行する。これに対して、機械学習は、データからルールを自動的に学習し、訓練データと正解ラベルを入力し、学習済みモデルを出力し、パターンを見つけて予測・分析をする。</t>
  </si>
  <si>
    <t xml:space="preserve">コールセンターで、 ChatGPTのような大規模言語モデルや自然言語処理による文章生成・要約・対話応答が使われている。そこでは、顧客対応の自動化や提案書のドラフト作成、社内文書の要約・翻訳・校正として使われている。これが使われる理由として、業務の効率化、提案の質向上、導入コストの低下、競争力の強化があげられる。
</t>
  </si>
  <si>
    <t>24238147@edu.cc.saga-u.ac.jp</t>
  </si>
  <si>
    <t>プログラミングは人間がルールやロジックを明示的にコードとして記述しコンピューターにその通りに実行させる手段であり、機械学習とはルールを人間が直接書かずデータからルールをが自動的に学習させる手法である。現実世界では複雑で人間がルールを設計できないような問題がある。それを解決するために機械が自らルールを定める機械学習が生まれた。</t>
  </si>
  <si>
    <t>ソフトウェアでの実装手段として、プログラミングと機械学習の違いについての述べてください。またなぜ機械学習という手法が出てきたのかや 実現できる事の違いなどをおしえて</t>
  </si>
  <si>
    <t>タクシーの配車予測。従来までベテランドライバーの土地勘や経験で補っていたタクシーの配車予測において、過去の乗車率、時間帯、場所などを学習させることで新人でも乗客がいそうな場所を予測できるようになり乗車率を向上させ売上上昇につながった。</t>
  </si>
  <si>
    <t>講義でPythonを使ったが、学んだのが1年後期だったので言語を全く覚えていなかったので何が起こっているのか理解するのがとても難しかった。</t>
  </si>
  <si>
    <t>23238214@edu.cc.saga-u.ac.jp</t>
  </si>
  <si>
    <t>プログラミングと機械学習では指示の与え方が異なります。プログラミングでは、人がルールや手順を明確にかいていて、機械学習では、ルールを見つけさせるためにデータを与えてコンピューターがパターンを学習し、ルールを見つけるという違いがあります。また、適用される分野も異なります。プログラミングは、明確な手順や計算が決まっている問題、例えば計算ソフトや業務システムなどです。一方で機械学習は、明確なルールを人が書きにくい問題である、画像認識、音声認識、自然言語処理などがあります。</t>
  </si>
  <si>
    <t>プログラミングと機械学習の違いについていくつか挙げて</t>
  </si>
  <si>
    <t>自動車の自動運転における AIの使われ方は見目ら画像やレーダーのデータから周囲の状況を理解することに用いられ、これは、車両・歩行者・信号機・標識の認識（物体検出）や車線や道路境界の検出に使われている。また、周囲の車や歩行者が「次にどう動くか」を予測したり、認識・予測の情報をもとに、自車が「どう動くべきか」を決定したりする。なぜ機械学習を使うのかは、実際の交通状況は膨大で複雑であり、ルールベースのプログラミングでは人がすべてのルールを書くのは不可能であるため、あらゆる道路上でのシチュエーションをデータとして与えると学習できる機械学習は適していると言える。</t>
  </si>
  <si>
    <t>自動車の自動運転でAIがどのような使われ方をしているかおしえて。また、なぜ機械学習をつかうようになったかおしえて</t>
  </si>
  <si>
    <t>24238225@edu.cc.saga-u.ac.jp</t>
  </si>
  <si>
    <t>プログラミングでは人間が明確な手順やルール、規則性を明示的に設計することでコードとして実行される。実例を挙げると決算ルールや税率が明確な会計ソフトや物理法則に従うゲームの物理エンジンなどである。これに比べて機械学習では、明確なルールが存在しない、もしくは複雑すぎて手作業で設計できない問題を大量のデータからパターンやルールを自動で学習する手法である。現在では明確な定義ができないスパムメールを過去のデータから分類モデルを構築し、判断するものも使用されている。
機械学習が必要になった理由はこの2つの説明が示す通りだ。従来のプログラミングでは全てのルールを明確に記述しなければならないが、現代社会では全てのルールを設計者が把握、記述することが不可能な複雑な問題が増加したためである。</t>
  </si>
  <si>
    <t>ソフトウェアの実装手段として、プログラミングと機械学習の違いについて実際に存在する技術や事実に基づいて分かりやすく教えてください</t>
  </si>
  <si>
    <t>事実に基づく答えを出してもらうために文章の中に「事実に基づいて」という言葉をいれた。また丁寧な解説をしてもらうために「分かりやすく」という単語を入れた</t>
  </si>
  <si>
    <t>現代社会の企業で私はAmazonのレコメンドシステムに着目しました。このシステムはアマゾンで商品を探しているユーザーに対して「あなたへのおすすめ」や「この商品を買った人はこのような商品を買っています」という形で商品をお勧めする機能を持っている。これには、類似ユーザーの購入履歴からおすすめを生成する「協調フィルタリング」。ユーザーの行動ログをもとに予測する「ディープラーニング」。レビューの内容から商品の評価や傾向を分析する「自然言語処理」などの技術が使われている。Amazonが機械学習を使う理由は人の興味や買い物の傾向が複雑で人間がすべてのルールを定義するのは不可能かつ、毎秒、世界中のユーザーから発生する膨大なデータで機械が素早く学習することができるからである。</t>
  </si>
  <si>
    <t>実世界 (社会や企業・組織など) での機械学習(AI)の利用状況を調べ。どんな場面で、どんな技術が、どんな使われ方をしているのか? なぜ、機械学習を使ったのか?簡潔に説明してほしい</t>
  </si>
  <si>
    <t>質問の個数が多いため分かりやすい解説をしてもらうために「簡潔に」という言葉を使った</t>
  </si>
  <si>
    <t>チームは二人のほうが協力しやすいと感じました</t>
  </si>
  <si>
    <t>24238435@edu.cc.saga-u.ac.jp</t>
  </si>
  <si>
    <t>プログラミングは人がはっきりとしたルールや手順を書き、それに従って計算や処理を行う方法で、正確で安定しており管理もしやすいという利点があるが、ルールが複雑だったり曖昧な判断が必要な場合には向いていない。
一方、機械学習はコンピュータが大量データからパターンを学び、与えられたデータから予測や判断をする方法なので、複雑で曖昧な問題も扱えるという強みがあるが、学習するデータが少ない場合、間違えやすくどうしてその結果になったのかが分かりにくい、という弱点がある。
つまり、プログラミングは計算や制御などルールがはっきりしている課題に向いていて、
機械学習は画像や音声の認識、文章の理解などルールをはっきり書きにくい課題に向いている。
そして双方に互換性はなく、プログラムでデータを整えて機械学習に使ったり、機械学習の結果をプログラムで使うなど、組み合わせることでより便利で複雑なソフトウェアを実現することができる。</t>
  </si>
  <si>
    <t>ソフトウェアでの実装手段として、プログラミングを選択する場合と機械学習を選択する場合それぞれのメリットとデメリットについてプログラミング初心者でもわかるように専門用語を必要最低限の数にして教えて</t>
  </si>
  <si>
    <t>現在、企業や組織では、顧客対応の効率化やサービス向上のためにAIが活用されている。
特にコールセンターやチャットサポートでは、自然言語処理を使ったAIチャットボットや音声認識AIが導入され、問い合わせ内容を自動で理解し適切に回答することが可能になる。
これによって、人間の負担が減り、24時間体制で大量の問い合わせに対応できるようになった。
技術的には、過去の問い合わせデータを学習した機械学習やディープラーニングが用いられ、単純な定型文だけでなく、顧客の意図、感情を考慮した柔軟な応答も可能となっている。
AIの活用は人件費削減や業務効率化だけでなく、顧客にとっても待ち時間の短縮や誤回答の減少などの利便性を提供する。
さらに、収集データの分析により、製品やサービスの改善にも役立っている。
企業がAIを使う理由は、人手を補うだけでなく、大量のデータから顧客のニーズを効率的に把握し、より適切なサービスを提供するためである。</t>
  </si>
  <si>
    <t>現在、実世界 (社会や企業・組織など) でのAIがどんな局面で、どんな技術が、またそれによる社会への影響、どんな使われ方をしているのか、なぜAIを使用しているのかの利用状況を一つ教えて。　時間はたっぷりあるから推敲して間違えや主題とずれている回答はやめてください。</t>
  </si>
  <si>
    <t>多方面からの視点をPromptに組み込むことでより詳細に、かつAIに時間をかけ推敲させることで質の高い回答を受け取ることを可能にした。</t>
  </si>
  <si>
    <t>AI活用をすることで一人ひとりの理解度を上げつつ、専門性の高い思考をようにされているのが良かった。一長一短である生成AIを適切に活用することは容易ではないが、この講義では適切に使用されていて良かった。
ただ演習内容が難しくなく一般的に認知されているものばかりで実行内容を理解するのは容易だったが、原理を理解するには難しかった。
専門性を保証するためではあるとは感じるがしょうがないこととも感じとれた。</t>
  </si>
  <si>
    <t>24238057@edu.cc.saga-u.ac.jp</t>
  </si>
  <si>
    <t>プログラミングは、人間がアルゴリズムを設計してコードとして実装する手法であり、処理内容は固定されている。そのため論理は明確で説明しやすいが、新しい状況に対応するにはコードの修正が必要となる。
一方、機械学習は大量のデータを基にモデルを訓練し、そこからパターンを自動的に学習させる手法である。未知のデータに対しても予測や判断が可能であり、複雑でルール化が難しい問題に対応できる。</t>
  </si>
  <si>
    <t>医療現場でのX線やMRIなどの画像診断に活用されている。膨大な医療画像データから特徴を自動的に学習できる畳み込みニューラルネットワーク（CNN）が使われている。画像中の異常部分を自動的に検出・強調表示したり、医師の診断を補助し、見落としを防いだりする使われ方をしている。医療画像は膨大かつ複雑であり、ルールを人間がすべてを定義してプログラム化するのは困難である。機械学習ならデータから自動的にパターンを学習できるため、診断精度の向上や医師の負担軽減を目的として導入が進められている。</t>
  </si>
  <si>
    <t xml:space="preserve">画像処理について深く学ぶことができたのでとても良い経験になりました。
</t>
  </si>
  <si>
    <t>24238329@edu.cc.saga-u.ac.jp</t>
  </si>
  <si>
    <t>プログラミングは正確な計算や決められた手順の実行を得意とする代わりに明確な答えがないデータから学ぶ回答を苦手とする。その短所を補った手段として機械学習ができた。プログラミングとは異なり曖昧なものの識別や未来の予想を得意とする。</t>
  </si>
  <si>
    <t>小売業における需要予測AI。コンビニエンスストアやスーパーマーケットの商品発注業務で時系列データを扱う機械学習予測モデルを用いて推奨発注数を提示する。AIがなかった時代では人間の勘や経験から発注していたが複雑なパターンを理解するには限界があったから。</t>
  </si>
  <si>
    <t>24238493@edu.cc.saga-u.ac.jp</t>
  </si>
  <si>
    <t>プログラミングは、設定されたプログラムに沿って実行されるだけだが、機械学習は、実行されるたびに前回の試行を分析、修正するため、プログラムが毎度書き換えられる。活用事例として、顔認証機能、レコメンド機能、文字認識・画像認識などが挙げられる。</t>
  </si>
  <si>
    <t>店舗の来客分析：主に、小売業で活用されており、AIが来店からの導線や年齢・性別に分けて分析することができる。機械学習により、時期などの変化にも対応できる。これによって、仕入れ量や店内のレイアウトの再度検討することで、売上増加につながるだろう。</t>
  </si>
  <si>
    <t>プログラミングの理解が難しかったので、サイトなどではなく、講師による解説があると良いと思った。</t>
  </si>
  <si>
    <t>24238050@edu.cc.saga-u.ac.jp</t>
  </si>
  <si>
    <t>プログラミングは人がルールや手順をあらかじめ書き込み、それに従ってコンピュータが処理を行う方法である。対して機械学習は、大量のデータから自動的にパターンを学び、判断や予測を行う手法である。従来のプログラミングでは画像や音声の認識のように明確なルールを定義できない課題が多く、こうした問題を解決するために機械学習が登場した。計算や条件分岐はプログラミングが得意だが、分類や異常検知は機械学習の強みといえる。</t>
  </si>
  <si>
    <t>ソフトウェアでの実装手段として、プログラミングと機械学習の違いについての述べてください。例えば、なぜ機械学習という手法が出てきたのか? 例えば、実現できる事の違い、など。様々な事実を箇条書きで出力してください。出力前に事実を述べているか確認し、事実であることを確認できた場合のみ出力すること。</t>
  </si>
  <si>
    <t>ある大手スーパーでは、過去の販売実績・気象データ・キャンペーン情報などを入力して、各店舗の商品需要を予測し、発注を自動化するシステムを導入している。
matrixflow.net
このシステムでは機械学習モデル（回帰モデルや時系列予測モデルなど）が使われ、従来の単純な手法より精度が高く、在庫過剰・欠品の削減や発注作業時間の短縮が実現されている。
明確なルール化が難しい複雑な要因を統合して予測できる点が、機械学習を使う理由である。</t>
  </si>
  <si>
    <t>実世界 (社会や企業・組織など) での機械学習(AI)の利用状況1つを調査。どんな場面で、どんな技術が、どんな使われ方をしているのか? なぜ、機械学習を使ったのか?をレポートとして書きたいです。関連する様々な事実を箇条書きで出力してください。出力前に書いた文章が事実であるか確認し、事実であることが確認できたら出力してください。</t>
  </si>
  <si>
    <t>出力前に事実を書いているか確認させること</t>
  </si>
  <si>
    <t>24238356@edu.cc.saga-u.ac.jp</t>
  </si>
  <si>
    <t>プログラミングは、人間が処理の手順や条件を明示的にコードとして書き下すものであり、入力に対して決められたアルゴリズムを適用し、予測可能な出力を得るという仕組みである。この手法は、ルールや正解が明確に定まっている分野において強みを発揮することができる。一方で、機械学習は人間がルールを直接書くのではなく、大量のデータをもとにコンピュータに学習させ、データの中からパターンや規則性を見つけ出すという手法。入力された情報を学習済みのモデルに通すことで出力が得られ、その結果は確率的な要素を含む。このため、画像認識や音声認識、自然言語処理といった、ルールを人間が記述するのが難しい問題に適している。機械学習という手法が必要とされた背景には、29日の講義で先生がおっしゃったように、猫の画像を識別するといった複雑なタスクを人手でルール化することが不可能であること、大量のデータが収集可能になったこと、そして計算機性能が飛躍的に向上したことがある。つまり、従来型のプログラミングは「人間がルールを書く」方法であり、機械学習は「データからルールを学ばせる」方法だと考えた。機械学習の登場によって、従来のプログラミングでは解決できなかった領域に対応できるようになり、ソフトウェアの可能性は大きく広がったといえる。</t>
  </si>
  <si>
    <t>ソフトウェアでの実装手段として、プログラミングと機械学習の違いについて教えてください。また、なぜ機械学習という手法が出てきたのか、実現できる事の違い、などを交えながらまとめてください。</t>
  </si>
  <si>
    <t>近年における社会や企業・組織において機械学習（AI）の活用の代表的な事例の一つとして、医療分野における画像診断支援が挙げられる。特に頭部CT画像における脳内出血の検出では、深層学習の一種である畳み込みニューラルネットワークが実用化に向けて研究・導入されている。
脳内出血は早期に発見・診断を行うことが患者の予後に直結するため、迅速かつ正確な判断が求められる。しかし実際の医療現場では、膨大なCT画像を医師が一つひとつ確認しなければならず、時間や労力の負担が大きい。また、人的要因による見落としのリスクも存在する。このような課題に対して、機械学習モデルを活用することで短時間での異常検出が可能となり、医師の診断を支援することができる。
これにより、医師は疑わしい症例を優先的に確認でき、診断までの時間短縮や見落としの防止に役立つ。すなわち、この技術は医師を代替するものではなく、診断精度と業務効率を高める補助的ツールとして運用されている点に特徴がある。
機械学習が導入される理由としては、大量データを短時間で処理できる点、人間には困難なパターンを抽出できる点、診断の一貫性を保てる点が挙げられる。</t>
  </si>
  <si>
    <t>実世界 (社会や企業・組織など) での機械学習(AI)の利用状況1つを調査してください。それについてどんな場面で、どんな技術が、どんな使われ方をしているのか。なぜ、機械学習を使ったのかなどを踏まえながら教えてください。</t>
  </si>
  <si>
    <t>具体的に書いて目的を伝えたこと</t>
  </si>
  <si>
    <t>環境構築の資料がわかりにくかった</t>
  </si>
  <si>
    <t>24238208@edu.cc.saga-u.ac.jp</t>
  </si>
  <si>
    <t>プログラミングと機械学習についてのデメリットについて調べました。プログラミングのデメリットとして3つあげることが出来ます。1つ目はルールの明示が必要という点です。人間が条件や手続きを定める必要があるため複雑なものや曖昧な物には対応しにくいです。2つ目は開発コストが高い点です。追加などの変化があった場合に人間が修正する必要があるからです。3つ目は限界があることです。人間が関わるとなると人間が表しきれない分野では精度が低いからです。機械学習のデメリットは4つあります。データが大量に必要、解釈性が低い、新しいデータに弱い、倫理的な問題がある。まとめると、プログラミングは人間が関わるため柔軟性に欠けていて、機械学習はデータが少なかったり遅かったりするとまともに動かないというデメリットの違いがあります。</t>
  </si>
  <si>
    <t>プログラミングと機械学習のデメリットの違い</t>
  </si>
  <si>
    <t>スマートフォンの顔認証
スマートフォンを使うとき
赤外線カメラを用いられている
本人確認の時
パスコードを打つよりも楽だから</t>
  </si>
  <si>
    <t>スマホの顔認証の技術</t>
  </si>
  <si>
    <t>どんな技術が使われているかわからなかったのでそこに焦点を当てたことが工夫した点です</t>
  </si>
  <si>
    <t>環境構築が難しかったです。</t>
  </si>
  <si>
    <t>24238240@edu.cc.saga-u.ac.jp</t>
  </si>
  <si>
    <t>プログラミングと機械学習の違いについて
1.プログラミングの定義は、開発者が明確なルールやロジックをコードとして書くこと。(例えば、犬というのは、こういう特徴で「吠える」という動作を行う種族だと入力すること）
　そして機械学習の定義は、コンピュータにルールを与えないで、今ある様々なデータを読み込ませ、規則性などを学習させる手法。
2.活用例にも明確な違いがあって、プログラミングには「電卓、制御システム、会計ソフト」が挙げられてて、機械学習には「画像認識、自然言語処理、推薦システム」が挙げられていました。</t>
  </si>
  <si>
    <t>メールのテキストとそれがスパムか否かのラベル（正解）があるデータの処理に関して械学習が使われた。
背景としては、企業やメールサービスの会社が、ユーザーの受信メールから「迷惑メールなのかどうか」を自動で振り分けたいと考えた。
迷惑メールは毎日大量に届きその内容も変わるので、ルールを作るのは難しいので大量のデータを処理できる機械学習が採用された。</t>
  </si>
  <si>
    <t>グループで意見を出し合って、機械学習に触れることが出来てとても面白かったです！</t>
  </si>
  <si>
    <t>24238087@edu.cc.saga-u.ac.jp</t>
  </si>
  <si>
    <t>プログラミングは、人間がルールを決め、予測や判断はしない。機械学習は、AIがルールを学び、予測や判断ができる。</t>
  </si>
  <si>
    <t>ソフトウェアでの実装手段として、プログラミングと機械学習の違いについて簡単にわかりやすく教えて</t>
  </si>
  <si>
    <t>医療診断支援の場で機械学習（特にディープラーニング）、医療画像解析の技術が、AIが医療画像を解析し、がんや異常の兆候を検出に使われている。人間の目では見逃がしやすい微細な異常も検出可能であるからAIが使われている。</t>
  </si>
  <si>
    <t>AIの利用状況を１つだけ場面、技術、使われかた、なぜAIを使っているのかを教えて</t>
  </si>
  <si>
    <t>一文で書いた</t>
  </si>
  <si>
    <t>環境構築の説明が難しくて一人でするのが大変だった。</t>
  </si>
  <si>
    <t>24238105@edu.cc.saga-u.ac.jp</t>
  </si>
  <si>
    <t>２つの違いとして、プログラミングで得意なことは計算やファイル整理などの明確なルールがある処理やセキュリティや制御系などの厳密な動作が求められる分野で、機械学習で得意なことは、画像、音声などのパターン認識や予測、自動化である。</t>
  </si>
  <si>
    <t>プログラミングと機械学習の基本的な違い</t>
  </si>
  <si>
    <t>事例は三菱UFJ銀行の生成AI活用。顧客対応、営業提案書の作成などを行い、月間で22万時間以上の労働時間削減になった。使われた理由として、人手不足や業務の複雑化、コスト削減などがあげられる。</t>
  </si>
  <si>
    <t>企業のAIの活用事例</t>
  </si>
  <si>
    <t>環境構築のやり方をもう少し分かりやすくしたら当日までにやってくる人が増えると思う。</t>
  </si>
  <si>
    <t>24238377@edu.cc.saga-u.ac.jp</t>
  </si>
  <si>
    <t>　要点としては、「プログラミング」は人間が明示的なルールを書いて動かす方法で、「機械学習」はデータを与えてモデルにパターンを学習させ、予測や分類をさせる方法である。
　定義としての違いは、「プログラミング」は開発者がアルゴリズムと条件分岐を明確に記述して動作を決めるアプローチで、「機械学習」はラベル付き／ラベルなしデータからモデルが関係性を学び、未知データに対して予測する手法である。
　技術的な違いを説明する。まず入力と出力の扱いを説明する。プログラミングは入力、固定ロジック、出力の流れ。機械学習はデータ（特徴とラベル）、学習、モデル、予測という流れ。次に透明性と解釈性を説明する。プログラミングの手続きコードは挙動が追いやすいが、機械学習はブラックボックスになりやすく説明可能性対策が必要である。そして出力の性質についての違いを説明する。プログラムは決定的な出力を返すのに対し、機械学習は確率的・統計的な予測を返す。よって機械学習は誤差や不確実性の扱いが必要である。
　開発ライフサイクルの違いを説明する。プログラミングは、要件定義、設計、実装、単体/結合テスト、デプロイ、保守という流れである。機械学習は、問題定義、データ収集・前処理、特徴設計、モデル選定、訓練、検証、デプロイ、監視と再学習という流れである。
　最後にそれぞれの得意な領域を説明する。プログラミングはルールが明確で安定的な業務処理、トランザクション、計算ロジックなどの透明性と決定性が重視される場面が得意だと言える。機械学習は大量データからのパターン発見、画像・音声・自然言語の認識、複雑で手書きルールが困難な問題が得意だと言える。</t>
  </si>
  <si>
    <t>「ソフトウェアでの実装手段として、プログラミングと機械学習の違い」の、詳細な説明を、大学生にわかりやすく、レポート用に書きやすく理解しやすいように、箇条書きで答えてください。また、その根拠となるデータ、資料、出典を明記しなさい。</t>
  </si>
  <si>
    <t>質問はありません。</t>
  </si>
  <si>
    <t xml:space="preserve">　ユニクロにおける機械学習の活用について調査した。店舗ごとに異なる販売傾向や天候、流行などの要因により、従来の在庫管理では機会損失や過剰在庫が発生していたという背景から、商品の需要予測と在庫管理の最適化を目的として活用している。AIが過去の販売データ、天候情報、トレンド情報、地域ごとの購買傾向などのデータから各店舗ごとに「何を」「どれだけ」仕入れるべきかを予測し、それに基づきサプライチェーンを最適化し店舗ごとの在庫量を調整し、売り逃しや廃棄を減らしている。機械学習を使った理由は三つある。一つ目は、人間がすべての要因を考慮して予測するのは困難であるから。二つ目は、機械学習なら、複雑なパターンや相関関係を自動で発見できるから。三つ目は、継続的に学習・改善することで、予測精度が向上し続けるからである。
</t>
  </si>
  <si>
    <t>実世界 (社会や企業・組織など) での機械学習(AI)の利用状況1つを調査してください。どのような場面で、どのような技術が、どのような使われ方をしているのか、なぜ機械学習を使ったのかを答えよ。箇条書きで。レポート用に書きやすく理解しやすいように。大学生にわかりやすい詳細な説明で。また、その根拠となるデータ、資料、出典を明記しなさい。</t>
  </si>
  <si>
    <t>まず解答して欲しい問題を正確に入力した。次に書き方を箇条書きで指定して見やすく設定した。そして詳しくかつ自分が理解出来るように「レポート用に書きやすく理解しやすい」、「大学生にわかりやすい詳細な説明」を要求した。最後に正確性をより高くするため、「根拠となるデータ、資料、出典を明記」することを要求した。</t>
  </si>
  <si>
    <t>AIや機械学習、生成AIの素晴らしさがとても理解でき、感じることができた。最後のお話で生成AIがこれから普通に使うようになるときいて、もう少し生成AIの安全で便利で正確に使う方法を教えて欲しいなと思いました。</t>
  </si>
  <si>
    <t>24238075@edu.cc.saga-u.ac.jp</t>
  </si>
  <si>
    <t>プログラミングは人間がルールを明示的に書くことでルールがはっきりしている処理に強いのが特徴である。機械学習はルールを人間が書かず、データからコンピュータ自身に学ばせることでルールを明示できないような複雑な問題に強いのが特徴である。</t>
  </si>
  <si>
    <t>ChatGPT　「ソフトウェアでの実装実験として、プログラミングと機械学習の違いについてわかりやすく教えて」</t>
  </si>
  <si>
    <t>スマホの顔認証
スマホの画面ロック解除に使われていて、画面認識系の機械学習を用いている。機械学習モデルが「これは登録済みの本人の顔かどうか？」を瞬時に判定してくれる。また顔の判別は単純な規則では対応できないため、大量の顔画像データを使って学習させ、モデルが自動的に「人の顔のパターン」を認識できるようにしている。</t>
  </si>
  <si>
    <t>ChatGPT　「実世界での機械学習の利用状況の例を1つ挙げて。またどんな場面で、どんな技術が、どんな使われ方をしているのか、なぜ機械学習を使ったのかを分かりやすく教えて」</t>
  </si>
  <si>
    <t>「分かりやすく教えて」と伝えることでより理解しやすいように工夫した。</t>
  </si>
  <si>
    <t>24238411@edu.cc.saga-u.ac.jp</t>
  </si>
  <si>
    <t>プログラミングは、人間が全ての処理手順をコンピュータに対し明確に記述し、コンピュータに実行させる手法。確実性が求められるタスクに適しているが、決められた以外の結果は得られない。予測された結果以外は出ないため、確実性、安定性がある。
一方、機械学習は、大量のデータからコンピュータが自動でルールやパターンを学習し、推論・予測を行う手法。人間がルールを定義しにくい画像認識や予測などの複雑な課題を克服するために登場。学習データに基づいて推論するため、必ずしも同じ結果になるとは限らないため、柔軟性、進化の可能性がある。</t>
  </si>
  <si>
    <t>ソフトウェア実装におけるプログラミングと機械学習の違いについて箇条書きで教えてください</t>
  </si>
  <si>
    <t>　実世界では、例として製造業における製品の不良品検査で利用されている。製造ラインを流れる製品（例：電子部品、食品、自動車部品など）の表面にある微細なキズ、異物混入、形状のわずかな異常、欠けなどを検知し、良品・不良品を自動で選別する。
画像認識が使われており、良品、不良品を判断する。
　熟練検査員の「経験や勘」に頼っていたため、検査結果が人によってばらつき、教育コストも高かった。製造ラインのスピードが上がるにつれ、人間による目視検査では疲労や集中力の低下により、微細な不良を見落とすリスクが増加した。</t>
  </si>
  <si>
    <t>AIは実際どんな場面で使われているのか、なぜAIが使われているのか箇条書きで教えて。</t>
  </si>
  <si>
    <t>過剰書きで要点を書かせることにより、自分で意味をかみ砕きながら文章を作成することができる。</t>
  </si>
  <si>
    <t>機械学習の中にもさまざまな種類の学習方法があり、それぞれのメリットデメリットで使い分けることが興味深かった。</t>
  </si>
  <si>
    <t>22238304@edu.cc.saga-u.ac.jp</t>
  </si>
  <si>
    <t>プログラミングは人間が明確なルールやアルゴリズムを生成し、それをコードとして記述してソフトウェアを作ること。
対して、機械学習はデータからパターンやルールを自動的に学習し、それを基に推論や予測を行う技術。大量のデータを用いて、モデルが自らルールを設定する。</t>
  </si>
  <si>
    <t>[必須] ソフトウェアでの実装手段として、プログラミングと機械学習の違いについての述べてください。例えば、なぜ機械学習という手法が出てきたのか? 例えば、実現できる事の違い、など。</t>
  </si>
  <si>
    <t>1の問題文はコピペを想定して作問されたように思えますが、例えばを2度書いたことは、より良いデータを得るためのものですか？</t>
  </si>
  <si>
    <t>世の中の社長が、一日のスケジュールをgptを用いて組んでもらっていた。服なども考えずに選んでもらえて良いと思った。考えるリソースを割かずにすむ。</t>
  </si>
  <si>
    <t>最初の初期設定が1番難しかったです。もう少し易しいと嬉しいです。</t>
  </si>
  <si>
    <t>24238284@edu.cc.saga-u.ac.jp</t>
  </si>
  <si>
    <t>プログラミングと機械学習の違いとして挙げられるのは、解決策を導く際の判断の仕組みです。プログラミングでは人間が判断基準をあらかじめ明示して入力しているため仕組みの理解が容易です。しかし機械学習だと画像や音声、自然言語等を認識して回答を生成するため内部の構造が複雑で人間にとって理解が難しい点が挙げられます。
また、プログラミングでは指定した条件に沿って問題を解決させるため回答の予想が容易であり、想定外の事態が起きづらい傾向があります。機械学習では膨大な過去のデータを学習させるため未知の事象に対しても柔軟に対応しやすい可能性を持ちます。そのためプログラミングでは明確な条件に沿った分類や制御に適しているのに対し、機械学習は自動車の自動運転技術のように厳格な条件をつけられない分野に活用されているとの違いもあります。</t>
  </si>
  <si>
    <t>デジタルマーケティングにおいては、広告の最適化およびユーザーの選択意欲の向上を目的として機械学習(AI)が広く使用されている。
具体的には、オンラインショップでの商品推薦やキャンペーン配信の対象選定、顧客行動予測等の場面で利用されている。これらは、ロジスティック回帰やランダムフォレストといった古典的な手法から近年の深層学習モデル等の技術まで多岐にわたる。
運用例としては広告のクリック率やコンバージョン率の予測モデルを構築し、どの広告が効果的かを推定することで、予算配分や広告入札戦略に応用されている。また、商品推薦システムではユーザーの購買履歴や閲覧履歴を学習し、関連性の高い商品を提案することで平均注文額の向上・離脱率の低下・リピート購入の促進につながっている。
このような仕組みを効果的に運用をするためには、大量かつ多様なデータを分析し、ユーザーの需要変動や外部環境の変化に柔軟に対応する必要である。従来の単純な統計手法や人手では困難だったのに対し機械学習を使うことでデータに基づいた高度なマーケティングができるようになる。</t>
  </si>
  <si>
    <t>デジタルマーケットという分野では機械学習がどんな場面で、どんな技術が、どんな使われ方をしているのかやなぜ、機械学習を使ったのかについての説明をしてください。なお情報源は論文や政府広報、研究・教育機関からの公式な情報から収集してください。</t>
  </si>
  <si>
    <t>自分が知りたい点を明確に表示して、情報源を信頼できるものに限定できるように工夫した。</t>
  </si>
  <si>
    <t>24238169@edu.cc.saga-u.ac.jp</t>
  </si>
  <si>
    <t>プログラミングは人がルールを明示的に書く手法で、機械学習はデータからコンピュータがルールを学ぶ手法。機械学習は、複雑でルール化が難しい問題（例：画像認識）に対応するために登場した。プログラミングは決まった処理に強く、機械学習はあいまいな判断に強いという違いがある。</t>
  </si>
  <si>
    <t xml:space="preserve">プログラミングと機械学習の違いを教えて。
プログラミングと機械学習の違い
1. 実装手法の違い
• 	プログラミング：人間がルールや手順を明示的に記述する。例えば「もしAならBする」といった命令をコードで書く。
• 	機械学習：大量のデータをもとに、コンピュータが自らルールやパターンを学習する。明示的なルールは書かず、モデルが経験から判断する。
2. なぜ機械学習が登場したのか？
• 	複雑すぎてルールを手動で書けない問題（例：画像認識、音声認識、自然言語処理）に対応するため。
• 	データが豊富になり、統計的な手法で精度の高い予測や分類が可能になったため。
</t>
  </si>
  <si>
    <t>日本の製造業では、株式会社デンソーが機械学習を活用して製品の外観検査を自動化している。画像認識技術を用いたAIが、製品の傷や異物などの欠陥を高精度に検出し、不良品の流出を防いでいる。人の目では見逃しやすい微細な欠陥も検出できるため、品質の安定化と業務効率化が実現されている。機械学習を導入した理由は、過去の検査データを活用して検出精度を向上させ、製造プロセスの改善にもつなげられるから。</t>
  </si>
  <si>
    <t xml:space="preserve">現実世界で機械学習が利用された例を教えて。
デンソーの品質管理自動化
🔧 活用場面
• 	製造ラインでの品質管理
• 	製品の外観検査（傷・異物・欠陥など）の自動化
🤖 使用技術
• 	画像認識技術を用いた機械学習モデル
• 	過去の検査データを学習し、異常検知の精度を向上
🛠️ 使われ方
• 	カメラで撮影した製品画像をAIが解析
• 	微細な欠陥や異物を高精度に検出
• 	不良品の流出を防止し、品質の均質化を実現
• 	AIが不良発生の傾向を分析し、製造プロセスの改善点を提案
</t>
  </si>
  <si>
    <t>ないです。</t>
  </si>
  <si>
    <t>24238330@edu.cc.saga-u.ac.jp</t>
  </si>
  <si>
    <t>・プログラミングはタスクを解決するための手順を1からすべて記述する必要があるのに対し、機械学習は以前のデータを渡すことにより自動で目標に導く。
・プログラミングは基本的に人間がコンピュータにさせる動作をすべて記述しなければいけないが機械学習は従来のプログラミングでは解決できないタスクに対処できるため注目されている。</t>
  </si>
  <si>
    <t>日常生活でAIを搭載したお掃除ロボットは家具の位置を学習させることで掃除ルートの最適化や液体を感知することでモップに切り替えたり、充電が少なくなると自ら充電器に向かうといった人間のいない状況でも最適な選択をしている。掃除といった重労働をAIを搭載することで機械が一人ですることができ人間の負担をへらすため。</t>
  </si>
  <si>
    <t>Lobeを使った際画像を分類しようとPCに保存されているものを使おうとしたらうまくコピーされなかった。
たまにリモート側の声と重なって話していることが聞こえなかった。
Jupyterのコードが見ただけでは一切理解できなかったもののチャットGPTを利用できたため理解しやすかった。
何行もコードが並んでいると変換場所を探すのが難しかった。</t>
  </si>
  <si>
    <t>24238427@edu.cc.saga-u.ac.jp</t>
  </si>
  <si>
    <t>従来のプログラミングではコンピューターは人間が明確に書いたルールに従って動作する。そのため、計算や文字列操作などルールがはっきりした作業に適しているが、手書き文字の認識や画像分類のように複雑で明確なルールを書きにくい問題には対応が難しい。一方、機械学習は大量のデータに対しても予測を行うことができる。これにより、従来のプログラミングでは困難だった複雑な問題を解決可能にし、生成AI のような応用も生まれた。つまり、プログラミングが「人間が書いたルールに従って動く」のに対して、機械学習は「データから自らルールを学び、柔軟に対応する」手法である。</t>
  </si>
  <si>
    <t>ソフトウェアでの実装手段として、プログラミングと機械学習の違いについて教えてください</t>
  </si>
  <si>
    <t>生成AIはどんな課題を解決できるのか。</t>
  </si>
  <si>
    <t>自動運転。自動車や配達ロボットが人間の運転を補助または自立的に行うために機械学習が活用されている。特に、周囲の物体認識や経路計画、制御判断の自動化に利用される。コンピュータービジョン技術によりカメラ映像から車や歩行者、信号や標識を認識しCNNなどのモデルが画像のパターンを学習する。また、強化学習を用いることで車は環境に対して行動し、成功や失敗の報酬をもとに最適な運転判断を学習する。
さらに、LiDARやレーダー、GPSなど複数のセンサー情報を統合するセンサー融合技術により、桐谷夜間のような視界が制限される状況でも正確な判断が可能となる。</t>
  </si>
  <si>
    <t xml:space="preserve"> 実世界 (社会や企業・組織など) での機械学習(AI)の利用状況1つを調査して。どんな場面で、どんな技術が、どんな使われ方をしているのか? なぜ、機械学習を使ったのか?
</t>
  </si>
  <si>
    <t>工夫した点は端的にわかりやすい文にすること。</t>
  </si>
  <si>
    <t>事前準備の説明をわかりやすくしてほしい。難しかった。</t>
  </si>
  <si>
    <t>24238028@edu.cc.saga-u.ac.jp</t>
  </si>
  <si>
    <t>プログラミングは人が機械に物事教えるが機械学習はコンピュータが自分で学ぶという違いがある</t>
  </si>
  <si>
    <t>ソフトウェアでの実装手段として、プログラミングと機械学習の違いについて小学生でもわかるように教えてください</t>
  </si>
  <si>
    <t>ユニクロは機械学習(AI)を利用して過去の販売データ、天気、トレンドなどの大量のデータを学ばせている。商品の発注数をAIが予測して店舗ごとに最適な在庫量を自動で提案してくれる。人間の勘や経験では天気やトレンドなど複数の複雑な要因を考慮することは困難であるからAIを利用している。</t>
  </si>
  <si>
    <t>機械学習(AI)の利用状況1つを調査しどんな場面で、どんな技術が、どんな使われ方をしているのか? なぜ、機械学習を使ったのか?
をまとめてほしい</t>
  </si>
  <si>
    <t>24238030@edu.cc.saga-u.ac.jp</t>
  </si>
  <si>
    <t>プログラミングは実際にすることを順番に書いていく手法で、機械学習は多くのもととなるデータを与えて機械自体に学習させる手法。</t>
  </si>
  <si>
    <t>youtubeやAmazonなどのAIは過去に見た動画や購入したものから、その人の好みに合いそうなものや同じものを買った人がどのようなものを買ったかを学習している。</t>
  </si>
  <si>
    <t xml:space="preserve">現代で利用されている機械学習にはどんなものがありますか？
また、どんな場面で・どんな技術が・どのような使われ方をしているかを教えてください。
</t>
  </si>
  <si>
    <t>より分かりやすくなるように質問をした。</t>
  </si>
  <si>
    <t>授業が始まる前に必要な環境設定が説明付きでも難しかったので、画像を増やすか動画を添付するなどより分かりやすくしてくれるとよかった。</t>
  </si>
  <si>
    <t>24238288@edu.cc.saga-u.ac.jp</t>
  </si>
  <si>
    <t>プログラミングとは人間がコンピュータにコードを入力して実行させることで目的を完了させることができる。機械学習は様々なデータからコンピュータが自律的にパターンやルールなどを学習し、その内容から推測や予測を行うことによって目的を完了する。また機械学習が発達したのは近年、大量のデータを蓄積できるようになったり、計算能力が向上したり様々な進化が要因である。機械学習の発達によって人間が行うには膨大な時間がかかるような作業が効率的に行えるので、産業やサービスの自動化、各個人に合わせたサービスの普及が広がると予想される。</t>
  </si>
  <si>
    <t>機械学習とプログラミングの違いと機械学習ができたわけと機械学習によって実現できることは？</t>
  </si>
  <si>
    <t>実世界での機械学習の利用状況について自動車会社の利用法について調べた。自動車会社のTOYOTAでは機械学習を利用して、新型車の開発スピードを大幅に高めている。TOYOTAで使用されているAIエージェント「O-Beya」はエンジニアの知識を蓄積し共有することができ、それによって過去の設計データや法規制情報の検索が高速化、技術開発の方向性の決定補助など、様々な面で車を設計するエンジニアの手助けとなっている。これは自律して情報を集め予測できる機械学習の特徴を利用したものであり実世界の様々な場所で利用されている。</t>
  </si>
  <si>
    <t>例えばトヨタなどはどのように機械学習が利用されているのか？</t>
  </si>
  <si>
    <t>具体的な内容を書きなるべく正しい文法や言葉の使い方を心がけて作成した。</t>
  </si>
  <si>
    <t>環境設定の手順を理解するのが難しかった。</t>
  </si>
  <si>
    <t>24238512@edu.cc.saga-u.ac.jp</t>
  </si>
  <si>
    <t>プログラミングは、コンピュータにコードを利用して特定の指令を出すことであり、機械学習とは、AIとよばれるコンピュータに学習させる手法のことをいいます。この２つの大きな違いは、与えられた目標を解決するためのアプローチが異なる点です。プログラミングは、明確なルールや手順がある問題に対して、人間が論理を設計して解決する手法です。例えば、電卓や予約システムなど、決まった処理を正確に実行する用途に向いています。
一方、機械学習では、ルールが複雑すぎて人間が明示できない問題に対して、データからパターンを学習して対応します。画像認識、音声認識、推薦システムなど、曖昧さや変化が多い領域で活用されます。
つまり、ルールが書けるか、学ばせるかが用途の分かれ目です。
機械学習が登場した背景には、従来のプログラミングでは対応が難しい問題が増えてきたことがあります。</t>
  </si>
  <si>
    <t>ソフトウェアでの実装手段として、プログラミングと機械学習の違いについての述べてください。そして、それぞれの実装手段がが実際にどのようなことに使われているか教えてください。
また、機械学習という手法が出てきたのか、その背景も合わせて教えてください。
・なぜこのような文章にしたか
教えてほしいことを明確に書くことで、簡潔でわかりやすい文章を提示してくれるから。</t>
  </si>
  <si>
    <t>deep learning の専門家はいないとおっしゃっていましたが、例えば先生がこの分野に携わるとしたら、どのようなことを研究したいですか。</t>
  </si>
  <si>
    <t>自動運転車は機械学習の代表例です。センサーやカメラから得た膨大なデータをもとに、歩行者や標識、車線などを認識し、運転判断を行います。交通状況は常に変化し、明確なルールだけでは対応できないため、機械学習によって柔軟な判断が可能になりました。</t>
  </si>
  <si>
    <t>現在社会で利用されている機械学習にどんなものがあるか、例を一つ挙げ、詳しく教えてください。また、なぜ機械学習を使ったのかも併せて教えてください。</t>
  </si>
  <si>
    <t>わかりやすい文章を意識して、どんな場面で、どんな技術が、どんな使われ方をしたのかという質問の部分を、「詳しく」という言葉でまとめた。</t>
  </si>
  <si>
    <t>難しい話ばかりするのではなく、実際に生成AIを使いながら授業を進めてくださったのでとても身近に感じたし、面白かった。</t>
  </si>
  <si>
    <t>24238276@edu.cc.saga-u.ac.jp</t>
  </si>
  <si>
    <t>戸田 峻輔</t>
  </si>
  <si>
    <t>プログラミングと機械学習の違いは、ルールの作り方にあります。
従来のプログラミングでは、人間が手順や条件を一つひとつ論理的に記述し、ソフトウェアはそのルール通りに動作します。たとえば「もしAならBを実行する」といった命令を、すべて人間がプログラムします。
一方、機械学習ではルールを人間が直接書くのではなく、大量のデータを与えてコンピュータ自身がパターンや規則を学習します。たとえば「猫の画像を識別するプログラム」を考えると、従来のプログラミングでは「耳が尖っている」「ひげがある」といった特徴を人間が定義しなければなりません。しかし機械学習では、多数の猫と猫以外の画像を入力すれば、AIが自動的に「猫らしさ」を見つけ出します。よって従来のプログラミングが得意なのは「計算」「決められた手順の自動化」のようにルールが明確な問題です。それに対し機械学習は「音声認識」「画像分類」「文章の意味理解」のようにルールを具体的に書きにくい複雑な問題を解決するのに向いています。
機械学習という手法が生まれたのは、現実世界には人間がすべてのルールを定義できないような膨大で複雑なデータが存在するからです。そのため、データから自動的に知識を獲得できるアプローチが求められ、機械学習が発展しました。</t>
  </si>
  <si>
    <t>ソフトウェアでの実装手段として、プログラミングと機械学習の違いについての述べてください。例えば、なぜ機械学習という手法が出てきたのか? 例えば、実現できる事の違い、など。という設問を踏まえた上で従来のプログラミングと機械学習のアプローチの違いを、初心者にもわかるように具体例を交えて説明してください。</t>
  </si>
  <si>
    <t>医療の現場では、画像診断に機械学習が活用されています。AIによる画像認識技術を使い、レントゲンやMRI画像から腫瘍や病変を自動で検出します。医師だけの診断では見落としが起こる可能性がありますが、AIを併用することで診断精度が向上し、人間とAIのダブルチェックをするので早期発見や治療につながります。そのため、AIは医療の安全性と効率性を高める目的で導入されています。</t>
  </si>
  <si>
    <t>実世界 (社会や企業・組織など) での機械学習(AI)の利用状況1つを調査。どんな場面で、どんな技術が、どんな使われ方をしているのか? なぜ、機械学習を使ったのか?という設問を踏まえた上で医療の現場で機械学習（AI）が使われている具体例を教えてください。どんな技術で、どのように使われていて、なぜAIが必要なのかも説明してください。</t>
  </si>
  <si>
    <t>具体的に例を示させ「なぜ」や「どのように」など自分の欲しい情報がAIに伝わるように利用した。</t>
  </si>
  <si>
    <t>佐賀大学のネット環境の改善</t>
  </si>
  <si>
    <t>24238084@edu.cc.saga-u.ac.jp</t>
  </si>
  <si>
    <t xml:space="preserve">プログラミングは人間がルールや手順を書くが、機械学習は人間が与えたデータからルールを見つけて機械が自動で学習するという違いがある。また、プログラミングの結果は予測が可能で、再現性が高いが、機械学習の結果は、予測がしにくく確率的で誤差が出たり間違えることもある。機械学習という手法が出てきた理由の一つとして、人間がルールをかけない問題が増えたことがある。例えば、猫の写真を見て「これは猫」と判断するルールを人間が書くのはほぼ不可能である。
</t>
  </si>
  <si>
    <t>メルカリのAI出品サポートがある。売りたい物の写真を撮影してカテゴリーを選ぶだけで、AIが商品説明、商品状態、販売価格などを自動で作成・入力する機能「AI出品サポート」のことである。技術としては、自己教師学習（2,000万枚以上の実取引画像を使って、ブランドやカテゴリを推定すること）、LightGBM + 分位点回帰（価格推定に使用。極端な価格提案を防ぐ工夫もある）、エッジAI（スマホ端末側で軽量な推論を行い、レスポンス速度を保ちつつ日次でモデル更新される）がある。使われ方としては、出品者が画像をアップロードするだけで、AIが商品情報を自動で提案してくれるので、出品者が商品の情報をあまり知らなくても価格設定や説明を書くことができる。機械学習が使われるようになった理由は、出品者が商品情報を手動で入力する必要があり、入力ミスや価格設定ミスによる売れ残りが多かったことや、出品体験が煩雑で、ユーザー離脱の原因になっていたことがあげられる。</t>
  </si>
  <si>
    <t>実世界での機械学習（AI）の活用事例は？</t>
  </si>
  <si>
    <t>24238503@edu.cc.saga-u.ac.jp</t>
  </si>
  <si>
    <t xml:space="preserve">プログラミング：人間が直接コンピュータに命令を書き出すこと。タスクを解決するため手順を一つ一つ記述していかなければならないが、胥吏が安定していて予測可能であり、明確な手順が存在する問題に向いている。
機械学習：プログラミングとは異なり、人間がルールを教えるのではなく、様々なデータから自動でルールを学ぶこと。データ次第で処理が変化してしまうこともあるが、パターンを認識し学習することで予測が可能であり、未知のデータに対応することも可能である。
機械学習という手法が誕生したのは、プログラミングでは対応できないルールが増加したことが背景にある。プログラミングは人間がルールを直接書き出さなければならなかったが、現代では人間が書き出せる明確なルールが通用しないものも増加した。大量のデータを分析する場合、人間がすべてのデータに目を通し、ルールを見つけ出すのは困難である。機械学習なら大量のデータを簡単に取り込むことができる。
このような人間には不可能なものや複雑なものの分析に機械学習は最適である。
</t>
  </si>
  <si>
    <t>プログラミングが存在するうえでなぜ機械学習という新たな手法が生まれたのか
プログラミングとは何か機械学習との違いを教えて</t>
  </si>
  <si>
    <t>SpotyfyやApple Musicの「おすすめ曲」：過去に自分が選んで聞いた曲や曲ごとの再生時間、またはスキップして聞かなかった曲などを分析し、自分好みの曲が流れてきやすくなったり、提案してくれたりする。また、自分以外のユーザーで、似た曲の好みをしている人の聞いている曲を参考にしたり、よく聞く曲のテンポやジャンル、歌詞などを分析して好みの曲をおすすめしたりする。
手動でのおすすめは、数百万曲の中からおすすめを探し出すのには限度があるが、機械学習を用いれば、莫大なデータの中からでもぴったりの曲を見つけることができる。また、人間特に若者の好みは変化が速いが、機械学習なら急な変化にも対応できる。</t>
  </si>
  <si>
    <t xml:space="preserve">機械学習は今どのような使いかたがされているのか、若者にも身近に感じられる事例を教えて
機械学習は音楽アプリにも使われてるの？
</t>
  </si>
  <si>
    <t>機械学習が身近に感じられるとより理解が深まると考えたため、若者という言葉を使用した。</t>
  </si>
  <si>
    <t>24238466@edu.cc.saga-u.ac.jp</t>
  </si>
  <si>
    <t>普通のプログラミングは、人がルールをコードで書いてコンピュータに指示を出す方法です。一方で、顔認識や音声認識のようなルールを書ききれない問題には向きません。そこでもちいられるのがのが機械学習です。これはたくさんのデータを見せて、コンピュータにルールを学ばせる仕組みです。つまり、プログラミングは明確な手順を実行するのに強く、機械学習は複雑で曖昧な問題に強いという違いがあります。</t>
  </si>
  <si>
    <t>ソフトウェアでの実装手段として、プログラミングと機械学習の違いについての述べてください。例えば、なぜ機械学習という手法が出てきたのか? 例えば、実現できる事の違い、などをかみ砕いた感じで短く、分かりやすくまとめて</t>
  </si>
  <si>
    <t>お店やネットショップでは、AI（機械学習）が何がどれくらい売れるかの予想や、商品のおすすめの提案をしたりすることに使われています。例えば、Walmartは天気や過去の売れ行きから在庫を確認して、品切れや売れ残りを減らしています。機械学習を用いるのには、大量のデータを学んでパターンを見つけられるからです。人間よりも効率的に行えることも理由の一つであると思います。</t>
  </si>
  <si>
    <t>実世界 (社会や企業・組織など) での機械学習(AI)の利用状況1つを調査。どんな場面で、どんな技術が、どんな使われ方をしているのか? なぜ、機械学習を使ったのか?
に関してかみ砕いた感じで短く、分かりやすくレポート風にまとめて。</t>
  </si>
  <si>
    <t>レポートに使いやすいように、また、自分でも理解ができるように分かりやすくや、かみ砕いた感じで短く、などの形容詞を用いました。</t>
  </si>
  <si>
    <t>事前準備が自分一人では躓く点が多かったです。</t>
  </si>
  <si>
    <t>24238474@edu.cc.saga-u.ac.jp</t>
  </si>
  <si>
    <t>プログラミングは人間がすべての動きを決定するのに対し、機械学習はコンピュータ自身が考える。機械学習はプログラミングと違い、過去のデータを見て未来を予測したり、音声や画像などの複雑な情報を読み取ったり、自然な会話や翻訳をできたりすることができる。</t>
  </si>
  <si>
    <t>プログラミングと機械学習のできることの違い、機械学習でしかできないことを教えて</t>
  </si>
  <si>
    <t>AIに入力するpromptの質を上げるにはどのような意識が必要か</t>
  </si>
  <si>
    <t>トヨタ自動車でNTTと共同で「モビリティAI基盤」を開発し、交通事故ゼロ社会を目指している。AIの導入によって、目視検査や異常検知などの作業をAIで自動化できるようになった。</t>
  </si>
  <si>
    <t>トヨタ自動車では、どのような課題を解決するために、どの場所でどのように機械学習が使われているのか、そしてどのような成果があげられたか</t>
  </si>
  <si>
    <t>どのような課題、どの場所どのような成果でという３つの視点から質問している点。</t>
  </si>
  <si>
    <t>環境設定を一人ですることが難しかった</t>
  </si>
  <si>
    <t>24238434@edu.cc.saga-u.ac.jp</t>
  </si>
  <si>
    <t>プログラミングとは人間がコンピュータにしてほしいことをひとつひとつ指示する方法で手順を細かく書いていくもので、コンピュータは自分で考えることができないのですべての動きを人間が決めるものです。それに対して機械学習とはコンピュータが自分でルールを学ぶ方法で例えば犬の写真をたくさん見せてこれは犬だと教えていくとコンピュータは犬の特徴を自分で見つけて覚えていきます。どういうことかというと人間が細かいルールを教えなくてもコンピュータが自分でパターンを見つけて判断できるようになります。ゲームやスケジュール管理などはプログラミングでできることで、顔認証や音声認識、翻訳などは機械学習でできることです。</t>
  </si>
  <si>
    <t>ソフトウェアでの実装手段として、プログラミングと機械学習の違いについて述べてください。プログラミング初心者でも分かるように専門用語はできるだけ使わないで説明してください。</t>
  </si>
  <si>
    <t>三菱UFJ銀行で機械学習が使われています。使われている場面はコールセンター業務や提案書の作成で生成AIが使われています。銀行員が電話対応や資料作成にかかっていた時間をAIが代わりにこなして業務を効率化し、多くの労働時間を削減しています。</t>
  </si>
  <si>
    <t>世界 (社会や企業・組織など) での機械学習(AI)の利用状況1つを調査してください。どんな場面で、どんな技術が、どんな使われ方をしているのか? なぜ、機械学習を使ったのか?などをどんな人でも理解できるように簡潔にまとめてください</t>
  </si>
  <si>
    <t>工夫した点は、どんな人でも理解ができるように専門用語を減らしたり、余計な文章を減らすためにまとめるようにしたことです。</t>
  </si>
  <si>
    <t>環境設定をもう少しわかりやすい文章に変更したらわかりやすいと思います。</t>
  </si>
  <si>
    <t>24238177@edu.cc.saga-u.ac.jp</t>
  </si>
  <si>
    <t>ソフトウェア開発において機械学習が登場した理由は，今までのプログラミングの限界のためだと考える．人がルールを一つ一つ定義する方法では，現実世界の複雑で多様な現象をすべて書くことは難しい．例えば画像認識や鉄道設備の異常検知のように入力が膨大で曖昧な場合，if文のような条件分岐だけで処理するのは大変すぎる．これに対し機械学習は，大量のデータからパターンを学び未知の入力にも対応できるため，人間のように「経験からの一般化」をマネできる仕組みとして有効である．さらに近年ではセンサーやネットワーク技術の発展によりデータが急速に蓄積され，GPUやクラウドの計算も非常に発達したので，データを使用したアプローチが現実的になった．社会的にも鳥類の個体数調査，鉄道設備の異常検知，手書き文字認識など，手作業では非効率かつ精度に限界のある分野において自動化や効率化が非常に求められている．これより機械学習は，今までの演繹的プログラミングに対し，帰納的に規則を抽出する新しい実行手段として登場した．</t>
  </si>
  <si>
    <t>ソフトウェアの実行手段として，プログラミングと機械学習の違いについておしえて
どれだけ時間を使ってもいいので具体例を用いて違いを3つあげて，使用したサイトを示して</t>
  </si>
  <si>
    <t>クレジットカードの不正利用検知は，実世界における機械学習の利用の一つの例である．金融取引は秒単位で発生し，その中に不正利用が紛れ込む可能性がある．そのため，迅速で高精度な検知が必要となってくる．今までは固定ルールで監視していたが，不正の手口は常に変化し，単純な条件分岐では見逃したり誤検知をしたりしてしまう．そこで機械学習が導入され，大量の取引データを用いて通常の利用パターンとの違いを学習させて，不正かもしれない事例をスコア化する仕組みがつくられた．実運用では，カード利用時に機械学習モデルがすぐに判定を行い，不正の可能性が高い取引はブロックや本人確認が行われる．その後の調査結果は再学習に利用され，検知精度が継続的に向上する．利点は，たくさんの取引から微妙な異常を検出し，不正被害を未然に防げる点である．一方で，不正データが少ないことによる学習の難しさや，誤検知率の管理，説明可能性への対応などの課題も残る．</t>
  </si>
  <si>
    <t>パワーポイントにない実世界での機械学習の利用状況を1つ教えて 
どんな場面で，どんな技術が，どんな使われ方をしているのか？ 
なぜ，機械学習を使ったのか？
 たっぷり時間を使って大丈夫です
文字数はPythonで500字になるようにして</t>
  </si>
  <si>
    <t>機械学習モデルのパワーポイントを使用して鉄道モデルとは別の例を探してもらった．
また，たくさん時間を与えることで多くの情報を探してきてくれると思った．
Pythonで文字数のカウントをすると正確だとネットで見たことがあったので使用してみようと思った．</t>
  </si>
  <si>
    <t>環境設定が難しかったので説明の画像を増やしてわかりやすくしてほしい
また，インターネットに多くの人が接続するためインターネットが低速だったので演習がやりにくかった．</t>
  </si>
  <si>
    <t>24238241@edu.cc.saga-u.ac.jp</t>
  </si>
  <si>
    <t>プログラミングはルールを前提とし、入力されたデータに対してそのルールに当てはめて答えを出す演繹法的であるのに対し、機械学習はデータや答えからそれらに共通するルールを考え、予測を導き出す帰納法的である。機械学習は、「猫の画像とは」という問いに対し、人間が定義を一つ一つ性格に記述することが困難である点から発展し、ルールが変化したり、考えるべき要素が人間の手で管理しきれないほどの量である点で有効である。</t>
  </si>
  <si>
    <t>プログラミングと機械学習の違いを簡潔にかみ砕いて教えて また、機械学習が発展した歴史も教えて</t>
  </si>
  <si>
    <t>画像の中から顔の領域を検出し、その顔から眼の位置や鼻と口の距離、輪郭の形など、個人を特定するための特徴的な点を抽出する。抽出された特徴を、データ化し、データベースに登録された本人のデータと比較し、類似度が高い場合に本人と識別する。このような技術はスマートフォンなどで広く使われており、顔認証として広く知られている。</t>
  </si>
  <si>
    <t>知りたい情報について、理解しやすいように簡潔に、かみ砕いて解説してもらった。</t>
  </si>
  <si>
    <t>佐賀大学のWi-Fiがとても重くなってしまっていたため、教養大講周りにアクセスポイントなどを多く配置していただけたら、演習でも様々なことが試せると感じました。</t>
  </si>
  <si>
    <t>24238480@edu.cc.saga-u.ac.jp</t>
  </si>
  <si>
    <t>プログラミングは処理があらかじめ決まってからコードを書く方法であり、機械学習は膨大な量のデータを利用しコンピュータにパターンを学ばせる方法である。機械学習が出てきた理由としてはプログラミングでの解決できる問題に限界がきたためである。例を挙げると、犬の写真の判別するプログラムを作るとしても、目や耳の形や模様、毛並みなどの特徴が無限にあるため人間が条件を完璧にすべて書くのは限界があるが、大量に学習させることでコンピュータ自身が自動で見つけてくれる。よってプログラミングは手順がはっきりしているデータ処理、計算などがあげられ、機械学習は正解を定義しにくいがたくさんのデータの問題、課題、画像、音声認識などの複雑なことが挙げられる。</t>
  </si>
  <si>
    <t>首都ウェアの開発において、従来プログラミングと機械学習の両方が使われている。それぞれの考え方や役割の違い、機械学習が必要とされるようになった理由を作成して</t>
  </si>
  <si>
    <t>医療分野ではX線、MRIなどの画像を作成したあと、その画像の中から異常なものを自動で検出し、着目点を提示し、主にディープラーニングが画像から特徴を抽出して分類や検出を行うためにつかわれている。また、少ないデータが得られた場合、転移学習を使う事例もある。それは、学習用の医療画像は専門家によるアノテーションが必要であり、障害になるおそれがあるためである。
機械学習が使われている理由として、複雑な特徴を深層学習は画像から自動で特徴抽出できる。大量のデータを使ってモデルに訓練をさせると、異常を正しく発見し、誤りを減らしたりする精度を改善することができる。</t>
  </si>
  <si>
    <t>社会や企業で実際に使われている機械学習の事例を１つ取り上げて、どのような場面で使われているか、具体的にどんな技術が用いられるか、さらに従来の方法ではなく、機械学習を使う必要があった理由も書いてください</t>
  </si>
  <si>
    <t>三回ぐらい試行した。</t>
  </si>
  <si>
    <t>動画があった方がいいと思う</t>
  </si>
  <si>
    <t>23238915@edu.cc.saga-u.ac.jp</t>
  </si>
  <si>
    <t>プログラミングは人がルールや手順を明示的にコードとして記述し、コンピュータに処理を指示する手法である。一方で機械学習は大量のデータを元に、コンピュータ自身がパターンやルールを学習する手法である。
　機械学習における汎化とは、モデルが訓練データで学習した知識を、未知のデータにも適用できる能力を指す。汎化能力が低い場合、モデルは訓練データに過度に適応し、未知のデータに対して誤った予測を行う過学習が生じる。一方で、訓練データに含まれない新しいデータに対しても安定した予測が可能な状態は、汎化能力が高いとされ、実用的なモデルの条件となる。プログラミングは機械学習のようにデータから学んだパターンから予測し、自動的に対応することはできず、予測する場合はルールを人が追加・修正する必要がある。つまり、機械学習は柔軟に対応できるという利点がある。しかし、機械学習にはデータ不足や、ブラックホール問題、過学習などの問題点も存在している
　機械学習が登場した背景には、画像認識や音声認識など、従来のプログラミングでは対応が困難な課題の増加が挙げられる。また、これらの分野では、ルールを人間が定義するのではなく、データから自動的に学習した方が効率的かつ柔軟であることも挙げられる。さらに、近年のデータ量の増加も機械学習の実用化を後押ししている。
　まとめとして、プログラミングは論理的で安定した処理に強く、機械学習は予測や分類などの曖昧な判断に強いという違いがある。
　</t>
  </si>
  <si>
    <t>機械学習には汎化があるけどプログラミングは汎用的なコードを書くしか予測とかできないの？
プログラミングがあるのになぜ機械学習という手法がでてきたの？</t>
  </si>
  <si>
    <t>ユニクロでは、商品の需要予測と在庫管理の最適化に機械学習を活用している。天候、過去の販売実績、トレンドなどの膨大なデータをAIが解析し、店舗ごとに必要な商品数を予測することで、在庫の過不足を防ぎ、販売機会の損失を低減するのに役立っている。
　ここで使用されている需要予測モデルは、過去の販売データや市場の動向、季節要因、天候、プロモーション情報などの多様なデータをもとに、将来を商品の需要を予測する仕組みである。機械学習を用いた受容予測では、複雑なパターンや相関関係をモデルが自動的に学習し、従来の統計手法よりも高精度な予測が可能になる。
　機械学習を用いることで、従来の人の経験や勘に頼った予測から脱却し、データに基づいた客観的かつ柔軟な判断が可能となる点が大きな利点である。また、感性とデータの融合が可能という利点もある。「このデザインは流行りそう」という直感に対して、「どの地域で売れそうか」「どの価格帯が適切か」をAIが補助することで販売を手助けしている。また商品の画像から色・形・カテゴリを自動判別や商品登録にも役立っている。</t>
  </si>
  <si>
    <t>このモデルがどんなに優秀でも流行を追うのは難しそうなのになぜ採用されたの？</t>
  </si>
  <si>
    <t>どんなに機械学習が優秀でも今の流行を追うのは難しいと思ったので上のようにしました</t>
  </si>
  <si>
    <t>24238118@edu.cc.saga-u.ac.jp</t>
  </si>
  <si>
    <t>ソフトウェアの実装手段として、「プログラミング」と「機械学習」は根本的に異なるアプローチをとっており、プログラミングとは開発者が具体的なルールや処理手順を自らのコードとして記述する方法です。条件分岐や計算処理、データの操作などを明示的に指示するもので、プログラムの動作はコードを見れば理解でき予測可能です。プログラミングは開発者がどのように処理を行うかを完全に制御できるため透明性が高くデバックや修正も比較的容易です。
機械学習は、大量のデータからパターンや特徴を「学習」させ、その学習結果をもとに処理や判断を自動的に行う技術で機械学習モデルの内部構造や判断基準は複雑でブラックボックス化しやすく、どういう理由でその判断をしたのかを人間が直接把握するのが難しい場合もあります。機械学習は画像認識や音声認識、自然言語処理など、膨大かつ複雑なデータに基づく判断が必要で、かつ明確なルールを人間が設計しづらい問題に対して特に強力です。プログラミングは「明確なロジックを人間が書く」ことで動作を定める一方、機械学習は「データに基づきコンピュータ自身がルールを獲得する」点で大きく異なります。プログラミングは透明性が高く制御しやすい反面、複雑で多様なパターンの問題には対応が難しくなります。機械学習は人間が設計できない複雑な判断を可能にしますが、結果の解釈や検証に工夫が必要です。</t>
  </si>
  <si>
    <t>ソフトウェアでの実装手段として、プログラミングと機械学習の違いについて教えて</t>
  </si>
  <si>
    <t>実世界での機械学習の利用状況の1つとして金融業界の不正感知システムがあり、銀行やクレジットカード会社、決済代行業者などの金融機関では、不正な取引や詐欺行為を早期に発見し防止することが極めて重要です。日々大量の取引データが発生する中で、これらの不正行為をリアルタイムに検知するために機械学習が活用されています。正常取引の特徴を学習し、パターンから外れるものを不正の可能性として判定する技術である異常検知や過去の不正・正常取引のデータをもとに、取引が不正か正常かを判別するためのモデルである分類モデルなど様々な技術が使われています。顧客の取引履歴や位置情報、デバイス情報などの多様なデータを収集し、これらを機械学習モデルに入力します。モデルは通常の利用パターンと比較し、異常が検知された場合は即座にアラートを発し、取引の一時停止や追加認証を促す仕組みが構築されています。これにより、詐欺被害の早期発見と被害拡大防止が可能になっています。従来のルールベースのシステムでは、新たな詐欺パターンに対応するために多大な労力が必要であり、また未知の手口に対応しきれないという問題がありました。機械学習は大量の取引データから複雑なパターンを自動的に学習できるため、変化の激しい不正手口にも柔軟に対応できるという強みがあります。またリアルタイム処理が可能であり、誤検知率の改善にもつながります。このため機械学習が使われました。</t>
  </si>
  <si>
    <t>実世界 (社会や企業・組織など) での機械学習(AI)の利用状況1つを調査。どんな場面で、どんな技術が、どんな使われ方をしているのか? なぜ、機械学習を使ったのか?を教えて</t>
  </si>
  <si>
    <t>とても分かりやすかったです。</t>
  </si>
  <si>
    <t>24238198@edu.cc.saga-u.ac.jp</t>
  </si>
  <si>
    <t>プログラミングは人間が明示的に手動で条件や処理を記述する必要があることに対して機械学習は、明示的なルールを記述せずに、モデルがパターンを学習する。また、プログラミングは入力に対して決まった出力が得られるが、機械学習は曖昧な入力にも柔軟に対応することができる。機械学習という手法が出た理由は、人間が定義できるのは限界がある。したがって人間がルールを書く代わりに、コンピュータがデータからルールを見つけることにより可能になることがある。機械学習が得意とすることは、手書き文字や画像の認識や音声認識などがあげられる。</t>
  </si>
  <si>
    <t>数字の識別のコードを読み込ませた後に、プログラミングと機械学習を比較しながら説明してと入力した。
なぜ機械学習という手法ができたのか分かりやすく
機械学習にしかできないことはなに</t>
  </si>
  <si>
    <t>タクシー業界についての利用状況について説明する。近年、機械学習を取り入れた配車予測システムが導入されている。導入背景として、従来のタクシードライバーは経験や勘によって乗客が居そうな場所を判断していたが、新人ドライバーにとっては難しいものであった。
タクシーの走行履歴、気象情報、周辺施設の混雑状況、公共交通機関の運行データなど、多様なデータを組みあわせて学習するAIをモデルを開発した。このモデルは過去のデータから、どの時間にどの場所で乗客する客が多いかを予測しドライバーに提案する。人間の経験値に頼ることはスタート地点が違い、個人によって差が出てくる。誰でも安定した成果を得られる仕組みを取り入れるために機械学習が使われた。</t>
  </si>
  <si>
    <t>機械学習を利用している例を上げて
その中のタクシー業界についてどんな場面で、どんな技術が、どんな使われ方しているのか？なぜ、機械学習使ったのか？具体的に説明して</t>
  </si>
  <si>
    <t>授業で出てきたコードの意味や説明などをAIに相談や質問することで、最終的なレポート作成の時に、具体的かつ適正な文章を作成するのでAIに情報を事前に入れること。また、質問を具体的に提示するよう指示したり、簡潔にまとめさせたりして自分の理解と深めた上で、レポートを書く。</t>
  </si>
  <si>
    <t>演習する時間や考える時間があるので
理解しやすい授業でした。</t>
  </si>
  <si>
    <t>24238193@edu.cc.saga-u.ac.jp</t>
  </si>
  <si>
    <t>プログラミングと機械学習はどちらもソフトウェアを作る手段ではあるが、考え方と実装方法が違う。具体的には、プログラミングとは人間がルールを決めて、コンピュータに手順を支持する方法である。全ての処理は人間が分かりやすく書いたコードで動く。つまり、条件分岐を人間が書くということである。使用例は四則演算や条件分岐などがある。一方で、機械学習とは、コンピュータがデータからルールを学習する方法である。つまり、ルールが複雑で人間が書けない処理を行うものである。使用例は画像認識、音声認識などがある。</t>
  </si>
  <si>
    <t>ソフトウェアでの実装手段として、プログラミングと機械学習の違いについてわかりやすく説明してください。</t>
  </si>
  <si>
    <t>ありません。</t>
  </si>
  <si>
    <t>交通・物流で強化学習、時系列予測という技術が自動運転、配送ルート最適化、タクシー配車予測で使われている。ルールを明示できない問題に対応でき、データが多いほど精度が上がり、変化に強いため利用されている。</t>
  </si>
  <si>
    <t>実社会で機械学習はどんな場面でどんな技術が、どんな使われ方をしているのか? また、機械学習を利用した理由をわかりやすく説明してください。</t>
  </si>
  <si>
    <t>より具体的に詳しく伝えるように工夫した。</t>
  </si>
  <si>
    <t>環境構築を自分でするのが難しかった。</t>
  </si>
  <si>
    <t>24238428@edu.cc.saga-u.ac.jp</t>
  </si>
  <si>
    <t xml:space="preserve">ーープログラミングと機械学習の違いについてーー
①実装の仕方の違い
・プログラミング：人間がルールを書く。
・機械学習：ルールを人間が書かずにデータからルールを学習する。
②できることの違い
・プログラミング：決まった手順がある問題に強い。（例　在庫管理）
・機械学習：あいまいさが必要なもの。　（例　画像認識、音声認識）
③それぞれ欠点
・プログラミング：データが膨大になるとルールを書くのが不可能。未知なデータに対し柔軟な対　　応ができない。
・機械学習：大量のデータが必要になる。誤答をする。
・共通の欠点：コストがかかる。
ーーなぜ機械学習が生まれたのかについてーー
プログラミングではできないことを克服するために生まれた。
上記にあったようにプログラミングと機械学習は互いに補い合っていることがわかる。
プログラミングと機械学習の両者が補い合う実例として１つあげる。
「自動運転車」
◎プログラミング：車の制御、信号との通信、安全機構
◎機械学習：カメラ映像から歩行者や標識を認識する。
</t>
  </si>
  <si>
    <t>ソフトウェアでの実装手段として、プログラミングと機械学習の違いについて教えてください。
なぜ機械学習は生まれたのですか。
プログラミングと機械学習は互いに補い合っているということですか。</t>
  </si>
  <si>
    <t xml:space="preserve">製造業における「不良品検査（品質管理・検品）」について機械学習の利用状況を調査する。
●どんな場面か
工場で製造した製品（電子部品、食品、金属加工品、パッケージ品など）には、不良品が混ざっている可能性がある。従来、人の目や単純なルールベースのチェック（たとえば重さや寸法の閾値チェックなど）で良否を判定していた。しかし、人間の目視では限界がある。そこで、画像・映像を使って自動で不良品を検出する仕組みとして、機械学習が導入された。
●どんな技術か
画像認識（良品、不良品を分類）、異常検知（データからの学習より判断）、画像処理（画像をAIが扱いやすいようにする）、学習・モデル更新（照明、カメラのずれ、製品仕様変更などに対応）、統合システム（機械学習モデルを“実運用の現場”で役立つ形に組み込むための、ハード・ソフトを含めた全体的な仕組み）
●どのように使われているか
データ収集→→前処理、画像整形→→モデル学習→→評価、精度検証→→実運用導入→→継続的改善
●なぜ機械学習を使ったか
1.目視検査では限界がある。
2.微妙なパターン変化に柔軟に対応できる
3.人件費削減
</t>
  </si>
  <si>
    <t xml:space="preserve">実世界 (社会や企業・組織など) での機械学習(AI)の利用状況1つ挙げてください。そして、どんな場面で、どんな技術が、どんな使われ方をしているのか? を教えてください。
</t>
  </si>
  <si>
    <t>24238319@edu.cc.saga-u.ac.jp</t>
  </si>
  <si>
    <t>プログラミングは人がルールを記入しif文やfor文を手動で入力するもので、明確な処理や動作を実現するものである。機械学習はデータからルールを自動的に学習し、楽手アルゴリズムを使ってモデルを構築し、パターン認識や予測を行うものである。</t>
  </si>
  <si>
    <t>ソフトウェアで実装することを目的として、プログラミングと機械学習の違いは何か教えてください</t>
  </si>
  <si>
    <t>機械学習は私たちの生活の中であらゆる場面で活用されており、気づかないうちに利益を得ている。例としてAmazonやNetflixでは、ユーザーが見たもの、買ったもの等を分析し、最適な商品やコンテンツを提供するなどの使われ方をしている。</t>
  </si>
  <si>
    <t>機械学習は社会でどのような使われ方をしているのか、例を挙げて教えてください。</t>
  </si>
  <si>
    <t>プロンプトは簡潔に必要な情報を伝えられるように工夫した。</t>
  </si>
  <si>
    <t>環境構築を行う際のテキストが少しわかりずらく、授業中に先生の解世知があって初めて理解した部分があったので、授業前までに準備できるように細かいテキストを用意していただけるとよいと思います。</t>
  </si>
  <si>
    <t>21238158@edu.cc.saga-u.ac.jp</t>
  </si>
  <si>
    <t>プログラミングは人間がルールやロジックを明確に書く方法である。
機械学習は正解データを元にモデルが自動的にルールを学習する。明確にルールを作らず、データからパターンを見つけて判断基準を作る方法である。</t>
  </si>
  <si>
    <t xml:space="preserve">プログラミングと機械学習の違いを教えて
</t>
  </si>
  <si>
    <t xml:space="preserve">AIの利用例の代表的なものはテキスト作成、言語処理である。利用シーンとしては宣伝やホームページのコンテンツ作成、ニュース、論文、会議の要約、言語対応チャット、ドキュメント翻訳などがある。
</t>
  </si>
  <si>
    <t>生成AIはどのような場面で使われているか教えて</t>
  </si>
  <si>
    <t>今回は班が決まっていたので、パソコンでわからないことがあってもチームメイトに聞くことができたのでよかっあです。</t>
  </si>
  <si>
    <t>24238337@edu.cc.saga-u.ac.jp</t>
  </si>
  <si>
    <t>プログラミングは、人が手順などの明確なルールをコードで書くもので、コンピュータはそのルールに従って、毎回同じように動きます。機械学習はコンピュータがたくさんのデータを見て、自分でルールを学ぶ方法で、人間は例を見せるだけとなっています。つまり、プログラミングは人間が詳しくルールを設定して動かすもので、機械学習はコンピュータが自分で学び、動くものである。</t>
  </si>
  <si>
    <t>ソフトウェアでの実装手段として、プログラミングと機械学習の違いについて知りたいんだけど、違いを頭がよくない初心者自分にもわかるように教えてほしい！詳しい説明を書いた後に例を表示するようにしてほしい！</t>
  </si>
  <si>
    <t>利用状況の例の一つとして、タクシー会社がAIを使ってお客さんを見つけやすくするというものがあります。この技術は機械学習の予測モデルを使い、過去にお客さんが乗ってきたときの、天気や時間、場所についてを学習し、ある時間帯や場所にお客さんがいるのではないかと予測する技術である。この情報はタクシー運転手が持っているスマホやタブレットでお客さんがいそうな場所を見られるようになっています。なぜ機械学習を使ったかというと、これをタクシー運転手さんが自分考えて行うとなると、過去の経験が大事になります。しかし、新人のタクシー運転手だった場合、それが難しいです。そこでAIをつかって過去のデータを使って誰でも予測できるようにしたかったからである。</t>
  </si>
  <si>
    <t xml:space="preserve">実世界 (社会や企業・組織など) での機械学習(AI)の利用状況1つを調査。どんな場面で、どんな技術が、どんな使われ方をしているのか? なぜ、機械学習を使ったのか？子供でも分かるような例で教えてほしい。
</t>
  </si>
  <si>
    <t>子供でも分かるような文にしてほしいと言うことで、複雑な内容の文が減るので、詳しく読まなくてもパッと見ただけでどんな内容が記載されているかがすぐにわかるようにした。</t>
  </si>
  <si>
    <t>24238473@edu.cc.saga-u.ac.jp</t>
  </si>
  <si>
    <t>プログラミングと機械学習では、用途に大きな違いがある。プログラミングは、人間がルールを与え、コンピュータはそれに従って動くため、計算処理やロボット、家電の制御などに使用されている。機械学習は、データを与え、学習させることでモデルがパターンを見つけ出して、自動で予測や分類をするため、画像認識や株価予想、自然言語処理などに使用されている。</t>
  </si>
  <si>
    <t>プログラミングと機械学習の違いをそれぞれの特徴や用途ともに教えてください。</t>
  </si>
  <si>
    <t>ChatGPTや画像生成に特化したAIなど様々なAIが登場していますが、根幹はどれも同じなのでしょうか。</t>
  </si>
  <si>
    <t>工場などの製造業では、カメラとAIを使ってキズや欠陥を発見している。また、小売業では、天気、曜日、イベントなどに基づいた需要予測にAIを使用している。これらの作業は、人間がやると大変、時間がかかる、精度が悪い作業であるため、AIを使って補っている。</t>
  </si>
  <si>
    <t>企業や社会で実際にAIが活用された例を教えてください。</t>
  </si>
  <si>
    <t>なぜ活用されているのかを自分で考えるために、例のみを質問しました。</t>
  </si>
  <si>
    <t>環境作成で躓くところがあったので、もう少し質問できる環境があると良かったです。</t>
  </si>
  <si>
    <t>24238471@edu.cc.saga-u.ac.jp</t>
  </si>
  <si>
    <t>プログラミングは人が書くためアルゴリズムは固定であり簡単に説明することができるが、機械学習はソフトウェアが書くためアルゴリズムはデータに依存し時間とともに変わっていく。具体例を示すと、プログラミングは自販機の制御、機械学習は迷惑メールの判定などに用いられている。自販機の制御のように明確なルールをコードの上で動作するものはプログラミングが適しており、迷惑メールの判定のように過去のデータから学習して臨機応変に対応する必要のある場合は機械学習が適している。機械学習の起源には1940~50年代の研究者たちが「人間のように学ぶ機械」の作成を目指していたことにあり、1980年代から複雑な問題に対するルール記述の限界や大量のデータの活用といった問題点を解決するために発展した。　</t>
  </si>
  <si>
    <t>・プログラミングと機械学習の差別化点について教えてください
　プログラミングと機械学習の違いを明確にするため
・機械学習の起源は何ですか
　なぜ機械学習が必要となったのかを知りたかったため</t>
  </si>
  <si>
    <t>迷惑メールの判定に用いられている。スパムメールも日々進化しており、言い回しや単語の使い方が変わっている。そのため従来のプログラミングのようなルールベースでは多様化する迷惑メールに対応しきれない。しかし機械学習であれば過去のスパムメールのデータから学習し、多様化するスパムメールにも対応することができる。例えば、過去のスパムメールから自動でパターンを摘出したり、新しい表現にも過去の学習から「スパムっぽさ」を判断することができる。</t>
  </si>
  <si>
    <t>機械学習は迷惑メールの判定に用いられていますが、なぜプログラミングではだめなのですか？</t>
  </si>
  <si>
    <t>なぜ機械学習が使われているのかと聞くのではなくて、なぜプログラミングではだめなのかと聞くことで機械学習とプログラミングの差別化が明確になると思ったから。</t>
  </si>
  <si>
    <t>24238038@edu.cc.saga-u.ac.jp</t>
  </si>
  <si>
    <t>プログラミングでは、処理対象となる問題を人間が明確に定義し、その手順を論理的に表現できる場合に適している。決められた条件に対しては正確かつ高速に処理できるが、未知の入力に対する柔軟な対応は苦手である。
機械学習は、明確なルールを人間が定義するのが困難な問題に対応するために発展してきた。未知の入力に対してもある程度妥当な予測を行うことが可能である。</t>
  </si>
  <si>
    <t>ソフトウェアでの実装手段として、プログラミングと機械学習の違いについての述べてください。例えば、なぜ機械学習という手法が出てきたのか? 例えば、実現できる事の違い、など。書く時のポイントも教えて。</t>
  </si>
  <si>
    <t>医療分野では、画像認識支援においてディープラーニングを用いた画像認識技術が広く利用されている。X線写真などを解析し、腫瘍や病変の有無を検出するシステムである。これは、医療画像が非常に複雑かつ多様であり、固定的なルールによる解析が困難なためである。また、人間の専門知識を補完し、より迅速かつ正確な診断を可能にするためである。</t>
  </si>
  <si>
    <t>実世界 (社会や企業・組織など) での機械学習(AI)の利用状況1つを調査。どんな場面で、どんな技術が、どんな使われ方をしているのか? なぜ、機械学習を使ったのか?書く時のポイントも教えて。</t>
  </si>
  <si>
    <t>しょうがない部分はあると思うが、一斉にパソコンを使用するため、ネットワークが不安定で作業ができないときがある点。</t>
  </si>
  <si>
    <t>24238386@edu.cc.saga-u.ac.jp</t>
  </si>
  <si>
    <t>プログラミングは人がルールを決めて教える。機械学習はたくさんのデータを見て自分で学ぶ。これより、プログラミングと機械学習はそれぞれ明確なルールとたくさんのデータが必要になってくる。計算やデータの整理などのルールが決まっている処理であればプログラミングが向いていて、顔認識や翻訳などのパターンをみつけて予測したいのであれば機械学習が向いている。機械学習で計算はできないわけではないが非効率的である。</t>
  </si>
  <si>
    <t>ソフトウェアでの実装手段として、プログラミングと機械学習の違いを教えてください。
工夫
わかりずらかったので、わかりやすく教えてください。
それぞれなにに向いているか教えてください。
機械学習は計算はできますか？</t>
  </si>
  <si>
    <t>スマートエアコン。環境センサーと機械学習による制御最適化のような技術を使用し、部屋の温度・湿度・人の有無などを分析し、自動で快適な設定に調整する。これより、省エネと快適性の両立ができる。</t>
  </si>
  <si>
    <t>実世界 (社会や企業・組織など) での機械学習の利用状況1つを調査する。どんな場面、技術が、どんな使われ方をしているのか? なぜ、機械学習を使ったのかを具体的に教えてください。</t>
  </si>
  <si>
    <t>具体的に教えてもらった。
最初はタクシーの配車予測について説明があったが、あまりイメージがつかなかったためより身近なところでの利用を質問した。</t>
  </si>
  <si>
    <t>畠山先生の話がすごく面白く、頭に入りやすかった。</t>
  </si>
  <si>
    <t>24238495@edu.cc.saga-u.ac.jp</t>
  </si>
  <si>
    <t>プログラミングは、人間がルールや手順を論理的に考え、それをコードとして明示的に書くことで、機械学習は、入力と出力の例をたくさん与えて、コンピュータ自身に「ルール（モデル）」を学ばせるといった違いがある。
機械学習という手法が出てきたのは、プログラミングだけでは解決できない問題が増えたり、データ量と計算能力の増大によって、学習させるのが現実的になったりしたという背景がある。
また、実現できることの違いとして、プログラミングは計算、論理処理、正確で予測可能な処理が得意で、機械学習は予測、分類、推論など「正確なルール化が困難」な処理が得意である。</t>
  </si>
  <si>
    <t>プログラミングと機械学習の違いについて、機械学習という手法と実現できる事の違いという観点から教えて</t>
  </si>
  <si>
    <t xml:space="preserve">実世界での利用状況について「小売・物流チェーンでの需要予測と在庫最適化」がある。
将来の商品の販売数量（需要）を予測したり、その予測に基づき、在庫補充タイミングや発注量を決めたりするといった場面で使われる。
技術として、線形回帰や重回帰モデルが売り上げ推移や季節要因などを説明変数として使っている。また、時系列モデル（ARIMA, SARIMA, Prophet など）で過去の時系列データに基づく予測をし、トレンドのモデリングにも使っている。
機械学習を使用する理由として、予測精度の向上や、人件費削減などがある。
</t>
  </si>
  <si>
    <t>実社会での機械学習の利用状況やそこで使われる技術の具体例を教えて。
また、機械学習を使った理由も教えて。</t>
  </si>
  <si>
    <t xml:space="preserve">生成AIに入力したPromptで「具体例」といった言葉をいれることでより理解が深まると思ったので、使用している。
</t>
  </si>
  <si>
    <t>今回のAI実習では自身で実際に手を動かして演習したり、班員と相談して課題を解決したりすることで、機械学習や生成AIについての理解が深まった。
環境構築のテキストが少しわかりにくかった。</t>
  </si>
  <si>
    <t>24238494@edu.cc.saga-u.ac.jp</t>
  </si>
  <si>
    <t>ソフトウェアを実装する手段としてのプログラミングと機械学習の最も大きな違いは、「どうやってコンピュータに仕事の仕方を教えるか」である。プログラミングでは人間がすべての手順を細かくコンピュータに教え、コンピュータはその指示通りに動く。これは事前にルールがはっきり決まっていて、それをコードにできる場合に適している。それに対して機械学習では、人間は手順ではなくデータを与え、コンピュータが自分でパターンを見つけ出し、仕事ができるようにする。機械学習はルールが複雑すぎて人間がすべて書き出せない場合や、データから予測を行いたい場合に適している。</t>
  </si>
  <si>
    <t>ソフトウェアでの実装手段として、プログラミングと機械学習の違いについての述べてください。初心者でもわかるように説明すること。</t>
  </si>
  <si>
    <t>機械学習が使われている場面として、医療分野の放射線診断が挙げられる。
 X線、CT、MRIなどの医用画像における病変（がん、ポリープなど）の検出に、画像認識のディープラーニング技術が利用されている。大量の画像データを用いてAIに「正常な組織パターン」と「病変のパターン」を学習させると、医師が画像を見る際にAIが病変の疑いがある箇所を自動で検出し、色付きでハイライトを表示する。これにより、人間では時間や集中力に限界がある作業を代替し、診断の質を底上げすることができるようになる。また、医師のダブルチェックの役割をAIが担うことで、読影にかかる時間を短縮して医師の負担を軽減でき、地域ごとの医療の質の差を埋める効果も期待できる。</t>
  </si>
  <si>
    <t>①実世界 (社会や企業・組織など) での機械学習(AI)の利用状況1つを調査したい。どんな場面で、どんな技術が、どんな使われ方をしているのか? なぜ、その分野で機械学習を使ったのか?
参照元を明らかにして説明しなさい。
②医療分野においてはどのような使われ方をしているか。同じように説明しなさい。</t>
  </si>
  <si>
    <t>一回目の回答で出力された答えに対して、別の分野からの視点も追加で出させることで選択肢を広げた。
また、ただ課題をそのまま聞くのではなく、情報を追加して自分にわかりやすく出力されるよう工夫した。</t>
  </si>
  <si>
    <t>環境構築の参考にしたサイトの説明が少しわかりづらかったと思う。1年生の時に行ったプログラミングの授業とは方向性がほとんど違う。今作業を行おうとしている場所がどこなのか、ファイルの格納場所との違いは何なのかなどに説明が欲しかった人が多かったのではないだろうか。"cd"のコマンドも、ただコピペ実行しろではなく、どういった意味のコマンドなのか、何をしようとしているのかまで説明があった方がいいと思う。
私は個人的にNext.jsに触れていたからすぐに対応できたが、1年生の時に授業を受けていただけではかなり時間がかかったと思う。</t>
  </si>
  <si>
    <t>24238467@edu.cc.saga-u.ac.jp</t>
  </si>
  <si>
    <t>従来のプログラミングでは、人間がタスクの仕様を定義し、その仕様に基づいてプログラム（アルゴリズム）のロジックを一から記述する。このアルゴリズムは固定されていて、その動作は容易に説明できる（演繹的）という特徴がある。コンピューターは、与えられたデータとプログラムを入力として受け取り、結果を出力する 。一方、機械学習では、人間がロジックを直接記述せず代わりに、大量のデータとそれに対応する正解の出力をコンピューターに入力として与える 。コンピューターはこれらの経験的なデータから、タスクを実行するためのプログラムを自動で学習・生成 。このアルゴリズムはデータに依存するため固定ではなく、時間とともに変わる可能性があり、その根拠は曖昧で多くの事例から定義される（帰納的）とされる。
機械学習が登場した背景には、「実世界の全てを想定してプログラミングするのは難しい」という課題がある 。人間は経験から未知の事象への対応を考えられるが、従来のプログラムでは、記述された固定ロジックでは、猫の認識のような複雑なタスクや、想定外のパターンへの対応が困難だった。</t>
  </si>
  <si>
    <t>ソフトウェアでの実装手段として、プログラミングと機械学習の違いについて簡潔に述べてください。</t>
  </si>
  <si>
    <t xml:space="preserve">小売・EC業界での需要予測と在庫管理の最適化。
場面：小売業やEC業界における、商品の発注・在庫管理業務。
技術： 主に回帰分析や、深層学習などの時系列データ解析技術。
使われ方：AIが過去の販売データに加え、天候、トレンド、曜日、価格、周辺のイベント情報など、大量かつ多岐にわたるデータを解析。
なぜ機械学習を使ったのか?：食品ロスの削減：AIが販売数を高精度に予測することで、仕入れすぎによる食品ロスを大幅に削減。
</t>
  </si>
  <si>
    <t xml:space="preserve">実世界での機械学習の利用状況1つを調査。どんな場面で、どんな技術が、どんな使われ方をしているのか? なぜ、機械学習を使ったのか?簡潔に
</t>
  </si>
  <si>
    <t>「簡潔に」とかくことで、冗長な説明を削り理解しやすくできるように指示した。講義資料の内容を反映させることで授業内容に絡めて考えることができた。</t>
  </si>
  <si>
    <t>24238447@edu.cc.saga-u.ac.jp</t>
  </si>
  <si>
    <t>プログラミングは、人間が明確にルールや命令を決めることで、決まった結果を出すことができる。機械学習は、AIがデータからルールを学習、予測・分類・生成などの推論結果を出す。前者のメリットは、制御がしやすい、同じ操作で同じ効果が出るなどがあり、電卓や商品購入ページなどのルールや処理が固定化されるものに使われている。
後者は、柔軟性が高く、複雑なパターンや未知の内容対応できる、自動化が可能などがあり、スパムメール判定や画像認識などのパターンや曖昧さを扱う処理に使われる。</t>
  </si>
  <si>
    <t>ソフトウェアでの実装手段として、プログラミングと機械学習の違いを利点や問題点を挙げ、具体的に説明して。</t>
  </si>
  <si>
    <t>医療分野で使われている。CNN（畳み込みニューラルネットワーク）や転移学習を使い、CTやMRI画像からがんや脳疾患などを自動検出する。　医師の見落としを防ぎ、診断の補助をするため、機械学習は画像判断に強いことから使われている。</t>
  </si>
  <si>
    <t>現代の社会で機械学習が使われている例をあげ、使われている理由や技術は何か具体的に詳しく説明してください。</t>
  </si>
  <si>
    <t>「具体的に」や「詳しく」を加え、情報をより多く得れるようにした。</t>
  </si>
  <si>
    <t>24238450@edu.cc.saga-u.ac.jp</t>
  </si>
  <si>
    <t>プログラミングとは「人間が明示的にルールを書く」ことである．特徴としては入力，処理，出力が明確であり，決められたルールに沿って正確に動くというものがある．利点として，挙動が予測しやすい，再現性が高いというものがあるが，課題として，問題が複雑すぎたり，人間のルール化が難しい場合には対応が困難になるというものがある．一方で機械学習とは「コンピュータがデータからパターンやルールを自動で学習する」ことである．特徴としては学習データから未知のパターンを見つけたり，明示的なプログラムコードとしては表現されなかったりするというものがある．利点として，複雑なパターンや非線形関係を捉えられたり，大量データの活用に向いていたりする．しかし，なぜそう判断したかが分かりづらかったり，多量のデータや計算資源が必要だったりするという課題もある．このような違いから，複雑な認識問題や自然言語処理のような曖昧で多様なパターンに対応できなかったプログラミングに代わって，データと計算資源の増大により，大量データから自動でルールを見つける機械学習が現実的かつ強力な手法になったと考えられる．</t>
  </si>
  <si>
    <t>ソフトウェアでの実装手段として、プログラミングと機械学習の違いについて述べてください。例えば、なぜ機械学習という手法が出てきたのか，実現できる事の違いなど</t>
  </si>
  <si>
    <t>事例として，金融業界での信用スコアリングがある．場面としては，個人や企業の「信用力」を評価して，ローンやクレジットカードの審査を行う場面である．技術としては，ロジスティック回帰，決定木，ランダムフォレスト，勾配ブースティング等の技術が使われている．使われ方としては，過去の顧客データから「返済の可否」や「遅延履歴」のパターンを学習し，新規申込者のデータを入力すると，返済能力の確率やリスクスコアを予測するといった使われ方をしている．金融業界での信用スコアリングにおいて機械学習が使われている理由として，人間が作るルールでは複雑で多様なパターンをカバーしきれないため，過去の膨大な顧客データから細かなリスクの兆候を自動で検出できるといった理由や，多次元のデータを同時に扱い，非線形な関係も捉えられるといった理由があるからだと考えられる．</t>
  </si>
  <si>
    <t>社会や企業等で機械学習の利用状況を１つ教えて．どんな場面で，どんな技術が，どんな使われ方をしており，なぜ機械学習が使われているのかもあわせて教えて</t>
  </si>
  <si>
    <t>利用状況について「１つ」だけ教えてと限定することで，１つの状況について詳しく情報を知れるようにした．</t>
  </si>
  <si>
    <t>anacondaの環境構築に関して，順序が書かれた資料があっても若干難しかったため，環境構築の実演をしてもらえたら，よりわかりやすかったと思う．</t>
  </si>
  <si>
    <t>24238289@edu.cc.saga-u.ac.jp</t>
  </si>
  <si>
    <t>外山 喜一</t>
  </si>
  <si>
    <t>機械学習とプログラミングの違いは、人間がルールを教えて学ぶのかそれともコンピューターに
多くの画像の特徴などを自ら学ばせるかの違いがある。それによってできることも変わり特徴も大きく変わってくる。まずプログラミングの方ではルールに則った解析になるため再現性が高く、高い処理ができる。機械学習では機械自身が特徴を学んでいくため複雑で曖昧な画像処理でも独自の解析能力があるため可能である。
しかしプログラミングには例外に弱いという弱点があり、機械学習には答えが厳格に定まってないといけないという点がある。
そのため処理の区間によって使うシステムを変えるということが一番適している。
前後の処理をプログラミングが、中間の核心の部分の処理を機械学習がという風に分けて使用するのがいい。
そしてなぜ機械学習が生まれたのかということについては、現在手書きではできないことが多くなりそれによりプログラミングでできる可能な範囲を逸脱しているため。</t>
  </si>
  <si>
    <t>プログラミングと機械学習の違いについて
機械学習が生まれた要因を教えて
この二つのことの実現できることの違いを分かりやすく教えて</t>
  </si>
  <si>
    <t>現在での機械学習での利用状況については、天気予報について調べた。
機械学習を用いた予報では、予報モデルそのものを学習させる。例えば、衛星やレーダーの情報をもとに超短期時間を予測するもの、少し長い時間を予測する中期予報がある。
また水位、流量から氾濫などを予測するものや、台風、サイクロンの進路予測などを正確に予測するものがある。
また衛星・レーダーから天気を予測するものはそれが撮影した動画、画像から解析を行い天候を予報する。
機械学習を用いる理由としては、災害時では早い段階での被害の予測、範囲予測などがある。
また、様々な例外、曖昧な点があるため、多くの点で機械学習が活用できる。</t>
  </si>
  <si>
    <t>今現在機械学習はどのように企業や社会でつかわれている？
天気予報、防災での機械学習の使われ方を教えて
これは機械学習をどのような技術で活用してるのか考えて</t>
  </si>
  <si>
    <t>一つのことを限定した質問文を作ることでより分かりやすく回答させることを意識した。</t>
  </si>
  <si>
    <t>特にないです</t>
  </si>
  <si>
    <t>24238403@edu.cc.saga-u.ac.jp</t>
  </si>
  <si>
    <t>プログラミングと機械学習ではアプローチが異なります。プログラミングは人間がロジックを明示的にコードとして記述しコンピュータに指示を与えますが、機械学習はデータからパターンを学習し道のデータに対する予測や判断を行います。この特徴により、まず、人間の役割に違いがあります。プログラミングでは問題を解決するためのロジックを考え、コードを書きますが、機械学習では適切なデータを用意して、モデル選択・評価を行います。次に出力の性質が異なります。プログラミングは同じ入力に対して常に出力が同じですが、機械学習では出力が確率・統計的に決まります。特異な領域も異なります。プログラミングはルールが明確なタスクに向くのに対して、機械学習はルール化が困難なタスクに向きます。開発プロセスも異なります。プログラミングは要件定義→設計→実装→テストの流れで進みます。機械学習ではデータ準備→モデル学習→評価→再学習の流れで進みます。</t>
  </si>
  <si>
    <t>データサイエンティストとそれ以外のエンジニアでは求められる能力が違います。一つの視点として、機械学習モデルは一種の不確実性があるが、従来のプログラムは動作をきっかりと決める必要があるという点で異なっています。ソフトウェアでの実装手段として、プログラミングと機械学習の違いについての述べてください。</t>
  </si>
  <si>
    <t>一例として、一部の会社の人事では従業員の離職可能性の判定のために機械学習が使われています。労働時間や役職、パフォーマンス、家からの距離、残業時間、出張の頻度などの情報から離職可能性を判定し、離職可能性が高い従業員に対して面談を行ったり、仕事内容の調整を行ったりします。</t>
  </si>
  <si>
    <t>気づいたことは２つあります。
まず、学生間のPCスペックの差があることです。環境によっては機械学習モデルはなかなか動きません。
次に情報系を除く理工学部生には環境構築の経験がなく、特にコマンドラインでの作業に困っている人が多かったです。</t>
  </si>
  <si>
    <t>24238354@edu.cc.saga-u.ac.jp</t>
  </si>
  <si>
    <t>プログラミングでは、人間が処理手順やルールを明示的に記述し、決まった処理を正確に行うのに適している。一方、機械学習ではルールを直接与えず、大量のデータからパターンを学習させて出力を推定する。従来型は計算や制御のようにルールが明確な処理に強いが、画像認識や自然言語処理のようにルールを定義しにくい領域では限界がある。そこで、データ駆動型のアプローチとして機械学習が登場し、曖昧さを含む複雑な問題にも対応可能となった。プログラミングが「人間がルールを与える」方式であるのに対し、機械学習は「データからルールを自動的に学ぶ」方式である。</t>
  </si>
  <si>
    <t>プログラミングと機械学習の違いについて、機械学習が登場した理由や、それによってどんなことが実現できるのかを述べてください。 
ChatGPTを使いました。理由は使い慣れているからです。</t>
  </si>
  <si>
    <t>金融業界の不正検知では、ランダムフォレストやニューラルネットワークなどの正常・不正が付いた過去のデータを使って学習する技術や、正常なデータのパターンを学習し、それと大きく違う行動を「不自然」と判断する技術、決済や送金が行われた瞬間にAIが即座に安全か怪しいかを判定するリアルタイム予測の技術がある。大量データを人手で監視できない、リアルタイム対応が必要、詐欺手口が複雑・変化しやすい、誤検知を減らし、顧客体験を守るためといった理由があげられる。</t>
  </si>
  <si>
    <t>実世界での機械学習の利用例を1つ教えてください。また、どんな場面で、どんな技術が使われ、なぜ機械学習が選ばれたのかを箇条書きで教えてください。</t>
  </si>
  <si>
    <t>出力のスタイルを指定する、複数の解答案を要求する。わかりにくいところがあったら掘り下げて聞く。</t>
  </si>
  <si>
    <t>環境構築は個人でするよりグループで協力したほうがよいと思いました。</t>
  </si>
  <si>
    <t>24238254@edu.cc.saga-u.ac.jp</t>
  </si>
  <si>
    <t xml:space="preserve">　プログラミングはすべての動作を人間が論理的に設計してコードに書く。それに対し機械学習は、コンピューターが自動でルールを見つける。
　なぜ機械学習という手法が出てきたのかは、従来のプログラミングは人がすべてのルールや処理を明示的に記述するので、複雑な判断が必要な問題(画像認識、音声認識)をひとがルールを主導で書くのが困難であり、また大量のデータからパターンを推測するには困難であるため、機械学習というコンピュータ自身がデータからルールやパターンを自動的に学習する手法が登場した。
　また具体的に実装プロセスに大きな違いがある、実装プロセスのフェーズとして要件定義、実装、テスト、保守、の順番で行われるのだが、プログラミングは、明確な使用を定義、アルゴリズムを記述、単体・結合テスト、コード修正であるが、機械学習では問題設定とデータ収集、モデル構築と学習、精度評価、モデル再学習とデータの更新といったように大きく違いがある。
　最後に用途の違いとして、プログラミングは業務ロジック、制御系、webアプリケーションに対し機械学習が得意なのは、パターン認識、予測、自動化などがある
</t>
  </si>
  <si>
    <t xml:space="preserve">ソフトウェアでの実装手段として、プログラミングと機械学習の違いについての述べてください。例えば、なぜ機械学習という手法が出てきたのか? 例えば、実現できる事の違い、など、
初めて学習する初学者に対してです
</t>
  </si>
  <si>
    <t>メルカリのAI出品サポート機能があり、出品作業c2cマーケットプレイスをする際に画像認識、自己教師あり学習、lightGBM、分位点回帰という技術を使うことで、出品者が商品画像をアップロードすると、aiが自動で[商品カテゴリ][ブランド][適正価格]を提案したり、入力時間が平均3~4分から約1分に短縮したり、出品後24時間いないの成約率が15%向上したりした。
　機械学習を使うことで、作業の負担を減らしたり、適正価格の自動提案により、売れ残りを防ぐｒ湯通奏額を拡大した
　</t>
  </si>
  <si>
    <t>実世界 (社会や企業・組織など) での機械学習(AI)の利用状況1つを調査。どんな場面で、どんな技術が、どんな使われ方をしているのか? なぜ、機械学習を使ったのか?
以上の質問を論理的かつ具体的にわかりやすく読み手に伝わるように教えてください。また参考したurlなどを記述してください</t>
  </si>
  <si>
    <t>より具体的にわかりやすい文章を頼むことで、自分が理解しやすいように頼んだ。また、情報が正しいのかわからないので、参考文系が確認できるようにした</t>
  </si>
  <si>
    <t>　プロンプトなどなにか質問する際には何をききたいのかを具体的に、手順を簡潔に結果から聞くのがいいと感じた。
　機械学習やdeeplrningが結局なにをしているのかまだわからなかったので、解説をしてほしいと感じた</t>
  </si>
  <si>
    <t>24238176@edu.cc.saga-u.ac.jp</t>
  </si>
  <si>
    <t>プログラミングと機械学習の大きな違いは人がルールが書くかコンピュータがデータから学ぶかである。前者はロジックが明確な処理やルールが固定されている業務処理に向いている。後者は明確なルールが書けない問題や複雑で曖昧な判断が必要な場面に適している。画像認識や音声認識など人間でも説明が難しいことはプログラミングでは難しいため、機械学習という手法ができたと考えられる。また、インターネットの普及により膨大な情報が手に入れられるようになったことやGPUやクラウドの進化で計算の精度があがったことも理由として挙げられる。</t>
  </si>
  <si>
    <t>ソフトウェアでの実装手段として、プログラミングと機械学習の違いについて教えてください。例えば、なぜ機械学習という手法が出てきたのか? 例えば、実現できる事の違いをおしえて。</t>
  </si>
  <si>
    <t>都市部のタクシー業務で使われている。乗客がどこでどの時間たいで現れるか予測し、効率的に仕事を行うことを目的としている。特に新人ドライバーがベテラン並みに運転するために導入されている。時系列データ解析と地理空間データの統合解析の技術が使われている。従来は運転士の経験や勘に頼っていたが、新人ドライバーに難しいことであったり、日によってバラつきがあったりするため機械学習が導入された。</t>
  </si>
  <si>
    <t>機械学習のレポートを書いています。実世界 (社会や企業・組織など) での機械学習(AI)の利用状況1つを教えてください。またどんな場面で、どんな技術が、どんな使われ方をしているのか? なぜ、機械学習を使ったのか?について詳しくおしえて。最後に端的にまとめて教えてください。</t>
  </si>
  <si>
    <t>最初にレポートをかいていますと書くことでレポートに沿った説明をしてくれた。最後に端的な説明をかいてもらうことで全体の内容をつかみやすくした。</t>
  </si>
  <si>
    <t>席が少し窮屈に感じた。TAがもう1人か2人いてほしかった。</t>
  </si>
  <si>
    <t>24238405@edu.cc.saga-u.ac.jp</t>
  </si>
  <si>
    <t>　プログラミングは、人間が解決したい問題に対し、明確なルール（アルゴリズム）や手順を定義し、それをコードとしてコンピュータに記述する手法です。入力データに対する出力結果は、この明示的なルールによって確定的に決まります。また、ロジックが人間によって明示されているため、デバッグ、修正、動作の検証が容易で、プログラムの動作原理を完全に把握できるというメリットがあります。しかし、定義外の未知の入力や状況に遭遇した場合、ルールを変更しない限り対応できません。環境の変化に適応するには、人間がコードを書き直す必要があるというデメリットもあります。
　機械学習は、人間がルールを明示する代わりに、コンピュータに大量のデータと対応する正解を与え、そのデータから自動的にパターンや判断基準を学習させる手法です。モデルは学習を通じて、データに内在する確率的な規則性を見つけ出します。また、人間がルール化できない非線形な問題（顔認識、音声認識など）に高い精度で対応でき、新しいデータを取り込み再学習することで、環境の変化や新たな傾向に自動的に適応し、性能を継続的に向上させることが可能というメリットがあります。しかし、学習データに偏りがある場合や、学習データと大きく異なる傾向のデータに対して、予期せぬ誤った判断（バイアス）をすることがあるというデメリットもあります。
　よってソフトウェアにはどちらかが優れているわけでもなく解決したい問題の性質によって使い分けられるべきだと思いました。</t>
  </si>
  <si>
    <t>ソフトウェアでの実装手段として、プログラミングと機械学習の違いをそれぞれのメリット、デメリットを踏まえて詳細に教えてください。</t>
  </si>
  <si>
    <t>現実世界ではカスタマーサポートのチャットボットやFAQボットがあります。
これは、顧客からの問い合わせに問い合わせに対応するために使われ、これらのボットには、自然言語処理（NLP）という機械学習技術を中核としています。なぜ、機械学習に頼らざるを得なくなったのかは第一には、カスタマーサポート部門は問い合わせの増加に伴い、人件費が継続的に増加するという課題を抱えていました。
　また、カスタマーサポートのチャットボットにはこの質問にこう返すなどというルールをすべての質問パターンに対して人間が１つずつプログラミングするのには、事実上不可能なため、機械学習を用いることで曖昧な表現でも適切な回答を推論することが可能になったため、機械学習を用いるようになりました。</t>
  </si>
  <si>
    <t>実世界 (社会や企業・組織など) での機械学習(AI)の利用状況1つをなぜ使わざるを得なかったかと使ったことによってどんなメリットがあるのかをリストアップして</t>
  </si>
  <si>
    <t>（４）の二つを比べる点では２つの違いを明確にするためにメリットデメリットをリストアップさせ、（５）においては使わざるを得なかった理由もあげさせることで、機械学習の恩恵をとても受けている職種を上げさせることができると思い、この点を工夫しました。</t>
  </si>
  <si>
    <t>機械学習の詳しい話ももう少し聞きたかった。</t>
  </si>
  <si>
    <t>24238472@edu.cc.saga-u.ac.jp</t>
  </si>
  <si>
    <t>プログラミングは人間がアルゴリズムやルールを直接記述してそのルールに基づいて、明確なロジックを使って処理をするのに対して
機械学習は大量のデータからパターンや特徴を自分で学習し複雑かつ曖昧なパターン認識で未知のデータを予測・認識する</t>
  </si>
  <si>
    <t>ソフトウェアでの実装手段として、プログラミングと機械学習の違いについて目的なども含めて教えて</t>
  </si>
  <si>
    <t xml:space="preserve">スマホの顔認証（Face ID）スマホのカメラ機能で顔を認識し、本人かどうかを確認する。
何千人もの顔写真データを使ってモデルが学習し、顔の特徴パターンを捉える。
</t>
  </si>
  <si>
    <t>実世界で機械学習がどのようなものに使われているか分かりやすい例で教えて</t>
  </si>
  <si>
    <t xml:space="preserve">理解をすることにおいて自分と身近な例をもとに説明してもらうことで理解しやすいから
</t>
  </si>
  <si>
    <t>個人でも成立演習内容だったのでもう少し考える内容を増やす</t>
  </si>
  <si>
    <t>24238401@edu.cc.saga-u.ac.jp</t>
  </si>
  <si>
    <t>プログラミングは人間がルールや手順を明示的に記述し、処理の流れが論理的に決まっており予測可能という特徴があり、問題を定義した後アルゴリズムの設計をし、コードを書き、テストやデバックをしたのち実行・運用されるが機械学習では人間がルールを直接書かず、データから学習しコンピュータが「パターン」や「関係性」を自動で見つけるという特徴があり、問題を定義した後データ収集・前処理をし、モデルを選定・構築し、学習し、評価・チューニングをしたのち実行・運用される。機械学習が現れたからと言ってプログラミングが必要なくなったわけではなく、電卓、ファイル操作、ゲームロジック、Webアプリのルーティングのようなルールが明確な処理はプログラミング、顔認識、翻訳、異常検知、推薦システムのようなルールが曖昧、または大量のデータからパターンを見つける必要がある処理は機械学習など使い分けが重要である。</t>
  </si>
  <si>
    <t>ソフトウェアでの実装手段として、プログラミングと機械学習の違いについての述べてください。特に特徴の違いやプロセスの違い、実現できる事の違いを述べてください。</t>
  </si>
  <si>
    <t>セブン‐イレブン・ジャパンは商品ライフサイクルが短く、企画が追いつかず売上機会を逃すことが多かった。また従来は担当者の経験や勘に頼っていたため、属人性が高く再現性が低かった。この状況を変えるため、新商品の企画・開発プロセスで生成AIの技術が販売データとSNSのトレンド情報の解析に使用され、新商品の企画案の自動生成をしている。また、ヒット率の試算にも使用され経営層の意思決定も即日可能になった。</t>
  </si>
  <si>
    <t>実世界 (社会や企業・組織など) での機械学習(AI)の利用状況を１つ例示してください。どんな場面で、どんな技術が、どんな使われ方をしているのか? なぜ、機械学習を使ったのか?</t>
  </si>
  <si>
    <t>環境構築の際、画面録画などで手順を説明した動画があるとありがたいかもしれません。</t>
  </si>
  <si>
    <t>24238338@edu.cc.saga-u.ac.jp</t>
  </si>
  <si>
    <t>プログラミングは、人間がルールを書く手段で、計算や業務処理などルールが明確な問題に強いが、自然の中で生きている鳥の群れの数を数えることのように、複雑な処理に弱い。
また、機械学習は、データからルールを学習する手段で、予測や分類などの明確なルール記述が難しい問題に強いが、学習がデータに依存するためデータ量が少なかったり、偏ったデータに弱い。</t>
  </si>
  <si>
    <t>ユニクロのAI活用の事例。これは、店舗ごとの在庫管理・商品発注で使われており、機械学習で過去の販売データ、天候、トレンド、地域特性などを学習し、GoogleのクラウドAIを活用して大量データをリアルタイム解析している。人間では難しい複雑な要因をAIが解析し、在庫ロス削減・売上向上につなげるため。</t>
  </si>
  <si>
    <t>24238408@edu.cc.saga-u.ac.jp</t>
  </si>
  <si>
    <t>プログラミングとは、プログラミング言語を通して自分の目的を果たす動きをさせることである。正確に指示を書かなければならないが、様々な場面で柔軟な使い方ができ、再使用することも可能である。プログラミングの場合、ランダムな結果を求めるものや、PCのスペックによって結果が変わることはあるが、基本的には同じ結果を示す。
機械学習とは、アルゴリズムを利用し学習したデータから予測や分類を行うものである。学習アルゴリズムに対応したことしかできないが、新しいデータや人間では処理ができない内容にも対応できる。機械学習の場合、学習した内容の量や質などによって結果が大きく変動することもある。</t>
  </si>
  <si>
    <t>プログラミングとは
同一のプログラムで結果が変わることはあるか
プログラミンが優先される内容
機械学習とは
プログラミングと機械学習はどっちがビッグデータを処理しやすいか</t>
  </si>
  <si>
    <t>会社内に入った人や不審人物を自動で判定するAIを搭載した監視カメラ
常に見ている必要がなく見逃す確率も大幅に下げることができる</t>
  </si>
  <si>
    <t>機械学習のカメラ</t>
  </si>
  <si>
    <t>24238072@edu.cc.saga-u.ac.jp</t>
  </si>
  <si>
    <t>プログラミングは従来から用いられてきた。機械学習を用いた方法は近年急速に発展してきている。両者は同じ目的を持ちながらも開発方法や適用領域に大きな違いがみられる。プログラミングは、人間が分かりやすくルールを記述するため透明性や安全性に優れ、数値計算や業務処理など、正確性が求められる領域まで達している。機械学習は与えられたデータから規則を自動的に獲得し、画像認識や自然言語処理などの複雑で曖昧な分野に強みを持つが、結果の説明が難しいという課題もある。</t>
  </si>
  <si>
    <t>私はソフトウェアでの実装手段として、プログラミングと機械学習の違いについて、様々な視点から述べてください。レポート風にまとめてください。文字数は200字程度でお願いします。</t>
  </si>
  <si>
    <t>需要予測
教師あり学習を使って、過去のデータやトレンド、市場動向などを分析してこれからのニーズを予測する
飲食業での来店予測や在庫管理</t>
  </si>
  <si>
    <t>Lobeを扱った時間の講義は視覚的にわかりやすかったが、mnistの環境構築が何が起こっているのかわからなかった。</t>
  </si>
  <si>
    <t>24238445@edu.cc.saga-u.ac.jp</t>
  </si>
  <si>
    <t>機械学習とプログラミングの違いは、与えられた目標を達成するためのアプローチが異なる点にあります。プログラミングでは、人間に指示された通りに従ってコンピュータが処理を実行します。そのため、指示が間違っていれば、目標に到達することはできません。一方、機械学習では、以前学習したデータをもとにコンピュータが自ら学習し、目標に向かって最適な方法を導き出すという点が大きく異なります。機械学習が注目されている理由は、従来のプログラミングでは対応が難しかった複雑なタスクに対処できるからです。例えば、音声や画像の理解は、ルールが非常に複雑であるため、従来のプログラミングでは不向きでした。しかし、機械学習では、大量の画像データや音声データを学習することで、認識や分類が可能となり、音声認識や画像認識などの高度なサービスが実現されています。</t>
  </si>
  <si>
    <t>利用状況の一つにアダプティブラーニングがあげられます。生徒それぞれに対して授業の理解度やテストの学習履歴をコンピュータに学習させ最適な教材や問題を提供してくれる技術です。使用例は生徒の苦手分野にたいしてどうすれば理解できるかなどのチャートを作ってくれる。機械学習を使う理由は学習の質や効率を高めることができるためです。</t>
  </si>
  <si>
    <t>実世界の機械学習の利用例のうちの一つに教育において使われていると思います。詳しく教えてください</t>
  </si>
  <si>
    <t>ただ課題をコピペしてAIに質問しない</t>
  </si>
  <si>
    <t>環境構築の説明が理解しづらく苦戦しました。画像付きで解説していただくとありがたかったです</t>
  </si>
  <si>
    <t>24238418@edu.cc.saga-u.ac.jp</t>
  </si>
  <si>
    <t>プログラミングでは計算処理のような明確なルールや手順がある処理やロジックが明確で説明可能な処理が実現でき、機械学習では、画像認識のような人が明確にルール化できない複雑なパターン認識や天気予報のような大量のデータから自動的に特徴を抽出して予測や分類が実現できる。</t>
  </si>
  <si>
    <t>フトウェアでの実装手段として、プログラミングと機械学習の実現できることの違いについての述べてください。</t>
  </si>
  <si>
    <t>場面　勤労者の健康管理や生活習慣改善支援におけるデータ分析
技術　機械学習を用いて、生活習慣改善に対する行動変容ステージなどの要因をモデル化
使われ方　個人の特性や生活習慣データを入力し、運動習慣獲得に寄与する原因を特定する
機械学習を使う理由　複雑な要因の関係性を明らかにし、大量のデータを効率的に分析するため</t>
  </si>
  <si>
    <t>実世界 (社会や企業・組織など) での機械学習(AI)の利用状況1つを調査し、場面、技術、使われ方、なぜ機械学習を使ったのかを論理的にまとめてください。</t>
  </si>
  <si>
    <t>一回の作成だけでは満足のいく回答が得られなかったため何度か会話して論理的な文章を出力させた</t>
  </si>
  <si>
    <t>各々のグループが別室でやっているためmnistのプログラミングが完全に理解できないまま講義が進んでいった</t>
  </si>
  <si>
    <t>24238232@edu.cc.saga-u.ac.jp</t>
  </si>
  <si>
    <t>両者の違いの一つ目はルールの定義方法。プログラミングは人がコードを書くのに対し、機械学習は人がコードを書くことはなくデータから自動的に学習する。二つ目は柔軟性と汎用性。プログラムは特定の条件の下でしか動かないことが多く最新データへの対応が難しいのに対し、機械学習モデルは最新データにある程度対応できる柔軟性を持っている。三つ目はエラー処理。プログラムはエラーがバグとして扱われるためなくすことが求められるのに対し、機械学習モデルは誤差が前提であるために完全の正解を求めずエラーを最小限に抑えることができる。四つ目は結果の解釈性。プログラムは出力された結果は書いたコードを見ることで理解することができる、つまり理解が比較的に容易である。これに対し機械学習モデルは特にディープラーニングの部分においてこの結果になる理由が分かりにくいことがある、つまり理解が困難なことがある。</t>
  </si>
  <si>
    <t>機械学習とプログラミングの大きな違いを数個列挙しそれぞれについて小学生でもわかるように詳しく説明して</t>
  </si>
  <si>
    <t>金融分野における不正検出。
クレジットカードの不正利用の検出の場面で使用されている。
過去の取引データから正常な取引と不正な取引をパターン化し識別するランダムフォレストやロジスティック回帰などの分類モデルの技術が使用されている。
使用例としてリアルタイムでの不正検知システムがある。顧客の取引履歴から機械学習モデルが不正な取引をリアルタイムで検出する。不正な取引があった際にはすぐにアラートを出し、クレジットカード利用を停止するなどの処置をとる。
年々巧妙化している不正取引に従来のルールベースの検出では対応が追い付かず見逃しが増えてしまうが機械学習を使用することで膨大なデータから自動で検出・学習を行うため従来の方法では対応できなかった不正取引を検出することができる。
機械学習を使用することでリアルタイムでの高度な不正検出を行うことができることや運用コストを削減することができることなどのメリットがある。また、カードの不正利用をすぐに検出・対応することができるため、機械学習を使用することで顧客の安心感や信頼性の向上につながることがある。</t>
  </si>
  <si>
    <t>実世界で機械学習の利用状況を一つ示してください。場面、技術、使用例などを具体的にかつ論理的にわかりやすく説明してください。また、なぜその場面で機械学習を使用したのかを大きなメリットを三つ程度列挙してわかりやすく説明してください。</t>
  </si>
  <si>
    <t>説明してほしい部分を明確に指定した。
機械学習を利用する理由を説明する中で説得力を持たせたいと思った。なので機械学習を使用するメリットを提示してもらい、その数も指定してわかりやすく説明してもらうために上記のPromptを作成した。</t>
  </si>
  <si>
    <t>事前に行う環境づくりの部分が難しくて全く手を付けることができなかった。</t>
  </si>
  <si>
    <t>24238224@edu.cc.saga-u.ac.jp</t>
  </si>
  <si>
    <t>プログラミングによるソフトウェアでの実装では、人間がルールやアルゴリズムのコードを書き、それをコンピュータが実行するのに対し、機械学習によるソフトウェアの実装では、大量のパターンやルールからデータを学習させ、その学習結果を使って予測や分析をする。つまり大きな違いとしては、明確なルールを書いてその命令をそのまま実行するだけなのがプログラミングによるソフトウェアでの実装で、明確なルールや指示は書かず学習から予測や分析をするのが機械学習によるソフトウェアでの実装</t>
  </si>
  <si>
    <t>プログラミングによるソフトウェアでの実装の特徴を教えてください。
機械学習によるソフトウェアでの実装の特徴を教えてください。
プログラミングと機械学習の決定的な違いをわかりやすく教えてください。</t>
  </si>
  <si>
    <t>スマートフォンの画像認識
場面：スマートフォンの顔認証システム(iPhoneのフェイスIDなど)
技術：画像分類、物体検出、セグメンテーション
使われ方：本人であることが認識されたら、スマートフォンを開く、ロックのかかったアプリを開く。(セキュリティー)パスワードが漏れる危険性が下がる。
理由：人間がルール化しにくい顔の特徴などの複雑なパターンを高精度で認識できるから。(瞳孔など)</t>
  </si>
  <si>
    <t xml:space="preserve">機械学習の活用例や応用の仕方を教えてください。
実世界では、どのようなところで機械学習が使われていますか？場面と種類と使われ方、またそこで機械学習が使われている理由や利点を述べてください。
</t>
  </si>
  <si>
    <t>まず、一つ手前の段階から聞くようにした。
順番にわけて段階的に聞くようにした。</t>
  </si>
  <si>
    <t>機械学習のさらに詳しい仕組みや、方法などの解説が簡単にあるとさらに理解力が上がると思いました。ですが、今回の講義で学ぶことも多く充実できました。ありがとうございました。</t>
  </si>
  <si>
    <t>24238187@edu.cc.saga-u.ac.jp</t>
  </si>
  <si>
    <t>プログラミングは人間がルールを明示的に記述しているのに対して、機械学習はデータからルールを自動学習している。機械学習はコンピュータがデータからルールを作成できるため、人の手でルールを作ることが難しい複雑な問題に対応できるという違いがある。</t>
  </si>
  <si>
    <t>ソフトウェアでの実装手段として、プログラミングと機械学習の違いについての述べてください。
プログラミングは自分でルールを作るのに対して、機械学習はデータからルールを学習するという違いについて、簡潔にわかりやすく教えて。</t>
  </si>
  <si>
    <t>通販での顧客対応、チャットボットに機械学習が用いられている。注文・配送状況の確認の電話の場面で、ユーザーの言葉を理解し、適切な回答を生成する自然言語処理という技術が24時間自動対応という形で使われている。大量な問い合わせに回答可能な点や、人件費削減のために機械学習が使われている。</t>
  </si>
  <si>
    <t>実世界 (社会や企業・組織など) での機械学習(AI)の利用状況の例を簡潔にまとめて。
顧客対応、チャットボットに関して、どんな場面で、どんな技術が、どんな使われ方をしているのか? なぜ、機械学習を使ったのか?教えて。
通販の顧客対応、チャットボットにしぼって。</t>
  </si>
  <si>
    <t>読み取らないといけない回答が複雑になりすぎないように、質問を簡潔に一つずつ聞くようにしました。</t>
  </si>
  <si>
    <t>ダウンロードしなければいけないものは先に送っておいた方が良いと思いました。</t>
  </si>
  <si>
    <t>24238296@edu.cc.saga-u.ac.jp</t>
  </si>
  <si>
    <t>プログラミングは、人が書いたプログラムとデータをコンピューターに入力し、結果を得る。
機械学習は、データと結果をコンピューターに入力し、ソフトウェアがプログラムを書く。
人の書くプログラムは、タスクを定義する。アルゴリズム(プログラム)は固定されており、容易に説明ができる。
ソフトウェアが書くプログラムは、個別の具体的な事例から、共通する法則やパターンを見つけ出し、それを未知の事例に対応できるようになること(汎化)を目的としていて、アルゴリズムはデータに依存しており、時間とともに変化する。
機械学習は、人間がプログラミングできない問題の解決や大量のデータの処理と活用ができるようになるために生まれた。
プログラミングは、確実な処理や明確なルールの問題解決、機械学習は、パターン認識、予測、未知のデータの処理ができる。</t>
  </si>
  <si>
    <t>Google検索エンジンで機械学習が使われている。
その理由は、インターネット上の情報量が爆発的に増え、従来の単純なキーワード検索だけでは、ユーザーの求める情報にたどり着くことが困難になったからである。
検索結果のランキングでは、ランキングアルゴリズムや自然言語処理、ディープラーニングが使われ、ウェブページのコンテンツ、ページの信頼性や専門性、ユーザーの過去の行動データなどの何百もの要素を機械学習モデルで分析・評価し、最適な検索結果の順序を決定している。
サジェスト機能では、自然言語処理、統計的モデルが使われ、入力された文字と、過去に多くのユーザーが検索したキーワードのデータを照合し、関連性の高い候補を予測・表示する。
スペルミスの修正では、自然言語処理が使われ、入力された単語を辞書データや文脈と照らし合わせ、最も可能性の高い正しい単語を推定し、修正案を提示する。
画像の検索では、ディープラーニング、画像認識が使われ、ディープラーニングがモデルそのものの内容(物体、色、形、シーンなど)を解析し、その画像に関連するテキスト情報や類似画像を検索する。
検索意図の理解では、自然言語処理、ディープラーニングが使われ、ユーザーの過去の検索履歴や、現在入力されているキーワードの文脈から、ユーザが本当に知りたいことを推測する。</t>
  </si>
  <si>
    <t>あなたは機械学習の先駆者です。
実世界での機械学習の利用状況を教えて。
有名な一つの事例について、どんな理由で、どんな場面で、どんな技術が、どんな使われ方をしているか、箇条書きで書いて。</t>
  </si>
  <si>
    <t>一番最初の文章を書くことで、検索の幅を狭めてより自分の求める答えに近づくようにした。
一番最後の文章で、どのようなこと書いてほしいか、どんな形状で書いてほしいかを書くことで、より簡潔に見やすくなるようにした。</t>
  </si>
  <si>
    <t>生成AIで調べる際に自分の得たい答えを出すことが難しかった。
多くの人がインターネットを利用していたので、パソコンが動くのが遅かった。</t>
  </si>
  <si>
    <t>24238398@edu.cc.saga-u.ac.jp</t>
  </si>
  <si>
    <t>まず、プログラミングの定義は、人間がルールを明示的に書くことによってコンピュータに仕事をさせるという方法のことで、機械学習の定義は、データからルールを自動で学習することによってコンピュータに仕事をさせる方法のことである。また、プログラミングはコードに書かれた条件に基づいて動作をしているが、機械学習は学習したパターンに基づいて動作をしている。プログラミングは歴史的背景として、初期のコンピュータは命令を手で書かなければならなかったということを踏まえており、機械学習は歴史的背景として、人工知能の研究が始まったということを踏まえている。</t>
  </si>
  <si>
    <t>ソフトフェアの実装手段として、プログラミングと機械学習の違いについてその2つの歴史的背景を踏まえつつ分かりやすく説明して
工夫した点：歴史的背景を踏まえることによってプログラミングと機械学習の違いについてイメージしやすい回答を得ようとした</t>
  </si>
  <si>
    <t>小売業界では、機械学習が需要予測と自動発注の場面で使われている。過去の販売データや天候、曜日、地域イベントなどの場面をAIが分析して、最適な発注数を自動で算出することによって欠品や廃棄ロスを防いでいる。この分析は、機械学習による時系列予測や気象データ連携といった技術を用いている。このことにより、様々な企業は発注時間や発注作業時間を削減するという効果を得ることができている。</t>
  </si>
  <si>
    <t>実世界（社会や企業・組織など）での機械学習（AI）の利用状況は？どんな場面で、どんな技術が、どんな使われ方をしているのかを分かりやすく教えて
さっきの質問の中の小売業界について詳しく教えて</t>
  </si>
  <si>
    <t>分かりやすく教えてという言葉を含めることによって質問に対してあまり知識のない自分でも理解しやすいような回答を得ようとした。また、最初に質問したことに対する回答の中で気になった項目について追加で質問した。</t>
  </si>
  <si>
    <t>講義内のjupyter notebookのコマンドについてAIに質問してもよくわからなかった。しかし、普段AIに質問して回答を得るといったことをしていなかったので、今回使用してみて今後も使ってみようと感じるような講義内容であった。</t>
  </si>
  <si>
    <t>24238433@edu.cc.saga-u.ac.jp</t>
  </si>
  <si>
    <t>プログラミングと機械学習の違いは、プログラミングでは人がアルゴリズムを構築する。すなわち、細かいルールを指定し、コンピュータに指示を出すことで決められた手順通りに結論を導き出す。それに対し、機械学習ではプログラミングとは違い、コンピュータに大量のデータを学習させることで、コンピュータ自身にルールや法則を見出させ、推測させることによって結論を導き出す。このような機械学習という技術が生まれた背景には、従来型のプログラミングでは、複雑になりすぎると機能しなくなることや、曖昧なデータに対してはルールがうまく機能しないことがあった。また、機械学習は前述のことからわかるように統計的推定に強い。こういった背景を踏まえて、機械学習という技術が生まれた。以上のことをまとめると、プログラミングは、明確なルールが設定されている問題に対しては得意であり、機械学習は、人が明確なルールを享受することが難解な問題が得意である。</t>
  </si>
  <si>
    <t>・ソフトウェアの実装手段としてのプログラミングと機械学習の違いについて教えてください。この時に説明する相手は、プログラミングの知識に乏しい大学生です。専門用語は、できるだけわかりやすく解説してください。
・機械学習という手法が生まれたのはなぜですか。できるだけ詳細にリストアップしてください</t>
  </si>
  <si>
    <t>・プログラミングの知識がないということを伝えることで誰にでも伝わる身近な例を提供してもらうようにした。こうすることで、生成された文章を読むだけでざっくりとしたイメージをつかむことができると考えた。
・詳細にリストアップさせることで、先につかんだイメージをもとに一歩踏み込んだ理解につながると考えたため、こういったプロンプトにした。</t>
  </si>
  <si>
    <t>横浜ゴムという企業において、HAICoLabというゴムの配合を設計するAIを活用している。数万件のデータ学習と100種類以上の配合剤から物性等を予測し、最適な候補を自動で生成できるようにしている。こうした配合などは経験則に依存しており、最適な配合を見つけ出すのに膨大な時間が必要であった。これを効率化することで、時間とコストの大幅な削減につながった。</t>
  </si>
  <si>
    <t>社会や企業・組織などでの機械学習(AI)の利用状況を調査してください。この時、利用されている技術や場面、機械学習を使った理由などをできるだけ具体的に簡潔にまとめてください。また、この情報を欲しているのは化学系の学生であるため、化学にまつわる事例を調査してください。最後に、引用したウェブサイト等の参考文献を示してください。</t>
  </si>
  <si>
    <t>・自分の所属しているコースが化学系であるため、化学における応用例について調べるために条件として付けくわえた。
・引用元の情報にあたるため引用先のURLを提示するように指示した。</t>
  </si>
  <si>
    <t>環境設定の説明に画像を用いるなどの方法で分かりやすくするとよいと思った。</t>
  </si>
  <si>
    <t>24238174@edu.cc.saga-u.ac.jp</t>
  </si>
  <si>
    <t>なぜ機械学習という手法が出てきたのかは、ルールが複雑すぎる、例外が多すぎる、大量のデータが存在するなどの理由があります。次に実現できることの違いはプログラミングは計算処理、データベース操作、明確なルールに基づく処理が得意なのに対して機械学習は画像音声認識、自然言語処理、パターン認識が得意という違いがあります。</t>
  </si>
  <si>
    <t>ソフトウェアでの実装手段として、プログラミングと機械学習の違いについて教えてください。なぜ機械学習という手法が生まれたのかや、実現できることの違いなども含めて教えてください</t>
  </si>
  <si>
    <t>近年、機械学習は社会のさまざまな分野で活用されていて、特にインフラ管理において注目されているようです。例えば、宇都宮市では水道管の漏水検知に機械学習技術を導入しています。この取り組みでは、水道管に設置されたセンサーから得られる振動や音のデータをAIが解析し、漏水の兆候を高精度で検出している。従来は人の目による点検や定期的な調査に頼ってきましたが、機械学習モデルを活用することで、リアルタイムかつ効率的な異常検知が可能となりました。これにより、漏水による水資源の無駄や修理コストの削減に貢献しています。</t>
  </si>
  <si>
    <t>今社会で機械学習の利用状況の利用状況一つを教えてください。またどんな場面でどのような技術がどんな風に使われているのかを簡潔に教えてください。</t>
  </si>
  <si>
    <t>できるだけ簡潔に簡単になおかつ質問内容に漏れがないように文章を工夫しました。</t>
  </si>
  <si>
    <t>大講義室での授業だったので机に三人座ると狭かったので来年は二人席にするとかしたらよくなるのかなと思いました。演習内容は話し合ったりAIに聞きながらやるのにちょうどいい内容でよかったと思いました。難しかったのは一日目の演習内容です。</t>
  </si>
  <si>
    <t>24238223@edu.cc.saga-u.ac.jp</t>
  </si>
  <si>
    <t>機械学習は判別するものでプログラミングはコードを書くもの。機械学習で出来上がるものはプログラムでありコードではない。プログラミングはコンピュータにやってほしいことを命令することで機械学習はコンピュータが自分でルールを学ぶものである。人が教えるのではなくコンピュータがデータからルールを見つけるものである。しかし両方ともコンピュータを動かすために使う技術でありプログラミング言語を使う。</t>
  </si>
  <si>
    <t>今から質問することに中学生でもわかるように答えてくれない？
プログラミングと機械学習の違いを教えて。
どういう部分が違うのかはもちろん逆にどういうところが共通点なのかも教えてほしい</t>
  </si>
  <si>
    <t>自分の好きなアイドルのライブ映像やミュージックビデオの制作にAIが使われている。画像生成をしてライブ映像やMVの背景を作り、歌声を音声合成AIで作る。機械学習を使ってファンの人の反応やSNSのコメントを学習して次に活かしている。</t>
  </si>
  <si>
    <t>自分が好きなK-POPアイドルについてAIを使って何かを作っていたり活動に活かしていたりすることある？</t>
  </si>
  <si>
    <t>現代社会で使われていることは多いが自分の身の回りのことで使われているかどうかを聞いた。自分の趣味や特技の範囲だったら確認もしやすいと考えた。使われていることはそうなので使ってどう活かしているのかまで聞いた。</t>
  </si>
  <si>
    <t>環境設定の説明が省かれているところが多かったので詳しく説明してほしい。</t>
  </si>
  <si>
    <t>24238005@edu.cc.saga-u.ac.jp</t>
  </si>
  <si>
    <t>従来のプログラミングは、開発者がルールや処理手順をコードとして記述する手法である。たとえば、条件分岐やループ処理、数値計算など、論理的に定義可能な処理などには有効である。
一方、機械学習は、ルールや処理手順をコードを記述するのではなく、大量のデータからパターンや関係性を学習し、モデルとして構築する手法である。これにより、従来のプログラミングでは対応が難しかった曖昧な判断や複雑な認識処理が可能となった。
機械学習という手法が登場した背景には、画像認識、音声認識、など、明確なルールで処理できない問題が増加したことや、インターネットやIoTの普及により、学習に利用可能な大量のデータが増加したことが挙げられる。
実現できることの違いとして、プログラミングを機械学習では、明確なルールが定義できるかできないかということにある。よって、プログラミングでは、数値の並び替えやファイルの操作といったものは安定的に動作する。機械学習では画像からものを認識したり、音声から言葉を認識するといった人間の感覚や判断に近い処理が可能になる。
このようにしてまとめていくと、従来のプログラミングと機械学習は、ソフトウェア開発における異なるアプローチであり、相互補完的な関係である。両者を適切に使い分けることで、より柔軟で高度なシステムの構築が可能となる。</t>
  </si>
  <si>
    <t>ソフトウェアでの実装手段として、プログラミングと機械学習の違いについての述べてください。例えば、なぜ機械学習という手法が出てきたのか? 例えば、実現できる事の違い、など。をレポートにしてください。</t>
  </si>
  <si>
    <t>三菱UFJ銀行では、業務効率化と提案業務の高度化のために生成AIを活用している。導入されている技術は、OpenAIの技術を基にした生成AIである。自然言語処理を活用し、顧客対応の自動化や提案書の自動生成を行っている。これによって今までは人が行っていた業務をAIが代替している。なぜ機械学習を使ったのかというと、まず挙げられるのは、人手不足の深刻化である。少子高齢化や業務の複雑化により、人手不足が顕著に表れている。この課題に対して、三菱UFJ銀行では、ChatGPTを活用した「AI上司」システムを導入することで対応を図っている。従来は人間の上司に依存していた日常的な問い合わせを自動化することで、業務効率の大幅な向上を実現している。この他にも業務の高度化や技術の進化と導入コストの低下といった理由がある。</t>
  </si>
  <si>
    <t xml:space="preserve"> 実世界 (社会や企業・組織など) での機械学習(AI)の利用状況1つを調査。どんな場面で、どんな技術が、どんな使われ方をしているのか? なぜ、機械学習を使ったのか?</t>
  </si>
  <si>
    <t>環境構築がてこずった、ファイル名を変えるなどの指示がなかったため、そこを明確にすると事前準備がスムーズにできた。機械学習モデルのコードがなにを示しているのかを考えるのは楽しかったです。来年も全然やっていいと思いました。</t>
  </si>
  <si>
    <t>24238231@edu.cc.saga-u.ac.jp</t>
  </si>
  <si>
    <t>プログラミングと機械学習の最も大きな違いはルールを人が決めるかAI自身が決めるかにあると考える。プログラミングでは人がルールを設定し実行されるが，機械学習では人から与えられたデータをもとにAIが判定のルールを決定し実行する。</t>
  </si>
  <si>
    <t>・プログラミングと機械学習の違いについての述べてください。
・プログラミングと機械学習の特徴を表で示して</t>
  </si>
  <si>
    <t>メルカリではユーザーが商品を出品する際に「商品名・カテゴリ・価格」などを入力する必要があるがこれが手間であり、特に価格設定のミスによって「売れ残り」が多く発生するためメルカリのAI出品サポートに機械学習が利用されている。
商品画像からブランドやカテゴリを自動判定する画像認識， LightGBMと分位点回帰を組み合わせて、適正価格を提案する価格予測モデルなどの技術が利用されている。
これらの技術を利用して， ユーザーが画像を1枚アップロードすると、AIが商品情報を自動で入力補助されたり，適正な価格を提案し、出品時間を約3〜4分から1分に短縮するなどといった使われたりしている。</t>
  </si>
  <si>
    <t>ただ質問文のみをAIに打ち込むと長い文章が生成され視認性が悪いので，表にして生成してもらうことで内容がすぐにわかるようにしました。</t>
  </si>
  <si>
    <t>生成AIの話が主だったので講師の方が普段使っている，またはおすすめする生成AIの紹介などがあると今後に生かせると思いました。</t>
  </si>
  <si>
    <t>24238239@edu.cc.saga-u.ac.jp</t>
  </si>
  <si>
    <t>プログラミングは、コンピューターに命令を1つずつ書いていくこと。人間がルールを全部決めて、コンピューターに教えるのがプログラミングということである。また機械学習は、コンピューターがたくさんのデータを見て、自分でルールを学ぶ方法。人間がルールを教えるのではなく、コンピューターが自分でルールを見つけるのが機械学習。一例をあげるなら、自動運転についてだが、プログラミングにおいては信号や標識のルールを書くことができるのに対して、機械学習においては実際の運転データから学習することができる。このことからも、プログラミングは正確性があるものの、臨機応変に対応することは難しい。機械学習においては柔軟性があるものの確実にそれが正しいのかは疑わずに信用するのは少し怖さがある。のでやはりプログラミングも機械学習も一長一短であり、利用には注意が必要だなとも思った。</t>
  </si>
  <si>
    <t>医療の分野でのAI活用の一例として、問診の自動化を挙げる。自動化については、患者が来院する前に、スマホやタブレットで症状を入力してもらい、AIがその情報を整理して、医師がすぐに診察できるようにするような技術が用いられている。これを使用することによってAI問診で待ち時間を短縮することができる。早さと正確さ、安全性が必要な医療の分野にはかなり役に立っているのではないかと思った。</t>
  </si>
  <si>
    <t>事前準備でチンプンカンプンになってしまうことが多くありました。動画などもあればやりやすかったかもしれません。</t>
  </si>
  <si>
    <t>24238119@edu.cc.saga-u.ac.jp</t>
  </si>
  <si>
    <t>プログラミングとは人間がルールを明示的に記述することで、機械学習とは人間がルールを直接書かず、データから学習させることです。機械学習はルールが書けない問題が増え、データが豊富になったから必要になりました。プログラミングは明確なルールに基づく処理に適しており、機械学習は複雑で曖昧な問題に対して柔軟に対応できる手法です。機械学習の登場は、データの増加と技術の進化によって必然的に生まれたものであり、今後のソフトウェア開発においてますます重要な役割を果たすと考えられます。</t>
  </si>
  <si>
    <t>プログラミングと機械学習の違いについて、ソフトウェア開発の観点から説明してください。また、機械学習が登場した背景や必要性についても、画像認識などの具体例を交えて解説してください。</t>
  </si>
  <si>
    <t>医療業界の診断支援AI
医療業界では、診断支援や看護業務の効率化、事務作業の自動化など、幅広い場面でAIが活用されています。特に、画像診断支援AIは、CTやMRIなどの医療画像を解析し、疾患の早期発見をサポートする技術として注目されています。
使用されている技術として、ディープラーニング、自然言語処理、画像認識技術などが使用されています。
医療従事者の人手不足を補うため、診断の精度向上とヒューマンエラーの低減、業務効率化によるコスト削減などのために機械学習が使われました。</t>
  </si>
  <si>
    <t>医療業界における機械学習(AI)の活用事例を具体的に述べてください</t>
  </si>
  <si>
    <t>医療について興味があるので医療業界について調べました。</t>
  </si>
  <si>
    <t>生成AIの使い方などが学べてすごくためになりました。演習で理解することが難しかった。</t>
  </si>
  <si>
    <t>24238047@edu.cc.saga-u.ac.jp</t>
  </si>
  <si>
    <t>プログラミングは明示的なルール記述が必要であり、ルールを明確な処理が得意である。しかし、ルール変更にはコードの修正が必要な上、人間の設計に依存しているという柔軟性や制度に欠けてしまう。
それに比べ、機械学習は大量のデータから自らパターンや顔、音声による認証ができる。そのため、新しいモデルによる再学習、新たなデータを組み込めば柔軟に問題に対処できるという違いがある。
複雑過ぎて人間がルールを記述できない問題に対応するために登場したのが機械学習である。</t>
  </si>
  <si>
    <t>プログラミングと機械学習の違いについて、ソフトウェア実装の観点から説明してください。なぜ機械学習が必要とされるようになったのか、実現できることの違いなども含めて詳しく教えてください</t>
  </si>
  <si>
    <t>ユニクロでは需要の予測や在庫管理の最適化に機械学習が活用されている。データとして使用されているものはAIによる需要予約モデル、天候、トレンド、過去の販売データなどの多変量解析などがある。
膨大なデータをAIが分析することにより、どの商品が、いつ、どれだけ売れるかを予測している。そのおかげで在庫の最適化や機会損失の低減、サプライチェーン全体の効率化などの業績成果を上げている。
従来は人間の経験や勘に頼るような部分が多く、精度に限界があったため複雑な要因を同時に考慮した高精度な予測を可能とした機械学習をしようした。</t>
  </si>
  <si>
    <t>実世界での機械学習の活用事例を1つ紹介してください。企業や組織でどんな場面で使われていて、どんな技術が使われているのか、なぜ機械学習が選ばれたのかも含めて詳しく教えてください</t>
  </si>
  <si>
    <t>具体性・「なぜ」、「どうして」に注目してPromptを生成した。抽象的じゃなくAIができるだけわかりやすいように理由を掘り下げることや言葉選びに注目して文書を生成した。</t>
  </si>
  <si>
    <t>個人的に事前準備が難しかったです。
画像と文字だけでは理解することに苦労したので解説動画とかあるとありがたいです！！
とても２日間面白かったですありがとうございました！！</t>
  </si>
  <si>
    <t>24238074@edu.cc.saga-u.ac.jp</t>
  </si>
  <si>
    <t>プログラミングは「指示を人が書く」、機械学習は「コンピューターが自分で学ぶ」という違いがある。具体的には、どんな順番で何をするのかを教えるようにまるで料理のレシピを作るのがプログラミング、一方ヒトが全部のやり方を教えるのではなくたくさんのデータを見せてパターンを学ばせ、それをもとに予測や判断をするのが機械学習である。</t>
  </si>
  <si>
    <t>プログラミングと機械学習の違いを小学生でもわかるように400字程度で教えて。</t>
  </si>
  <si>
    <t>回答が難解な文にならないように「小学生でもわかるように」と具体的なわかりやすさを指定した。</t>
  </si>
  <si>
    <t>ゲーム業界において不正行為やチートの検出に機械学習が役立てられている。機械学習では、プレイヤーの行動データやパターンを大量に収集し、正常なプレイと異常なプレイを分類する技術が使われる。具体的には、プレイヤーの移動速度や攻撃頻度、操作のタイミングなどをモデルに学習させ、ありえない動きや操作を検出する。また、不正行為やチートは常に進化し、多様で複雑なパターンを持っており、ルールベースの単純な判定方法では新しいタイプの不正や巧妙な手法に対応しきれない。よって機械学習に大量のプレイデータから正常と不正の特徴を自動で学び多様なパターンを柔軟に識別し、未知の不正行為や変化するチートにも対応可能になる。</t>
  </si>
  <si>
    <t>機械学習がゲーム業界でどのように役立てられているかを300字程度で教えて
不正行為やチートの検出にはどのような技術がどんな使われ方をしている
それをするのになぜ機械学習が必要なの</t>
  </si>
  <si>
    <t>回答が長文にならないように字数指定をした。</t>
  </si>
  <si>
    <t>chatgptの上手な使い方を最初に教えていただきたかった。</t>
  </si>
  <si>
    <t>24238195@edu.cc.saga-u.ac.jp</t>
  </si>
  <si>
    <t>プログラミングは、人間がルールや手順を明確に書いてコンピュータに指示を出す方法で、予測や判断はしないが、機械学習は、コンピュータがデータからパターンを学び自分で判断できるようになる方法で新しいデータに対しても予測や分類ができるという特徴がある。また機械学習では、プログラミングと比べるとデータの準備、学習、評価などが必要で開発に長い時間がかかり、実行時間についてもプログラミングは処理は決められた手順に従うだけなので基本的に速いが、機械学習はモデルのサイズや複雑さによっては予測に時間がかかることもある。
生成AIを使用した際の工夫として、「初心者でも分かるように丁寧に説明してください。」とできるだけわかりやすい返答が返ってくるように工夫したことと、最初説明に自分で考えていた時間の違いについて書いていなかったため、自分の考えが間違っていないか確認の意味も込めて二つ目の質問を行った。生成AIの説明をただ写すだけではなく自分の考えも大事にした。</t>
  </si>
  <si>
    <t>ソフトウェアでの実装手段としてプログラミングと機械学習の違いについて初心者でも分かるように丁寧に説明してください。
プログラミングと機械学習で時間についての違いはありますか。</t>
  </si>
  <si>
    <t>AIが履歴書の応募者の経歴を分析し、適性の高い候補者を抽出する利用方法がある。その仕組みは、履歴書に記載されたテキストを解析し、構造化されたデータとして抽出し、求人票などに記載された要件と、履歴書の内容を照らし合わせて、マッチ度をスコア化し、過去に採用された人材の履歴書と照らし合わせて、成功パターンを学習し類似度の高い候補者を優先的に抽出するといったものであり、自然言語処理や構造化データへの変換、機械学習によるスコアリングなどの技術が使われている。</t>
  </si>
  <si>
    <t xml:space="preserve">実世界（社会や企業・組織など）での機械学習（AI）を利用している事例をいくつか挙げてください。
履歴書のスクリーニングについて詳しく教えてほしい
どんな技術が使われているのか分かりやすく丁寧に説明してください。
</t>
  </si>
  <si>
    <t>生成AIに自分の知りたいと思っている事例について正確に聞けるように、まず機械学習の利用例をいくつか挙げてもらい、その中から自分が知りたいと思っている事例を生成AIが挙げた言葉で聞くことで自分の知りたい内容について正確に知ろうとした。</t>
  </si>
  <si>
    <t>事前準備で少し手間取ったので、もっと画像で手順が分かるようなものがあるとスムーズに進むと思いました。</t>
  </si>
  <si>
    <t>24238221@edu.cc.saga-u.ac.jp</t>
  </si>
  <si>
    <t>動作の決定方法に違いがあります。プログラミング論の場合は、例として人間が2で割り0が出た場合偶数、0以外の場合奇数と表示するというルールを明示した場合、それ以外のことはできない。そのため例外や新しいことに関して非常に弱い特徴がある。
機械学習の場合、モデルがデータをみて自分で学ぶため、例として猫や像、ライオンの画像を学ばせて特徴を自動的に抽出することができる。このときそれぞれの画像のパターンによって見分けているためモデル自身がルールを作っている。</t>
  </si>
  <si>
    <t>プログラミングと機械学習の違いについて具体的な例を踏まえておしえて
動作の決定方法について詳しく具体的におしえて</t>
  </si>
  <si>
    <t>これからAIがものすごく発展して無料で今の能力以上にすごいAIが身近で使えるようになった場合、まだAIを補完的な役割として使うのか、また補完以外の役割を与えられる時代はくるのか。</t>
  </si>
  <si>
    <t>三菱UFJ銀行がAIを活用している。コールセンター業務や提案書の作成など人が大量に時間を使っていた定型業務にAIを導入して効率化を図っている。使われている技術として生成AI、ChatGPTを導入し、自然言語での文章作成や応答を自動化している。
どんな使われ方をしているのか、提案書の自動作成、顧客対応の文章作成支援に使われている。</t>
  </si>
  <si>
    <t>実世界 (社会や企業・組織など) での機械学習(AI)の利用状況1つを調査。どんな場面で、どんな技術が、どんな使われ方をしているのか? なぜ、機械学習を使ったのか? 情報を元を出して</t>
  </si>
  <si>
    <t>情報を元の提示、またこの情報はただしいのか同じことを他のAIに聞いた。</t>
  </si>
  <si>
    <t>AIを実際に使った講義が非常に面白かったです。実際にどう動いているのか演習をとおして少しですが分かったような気がします。また生成AIの講義は非常にためになりました。ありがとうございました。</t>
  </si>
  <si>
    <t>24238219@edu.cc.saga-u.ac.jp</t>
  </si>
  <si>
    <t>「プログラミング」と「機械学習」は目的や手法において大きく異なり、それぞれが得意とする分野が異なる。プログラミングとは、人間が明示的にルールや手順を記述することで、コンピュータに処理を実行させる手法であり、機械学習とは、コンピュータが大量のデータからパターンや規則を自動的に学習し、予測や分類を行う手法である。また、従来のプログラミングでは、複雑で曖昧な画像認識や音声認識に対応するのが困難だった。そのため、こうした課題を克服するために、「データからルールを導く」という機械学習が登場した。</t>
  </si>
  <si>
    <t>ソフトウェアでの実装手段として、プログラミングと機械学習の違いについての述べ、レポート提出のために要点を詳しくまとめてください</t>
  </si>
  <si>
    <t>都市部でのタクシー配車において、乗客がどこに現れるかを予測するために機械学習が活用されている。機械学習モデルを用いて、過去の乗車データ・天候・イベント情報・時間帯などのビッグデータを分析し、30分後の乗客の出現場所を予測する。その予測結果をもとに、タクシードライバーに「乗客が現れる可能性が高い場所」への移動を促すことで、乗車率を向上させる。これはDeNAの「MOV」などの配車アプリにも導入されている。今まではタクシードライバーの経験や勘に頼っていたが、機械学習により新人のドライバーでも高精度な予測が可能となり、業務の属人性を排除できる。また、乗車率の向上・待ち時間の短縮・売上増加など複数のメリットが得られるため、導入が進んでいる。</t>
  </si>
  <si>
    <t>実世界での機械学習の活用事例を教えてください。社会や企業などで、どんな場面で使われていて、どのような技術が使われているか、なぜ機械学習が選ばれたのかも含めて教えてください。</t>
  </si>
  <si>
    <t>「どんな場面」、「どのような技術」、「なぜ使われたか」という3つの点を明示することで、回答が実用的になるようにした。また、Promptの中で「教えてください」と依頼形にすることで、生成AIに丁寧で分かりやすい回答を返してくれるようにした。。</t>
  </si>
  <si>
    <t>専門的な知識を講義などで、ある程度身につけた状態で演習を行うことで、AIについて詳しく知らない人も話が飲み込みやすかったのではないかと思った。</t>
  </si>
  <si>
    <t>23238904@edu.cc.saga-u.ac.jp</t>
  </si>
  <si>
    <t>データとルール(プログラム)を入力することで答え(出力)が得られるプログラミングに対して、機械学習はデータと答え(正解)を入力することでルール(モデル)が得られるという違いがある。プログラミングは処理手順やルールが明確に定義できるタスクを得意とするのに対して、機械学習は人間がルールを記述できないほど複雑なパターンや将来の予測が必要なタスクを得意とする。機械学習という手法が出てきた理由として、従来のプログラミングでは解決が極めて困難または不可能な問題領域が出現したこと、そして、その問題を解決するための技術的・環境的な条件が整ったからである。</t>
  </si>
  <si>
    <t>プログラミングと機械学習の特徴
プログラミングと機械学習の実現できることの違い
なぜプログラミングでは解決が不可能なのか</t>
  </si>
  <si>
    <t>生成AIの回答に関連するPromptを入力することで会話をしながら知りたい内容を深堀りするようにした。</t>
  </si>
  <si>
    <t>ロボット掃除機に機械学習を搭載することで、カメラの画像データを深層学習モデルで処理し、障害物の種類を識別して「避けるべきもの」「乗り越えるべきもの」を判断している。また、SLAM技術により自分の現在地を推定すると同時に、部屋のマップをリアルタイムで構築・更新することが可能となる。これにより、ランダムに動くのではなく、作成したマップに基づいて効率的にで無駄のない清掃ルートを計画できる。ユーザー参加型の機械学習により回避したエリアを後でユーザーに通知し、ユーザーが「これは今後も避けるべきか」をフィードバックすることで、モデルの精度を継続的に向上させている。</t>
  </si>
  <si>
    <t xml:space="preserve">ロボット掃除機で機械学習が使われている場面
その時使われている技術は何か
その技術によってロボット掃除機で何ができるか
</t>
  </si>
  <si>
    <t>一斉に調べたい内容を入力するのではなくpromptを段階に分けて徐々に深堀していくように工夫した。</t>
  </si>
  <si>
    <t>事前準備の環境構築のやり方をパワーポイントで作った方が見やすいと思った。</t>
  </si>
  <si>
    <t>24238206@edu.cc.saga-u.ac.jp</t>
  </si>
  <si>
    <t>プログラミングでは，人がルールを明示的に提示するものである．そのため，正確であり，再現性のある処理を作ることができる．しかし，そこに書いていること以外のことをコンピュータはしてくれない．また，ルールが複雑だと明示的にすることが困難である．
一方，機械学習では，大量のデータからコンピュータが自動でルールを学習するものである．これにより，明確なルールがなくても経験から不確実性を含む認識や予測を可能とする．しかし，学習に大量のデータが必要であり，そのデータがないと実現しない．また，プログラミングに比べて正確性・再現性に大きく劣る．</t>
  </si>
  <si>
    <t>パナソニック コネクトは、全社員を対象に生成AIを活用した社内アシスタント「ConnectAI」を導入し、業務効率化とAIリテラシー向上を推進している。本システムはOpenAIやGoogle等の大規模言語モデルを基盤とし、社内情報を参照した応答、プロンプトの最適化支援、ドキュメントや画像を含む入力への対応など、多様な機能を備えている。当初は情報検索や質問応答が中心であったが、次第に業務タスクの自動化へと利用が拡大した。特にプログラミング領域においては、コード生成やリファクタリング、設計段階の調査補助などに活用され、従来3時間を要していた作業が5分に短縮される事例も報告されている。導入初年度には約18.6万時間の労働削減が達成され、その後は年間44.8万時間の削減へと拡大している。また、プログラミング未経験者によるPython活用も可能となり、専門性に依存しない形で業務改善が実現している点が特筆される。</t>
  </si>
  <si>
    <t>近年，プログラミングにおいてAIを補助として扱っている企業があります．実際に日本の企業で，どんな場面で，どんな技術が，どんな使われ方をしているのか，具体例を２つ教えてください．最後に，それぞれを400字程度で大学レポート提出用にまとめてください．</t>
  </si>
  <si>
    <t>おおまかな実世界での利用状況を提示して，その後に欲しい情報を示した．具体例を2つ挙げてもらうことでより欲しい情報に近いものを選別し，大学レポート用に指定文字数でまとめてもらった．</t>
  </si>
  <si>
    <t>非常に為になる講義でした．</t>
  </si>
  <si>
    <t>24238393@edu.cc.saga-u.ac.jp</t>
  </si>
  <si>
    <t>①実装方法　ルールの作り方という点では、プログラミングは人間が指示を明示的にかくことに対し、機械学習ではたくさんのデータから自動で学ぶことがあげられる。
②得意なこと　プログラミングは、計算、在庫管理、などの明確な手順がある処理に適しており、機械学習は、画像認識や翻訳などの曖昧な判断が必要な処理に適している。
③性能　性能の変化という点では、プログラミングは同じ入力をすれば同じ出力をし、結果が安定しているが、機械学習は学習したモデルによって精度が変わり、性能が良くなることも悪くなることもある。
④柔軟性　プログラミングは人間が明示的に指示を書かなければいけないため、ルールが膨大で、書き出すことが困難なものにはあまり役に立たないが、機械学習は自動でコンピューターが学んでいくため、人間が解決困難な複雑な問題も解決することができる。
⑤改良の仕方　プログラミングは、人間がコードを修正することによって改良できるが、機械学習は、新しいデータを与え、再学習させることで改良することができる。
機械学習が必要になった背景として、上記のように人間が解くことができない複雑な問題を解くためや、インターネットが発達し、データが爆発的に増えたためである。</t>
  </si>
  <si>
    <t>今大学の授業で、AIについて学んでいます。初心者にも分かるように質問に答えてください。専門用語を使用しても良いですが、その言葉について説明を必ず入れてください。ソフトウェアでの実装手段として、プログラミングと機械学習の違いについて、5つの観点で教えてください。 また、なぜ機械学習という手法が出てきたのか、教えてください。</t>
  </si>
  <si>
    <t>銀行での「不正利用検知システム」
どんな場面？→クレジットカードなどが不正利用されている時にそれを見つける場面
どんな技術？→機械学習
どんな使われ方？→過去の正常な取引データや不正な取引データをたくさん学習させ、新たな取引が発生した時、即座に正常な取引か不正な取引かを判断する。
なぜ機械学習を使うか？→不正利用の手口は常に変化しており、プログラミングのような人間が指示する単純な指示では対応できないから。</t>
  </si>
  <si>
    <t>今大学の授業で、AIについて学んでいます。初心者にも分かるように質問に答えてください。 専門用語を使用しても良いですが、その言葉について説明を必ず入れてください。AIを学ぶ上で「従来の実世界 (社会や企業・組織など) での機械学習(AI)の利用状況1つ教えてください。 それはどんな場面で、どんな技術が、どんな使われ方をしているのか、なぜ、機械学習を使ったのかも合わせて教えてください。</t>
  </si>
  <si>
    <t>専門用語を逐一説明させ、理解しやすい文を出力するように指示した点。数字をつかって指示するなど、具体的に指示した点。自分が置かれている状況を具体的に説明し、分かりやすい説明を質力するように工夫した点。</t>
  </si>
  <si>
    <t>アナコンダの設定が難しかった。</t>
  </si>
  <si>
    <t>24238220@edu.cc.saga-u.ac.jp</t>
  </si>
  <si>
    <t>従来のプログラミングでは人間がルールを書くので、その人の知識がシステムの限界になっていた。しかし、機械学習では、人間が大量のデータを与えることで機械がパターンやルールを自動的に見つけるので、人間が気づかないものも見つけられるようになった。このようにして、従来の手法では対応が難しい問題の解決のために機械学習という手段が出てきた。</t>
  </si>
  <si>
    <t>過学習とはどんな状態のことですか。なぜDropoutで過学習が防止できるのですか。</t>
  </si>
  <si>
    <t xml:space="preserve">製造業の不良品検知における機械学習の活用。
場面：良品と不良品を自動で判別する工程
技術：教師あり学習、画像認識モデル、異常検知アルゴリズム
機械学習を用いた理由：人間の検出漏れやばらつきがあり高精度な欠陥検出が必要だった。検査員の人材育成が難しく、その人件費を削減するため。
</t>
  </si>
  <si>
    <t>実世界 (社会や企業・組織など) での機械学習(AI)の利用状況1つをあげてください。どんな場面で、どんな技術が、どんな使われ方をしているのかを調べ、従来の問題をどう解決しているかを述べてください。</t>
  </si>
  <si>
    <t>機械学習によって、どんな問題を解決できたかを具体的に述べるように指示しました。</t>
  </si>
  <si>
    <t>機械学習の学習のプログラムの概要を理解するのが難しかった。copilotに質問しても何をしているか理解するのにかなり時間がかかった。</t>
  </si>
  <si>
    <t>24238400@edu.cc.saga-u.ac.jp</t>
  </si>
  <si>
    <t>プログラミングは人間が問題解決の手段を明示的に記述しており、ルールや処理の内容は人間が設計しデータ量やルールが複雑になると対応が難しくなるが、機械学習は人間が明確なルールを書くのではなく、大量のデータをもとにモデルがパターンを学習しておりルールはデータから自動生成されデータが多いほどに性能が向上する。
機械学習という手法が出てきた理由として音声認識や画像認識などの人間が容易にルール化が困難な問題が増加し、インターネットやloTの普及によって大量のデータを効率的に利用する必要性が高まってプログラミングでは対応が難しい問題が増えたためである。
実現できることの違いとしてプログラミングは電卓や住所検索などのルールが定まり小規模で単純なパターンでしか問題解決を実現できなく、機械学習は顔認識や音声アシスタントなどのルールが定まっておらず曖昧で複雑なパターン認識が可能で大規模な場面での問題解決が可能である。</t>
  </si>
  <si>
    <t>自分は情報に精通するもので次のことについてレポートを書きます。プログラミングと機械学習の違いについての述べてください。なぜ機械学習という手法が出てきたのか? 実現できる事の違いなどの詳しい内容をたくさん例を出して詳細にまとめてほしい</t>
  </si>
  <si>
    <t>カスタマーサポートにおける機械学習の利用は「自動化」と「オペレーター支援」の2つで急速に進展しており、フロント業務やオペレーターを支えるバックオフィス業務の両方で機械学習が活用されている。フロント業務では問い合わせや電話受付で自然言語処理や音声認識の技術がチャットボットによる24時間自動応答特に生成AIは複雑な質問への柔軟な対話を可能としており、電話受付では適切なオペレーターに自動転送に利用されている。
バックオフィス業務では品質管理や分析で感情解析AIが利用され、クレームの予兆の予知や応対品質の評価などに活用されている。
機械学習の導入は、従来の顧客対応が抱えていた「対応品質のばらつき」「人件費と人手不足」「顧客の待ち時間」という3つの主要な課題を解決するために採用された。</t>
  </si>
  <si>
    <t>社会や企業・組織などでの機械学習(AI)の利用状況をいくつか挙げ、どんな場面で、どんな技術が、どんな使われ方をしているのか? なぜ、機械学習を使ったのか?を詳しくまとめて
カスタマーサポートの機械学習(AI)の利用状況をもっと詳しくまとめ従来との違いを含めてまとめて</t>
  </si>
  <si>
    <t>いくつかの例を出せるようにしその中でよいものを詳しく使われていなかった時代との変化を詳しくまとめさせた。</t>
  </si>
  <si>
    <t>初めてする内容で理解するのに時間がかかった。またオンラインだったため教授の話が分からなかった場合に質問するのが困難だと考える。</t>
  </si>
  <si>
    <t>24238245@edu.cc.saga-u.ac.jp</t>
  </si>
  <si>
    <t>プログラミングは人間がルールを具体的に表現できる問題に対して行われるコンピュータに対する命令のことである。
一方で、機械学習は人間がルールを表現できない問題に対して使われる手法であり、コンピュータが判断するために大量の画像・データからルールの傾向を考察し自動的に判断する。
機械学習が生まれたのは手作業でルール化できない問題のためである。</t>
  </si>
  <si>
    <t>ソフトウェアでの実装手段として、プログラミングと機械学習の違いについて述べてください。語彙力のレベルは高校生程度で。例えば、なぜ機械学習という手法が出てきたのか? 実現できる事の違い、などを具体的に。</t>
  </si>
  <si>
    <t>機械学習をするにおいて、世の中には様々なAIが存在しそれぞれに得手不得手があると考えられているが、大きな違いがあると思えないことが多い。この考え方は正しいのか。</t>
  </si>
  <si>
    <t>私が機械学習について1度だけ調査したことがあるのだが、通販業界の顧客のサービス対応で使われていることを耳にしたことがある。人間の24時間対応には限界があるので、分類されやすい対応にはAIを用いて質問に対応している。</t>
  </si>
  <si>
    <t>語彙力を下げて読みやすくしたり、専門用語の解説をして理解力を高めている</t>
  </si>
  <si>
    <t>私はWindowsでユーザ名を全角にしてしまったばっかりに、コーその実行において時間がかかってしまった。そういった方のために何かしらの工夫をしてほしいです。今回は班活動だったためそこまで影響はしなかったのですが。</t>
  </si>
  <si>
    <t>24238344@edu.cc.saga-u.ac.jp</t>
  </si>
  <si>
    <t>プログラミングは、エンジニアが手順やロジックをコードで記述してコンピューターに実行させるのに対して機械学習は大量のデータと正解の出力をコンピューターに与えることでパターンや規則性を自動的に見つけ出させる。機械学習の例では、識別•認識、予測•レコメンデーション、自動化•最適化など人間がルールを明示的に記述できないものである。プログラミングの例では、インターネット•Webサービス、社会インフラ•業務システム、デバイス•ハードウェアなど明確で変わらないものである。</t>
  </si>
  <si>
    <t>機械学習とプログラミングの違い
機械学習が使われる場所
プログラミングが使われる場所</t>
  </si>
  <si>
    <t>機械学習は、識別•認識、予測•レコメンデーション、自動化•最適化など人間がルールを明示的に記述できないものであるので、そういった例として飲食店•レストランでAIレセプションという技術を予約電話に自動で対応し、従業員の負担を減らしている。</t>
  </si>
  <si>
    <t>機械学習が使われている店の例
店で使われることによる不具合が発生した場合</t>
  </si>
  <si>
    <t>機械学習を使うことによる原因と結果と予測</t>
  </si>
  <si>
    <t>私は一日目の演習のプログラミングのコードの読み取りが難しくプロセスを理解するのに時間がかかった。ディープラーニングで数多のデータを保存する保管場所が気になった。</t>
  </si>
  <si>
    <t>24238497@edu.cc.saga-u.ac.jp</t>
  </si>
  <si>
    <t>プログラミングは人間がルールやロジックを明確にし、必然性からアルゴリズムを定義するため決まった処理や条件分岐に強みがある。それに対して機械学習は多くのデータからパターンを学習しアルゴリズムを定義するため未知の状況にも対応できる柔軟性を持つがルールは曖昧である。プログラミングでは基準が曖昧なときに明確なルールを作るのが難しいため大量のデータから規則性などを得られる機械学習という手法が出てきた。そのためプログラミングはルールが明確な場合に用いられ、機械学習は画像認識や音声認識など、人がルールを定義しにくい場合に用いられる。</t>
  </si>
  <si>
    <t>株式会社イトーヨーカ堂は全国132店舗にAI発注支援システムを導入し約8,000品目を対象に、AIが販売予測数を算出し、AIの提案をもとに店舗担当者が発注している。従来の人による発注作業での欠品や過剰在庫を防止するため、気象や曜日、客数、陳列状況などの多変量データ解析、機械学習による需要予測モデルを用いて高精度な予測が可能な機械学習を導入した。
機械学習を導入したことにより発注時間の削減、欠品や過剰在庫の減少による収益改善が見られた。</t>
  </si>
  <si>
    <t>24238412@edu.cc.saga-u.ac.jp</t>
  </si>
  <si>
    <t>ソフトウェアでの実装手段として、プログラミングと機械学習の違いについて、ルールの作り方、必要なもの、向いている問題などが挙げられる。
まず、プログラミングは人間がすべてのルールや手順を決めコードにし、明確なルールや手順や条件などの知識が必要で、手順が決まっている処理（計算・制御・業務処理）が向いている。
一方で、機械学習はコンピューターがデータからルール（パターン）を学習し、多くのデータと学習のアルゴリズムが必要で、パターン認識・予測・分類（画像、音声、推薦など）が向いている。
このように、プログラミングと機械学習は多くの違いがある。この違いからメリット、デメリットを理解してうまく使い分けることが大切だと考える。</t>
  </si>
  <si>
    <t>ソフトウェアでの実装手段として、プログラミングと機械学習の違いについて知らない人でもわかるように詳しく論理的に表で示して。</t>
  </si>
  <si>
    <t>プログラミングや機械学習について全く知らない人でも理解できるように「知らない人でも理解できるように」といれて初歩的なとこから詳しく説明がもらえるように工夫した</t>
  </si>
  <si>
    <t>実世界 (社会や企業・組織など) での機械学習(AI)の利用状況について、金融機関における不正取引／不正送金検知（日本、NICT 等の取組）がある。情報通信研究機構（NICT）が発表した「DeepProtect」を使った実証実験で銀行等の金融機関で、「不正送金」や「マネーロンダリング」「特殊詐欺」「不正口座」の検出や取引データをモニタリングし、疑わしい取引を自動的に抽出するために使われる。この実験では、連合学習（Federated Learning）＋ プライバシー保護技術、暗号化を伴うデータのやり取り・勾配（モデルパラメータの更新情報）の暗号化、異なる銀行・異なるデータのばらつきを補いながら精度向上を図るアンサンブル学習といった技術が使われている。これらの技術は既存の監視・調査プロセスを補強する形で使われている。そして、犯罪者が新しい手口を使ったり、パターンが多種多様であったりすると、見逃されることが多い不正取引で大量の過去取引データからパターンを学び、未知・変化する不正を検知できる可能性が高い機械学習を使っている。</t>
  </si>
  <si>
    <t>社会や企業・組織などでの機械学習(AI)の利用状況1つを参考資料といっしょに「どんな場面で、どんな技術が、どんな使われ方をしているのか 、なぜ機械学習を使ったのか」の4点について示して。</t>
  </si>
  <si>
    <t>Webで調べる必要があるものであるから参考資料を提示させることで実際にあったことか確認できるように工夫した。</t>
  </si>
  <si>
    <t>1日目の演習の時、コードの内容を理解しグループ内で説明するという内容だったが、先生からの解説がなく完全に理解が及ばなかった。</t>
  </si>
  <si>
    <t>24238233@edu.cc.saga-u.ac.jp</t>
  </si>
  <si>
    <t>プログラミングは人間が明示的にルールや手順を記述して、コンピュータに処理を実行させる方法である。機械学習は莫大な量のデータから規則性やルールをコンピュータ自身が学習し、予測や分類を行う方法。
機械学習の法がプログラミングよりも後に登場し、その背景には、プログラミングでの対応が困難な課題が増えてきたことが大きく関係している。プログラミングには、複雑なパターン認識や大量のデータ処理、人間の判断の再現ができない。</t>
  </si>
  <si>
    <t>・ソフトウェアでの実装手段として、プログラミングと機械学習の違いについての述べてください。
・プログラミングと機械学習はどちらが先にできましたか
・プログラミングの後に機械学習が登場したと思うんだけど、登場した背景にはプログラミングで賄えないような課題とか問題ができたのか</t>
  </si>
  <si>
    <t xml:space="preserve">    製造ラインでは、ディープラーニングを用いた画像認識技術が利用されている。具体的には、AIが大量の部品画像を学習し、鏡の破損といった不良を自動で検査・判別している。
    この技術を導入した理由は、人間による目視検査の代替により、検査精度を向上させるとともに、人件費の削減や生産性向上といった業務効率化を実現するため。</t>
  </si>
  <si>
    <t>・社会で機械学習の活用状況をあげて欲しい
・製造ラインで機械学習が用いられているが、なぜ必要になったのか、また、どーいった場面で活躍しているのか</t>
  </si>
  <si>
    <t>・具体例を一つ目の質問で挙げさせ、具体例の中から興味のある内容についての詳細を質問した
・質問する際は、ただ単純になぜ？ではなく、「〜だと思うんだけど、どーしてそーなの？」みたいな感じで問いかけていた</t>
  </si>
  <si>
    <t>24238199@edu.cc.saga-u.ac.jp</t>
  </si>
  <si>
    <t xml:space="preserve">ソフトウェア開発の世界では、「プログラミング」と「機械学習」はどちらも重要な手段であるが、その考え方やアプローチは大きく異なる。
プログラミングは人間がルールを明示的に記述しするため、明確な手順がある処理の場面に向いているのに対し、機械学習は、データからルールを自動で学習するため、複雑・曖昧な問題、パターン検出などの場面に向いている。
迷惑メールフィルターの例でプログラミングと機械学習の違いを見ると、
プログラミングでは、開発者が「○○という単語が含まれていたらスパム」といった条件を手動で設定を行うため、新しい表現や微妙な言い回しには対応しづらく、柔軟性に欠ける。
しかし、機械学習では、 「スパム」「スパムでない」とラベル付けされた大量のメールを使って学習することにより、モデルは迷惑メールに共通する特徴を自動で抽出し、未知のメールでも確率的にスパムかどうかを判断を行うことができる。
</t>
  </si>
  <si>
    <t>ChatGPT</t>
  </si>
  <si>
    <t>ソフトウェアでの実装手段として、プログラミングと機械学習の違いについて身近なものを例に挙げながら中学生にもわかるように教えてください。</t>
  </si>
  <si>
    <t>クレジットカードの利用において、機械学習は不正検知の分野で重要な役割を果たしている。特に、カード情報が盗まれて異常な取引が行われた際に、それをリアルタイムで検知し、被害を未然に防ぐためのシステムに利用されている。
このような不正検知には、主に「教師あり学習」や「異常検知」といった技術が使用される。教師あり学習では、過去の正常な取引と不正な取引のデータをもとにモデルを学習させ、不正の特徴を抽出する。また、異常検知では、通常の取引パターンから大きく外れた取引を検出することで、未知の不正にも対応することが可能となっている。
さらに、機械学習モデルの精度を高めるために、「特徴量エンジニアリング」が行われる。これは、利用時間、金額、取引場所、頻度、デバイス情報など、取引に関するさまざまな要素を分析し、モデルにとって有用な情報として取り込む技術である。
運用面では、取引データをリアルタイムで分析し、不正の可能性が高い取引に自動で警告を出す。高リスクと判断された場合には、取引がブロックされたり、カード所有者に確認の連絡が入ることもある。
機械学習が不正検知に適している理由は、不正の手口が非常に複雑かつ多様であり、従来のルールベースのシステムでは対応しきれないためである。機械学習は、大量の取引データから微妙なパターンや相関関係を自動で抽出し、高い精度で不正を検知することができる。また、時間とともに進化する不正の手法にも柔軟に対応できるため、リアルタイム処理が求められる場面において非常に有効である。</t>
  </si>
  <si>
    <t>身近な例を複数挙げるようにした</t>
  </si>
  <si>
    <t>機械学習を学ぶことが将来的に非常に重要であることを理解することができた。
ChatGPTのコードの説明が分かりやすかった。</t>
  </si>
  <si>
    <t>24238037@edu.cc.saga-u.ac.jp</t>
  </si>
  <si>
    <t>　プログラミンは、人間がルールを決めて、それをコンピュータに教える方法である。例えば、電卓アプリでは「足し算はA+B」というように、すべての動作が人間によって決まられている。逆に機械学習は、コンピュータが自分でルールを学ぶ方法であり、人間がルールを明示的に教えるのではなく、コンピュータ自身が特徴をつかんで関係性を見つけ出すことができる。
　また、機械学習が必要になった理由は主に2つある。1つ目は、ルールが複雑すぎる場合、画像認識や音声に認識など、人間がルールを明解に定義するのが難し問題に対して、機械学習は有効であること。2つ目はルールが変化する場合、スパムメールのように、ルールが頻繁に変わる問題では、機械学習によって新しいデータを学習し続けることで対応が可能となることがあげられる。
　さらに、実現できる事の違いとしては、プログラミングは明確な処理が向いていて、機械学習はあいまいな判断が向いていることがあげられる。
　最後に、プログラミングと機械学習は、どちらもソフトウェアを作るための手段であるが、アプローチが異なる。違いとしては、人間がルールを定義するプログラミングに対し、機械学習はデータからルールを学ぶことで、より柔軟で複雑な問題に対応できるところである。このことから、今後の技術発展において、両者を適切に使い分けることが重要である。</t>
  </si>
  <si>
    <t>ソフトウェアでの実装手段にとして、プログラミングと機械学習の違いについて誰でもわかるように述べて。例えば、なぜ機械学習という手法が出てきたのか？や実際にできることの違いなど。また例を用いれるとこらは分かりやすいように例を出して述べてほしい。</t>
  </si>
  <si>
    <t>〈ユニクロにおける機械学習の活用事例〉
　ユニクロ（株式会社ファーストリテイリング）は、商品の 需要予測と在庫管理 に機械学習を活用している。これは、店舗やオンラインショップで「どの商品が、いつ、どれくらい売れるか」を予測するための技術である。
　使用されている技術としては、Googleと共同で開発した AI需要予測システム を導入している。このシステムは、天候（気温、降水量など）やトレンド情報（SNSや検索データなど）、地域ごとの購買傾向などのデータを機械学習モデルに取り込んでいる。これらのデータをもとに、AIが「どの商品がどれだけ売れるか」を予測している。また、どんな使われ方をしているのかについては、AIが予測した販売数に基づいて、ユニクロは商品の発注量の調整や店舗ごとの在庫配分などの業務を最適化している。さらに、機械学習を使った理由としては、人の勘や経験に頼った予測では限界があり、過去の販売データだけでは、天候やトレンドの変化に対応できない点や、在庫の過不足が経営に大きな影響を与える点などがあげられる。
　最後に、ユニクロの事例は、機械学習が「現場の判断を支援し、業務を効率化する」強力なツールであることを示している。これはAIは単なる未来の技術ではなく、すでに多くの企業で実用化されており、ビジネスの成果に直結していることを示している。</t>
  </si>
  <si>
    <t>実世界 (社会や企業・組織など) での機械学習(AI)の利用状況1つを調査しなきゃいけないくてそれをレポートにしないといけない。どんな場面で、どんな技術が、どんな使われ方をしているのか? なぜ、機械学習を使ったのか?を用いてだれでもわかるように書いてほしい。</t>
  </si>
  <si>
    <t>Promptの作成に当たって工夫した点は、専門用語を極力減らした誰でも理解しやすいレポートにするために、Promptの作成時に"誰にでもわかるように"と加えたり、例を出すよう促したことです。</t>
  </si>
  <si>
    <t>24238039@edu.cc.saga-u.ac.jp</t>
  </si>
  <si>
    <t>プログラミングでは、人間がルールを決めて、あらかじめ入力に対しての出力を決めている。それに対して機械学習で人間がルールを定義するのではなく、入力したデータからルールを学習し、アルゴリズムがパターンを見つけ、予測モデルを構築する。</t>
  </si>
  <si>
    <t>プログラミングと機械学習のアプローチの違いを具体的かつ明瞭かつ丁寧に説明してください。</t>
  </si>
  <si>
    <t>楽天や、LINEなどの企業でのカスタマーサービスにおけるチャットボッとの導入。
顧客からの問い合わせの対応を効率化、24時間対応可など、利便性の向上に使われている。</t>
  </si>
  <si>
    <t>実世界 (社会や企業・組織など) での機械学習(AI)の利用状況1つ具体例をまじえてわかりやすく教えて</t>
  </si>
  <si>
    <t>今回の講義であったように、自分の知りたい、調べたいことが生成AIに伝わっていないと感じることが多かった。なので自分が知りたいことを調べる前になるべく言語化して、伝えることを意識した。</t>
  </si>
  <si>
    <t>24238280@edu.cc.saga-u.ac.jp</t>
  </si>
  <si>
    <t>　プログラミングは演繹的であり、機械学習は帰納的である。つまり、プログラミングは根拠が明確で、必然性からアルゴリズムを定義する（演繹的）が、機械学習は多くの事柄からアルゴリズムを定義する（帰納的）。プログラミングは人がルールを明示的に記述し、機械学習はデータからルールを自動的に学習する。よって、実現できることの違いとして、電卓のような計算、顔認識、自然言語の翻訳などが例として挙げられる。プログラミングでは明確なルールで処理できる電卓のような計算、機械学習ではルール化が難しい顔認識や自然言語の翻訳が適している。
　機械学習は人間の特性のうち、苦手な部分、限界のある部分を補うために生まれた技術である。人間や機械の特性、限界が明らかになったことで、人間の強みを生かしつつ、弱みを補い、人間と機械が協同してより高度な問題解決を目指す技術である。機械学習が補う人間の特性として、大量の情報処理能力、明確なルール化、経験や感情、潜入観に影響をされやすい、疲労や集中力の低下、微細なパターンの発見能力などがある。機械学習は、大量の情報処理能力に対しては、並列処理と高速演算、統計的手法により短時間で処理して補う。明確なルール化に対しては、教師あり学習で入力と出力を大量に与え、ルールを自動的に学習することで補う。経験や感情、先入観に影響されやすい特性に対しては客観的なデータに基づいて、統計的に最適な判断を行うことで補う。疲労や集中力の低下については、24時間稼働可能で、一度学習したモデルは同じ精度で繰り返し処理がきるという特性で補う。微細なパターンの発見能力に対しては、特徴量抽出や次元削減、異常検知、予測モデルなどを使い補う。このように機械学習は人間の苦手な特性を補いながら、機械学習の得意な特性を組みあわせて、より効率的に高度な問題解決を可能にし、大量データの処理やパターン認識において力を発揮している。
また、機械学習は時代の変化や技術の進化によって生まれた技術である。スマホやインターネットの普及による情報社会の進展によって膨大なデータが日々生成されるようになり、それを人間の能力では処理しきれなくなったという時代の変化に伴い、またコンピューターの処理能力やアルゴリズムの進化という技術の進化によって生まれた。このような進化の中で、明確なルールでは対応できない複雑な問題を、データから自動的に学習して解決する技術が求められた結果機械学習が登場した。</t>
  </si>
  <si>
    <t>ソフトウェアでの実装手段として、プログラミングと機械学習の違いについて述べてください。例えば、なぜ機械学習という手法が出てきたのかについて、人の特性、時代の変化によって求められることと関連づけて答えてください。 また、実現できる事の違いについて、人の特性、機械の特性と関連づけて答えてください。また、演繹的か帰納的かについて教えて。
人間の特性と限界について詳しく教えて。
機械学習は人間のどんな特性を補うためにつくられたのか。
機械学習が補う人間の特性として、大量の情報処理能力、明確なルール化、経験や感情、潜入観に影響をされやすい、疲労や集中力の低下、微細なパターンの発見能力などがあるが、どのように機械学習は補うのか。
機械学習とプログラミングは実現できることの違いとして、何が例として挙げられるが、簡潔に文章で説明して。
機械学習はどのような時代の変化や技術の進化によって何が求められた結果、生まれた技術であるか、簡潔に文章で説明して。</t>
  </si>
  <si>
    <t>精度の高いアウトプットを得るために５ターンほど会話するように心がけた。複数の案を指定することで比較、検討がしやすいようにした。生成AIの理解できる文章を入力した。</t>
  </si>
  <si>
    <t>医療分野における機械学習の活用事例として、病院の医療文書作成支援が挙げられる。医師や看護師が作成する診療情報提供書、退院サマリ、診断書、看護添書などの医療文書の作成業務を行う中で、ユビー生成AIという自然言語処理技術を活用したAIツールを用いている。ユビー生成AIとは、医療機関向けに最適化された生成型人工知能（AI）サービスで、医師や看護師など医療従事者の業務効率化を目的に開発された技術である。ユビー生成AIは文章生成・要約、音声認識、画像認識、高精度検索などの機能を提供している。この技術によって医師の文書作成時間を月30時間以上削減でき、看護添書の作成時間も従来の20〜30分から10分程度に短縮でき、また業務効率化により、医療従事者が患者ケアに集中できる環境を実現することができている。医師の働き方改革により、残業時間の制限が課題となり、人手による処理では限界があったため、機械学習を必要とした。</t>
  </si>
  <si>
    <t>実世界 (社会や企業・組織など) での機械学習(AI)の利用状況1つを調査。どんな場面で、どんな技術が、どんな使われ方をしているのか? なぜ、機械学習を使ったのか?
医療の分野で事例を一つ教えて。
ユビー生成AIとは簡潔に文章で説明して。</t>
  </si>
  <si>
    <t>目的を明確にすることで、説明不足によって生成AIが状況を理解できていないまま、想像に頼ってしまわないようにした。AIが状況を正しく理解するために、曖昧な表現を避け、参考にするファイルや文章を明確に指示した。
精度の高いアウトプットを得るために５ターンほど会話するように心がけた。複数の案を指定することで比較、検討がしやすいようにした。生成AIの理解できる文章を入力した。何を入力すれば期待通りに動くのかを考えながら、短文で入力した。</t>
  </si>
  <si>
    <t>環境構築が完了したと思っていたが、Jupyter Notebookの演習中に一部の機能が動作せず、環境構築で必要なパッケージや設定がインストールされていなかったことが後から分かった。事前準備の環境構築では、必要なパッケージを再度確認し、漏れがないように気をつける必要があると思った。</t>
  </si>
  <si>
    <t>24238454@edu.cc.saga-u.ac.jp</t>
  </si>
  <si>
    <t>プログラミングは人がルールや手順をコードとして書くことで、計算や条件分岐が明確な問題などが得意である。機械学習は大量のデータを与えてコンピュータ自身にルールを見つけさせるので、プログラミングでは難しい顔認証や音声認識などの複雑な問題が得意である。</t>
  </si>
  <si>
    <t>プログラミングと機械学習とでのできることの違い、得意なことを教えて</t>
  </si>
  <si>
    <t>がん治療や難病の診断で「患者ごとに最適な治療法」を選ぶという場面で、機械学習によるデータ解析という技術が遺伝子配列や検査データからどの薬が効きやすいかを予測、副作用リスクを事前に判断して、個人に合わせた治療に使われている。遺伝子情報は膨大でかつ複雑で、人間がルールを手書きで定義するの不可能に近いということや、ビッグデータからパターンを自動で見つける必要があるということから機械学習を使っている。</t>
  </si>
  <si>
    <t>医療現場ではどんな場面で、どんな技術がどんな使われ方をしていますか。またなぜ機械学習を使ったのですか</t>
  </si>
  <si>
    <t>配布された資料だけではworkというファイルを作ってそれをローカルディスクに入れることが友達に教えてもらうまでわからなかった。</t>
  </si>
  <si>
    <t>24238125@edu.cc.saga-u.ac.jp</t>
  </si>
  <si>
    <t>プログラミングは人間がルールを考え、それをコードとして書く方法で、明確な手順やルールが必要であり、機械学習はコンピュータにデータを与えてそこからコンピュータがルールを見つける方法で、データと正解ラベルが必要である。そのため、計算、データのフォーマット変換などルールがはっきりしている処理はプログラミング、顔認識、音声認識、スパム判定などルールが曖昧な処理は機械学習が適している。機械学習は、すべて人間がルールを明示的に書く必要のある従来のプログラミングでは難しい処理を行うために出てきた手法で、従来のプログラミングとは対立ではなく補完しあう関係である。</t>
  </si>
  <si>
    <t>ソフトウェアでの実装手段として、プログラミングと機械学習の違い
取り掛かりとして、質問の意図を理解するところから始めた</t>
  </si>
  <si>
    <t>日本の小児医療におけるAI技術導入例を挙げると、小児白血病診断支援システムは、骨髄塗抹標本検査において目視では見逃す細胞の特徴も捉えて、白血病の診断や治療反応性の評価を支援する。これは診断の精度を上げ、再発率を減らしたり治療の最適化を図ることが目的とされている。このように『小児科』誌に「AIによる診断支援システム」の論文があり、小児科領域でAIシステムが多岐にわたり開発・活用されつつあること、希少・難病診断支援でも有用性が高いと述べられている。これは、医療経験の浅い医師でも診断精度を高めたり、知見の共有、診断学的な学習ツールとしての価値もある。これには、塗抹標本（骨髄のスライド）画像や、顔など身体的特徴を撮影した画像をAIに分析させる画像処理や、医師が得る発熱、発疹、血液検査結果、家族歴などの情報入力して病気の候補を推定する、患者数が少ない病気においてAIで過去例データを学習して石が診断候補を思いつかないものも提示できる希少疾患診断補助などが活用されている。なぜこれらが使われているのかというと、診断の早期化・精度向上、治療方針の最適化と晩期合併症の軽減、医療資源・医師の負担の軽減などが期待できるためである。</t>
  </si>
  <si>
    <t>「実世界 (社会や企業・組織など) での機械学習(AI)の利用状況1つを調査。どんな場面で、どんな技術が、どんな使われ方をしているのか? なぜ、機械学習を使ったのか?」
良ければその事例を紹介しているサイトのリンクも教えてくれると非常に助かります</t>
  </si>
  <si>
    <t>回答をより詳しく知るため、また情報の精度を少しでも上げるために情報源となったサイトも併せて表示されるようにした。</t>
  </si>
  <si>
    <t>説明だけでなく実際に生成AIを動かして体験することで、どのように動くのか、またどんな場面で活用できるのかが分かりやすかったです。今まではプログラミングやAIは避けがちでしたがこれからは積極的に活用してみようと思います。ただ、プログラミング言語などの予備知識がないままコードを基に考察するのは大変難しく、課題になかなか手が付けられなかったので、事前に基本的なプログラミング言語を予習する時間を設けていただけるとより考察に時間が割けるなと思いました。二日間ありがとうございました。</t>
  </si>
  <si>
    <t>24238297@edu.cc.saga-u.ac.jp</t>
  </si>
  <si>
    <t>プログラミングと機械学習の最大の違いは開発するプログラムに対してルールが定義できるかどうかという点である．「プログラミング」は数式を用いた計算処理のようなルールを定義できる問題に適している．しかし，すべての問題に対してルールを定義することが可能というわけではない．今回の演習で扱ったモデルを例に挙げると，「手書き文字認識」の場合は人によって文字には違いが現れ，「画像認識」の場合は対象の種類の多さや同一種でも個体差がある．そのため，これら一つ一つにルールを定義するとなるとそのパターン数は無限に等しくなり，人間の手には負えないものである．こうしたルールを定義できない問題に対して適しているのが「機械学習」である．機械学習は無限に等しいパターンから学習し，そこから特徴を見出し，適切な処理を行う．つまり，プログラミングが「あらかじめ人がルールを与える技術」であるのに対し，機械学習は「データからルールを発見する技術」といえる．ただし，機械学習には正しい処理が行えるだけの十分なデータが必要であるため，データ数が少ない場合にはプログラミングの方が適していることもある．適している問題が異なるため，どちらか一方だけでなく、両方の技術を身につけておき、状況に応じて適切な手法を選択できるようにすることが重要である。</t>
  </si>
  <si>
    <t>・機械学習という手法が誕生したのはなぜか
・つまり，開発しようと考えているものに対してルールが定義できるものにはプログラミングが向いているが，ルールの定義をしにくいがサンプルデータを大量に用意できるようなものに対しては機械学習の方が向いているということか
・では，具体的にプログラミングと機械学習にはどのような違いがあるか，実現できることの違いやアプローチの違いなど複数の観点から画像処理などの具体例を交えて教えて．
・データ数が少なすぎる場合にはプログラミングと機械学習どちらが適しているか
Prompt作成において工夫した点
1つ目のPromptを大まかな聞き方にすることで自分自身の理解レベルを測った．
2つ目のPromptは一つ目の回答を要約し，質問することで理解の確認とより自分に適した回答が得られるようにした（回答に具体例が追加された）
3つ目のPromptであるが，例を交えた回答を求めるPromptにすることによって，複数の観点から挙げられるであろう回答の中にも一貫性を持たせた．</t>
  </si>
  <si>
    <t>学校や教育現場で機械学習が用いられている．従来の一斉指導では、生徒間の理解度の差に対応しきれず、学習の遅れを防ぐのが難しかった。また、教員の業務負担も大きく、個別対応には限界があった。このような課題を解決するために機械学習が導入された．例えば「学習分析」は解いた問題や提出物の遅れといった学習履歴を分析して，学習の進捗やつまずきを可視化する．また，「適応型学習システム」は学習者一人ひとりの理解度や進み具合に応じて，最適な学習教材，問題，学習順序を自動で提示する．これらの機械学習を導入したことにより，教師の負担が軽減され，生徒一人ひとりに合わせた個別指導を行えるようになり，成績向上に繋げられるようになった．</t>
  </si>
  <si>
    <t>・社会や企業，組織などでの，機械学習の利用状況を教えてほしい．できる限り，学生にとって身近な例がほしい．
・学校，教育現場での利用状況についてどのような技術が使われているか詳しく教えてほしい．また，なぜ機械学習を使うのかも教えてほしい．
・学習分析と適応型学習システムについて詳しくおしえてほしい．また，具体例や導入の背景，導入による結果も教えてほしい．
・日本の教育現場での機械学習システムの導入率を調べてほしい．また，参考にしたページも教えてほしい</t>
  </si>
  <si>
    <t>1つ目，2つ目のPromptは大まかな内容ながらも理解度を上げるために自分にとって身近なものを中心とした回答を求めた．
3つ目のPromptは2つ目の回答から更に焦点を絞って質問することでより詳しい内容を簡潔に得た．
4つ目のPromptは数値を求める質問であるため，情報の正当性を高めるため参考ページも求めた．(結果を得ることはできなった)</t>
  </si>
  <si>
    <t>生成AIを実際に使ってゲームを作るなどしたところがAIのすごさを改めて体験することができたので実際にその場でやってみせるというのは効果があることだと思いました．</t>
  </si>
  <si>
    <t>24238123@edu.cc.saga-u.ac.jp</t>
  </si>
  <si>
    <t>プログラミングは「人間がルールを作る」方法であり、機械学習は「データからルールを自動で学ぶ」方法です。前者はルールが明確な処理に適しており、後者はパターン認識や予測のように曖昧さを含む処理に強みを持っています。機械学習の登場によって、従来のプログラミングでは実現困難だった高度な認識・予測が可能になり、AI 技術の基盤となっています。</t>
  </si>
  <si>
    <t xml:space="preserve"> ソフトウェアでの実装手段として、プログラミングと機械学習の違いについての述べてください。例えば、なぜ機械学習という手法が出てきたのか? 例えば、実現できる事の違い、など。</t>
  </si>
  <si>
    <t>製造業の現場では、機械設備や装置の故障を事前に予測して保守を行う「予知保全」に機械学習が活用されています。従来の保守は、一定の使用時間ごとに部品を交換する「予防保全」や、故障してから修理を行う「事後保全」が中心でした。しかし、予防保全ではまだ使える部品を早めに交換してしまう非効率があり、事後保全では突発的な故障によって生産ラインが停止し、修理費用や損失が大きくなるという課題がありました。そこで近年は、センサーから取得した振動や温度、稼働時間などの時系列データを機械学習モデルに入力し、異常の兆候や故障の予測を行う手法が導入されています。例えば、装置に取り付けたセンサーで振動パターンを計測し、通常状態とのわずかな違いをAIが検出することで「この部品は近いうちに故障する可能性が高い」と事前に警告できるようになっています。こうした仕組みでは、ディープラーニングなどを使って微細なパターンを捉えたり、クラウドやIoT基盤を用いてデータを蓄積・分析し、リアルタイムで異常を検知することも可能です。機械学習を用いる最大の理由は、複雑で多様な運転条件下における故障の兆候を、人間がすべてルール化するのが難しいためです。データに基づいて学習したモデルを利用することで、より高精度に異常を検知でき、結果として突発故障を減らし、生産の安定性向上やコスト削減につながります。</t>
  </si>
  <si>
    <t>質問をそのまま送ることでAIが素直に答えてくれるから</t>
  </si>
  <si>
    <t>プログラミング環境を整えるのが一番難しかったインターネットの重要さがとてもよく分かりました。</t>
  </si>
  <si>
    <t>24238126@edu.cc.saga-u.ac.jp</t>
  </si>
  <si>
    <t>機械学習はコンピュータに「ルール」を教える代わりに、たくさんの例（データ）を見せて、自分でルールを見つけさせるやり方であり、プログラミングは、人間がコンピュータにやってほしいことをはっきり指示することである。機械学習という手法が出てきた理由としては、世の中では言葉で説明できない問題が多かったからである。例えば、「写真の中で猫を見分ける」などである。これにより、「コンピュータに自分で学ばせる」という発想が生まれ機械学習という手法ができた。計算・成績管理はプログラミングが実現できることで、翻訳や音声を文字に変えるのは機械学習が実現できることである。</t>
  </si>
  <si>
    <t>プログラミングと機械学習の違いについて、なぜ機械学習という手法が出てきたのか、それぞれが実現できることの違いの3つを無知の初心者でも分かるように丁寧に教えてください</t>
  </si>
  <si>
    <t>スーパーマーケットやドラッグストアなどで、商品の発注量を決める業務で使われている。販売データだけでなく、天候、イベント、キャンペーン、市況など複数要因を入力して予測精度を上げる技術で、AIが出した「予測数」にもとづいて、自動で発注（仕入れ）をしてくれるシステムが使われている。機械学習を使った理由としては、人が予想すると間違いやすいためや欠品（売り切れ）を防ぎ、廃棄（売れ残り）も減らせるためなどがあげられる。</t>
  </si>
  <si>
    <t>実世界での機械学習(AI)の利用状況を調査して、どんな場面で、どんな技術が、どんな使われ方をしているのか、なぜ、機械学習を使ったのかをいくつか小学生でも理解できるくらいわかりやすく教えてください。</t>
  </si>
  <si>
    <t>最後に「無知」や「小学生」を入れることにより、よりわかりやすく説明するように求めた点</t>
  </si>
  <si>
    <t>環境構築が少し分かりずらかったので画像を添付するとわかりやすくなる気がします。</t>
  </si>
  <si>
    <t>24238143@edu.cc.saga-u.ac.jp</t>
  </si>
  <si>
    <t>プログラミングは人がプログラムを定義し，固定されたアルゴリズムを実装したものであり，機械学習は入力されたデータをもとにアルゴリズムを作り，そのデータにより変化するものである．
機械学習が登場した理由は，プログラミングには限界があるからである．プログラミングではルールを人間が書く必要がある．特に画像判定などでは，それが非常に困難である場合が多い．そこで，大量の画像と正解を学習させ，ルールを見つける手法を編み出した．
実現できることの違いとしては，電卓・ゲーム・Webサイトを作ることはプログラミングは得意なのに対し，機械学習には不向きである．また，画像認識・音声認識は機械学習は得意だが，プログラミングにとっては難しい．</t>
  </si>
  <si>
    <t>金融業界での利用状況について調査した．三菱UFJ銀行では，融資審査・顧客対応といった場面で，ChatGPTなどの生成AIが活用されている．具体的には，行員が企業や富裕層に向けて提案書を作成する際に，生成AIが文章の下書きを作成している．機械学習を使った理由は，業務効率化・人手不足への対応である．機械学習の利用により，月22万時間以上の労働時間削減を実現した．</t>
  </si>
  <si>
    <t>機械学習についての授業のレポートを作成しています．実世界（社会や企業・組織など）での機械学習（AI）の利用状況１つを調査したいです．どんな場面で、どんな技術が、どんな使われ方をしているのか? なぜ、機械学習を使ったのか?について具体的に教えてください．</t>
  </si>
  <si>
    <t>レポート作成のための調査であるという参照情報を入力し，この状況に合った例を提示してくれるよう，工夫した．</t>
  </si>
  <si>
    <t>私は情報系を専攻しているため，演習に詰まることはなかったが，それ以外の分野の学生には事前演習も難しいようだった．情報系以外の学生にもわかりやすいような資料であればよりよいのではないかと思った．</t>
  </si>
  <si>
    <t>24238042@edu.cc.saga-u.ac.jp</t>
  </si>
  <si>
    <t>従来のプログラミングは四則演算や文字列検索などルールが明確で固定的な処理に強く、機械学習は手書き文字認識やスパムメール判定などルールを明示できない未知の事象に対応する処理に強い。
これは従来のプログラミングは人間がルールを明示的に記述する演繹的な実装方法であり、機械学習はデータからソフトウェアが自らルールを学習する帰納的な実装方法であるので、両者はソフトウェア実装の手段として根本的に異なるアプローチであるからである。</t>
  </si>
  <si>
    <t xml:space="preserve">（理工学部_AIサブフィールドPBL_1.機械学習-概要の27-29の画像を張って）この写真の意味は分かる？⇒この説明はソフトウェアでの実装手段として、プログラミングと機械学習の違いを述べろという問いに答えることができると思う？⇒実現できることの違いを短い具体例を示しつつ教えて
</t>
  </si>
  <si>
    <t>従来のプログラミングは人間がルールを定義するため、想定外の欠陥や複雑な異常には対応できず、検査基準も人手に依存してばらつきが生じやすかった。一方、機械学習はデータから特徴を自動抽出し、未知の欠陥や故障予兆も検知可能である。これにより検査の自動化・品質の安定化・省人化を実現できるため、製造業の品質検査や故障検知で導入が進んでいる。</t>
  </si>
  <si>
    <t>実世界 (社会や企業・組織など) での機械学習(AI)の利用状況1つを調査。どんな場面で、どんな技術が、どんな使われ方をしているのか? についていくつか例を挙げて ⇒じゃあ実例１についてなぜ製造業での品質検査・故障検知で機械学習を使ったのか理由をできれば５つ教えて⇒上の説明に似たことを言っている公的な文章があれば挙げてURLも頂戴⇒従来のプログラミングとの差を強調して</t>
  </si>
  <si>
    <t>URLを挙げてもらって自分で確認した</t>
  </si>
  <si>
    <t>24238135@edu.cc.saga-u.ac.jp</t>
  </si>
  <si>
    <t>プログラミングは人間がルールや手順を記述して出力するのに対して機械学習はデータからパターンを学習し、ルールを自動生成するという違いがある。プログラミングは開発者がすべてのルールや手順を明示的に記述するため、単純で手順が明確な業務処理を得意としているが、ルール変更にはコード修正が必要なため、柔軟性に欠ける。機械学習はデータからルールを学習するため、柔軟性があり、未知の状況への対応も得意である。プログラミングでは複雑な指示が難しいが、機械学習では画像認識や音声認識など、人間でも説明が難しいルールを学習することができる。</t>
  </si>
  <si>
    <t>コンクリートのひび割れ検出などの点検の自動化
高度成長期までに建設された多く構造物の老朽化が進んでおり、点検に割ける職員の人手不足が進んでいることから、目視で点検する作業を効率化させた。画像認識によりコンクリート表面を撮影した画像データを学習させ、ひび割れなどの異常を検知する。ひび割れを自動検出するシステムの導入により、作業者の負担軽減だけでなく、作業時間やコストを大幅に短縮することが可能になった。 500本以上のひび割れがある10m×10mの壁の場合、人間では720分かかった作業を、AIが判断して、それを人間が最終確認するという作業とした場合、90分で完了できることも示された</t>
  </si>
  <si>
    <t>24238048@edu.cc.saga-u.ac.jp</t>
  </si>
  <si>
    <t>動画中から特定のものを認識することや、株価の予測など従来の決まったルールに対応できるのがプログラミングで、機械学習は人間が大量のデータと成功事例を与えることでコンピュータ自身がパターンや特徴であるルールを発見させる手法である。プログラミングでは人間が設定した明示的なルールに基づいてコードを書き、それが実際に出力結果と合うか判断する。一方で機械学習では自分が集めたもしくは、既存のデータを用いてコンピューターが学習し、評価・別データに適用する。機械学習は、将来の予測や、分離などの人間の頭でできる活動の一部を得意とし、画像・音声認識や異常検知などができる。これらはルールを明確に定義するのが極めて困難であり、そのような問題を解決するために機械学習が誕生した。</t>
  </si>
  <si>
    <t>ソフトウェアでの実装手段として、プログラミングと機械学習の違いについての述べてください。例えば、なぜ機械学習という手法が出てきたのか? 例えば、実現できる事の違い、など。
上のテーマを詳細に分析し2者の特徴を洗い出しリストアップ、分析したうえで、テーマについて述べて</t>
  </si>
  <si>
    <t xml:space="preserve">
ユニクロでは店舗ごとの売上や天候の違いを考慮して商品数を調整している。事前に予測が必要となる在庫が多すぎると無駄になり少なすぎると売り逃すことになるためAIによる需要予測が重要でありサプライチェーン全体の流れを効率よく動かすためにもAIが活用されている。また、販売戦略や商品企画にもAIの分析結果が使われている。
ユニクロが使っている技術にはAIや機械学習モデルがあり過去の販売履歴や天気などを学習して将来の需要を予測している。ビッグデータ解析によって複雑なパターンを見つけ出しクラウド技術でリアルタイムに予測結果を反映できるようになっている自動化されたアルゴリズムが在庫や配送の調整を行っている。
AIは店舗ごとの販売データを分析して商品数を決め予測に基づいて在庫を自動で調整して無駄を減らしている。配送のタイミングや量もAIが判断して効率化しておりトレンド分析によって次のシーズンの商品企画にも活用されている人の判断では難しい複雑な要素をAIが補っている。
ユニクロが機械学習を使っている理由は、人の経験だけでは予測が難しくデータの力が必要だからだ。また、欠品や過剰在庫を防ぐことで売上と満足度を上げるためである。
</t>
  </si>
  <si>
    <t>日本や世界の企業における機械学習・AIの活用事例を調査し、どんな場面で、どんな技術が、どんな使われ方をしているか、そしてなぜ使われているのかを分析してほしい
 詳細な分析結果を文章のみでレポート形式にまとめてほしい
内容を4つの観点に分けて再構成してほしい
① どんな場面で使われているか
② どんな技術が使われているか
③ どんな使われ方をしているか
④ なぜ機械学習を使っているのか
 各テーマを句読点なしで簡潔に5行程度の文章でまとめてほしい
各テーマの簡潔な文章を1つの段落に統合してほしい</t>
  </si>
  <si>
    <t>音声を初めて使用した点を工夫した。また、詳細な分析や根拠を求めるようにした。</t>
  </si>
  <si>
    <t>演習内容は情報系の私からすると少し簡単なモノであったので、来年度はより発展的なものまでしたいな（希望制）と感じた。難しかった点はおそらく情報系以外の人がファイルの中身の見方を知らない（展開する場所、保存しておく場所等）ので、それの読み方を簡単でいいので教えていただけるとより、全員が演習内容を自分の手にすることが出来ると考える。</t>
  </si>
  <si>
    <t>24238210@edu.cc.saga-u.ac.jp</t>
  </si>
  <si>
    <t xml:space="preserve">１．	プログラミングと機械学習の違いについて
今回のAI実習を通じて感じたこととしては、機械学習が非常に効率よく学習をすることができるということである。プログラミングを人間が作って実行するよりも、2日目にしたlobe.aiのようにコンピュータがデータを自分で取り込んで自然に学習する方が効率のよいように感じた。
しかし、逆に用いるデータの影響を受けやすいという点が機械学習には挙げられる。プログラミングの場合は、そのようなことはあまり起こりにくいと考える。機械学習は取り入れる情報の質と量が重視されると考える。
次に、Copilotを用いて違いについて質問してみた。質問した内容は単純に「プログラミングと機械学習の違いは何？」といった感じである。
返ってきた答えとしては、要約すると「一般的な考え方では、プログラミング学習は0から1を生み出す作業、機械学習はそれを応用して、1から2や3を生み出す作業である。しかし、一部例外的な内容もあるため、本質的な違いは、ルールを人間が学ばせるか、データから学ばせるかにある」といったことである。
AIが何度も強調して説明している内容としては、「機械学習はプログラミングの上に成り立つ」ということである。よって、プログラミングのスキルというのは最終的には求められるということである。AI開発の全体の流れとしても0から1を生み出して、それを
どんどん拡張して∞まで進むといったものに似ている。
</t>
  </si>
  <si>
    <t>すいません、一回Wordに全部書いたので、1に書いています</t>
  </si>
  <si>
    <t xml:space="preserve">２．	実世界での機械学習の利用状況
　僕が「機械学習が導入されているな」と感じたのは、竹下駅の近くにある“ららぽーと”にドライブで行った際に車の駐車料金を、機械が事前にナンバーを認識してくれていて、それを基に精算をするというやり方である。今回の実習でやった、番号を認識するという機械学習の例そのものである。このららぽーとの仕組みで便利だと思う点は、車の量が多いため、帰る際の混雑緩和とそれによって、来てくれるお客さまのストレスを軽減できるという点である。
　この実世界での機械学習の利用状況について、Copilotに「今、実現している機械学習の現状を教えて」という質問をした。以下に示すのはその回答を要約したものである。
　まず、一つめにあげたのが「GPT-5」である。これはＡＩ実習の時に教えて頂いた、Copilotに含まれている機能である。これを利用することで、従来のAIよりも自然な対話形式でやり取りをすることができるようになった。実際に、業務分野や教育分野での活用が進められている。
　2つ目に上げられていたのが、動画や画像を統合的に処理する、マルチモーダルＡＩの普及である。これに関しては、僕はよくInstagramを見るので、AI系の動画や、ＡＩ系のYouTuberがよくあがってくる。実際にありえないことを動画として再現することもでき、見ている側からすると「いいね！」や「チャンネル登録」とかしたいという風に思ってしまう。
　そして、３つ目にあげられていたのが量子コンピュータとの融合である。僕は化学のコースなので、この話は何度か聞いたことがあるが、薬の開発においてこれは非常に有効である。薬の開発には気が遠くなるほどの、たくさんのパターンをためさないといけない。それが、ＡＩ自身がシミュレーションを行うことで、可能性があるパターンを減らしてくれるという利点がある。それの効果を実際に確かめることであったり、データとなる病気の詳細を集めたりするのは、人間である。この創薬の現場においての機械学習の活用は非常に有効だと考える。人間と、AIがやる仕事が分けやすく、AIが得意とする分野を最大限に生かせると考えるからである。
</t>
  </si>
  <si>
    <t>一つ目の課題と同じく、Wordに一回書いちゃったので、4の中に書いています。</t>
  </si>
  <si>
    <t>専門が化学の分野なので、量子コンピュータとの融合で、創薬事業が大きく変わるというのは聞いたことがあったので、興味がありました。</t>
  </si>
  <si>
    <t>CopilotやchatGPTを用いた、レポートの書き方を教えていただきたいです。</t>
  </si>
  <si>
    <t>24238211@edu.cc.saga-u.ac.jp</t>
  </si>
  <si>
    <t>プログラミングと機械学習は主に実装手段の基本的な考え方が異なる。従来のプログラミングは条件分岐・数式・手続き的処理など入力に対してどう処理するかをアルゴリズムで定義するように、人間がルール・手順を 明示的に記述するのに対して、機械学習はニューラルネットが特徴を自動抽出し、分類や予測を行うように、入力データと正解を与え、モデル自身にルールを学習させる。
従来のプログラミングでは、人間がルールを書き下せない問題が増えたため、データと計算資源（GPU）の増大により、大量のデータからルールを自動的に獲得できる技術が現実的になり、機械学習が必要となった。実現できることの違いとしては、プログラミングはルールが明確で決定的な処理が得意であるため、数値計算、データベース処理、暗号化、制御システムなどが、一方、機械学習では、ルールを明確に書けない問題や曖昧な判断が必要な処理が得意であるため、画像認識、音声認識、翻訳、推薦、異常検知などが実現可能なこととしてあげられる。</t>
  </si>
  <si>
    <t>ソフトウェアでの実装手段として、プログラミングと機械学習の違いについて述べてください。具体的にはなぜ機械学習という手法が出てきたのか、実現できる事の違い、などです。</t>
  </si>
  <si>
    <t>製造業で、故障パターンは多様で複雑なため、人手のルール化が難しいが、データから前兆を検出できるから、工場設備の予知保全（故障の早期検知）という場面で時系列解析（LSTM, RNN）、異常検知モデルといった技術がセンサーからの振動・温度・音データを監視し、故障の前兆を検知するのに使われている。</t>
  </si>
  <si>
    <t>実世界 (社会や企業・組織など) での機械学習(AI)の利用状況を具体的にあげてください。どんな場面で、どんな技術が、どんな使われ方をしているのか、なぜ機械学習を使用しているのか、の4点に分けて教えてください。</t>
  </si>
  <si>
    <t>ハレーションが起きないように具体的にという文言を入れました。</t>
  </si>
  <si>
    <t>24238217@edu.cc.saga-u.ac.jp</t>
  </si>
  <si>
    <t>プログラミングは人間がルールを定義する手法。機械学習はデータからコンピュータ自身ごルールを学ぶ手法。プログラミングは開発者が全ての条件を想定し、アルゴリズム設計わ明確な仕様とルールをプログラムしている。それに比べて機械学習は学習、評価、反復を繰り返し徐々に精度をあげていくもの。プログラミングの出力は決定的。ルールがはっきりしている問題(四則演算、数値計算、システム制御)に適している。機械学習の出力は確率的。ルールを明示的に書きにくい問題(画像認識、自然言語処理、需要予測)に適している。機械学習プログラムはルールを人間が表記できない問題に直面した際に、データから学ばせる仕組みが必要になったから誕生した。</t>
  </si>
  <si>
    <t>ソフトウェアの実装手段として、プログラミングと機械学習の違いは？
なぜ機械学習という手法が誕生したの？</t>
  </si>
  <si>
    <t>プログラミングと機械学習を組み合わせたシステムを設計する場合、それぞれの強みをどう活かすことができるのかについて</t>
  </si>
  <si>
    <t>小売系の消費者向けローン会社などで、クレジットカードや与信を審査する過程や、不正な申込みや取引を検知するために使われる。
過去の取引データに「正しい」「不正」「不正の種類」などラベル付きデータを使ってモデルを訓練。複数のモデルを組み合わせたり、勾配ブースティング、深層学習との融合を使って性能を上げる取組みを行う。
不正の有無を“予測”する。具体的には、ある申込み・取引が「不正である可能性が高いかどうか」をスコアで出して、それが一定の基準を超えたら人の担当者が詳しく確認する、または自動的にブロックする、または追加確認の手順に回す。
システムがリアルタイムまたは準リアルタイムで動くことが多い。取引が発生した直後に、機械学習モデルがその取引を評価し、不正と判断されればアラートを出す、あるいは処理を中止する。
モデルの維持・更新も重要。詐欺のパターンは常に変わるので、モデルを古いデータでだけ訓練していると、新しい不正には対応できなくなる。したがって継続的な学習、または新しいデータを含めて再訓練する体制を持っている組織が多い。
人がルールを書けない複雑な問題に対応するため。
取引履歴や顧客データから自動的にパターンを学習でき、大量のデータを活用できるため。
リアルタイムに処理する必要があるため。
人的対応より効率的であるため、コスト削減と被害防止ができるため。</t>
  </si>
  <si>
    <t>実世界(社会や企業、組織など)で機械学習はどう使われているのか。どんな場面で、どんな技術で、どんな使われ方なのか、なぜ機械学習を使っているのか、4つの観点にわけて教えて。</t>
  </si>
  <si>
    <t>自分がMacBookを使っているせいではあるが家で環境構築をする際に、ファイルがWindows用であったため読み込めなかった。メールで相談したことによってMacBook用の環境構築のサイトを送ってもらったが、始めからこちらのサイトも提示してくれるとありがたいなと思った。</t>
  </si>
  <si>
    <t>24238246@edu.cc.saga-u.ac.jp</t>
  </si>
  <si>
    <t>プログラミングは人間がルール記述を行うのに対し，機械学習は大量のデータから自動的にルールを発見し，パターンを学習し，モデル化するという方法をとる．前者は決まった形の課題を解決するのに適していて，後者は画像処理や言語等の複雑な問題に強い．つまり，プログラミングの苦手分野の課題を解決する手法として機械学習が出てきた．</t>
  </si>
  <si>
    <t>ソフトウェアでの実装手段として、プログラミングと機械学習の違いについての述べてください。例えば、なぜ機械学習という手法が出てきたのか? 例えば、実現できる事の違い、など。
200字程度でお願いします．コピペは禁止なので，キーワード等を一緒にまとめてくれると助かります</t>
  </si>
  <si>
    <t>200字と数字を使って生成AIの回答がうまくまとまるように工夫した．</t>
  </si>
  <si>
    <t>一般社団法人日本ディープラーニング協会によると，自動車部品の不良品検査において，従来の目視の検査等では対応に難しい細かい不良品パターンの特徴を画像を用いて学習させ，検査に用いている．これによって高精度で高速な検査を実現している．</t>
  </si>
  <si>
    <t xml:space="preserve">ありがとう．次の設問に移ります．
実世界 (社会や企業・組織など) での機械学習(AI)の利用状況1つを調査。どんな場面で、どんな技術が、どんな使われ方をしているのか? なぜ、機械学習を使ったのか?
同じように200字程度の文章と，コピペができないからキーワードをお願いします．
情報元の提示もお願いします．
</t>
  </si>
  <si>
    <t>情報元を提示させ，自分で情報元が信頼できるか確認できるようにしたこと．</t>
  </si>
  <si>
    <t>生成AIの今後の発展の予測などをもう少し聞きたかった．</t>
  </si>
  <si>
    <t>24238266@edu.cc.saga-u.ac.jp</t>
  </si>
  <si>
    <t>従来のプログラミングでは、データをルールに基づいて出力結果を出していた。
出力結果には答えが存在し、消費税の計算や売り上げの計算など、アルゴリズムが複雑ではないことに関して活用されていた。しかし最近では迷惑メールの新たな手口や画像分析など、ルールやアルゴリズムの複雑性が増すばかりである。
そこで登場したのが機械学習である。機械学習では従来のプログラミングとは異なり、ルールに従って出力結果を出すのではなく、データやルールのパターンを習得し、出力結果を予測する。迷惑メールの手法が変化したとしても、プログラミングではその都度ルールを変更しなければならないが、機械学習では予想・判断してくれるおかげで対応ができる。
このようにプログラミングでは出力結果をルールに基づいて答えを導くが、機械学習ではデータやルールからパターンを読み取り、新しいものごとへの対応が予測・判断をする。</t>
  </si>
  <si>
    <t>機械学習とは。
従来のプログラミングについて。
簡単な例。</t>
  </si>
  <si>
    <t>医療現場では、画像診断支援と呼ばれる機械学習の利用がある。
例えばAIがレントゲンやMRI画像を読み取ることでがんの疑いがある領域や骨折、その他の微細な異常を画像から自動で検出する。また医師が見落とさないように疑わしい部分を枠で囲んだり、色付けしたりして注意を促す。これにより、医師は膨大な画像の中から特に注意して見るべき箇所を素早く把握できます。
つまり、AIは医者が捉えきれない些細な変化を検出できたり、膨大な量の画像処理を行ったりすることで診療の精度と速度を上げている。</t>
  </si>
  <si>
    <t>機械学習の利用状況を教えて。
医療現場での利用状況。またその理由。</t>
  </si>
  <si>
    <t>興味のある利用状況など話の論点を限定した。</t>
  </si>
  <si>
    <t>到達目標をもう少し明確に記載してほしい。</t>
  </si>
  <si>
    <t>24238234@edu.cc.saga-u.ac.jp</t>
  </si>
  <si>
    <t>プログラミングは、コンピュータにデータとプログラムを入れるとラベルが出力される仕組みである。機械学習は、コンピュータにデータとラベルを入れるとプログラムが出力される仕組みである。プログラミングはプログラムした範囲内でのみ、そのプログラムに乗っ取って入力されたデータからラベルを正確に出力することができる特徴を持っている。それと比較して機械学習は、コンピュータにデータとラベルを読み込ませることでそれらの情報から規則性をキャッチして判断するモデルを作ることができる特徴を持っている。プログラミングはプログラム外のデータに対しては無意味で未知の現象が起きた場合、プログラミングを活用することは難しい。一方機械学習はデータとラベルからその規則性を学習するため訓練データに似た未知の現象にも対応しやすい。この違いが機械学習という手法が出てきた一番の理由だと考える。プログラミングはプログラム外に機能しなくなるが実世界のすべてを想定してプログラムするのは難しい。人間が書くことができる行数もたかが知れている。だからこそ未知の事象にも強くデータとラベルをいれることで自動でパターンを抽出してくれる機械学習が広がっていると考える。</t>
  </si>
  <si>
    <t>上記の文章の内容が誤っている部分を指摘して</t>
  </si>
  <si>
    <t>お掃除ロボット（ルンバなど）　お掃除ロボットは各家庭で使用される。このロボットには主に物体認識と経路最適化と強化学習の３つの技術が搭載されており、自動で部屋を掃除し、障害物を避けながら効率的に動いている。なぜ機械学習を使ったのかに関しては、
みんな同じ形の同じ内装の家に住んでいるわけではないからである。家ごとに異なる環境に対応する必要があるかつ、掃除効率を高めるために、経験から学習する必要があるため機械学習を使ったとのことだ。</t>
  </si>
  <si>
    <t>機械学習を搭載した身近な例</t>
  </si>
  <si>
    <t>単に機械学習と搭載した例を聞くのではなく身近な例に落とし込むことで理解度をあげた</t>
  </si>
  <si>
    <t>十分楽しかった。講師のかたもユーモアある感じで退屈しなかった。</t>
  </si>
  <si>
    <t>24238218@edu.cc.saga-u.ac.jp</t>
  </si>
  <si>
    <t>早田 彩恋</t>
  </si>
  <si>
    <t>「プログラミング」は人間が手順やルールを具体的に記述する方法で、計算処理や在庫管理のような規則がはっきり決まっている問題に適している。一方で「機械学習」は大量のデータを使ってコンピュータ自身がパターンを学習し、判断や予測を行う。顔認識や自動翻訳などが代表例。まとめると、「プログラミング」は人間が軸となってルールを記述し、「機械学習」はコンピュータ軸でデータからルールを発見する方法である。</t>
  </si>
  <si>
    <t>ソフトウェアでの実装手段として、プログラミングと機械学習の違いについて教えてください。具体例も含めて400字程度でお願いします。</t>
  </si>
  <si>
    <t>「スマートフォンの顔認証システム」はカメラで撮影した顔画像をもとに、登録された本人かどうかを判定する技術が使われている。ここでは「画像認証」の分野の機械学習が活用されている。膨大な顔画像データを学習させることで、目・鼻・輪郭といった特徴を抽出し、本人と他人を区別できるようになっている。この場面で機械学習が行われている理由は従来のプログラミングでは「顔の形」「表情が暗い」などをすべてルールとして書き出すのが不可能に近いため、機械学習を使うことで、こうした複雑で曖昧な特徴を自動的に学習し、利用者が日常的に使えるほどの精度とスピードを実現できている。</t>
  </si>
  <si>
    <t>実際に使われている機械学習の利用状況を１つ挙げてください。どんな場面でどんな技術が、どんな使われ方をしているのか。なぜ機械学習を使ったのか。</t>
  </si>
  <si>
    <t>事前準備の「環境構築」の作業が文面上だけではわかりにくかったので、より手順がはっきり分かる画像や動画が欲しいなと思いました。</t>
  </si>
  <si>
    <t>24238011@edu.cc.saga-u.ac.jp</t>
  </si>
  <si>
    <t>プログラミングは人が書き、機械学習はソフトウェアが書くものでプログラミングは根拠が明確であり、必然性からアルゴリズムを定義する。機械学習はそれとは異なり様々なデータからアルゴリズムを定義する。そのため根拠が明確ではなく多くのデータを通して推測することで確率的に信頼できる状態になっている。それによって動物の画像判定など人の手ではアルゴリズムの定義が難しいものも機械学習であれば判定が高い確率で可能である。</t>
  </si>
  <si>
    <t>機械学習は根拠が明確ではなく多くのデータを通して推測することで明確に近い状態になっていますか
機械学習の必要性を教えてください。</t>
  </si>
  <si>
    <t>自分の解釈に間違いがないかを確かめる参考にするため、自分の書いた文章が正当かどうかを質問した。プログラミングでは不可能で機械学習では実行が可能なものを知りたかったため、機械学習でなければならない必要性について質問した。</t>
  </si>
  <si>
    <t>画像検索について調査しました。私はよく検索アプリの画像検索を行いますが一つの画像をアプリに提示するとその画像と似た画像を検索してくれます。授業で行ったのと同じようにアプリの持つ画像と照らし合わせているのだと思います。画像検索には複数の技術が使われていて、画像のエッジ、色、形状などの特徴を自動で抽出する画像特徴抽出を行い、そこから画像を変換し、画像がどのくらい近似しているのかを調べるようです。これを人の手でプログラミングするのは不可能か多くの時間がかかってしまうため機械学習を用いたのです。</t>
  </si>
  <si>
    <t>画像検索ではどのような機械学習が使われている？</t>
  </si>
  <si>
    <t>画像検索での機械学習の仕組みを知りたかったため、どのような機械学習が使われているかについて質問した。</t>
  </si>
  <si>
    <t>環境構築を一人で行うのが難しい人が多く、私も知り合いにやり方を聞かれ教えました。コースによってはプロンプトがわからない場合もあるため、そのような用語を事前に学んでおくべきだと考えました。</t>
  </si>
  <si>
    <t>24238244@edu.cc.saga-u.ac.jp</t>
  </si>
  <si>
    <t>プログラミングとは、人が自らアルゴリズムを設計し、タスクの使用を明確に定めてコードを書くことである。ここでは根拠が明確であり必然性に基づいてアルゴリズムが定義されるため、その内容は容易に説明できる。一方で、機械学習はソフトウェア自身がデータから規則を見出してアルゴリズムを獲得する手法である。その目的は、道の状況にもうまく対応できるようにする汎化にある。機械学習で得られるアルゴリズムは時間とともに変化し、またデータに依存するため、必ずしも根拠が明確に説明できるとは限らない。しかし、多くの事例を学習することで機能的に問題解決が可能となる点に強みがある。人間が経験を通じて道の事象にも柔軟に対応できるのと同じように、機械学習もデータを通じて知識を汎化し、応用できるようになる。実世界のあらゆる事象をあらかじめ想定してプログラミングすることは困難であり、その限界を補うものとして機械学習の手法が登場したといえる。</t>
  </si>
  <si>
    <t>小売業において、防犯カメラの映像に機械学習の今回扱った画像認識技術が利用されており、万引きや不審行動を自動的に検知して店舗スタッフに通知する仕組みとして使われている。これは人間だけでは見落としやすい膨大な映像をリアルタイムに解析できるため、防犯効果を高め、効率的な店舗運営を実現する目的で機械学習が導入されている。</t>
  </si>
  <si>
    <t>24238163@edu.cc.saga-u.ac.jp</t>
  </si>
  <si>
    <t>プログラミングはルールや手順を人間が記述し、機械学習は大量のデータからルールを学習させるという違いがある。計算処理やソートは計算方法や処理方法が明確に定義されているものはプログラミングが適している。画像認識や自然言語処理は明確な定義がないため機械学習が適している。
今回の講義で行ったmnist_pytorch.ipynbとplot_digits_classification.ipynbはどちらも機械学習を行うためのプログラミングであり、mnist_pytorch.ipynbは学習処理はライブラリが自動で実行してくれ、データ量が少なくても問題ない。また、plot_digits_classification.ipynbは学習処理を人間が直接打ち込んでおり、データ量が多いほど強力になるということが分かる。
機械学習が生まれた背景にはプログラミングで画像や音声、自然言語などのデータは変化が大きく、パターンが多いためプログラミングの条件分岐で対応することは不可能だった。そこで、データからルールを自動で学習し、最適な判断ルールを作る機械学習が生まれた。例えば、スパムメールは文章が毎回同じなわけでなく少しずつ変化する。そこで、多くのスパムメールから共通するルールを見つけてスパムメールだと判定する。SNSのブロック判定も同様である。</t>
  </si>
  <si>
    <t>ソフトウェアでの実装手段として、プログラミングと機械学習の違いについて教えてください。
mnist_pytorch.ipynbとplot_digits_classification.ipynbの違いは何ですか？
ニューラルネットとは何ですか？
CNNとSVMとは何ですか？図や表を交えて教えてください。
CNNは運用しにくいができることが多く、SVMは運用しやすいができる子が少ないという解釈で合っていますか？
なぜ機械学習という手法が出てきたのですか？身近な例も交えて教えてください。
XやYouTube等のSNSのブロック判定も機械学習で判定しているってことですよね？
＜プロンプト作成において工夫した点＞
知らない単語がでたら、AIに聞くようにした。
自分の解釈があっているかを確認するようにした。
5回以上は会話するようにした。
文面だけでは理解しにくいので、図や表、例をなるべく含ませるようにした。</t>
  </si>
  <si>
    <t>生成AIは既存の作品を学習してイラストや楽曲を生成すると聞きます。人間が時間をかけて作った作品を、誰でも簡単に似たものを作れるようになると、将来的にオリジナル作品が生まれなくなるのではないでしょうか。</t>
  </si>
  <si>
    <t>1.で説明した通りSNSでのブロック判定に機械学習は利用されている。
過去に削除された投稿を学習させて新しい投稿が来たら自動でブロックの対象かを判定している。XやYouTubeなど多数の人々が利用するSNSで投稿を一つ一つブロック対象かを判定するには莫大な時間や労力がかかる。そこで、機械学習を利用することで高速に低コストでブロック判定をすることができる。</t>
  </si>
  <si>
    <t>なぜ機械学習という手法が出てきたのですか？身近な例も交えて教えてください。
XやYouTube等のSNSのブロック判定も機械学習で判定しているってことですよね？</t>
  </si>
  <si>
    <t>AIに意見を求めるだけでなく自分の意見はどうかを聞くようにした。
身近な例を交えるように依頼した。</t>
  </si>
  <si>
    <t xml:space="preserve">mnist_pytorch.ipynbとplot_digits_classification.ipynbの簡単な解説をしてほしいと思った。
</t>
  </si>
  <si>
    <t>24238274@edu.cc.saga-u.ac.jp</t>
  </si>
  <si>
    <t>ソフトウェアでの実装手段として、プログラミング的実装と機械学習的実装は根本的に異なるアプローチを取る。前者は明確な規則をコード化するため限定的なタスクに有効だが、バリエーションのある複雑な対象にはルールを網羅的に書けないため適用することは難しい。それに対して、機械学習的実装は大量のデータを基盤に自動的にルールを学習するため、高度なパターン認識を実現できる。特にディープラーニングの発展により、画像認識は従来の枠を超えて犬か猫かを分類するなど多様な分野に応用されるようになった。以上より、機械学習は「ルールを人が書けない問題」を解決する新たな実装手段として登場し、汎用的で精度が高いため現在のソフトウェア技術の中心的役割を担っている。</t>
  </si>
  <si>
    <t>もし画像認識ソフトをつくる場合、プログラミング的な実装と機械学習的な実装ではどのように手順や考え方が違うのかを説明してください。</t>
  </si>
  <si>
    <t>金融機関の不正検知における機械学習活用について、近年、キャッシュレス決済やオンラインバンキングの普及に伴い、金融取引は大量かつ高速に行われるようになった。それと同時に、クレジットカードの不正利用やアカウント乗っ取りといった金融犯罪も多様化・巧妙化している。従来のルールベース型システムでは、新しい不正手口に対応できず、誤検知も多いという課題があった。そのことから、金融機関はより柔軟かつ高精度な検知手段として機械学習を導入している。利用されている技術として、過去の「正常取引」と「不正取引」にラベルを付与したデータを学習し、新規取引が不正かどうかを分類する監視学習、取引金額・頻度・場所などのパターンから外れる行動を検出する異常検知、時間的な取引パターンを解析し、急激な変化や不自然なシーケンスを捉える時系列モデルなどがある。大手銀行やクレジットカード会社では、機械学習モデルを用いた不正検知システムを導入し、リアルタイムで取引を監視している。例えば、ある取引が通常の購買行動から外れている場合、その場で検知システムが不正の可能性ありとスコアリングし、カード利用を一時停止または追加認証を求める仕組みを実装している。これにより、被害が発生する前にリスクを抑えることが可能となっている。</t>
  </si>
  <si>
    <t>社会で使われている機械学習の事例を、ひとつ詳しく教えてください。どんな場面で、どんな技術が使われ、どのように利用されているのか、そしてなぜ機械学習を使う必要があったのかを説明してください。</t>
  </si>
  <si>
    <t>答えて欲しい切り口をできるだけ明確にした質問をした。</t>
  </si>
  <si>
    <t>プログラミング用語でわからないものが多々あった。</t>
  </si>
  <si>
    <t>24238318@edu.cc.saga-u.ac.jp</t>
  </si>
  <si>
    <t>プログラミングは人がルール(アルゴリスムや条件分岐など)を明示的に書くことで、明確な手順やルールで解決できる問題(計算、システム開発、アプリなど)に適用できる。
利点としては、明確なルールに基づいているため挙動の予測画しやすく、同じ入力に対してかならず同じ出力をすることが出来る。
欠点としては、ルールを定義出来ない複雑な問題への対応は困難で、データの変化に合わせて人間が修正し続ける必要があることなどがある。
機械学習はデータからパターンを学習し、ルールを自動的に導くもので、複雑でルールを定義しにくい問題（画像認識、自然言語処理、予測など)に適用できる。
利点としては、ルールを明示出来ない問題でもデータから自動的に学習が可能で、新しいパターンや関係性を人が気づかなくても見つけられる。
欠点としては結果の根拠がブラックボックス化しやすく、大量のデータと計算資源が必要になり、データの質に強く依存することなどが挙げられる。</t>
  </si>
  <si>
    <t>プログラミングと機械学習の違いや、それぞれの利点欠点についてまとめてください</t>
  </si>
  <si>
    <t>YouTubeのおすすめ動画や、広告などに機械学習が使われており、個人の視聴履歴や検索履歴、いいね、コメントなどに基づいたレコメンド機能が使われている。広告については、年齢層、性別、地域、見る動画のジャンルから興味関心から特徴を推定し、表示後にクリックされたかスキップされたかで最適化している機能が使われている。ここで機械学習を使うことにより、パーソナライズされたものにすることが出来るため、使いやすくなったり、広告を効果的なものにしたりすることが出来る。</t>
  </si>
  <si>
    <t>YouTubeのおすすめ機能や広告に使われている機械学習について教えて</t>
  </si>
  <si>
    <t>限定的な質問にならないように意識して作成することで、体系的な知識として情報を得ることが出来た。</t>
  </si>
  <si>
    <t>機械学習のプログラミングのコードを調べても納得は出来ても明確に何が行われているかの理解は難しいと感じた。</t>
  </si>
  <si>
    <t>24238321@edu.cc.saga-u.ac.jp</t>
  </si>
  <si>
    <t xml:space="preserve">根本的な違いとして，プログラミングは人間が論理やアルゴリズムを全て記述してコンピュータに実行させる，機械学習は大量のデータからパターンや規則性をコンピュータに学習させ，その結果として得られるモデルが入力と出力を担う，といった違いがある．
例えば，プログラミングでは，「犬」を区別するようなルールをif文などで書くのは不可能に近い．しかし，機械学習は人間がルールを書かなくても，データから自動で規則性を発見する仕組みを持つため，「犬」のデータを大量に学習することで写真から「犬」を判定できる．画像認識以外にも，音声認識や自然言語処理，推薦システムなどが実現可能になった．
</t>
  </si>
  <si>
    <t>ソフトウェアでの実装手段として、プログラミングと機械学習の違いについて教えて．例えば、なぜ機械学習という手法が出てきたのか? 例えば、実現できる事の違い、などについて</t>
  </si>
  <si>
    <t>活用例の一つとして，自動運転がある．自動運転には画像認識AIが重要な役割を果たしている．画像認識AIの主な役割は，「周囲の物体を検出する・分類する」「車線認識」「信号・標識の認識」「障害物や危険の予測」である．教師あり学習，データ拡張(画像を回転，明るさを変える，ノイズを入れるなど)，シミュレーション学習などが主な学習方法である．</t>
  </si>
  <si>
    <t>自動運転には画像認識AIが活用されているが，それについて教えて．またどのように機械学習しているのか教えて．</t>
  </si>
  <si>
    <t>聞きたいことを明確にし，段階的な質問をすることで欲しい回答を手っ取り早く得られるように工夫した．</t>
  </si>
  <si>
    <t>24238014@edu.cc.saga-u.ac.jp</t>
  </si>
  <si>
    <t>プログラミングと機械学習は、ソフトウェア実装における根本的に異なる二つのアプローチである。プログラミングでは、開発者が問題解決のための明示的なルールやロジックを一つひとつ記述し、特定の入力に対してどのように処理すべきかという手順を詳細に指定していく。一方、機械学習は全く異なる発想に基づいており、大量の実例データをモデルに与えることで、そのモデル自身がデータの中に潜む規則性を発見し、自動的にパターンやルールを学習していく。実現できることにも明確な違いがある。プログラミングは、数値計算やデータ処理、業務ロジックといったルールが明確に定義できる処理を得意とするが、新しいパターンが出現するたびに開発者が手動でプログラムを書き直す必要がある。対照的に、機械学習はパターン認識、予測、分類といった領域で真価を発揮し、新しいデータを用いて再学習することで、変化する環境や新しい状況に柔軟に対応できるという大きな強みを持っている。</t>
  </si>
  <si>
    <t>以下の文章を内容は変更せず、500文字以内で最大限考えうる文章にしてください。文体はだ、であるを使ってください。 プログラミングは人間が明示的にルールやロジックを記述し、入力に対してどのように処理するかを詳細に指定するが、機械学習は大量の例（データ）を与えることで、モデルが規則性を発見し、データから自動的にパターンやルールを学習する。 実現できることの違いとして、プログラミングはルールが明確な処理（計算、データ処理、業務ロジック）パターン認識、予測、分類が得意で新しいパターンが出現するたびにプログラムを書き直す必要があるが、機械学習はパターン認識、予測、分類が得意で新しいデータで再学習することで、変化に対応できる。</t>
  </si>
  <si>
    <t>半導体チップ作成過程で、画像解析技術が、直径60nmのホールパターンをすべてばらつきがないようにするために直径や真円度など、ばらつきの数値化に使われている。既存のソフトでは適切に解析出来なかったため、機械学習が使われている。</t>
  </si>
  <si>
    <t>24238166@edu.cc.saga-u.ac.jp</t>
  </si>
  <si>
    <t>プログラミングは人間がプログラムを与えて問題を解決するが、機械学習は結果を与えてソフトウェアがプログラムを書くという点で違いがある。このような手法が出てきた理由は人間がプログラムできないできない問題が増えたためである。プログラミングは明確なルールや条件が決まっている問題を実現でき、機械学習は複雑・曖昧でパターン認識が必要な問題を実現できる。</t>
  </si>
  <si>
    <t>プログラミングと機械学習の違いについて、なぜ機械学習が登場したのか、そしてそれぞれで実現できることの違いをわかりやすく説明してください。</t>
  </si>
  <si>
    <t>将来AIに職業が奪われるとよく聞きますが、具体的にどのような感じになりますか。また、AIに勝るためには何が必要ですか。</t>
  </si>
  <si>
    <t>クレジットカードが不正利用されているかどうかの判断に使われている。リアルタイムでかつオンラインで検知する技術が使われている。これは、変化する不正方法や大量のデータは今までのやり方では限界があるため、機械学習が使われている。</t>
  </si>
  <si>
    <t>もう少し教室を増やし、広い空間で学びたい</t>
  </si>
  <si>
    <t>24238136@edu.cc.saga-u.ac.jp</t>
  </si>
  <si>
    <t>プログラミングは、人間があらかじめルールや計算手順を明確に定義し、それをコードとして記述することでコンピュータを動作させる方法である。これに対し、機械学習は人間がルールをすべて打ち込むのではなく、コンピュータに大量のデータを打ち込みそれらを用いて自ら規則性を抽出・学習する手法である。この違いから、なぜ機械学習という手法が必要になったのかも理解できた。人間が完全にルールを定めるのが難しい問題や、膨大なデータの中に隠れているパターンを見つける問題には、従来のプログラミングでは限界がある。そのようなときに、機械学習が重要な役割となっている。私も、単純な計算はプログラミングで、複雑な予測や分類は機械学習で、と役割を分けて考えると理解しやすいと思った。</t>
  </si>
  <si>
    <t>プログラミングとは
機械学習とは</t>
  </si>
  <si>
    <t>実社会において、機械学習は小売業の需要予測に広く利用されている。コンビニエンスストアやスーパーマーケットでは、商品を仕入れすぎれば廃棄ロスが増加し、少なすぎれば販売機会を逃してしまう。そのため、売上を正確に予測することは店舗経営において極めて重要な課題である。従来は、店長や担当者の経験や勘に基づいて発注量を決定することが多かった。しかし、売上には天候、気温、曜日、地域イベントなど複数の要因が影響するため、人間だけで高精度に予測することは難しい。そこで近年では、過去の販売データと外部要因を学習データとして用い、機械学習モデル（回帰分析、時系列予測モデル、深層学習など）を構築することで、より正確に翌日の販売数を予測する仕組みが導入されている。実際に私のバイト先でも、この予測に基づいて発注数量を最適化するシステムが稼働している。例えば、雨の日にはホットスナックの需要増加、気温の上昇時にはアイスの需要増加といった予測が自動的に提示される。これにより、売れ残りによる廃棄を削減しつつ、販売機会を逃さない効率的な店舗運営が可能となっている。このように機械学習を利用する理由は、人間が複雑な要因をすべて考慮して正確な予測を行うことが難しいためである。膨大なデータから自動的にパターンを抽出する機械学習の特性が、小売業の課題解決に大きく貢献しているといえる。</t>
  </si>
  <si>
    <t xml:space="preserve">実世界での機械学習の例
</t>
  </si>
  <si>
    <t>24238212@edu.cc.saga-u.ac.jp</t>
  </si>
  <si>
    <t>まずプログラミングと機械学習の違いとしてあげられるのは、ルールを人間が書くか、コンピュータが学ぶか、という点です。プログラミングでは人間がルール（手順や条件分岐）を細かく書いてあげるが、機械学習では人間がルールをすべて書くのではなく、データ（例や答えの集まり）を渡してコンピュータにパターンを学ばせます。ここでなぜ機械学習が出てきたのかという疑問について考えることができます。人間がルールを書ききれないような複雑な問題(顔認識や音声理解)に対応するためです。二つ目の違いは、扱える問題の範囲です。プログラミングはルールが明確に決まっている問題に強いです。計算機やファイル整理、交通信号の制御などがあげられます。一方機械学習はルールを明確に描けない問題に強いです。猫と犬を区別する、将棋の最適な一手を選ぶ、文章を翻訳するなどです。これらの違いによって実現できることの違いをまとめると、プログラミングは論理的で単純な処理を確実に実現することができ、機械学習はあいまいで人間の感覚に近い判断をコンピュータにさせられる。ということです。三つ目の違いは動作の予測しやすさです、先に書いているようにプログラミングはルールを自分で書いているので動作は完全に予測可能です。しかし機械学習はコンピュータがデータから学んでいるため、動作は確率的であるということになります。なぜ確率的になるかというと学習結果は統計に基づいているため、必ずしも正解を保証できないからです。まとめると、ルールを人間が書くか（プログラミング）、データから学ぶか（機械学習）明確な処理に強いか（プログラミング）、あいまいな判断に強いか（機械学習）予測通りに必ず動くか（プログラミング）、確率的に動くか（機械学習）、これらのような違いがあります</t>
  </si>
  <si>
    <t>ソフトウェアでの実装手段として、プログラミングと機械学習の違いについて、具体的に三点教えてください。回答の際は、なぜ機械学習という手法が出てきたのか、実現できることの違い、といった要素を含むように答えてください。説明の際、専門的な用語を使用しても構いませんが中学生程度に説明することを想定し、なるべく専門的用語のすぐ後にその用語の説明を加えてください。</t>
  </si>
  <si>
    <t>まず、情報過多になりわかりづらくならないように、三点という制限を設けました、またレポート作成のイメージと一致するように例に示されていたものを要素として加えるように指示しました、そして自身が読んで理解することができるよう、用語の説明を加えるよう指示しました。</t>
  </si>
  <si>
    <t>利用例として「ごみの分別ロボット」が存在します。どのような場面で使われているかというと、ごみ処理場やリサイクル工場でロボットがベルトコンベアの上を流れてくるごみを見分けて、自分で分別しています。使われているのは、画像認識とディープラーニングです。使い方はロボットにカメラでごみを撮影させ「これはペットボトル」「これは紙」「これは金属」というように、瞬時に判定させます、判定結果に応じて、アームでつかみ適切な箱に仕分けます。これになぜ機械学習が使われているのかというと、ごみの形や汚れ方はバラバラで、ルールを人間がプログラムで全部書くのはほぼ不可能だからです。例を挙げると「きれいなペットボトル」と「ラベルが半分はがれたペットボトル」は見た目は違いますがどちらもペットボトルです。プログラミングでこういった条件ならペットボトルと書こうとすると、膨大で対応できません。そこで機械学習を使うと大量の「これはペットボトル」「これは紙」といった画像を学習することで、人間に近い「あいまいな判断」をロボットができるようになります。</t>
  </si>
  <si>
    <t>実世界での機械学習の利用状況について一つ教えてください。説明の際どんな場面で、どんな技術が、どんな使われ方をしているのか、なぜそれに機械学習が使われているのか、を必ず含めてください。その際専門的用語は中学生程度に説明することを想定して、用語のすぐ後にその説明を加えてください。</t>
  </si>
  <si>
    <t>質問する際に「一つ」という具体的条件を忘れずにつけた、必須とされている要素を伝えた、回答を読んだときに自身が理解できるように専門的用語を使用した際は説明を加えるよう指示した。</t>
  </si>
  <si>
    <t>24238413@edu.cc.saga-u.ac.jp</t>
  </si>
  <si>
    <t>入力から出力までの手順やルールを人間が書くのをプログラミング、コンピューターがデータから手順やルールを学ぶのが機械学習である。また、機械が自動的に学習することに至ったのは、明限が書くことが困難なほど複雑化した課題と大量のデータ、そしてGPUの登場によるハードウェアの進歩が合わさったことで、機械に自ら学習させるほうが合理的で強力になったから。</t>
  </si>
  <si>
    <t>プログラミングと機械学習の違いについて教えてください
⇒機械が自動的に学習するようになったのはなぜか</t>
  </si>
  <si>
    <t>医療、金融、交通など様々な点において機械学習が利用されている。やはり、従来では解けない課題や大量のデータ量、効率や精度の向上のために使われるようになった。無くてはならなかったわけではないが、医療、金融、交通のように安全性や精度、リアルタイム性が求められるため、人間だけで判断や処理するより早く、正確に課題を処理することができるから。</t>
  </si>
  <si>
    <t>機械学習がどんな場面でどのように、どのような技術が使われているのか教えてください。
⇒なぜ使う必要があったのか。
⇒機械学習が無くてはならなかったのか。</t>
  </si>
  <si>
    <t>質問に対する回答を読んで疑問に思ったことを素直に聞いて会話を繰り返すことでより回答が詳細になった</t>
  </si>
  <si>
    <t>AIに頼りすぎるのではなく、あくまでも肩を借りるような使い方がAIも人間も進化していく方法の一つと考えてます。</t>
  </si>
  <si>
    <t>24238389@edu.cc.saga-u.ac.jp</t>
  </si>
  <si>
    <t>ソフトウェア実装におけるプログラミングと機械学習の違いについて、はじめに現代のソフトウェア開発においては、大きく分けて二つの実装手段が存在する。一つは従来型の「プログラミング」による方法であり、もう一つは近年急速に発展してきた「機械学習」に基づく方法である。本レポートでは、両者の違いや特徴を考察し明確化していく。
従来のプログラミングとは、人間が倫理やルールを明確に定義し、それをソースコードとして書き込む作業を指す。たとえば電卓アプリを作る場合、「数字を入力する」「四則演算のルールに従って計算する」「結果を表示する」といった手順を明示的にプログラムへ記述する。この手法の強みは、処理が予測可能であり、プログラムが決められたルール通りに動作することである。そのため、バグの原因を特定しやすく、正確な数値計算やデータベースの操作といった処理に適している。一方で弱点もある。現実世界には「人間がルールを明確に書き表せない問題」が存在ある。例えば画像から「犬と猫を区別するルール」をすべて人間が記述するのは現実的ではない。プログラミングの限界は、複雑で曖昧な情報処理を苦手とする点にある。
これに対して機械学習は、「ルールを人間が書く」のではなく、「大量のデータを与え、コンピュータ自身にルールを見つけさせる」というアプローチである。たとえば犬と猫を区別する仕組みを作る場合、犬と猫の画像を多数用意し、それぞれ正解のラベルを付与して学習させる。するとコンピュータはデータからパターンを抽出し、新しい画像に対しても「犬か猫か」を判断できるようになる。この手法の強みは、人間がルールを定義できないような複雑な問題でも解決できる点にある。音声認識や画像認識、自然言語処理といった分野で成果を上げている。また、データ量が増えれば精度が向上する可能性があり、現実世界の曖昧でノイズを含むデータにも比較的強い。一方でデメリットとしては、なぜその判断に至ったのかを説明するのが難しい(いわゆるブラックボックス問題)、大量のデータや計算資源が必要である、そして学習時とは異なる環境では精度が低下する、といった課題が存在する。
機械学習が登場した背景には、従来型のプログラミングの限界がある。人間がルールを定義できる問題は従来のプログラミングで十分対応できる。しかし、音声認識、画像認識、自動翻訳などの課題は、変動要因が多く、人間がすべてのルールを記述することは不可能であった。例えば音声認識では、人によって声質が異なり、雑音も混ざるため「音声を文字に変換するルール」を明確に書き下すことは困難である。画像認識においても、「猫の耳は三角形」や「犬の鼻は丸い」といったルールを膨大に書いても、例外が多すぎて対応しきれない。このように「ルール化ができない複雑な問題」を解決するために、データから自動的にパターンを学習する手法、すなわち機械学習が求められたのである。
最後に、両者がそれぞれどのような問題に向いているかを整理する。
・プログラミングが得意な領域
‣家計簿アプリのような計算処理
‣Webサービスのログイン機能など、明確な条件に基づく認証
‣データベース検索、数値計算、業務システムの自動化
・機械学習が得意な領域
‣スマートフォンの顔認証
‣音声アシスタント
‣自動運転
‣検索エンジンやレコメンドシステム
このように、プログラミングは「人間がルールを明確に定義できる問題」に強く、機械学習は「ルールを人間が書き下せない複雑な問題」に強い。両者は競合するのではく、むしろ補完的な関係にある。
プログラミングと機械学習は、ともにソフトウェアを実現するための手段であるが、そのアプローチは根本的に異なる。プログラミングは「人間がルールを決める」方法であり、機械学習は「コンピュータがデータからルールを見つける」方法である。この違いこそが、機械学習という新しい手法が登場した理由であり、現代のソフトウェアにおいて大きな役割を果たしている。今後も両者の特性っを理解し、適切に使い分けることが重要となる。</t>
  </si>
  <si>
    <t>ソフトウェアの実装手段として、プログラミングと機械学習の違いについて述べてください。文字数制限なしで具体的かつ丁寧にまとめて出して</t>
  </si>
  <si>
    <t>近年、医療現場ではX線写真やCT、MRIなどの画像診断が重要性を増している。しかし、診断に必要な画像データの量は膨大であり、医師の負担は非常に大きい。また、診断の精度には経験や専門性が大きく影響するため、誤審や見落としが問題になることがる。こうした課題を解決するために、機械学習(特にディープラーニング)を用いた「画像診断支援AI」が実用化されつつある。本レポートでは、その利用状況を整理し、なぜ機械学習が選ばれたのかを考察する。
主な活用場面として以下が挙げられる
・がん検診　・脳疾患の診断支援　・眼科領域　・一般検診　
このように、診断の「スピード」と「精度」の両立を支援する役割を担っている。
利用される主要な技術は深層学習(ディープラーニング)と呼ばれる手法である。特に画像認識に強みを持つ畳み込みニューラルネットワーク(CNN)が広く使われている。CNNは画像から特徴を自動的に抽出し、人間がルールを定義できないような細かなパターンも学習できる。これにより、医師が見落としがちな小さな影や微細な以上も検出可能になる。大量の既存医療画像(匿名化された検査データ)を学習に用いることで、」精度の高い診断補助が実現している。
具体的な使われ方としていくつか例が挙げられる。
・一次診断の補助：検診センターなどで撮影された数千件単位の画像をAIが解析し、異常が疑われる症例を自動でマークする。その後、医師が重点的に確認する。
・セカンドオピニオン：医師が出した診断に対して、AIが「一致するかどうか」を提示し、判断の裏付けを提供する。
・救急医療での迅速対応：脳梗塞や出血などで緊急性の高い疾患をAIが短時間で検出し、迅速な治療につなげる。
このように、AIは「医師に代わる存在」ではなく「医師を支援する存在」として位置づけられている。
機械学習が適している理由としては以下の通りである。
・ルールの明確化が困難：腫瘍や異常陰影の形は人によって、また症例によって大きく異なり、「○○の形をしていればがん」といった単純なルールで定義できない。従来のプログラミングでは対応不可能であった。
・膨大なデータが存在する：医療機関には大量の画像データが蓄積されており、これを学習データとして活用できる。データが豊富なことは機械学習にとって大きな利点である。
・高精度化が可能：ディープラーニングは人間の専門医と同等、あるいはそれを超える精度を出すこともある。誤審率を下げることで、患者の安心と医療の質を向上させられる。
・医師不足の解消：医師が不足している地域や診断需要が集中する検診現場において、AIは作業を効率化し、医師の負担を軽減する役割を果たす。
医療分野における画像診断支援AIは、ディープラーニング技術を用いることで、人間には難しい膨大な画像解析を可能にしている。これにより診断のスピードと精度が向上し、患者の早期治療につながるだけでなく、医師の負担軽減や医療資源の効率利用にも貢献している。従来のプログラミングでは解決できなかった「複雑で曖昧なパターン認識」を可能した点において、機械学習は医療に大きな変革をもたらしているといえる。</t>
  </si>
  <si>
    <t>実世界での機械学習の利用状況を１つ調査して、どんな場面で、どんな技術が、どんな使われ方をしているのか、なぜ機械学習を利用しているのか、以上の内容を具体的かつ丁寧に説明しまとめて</t>
  </si>
  <si>
    <t>23238914@edu.cc.saga-u.ac.jp</t>
  </si>
  <si>
    <t>プログラミングは、開発者が明確に定義した一連の手順や命令（アルゴリズム）に従ってコンピューターを動作させる手法です。そのため、四則演算、データベースの操作、ユーザーインターフェースの制御など、ロジックが明確かつ手順化できるタスクに極めて適しています。
一方、機械学習は、大量のデータ（入力と望ましい出力のペアなど）を与え、アルゴリズムがそのデータから自動的に規則性やパターンを学習し、未知のデータに対して予測や判断を行う手法です。人間がルールを明示するのが困難な、複雑で曖昧なタスクの解決に強みを発揮します。</t>
  </si>
  <si>
    <t>ソフトウェアでの実装手段として、プログラミングと機械学習の違いについて教えてください。具体的にできる事の違いについて端的に述べてください。</t>
  </si>
  <si>
    <t>業務用お掃除ロボットのAI導入が進んでいる。AI導入以前もお掃除ロボットは存在したが、指定された清掃ルートに従って掃除を行うだけだった。しかし、AIを導入することによって、清掃ルートを指定せずとも学習による最適な清掃ルートの探索、最適な清掃方法(拭き掃除、吸引等)を自動的に行えるようになった。</t>
  </si>
  <si>
    <t>24238103@edu.cc.saga-u.ac.jp</t>
  </si>
  <si>
    <t>プログラミングと機械学習では、それぞれ異なる考え方に基づいており、得意とする分野も異なる。
プログラミングは、人間がルールや手順を明示的に記述し、それに従ってコンピュータが処理を行う手法。例えば、電卓や家計簿アプリ、ゲームなどは、決まった処理を正確に実行することが求められるため、プログラミングによって実装される。一方で、機械学習は、過去のデータをもとにコンピュータ自身がルールを学習し、未知の状況にも柔軟に対応できるようにする手法。例えば、顔認識や音声認識、スパムメールの判定など、曖昧で複雑な情報を扱う場面では、機械学習が力を発揮する。
機械学習が登場した背景には、従来のプログラミングでは対応が難しい課題が増えてきたことがある。現実世界では、すべての条件を人間が定義するのが困難なケースが多く、そうした場面でコンピュータが自ら学習し、判断できる仕組みが求められた。機械学習は、膨大なデータからパターンを見つけ出し、予測や分類を可能にすることで、これまでの限界を超える技術として注目されている。
ただし、機械学習もプログラミングによって動いているため、両者は対立するものではなく、むしろ補完し合う関係にある。例えば、アプリの操作部分はプログラミングで構築し、ユーザーの行動分析には機械学習を活用することで、より高度な機能を持つソフトウェアが実現できる。</t>
  </si>
  <si>
    <t>ソフトウェアでの実装手段として、プログラミングと機械学習の違いについての述べてください。例えば、なぜ機械学習という手法が出てきたのか? 例えば、実現できる事の違い、など。
この課題についてまとめてください。</t>
  </si>
  <si>
    <t>ユニクロでは、店舗ごとに商品発注や在庫管理に機械学習の技術を活用している。これまでの方法では、店長や担当者が経験や勘に頼って発注数を決めていたが、季節や天候、地域の特性、過去の販売データなど、さまざまな要因が絡むため、予測が難しく、在庫の過不足が起こることもあった。そこで、ユニクロは、機械学習による予測モデルを導入。AIが過去の販売実績や気象データ、トレンド情報などを分析し、どの商品がどれだけ必要かを高精度で予測するようになった。これにより、売り逃しを防ぎながら、余剰在庫も減らすことができ、店舗運営の効率が大きく向上した。</t>
  </si>
  <si>
    <t>実世界 (社会や企業・組織など) での機械学習(AI)の利用状況1つを調査。どんな場面で、どんな技術が、どんな使われ方をしているのか? なぜ、機械学習を使ったのか?
これについて5つの事例を教えてください。</t>
  </si>
  <si>
    <t>事前作業の手順書をもっとわかりやすくした方がスムーズに授業に入りやすいと思った。例えば、手順を1つずつ写真で見てできるように添付しておくなど。</t>
  </si>
  <si>
    <t>24238209@edu.cc.saga-u.ac.jp</t>
  </si>
  <si>
    <t>プログラミングは、適切なコードを書くことで動くことが出来る。適切なコードを書くために論理的な思考が大切。適切なコードでしか動かないため、エラーが起こりやすく何回も試行錯誤し解決していくことが重要になる。繰り返し作業を自動化させることが出来る。機械学習は、訓練データからパターンを学んで予測する。しかし、訓練データが偏っていたり、十分な量がなかったりすると、精度が落ちてしまったり、偏った結果になってしまったりする。プログラミングと機械学習の違いとして、プログラミングは正確な根拠が必要なので、未知のデータに対しては対応できない。しかし、機械学習は予測を立てて学んでいるため、未知のデータに対応が出来る。</t>
  </si>
  <si>
    <t>機械学習について詳しく教えてください。特徴は特になにですか。プログラミングについて詳しく教えて欲しい。特徴を詳しく知りたいです。機会学習とプログラミングについての違いを簡単にまとめてください。</t>
  </si>
  <si>
    <t>自動運転技術で機械学習が活用されている例として、コンピュータビジョンやセンサーフュージョン、経路計画と制御がある。コンピュータビジョンでは、歩行者・車両・標識などを機械学習で判断して、周囲の安全を判断させる。センサーフュージョンでは、標識や信号の色や形を認識させたり、電波で物体の位置や速度を機械学習に認識させることで、天気が悪い時でも安定させて動くようにした。経路計画と制御では、車両のルートや加減速・停止を学習することで、交通の状況によって最適な運転操作を選択できるようにした。</t>
  </si>
  <si>
    <t>機械学習が実世界でどんなことに使われているかを五個にまとめてください。機械学習はYouTubeのおすすめでも使われていますか。自動運転技術での機械学習の例を三つ出してください。センサーフュージョンについて簡単に詳しく知りたいです。</t>
  </si>
  <si>
    <t>一回や二回で終わらせずに、五回ぐらい質問するように心がけた。自分が分からない単語も聞くようにした。</t>
  </si>
  <si>
    <t>23238902@edu.cc.saga-u.ac.jp</t>
  </si>
  <si>
    <t>プログラミングと機械学習は問題解決の手段であることが共通しているがそのアプローチが異なる。プログラミングは人間が作成したプログラムをアルゴリズム的に実行するため不測の事態が起こりずらいことが魅力といえる。一方で、機械学習は過去のデータを基に結果を出力するためプログラミングでは実現できないような未知の出来事を実現することができる。ここで、機械学習は過去のデータを基に結果を出力するため、学習データの公平性が重要であると考える。</t>
  </si>
  <si>
    <t>未使用</t>
  </si>
  <si>
    <t>実世界における機械学習(AI)の利用例として、雇用分野での導入がある。これは2010年代前半から実用化が進み、履歴書の解析や面接評価などの場面で、自然言語処理や過去の採用データを用いた機械学習により、効率化やコスト削減、客観的な雇用を行おうとした。
しかし、このシステムには公平性に深刻な課題もある。例えば2014年、Amazonが社内で導入した自動採用プロジェクトでは、過去の履歴書を基に訓練したモデルが男性を優位反映してしまい公平性を欠く結果となったため、わずか1年で中止に追い込まれた。このような問題を受け、2023年にニューヨーク市は自動雇用決定ツールに関する規制を導入し、雇用主に対して透明性を確保した独立的なバイアス監査を実施することを義務付けた。
このように、機械学習は人材雇用において依然として活用されているが、その性質上公平性を担保するための法律整備が進められ、利用と規則が一体的に進行している。</t>
  </si>
  <si>
    <t xml:space="preserve">[Q] おかしな答えもAIしてるって本で、平等な雇用のためにアメリカの雇用システムで機械学習を用いたときに、学習データにバイアスがあったため結局偏った雇用をしてしまったというものを見たけど現在はどうなっている? 
あと、次のURLは関連がある？
 https://www.jlgc.org/ja/09-06-2023/12040/
[A] いくつかの項目に分けて結果が出力されました。参考文献もありました。
[Q]AIを利用するための施策が強化されていることは分かったけれど、ではなぜそもそもAIを利用しようとしたの、以下のことをまとめて 
・なぜ機械学習を使ったか 
・利用される場面 
・利用される技術 
・使われ方(利用状況)
[A]１つ目のA同様、追加で要約も出力されました
AI が雇用に導入されたのは、効率化・コスト削減・客観性への期待が理由で、履歴書解析や面接評価など様々な場面で NLP やディープラーニングが使われているが、バイアスや不透明性の問題から規制や監査が強化されつつある。
[Q]それらを示す資料はある？
[A]最初の結果の資料が提供され意図に沿っていなかった。
[Q]どちらかというとさっきの4点の資料が欲しい
[A]分野、タイトル、概要で4点をまとめた表が表示され意図した結果が得られました。
[Q]AIを雇用に実験的に使用し始めたのは2014年のAmazonが最初ってことであってる？
[A]2014年のAmazonは「AI採用ツールの最初」ではなく、「代表的な失敗例として有名になった事例」。
実際には、2010年代前半から複数の企業・スタートアップがAIを雇用に応用し始めていた。
ということを確認できました。
[Q]バイアスの問題はあるけれど、現在でもAIは雇用に用いられている？
[A]現在もAIは雇用分野で活用されている（履歴書スクリーニング、適性検査、マッチングなど）。
ただし、過去のバイアス問題を教訓にして、透明性・監査・規制遵守を重視した運用が広がっている。
特に欧米では「AI採用ツールの公平性を担保する法律」が整備され始めており、規制と利用がセットで進んでいる。
ということが確認できました。
[Q]
実世界の機械学習(AI)の利用例として、AIを雇用に導入したものがある。これは2010年代前半から用いられ、履歴書の解析や面接評価などの場面で、自然言語処理や過去の採用データの機械学習により、効率化やコスト削減、客観的な雇用を行おうとした。しかし、このシステムには公平性に大きな問題もある。2014年、Amazonでは社内の採用業務を自動化するプロジェクトが導入後1年で中止された。同社のコンピュータモデルが過去の履歴書を基に訓練されたもので、男性を優位反映して公平性が損なわれてしまったことに起因する。そのため、2023年にニューヨーク市は自動雇用決定ツールについて、雇用主は透明性のある独立したバイアス監査を実施することを義務付けた。このように、機械学習は人材雇用に用いられるが、その性質上公平性を担保する法律が整備され始め規則と利用のセットが進んでいる。 
まとめてみたんだけど、添削して
[A]
実世界における機械学習（AI）の利用例として、雇用分野での導入がある。これは2010年代前半から実用化が進み、履歴書の解析や面接評価などの場面で、自然言語処理や過去の採用データを用いた機械学習が活用された。目的は採用業務の効率化やコスト削減、さらに客観的な選考の実現であった。
しかし、この仕組みには公平性に関する深刻な課題がある。たとえば2014年にAmazonが社内で導入した自動採用プロジェクトでは、過去の履歴書を基に学習したモデルが男性を優遇してしまい、公平性を欠く結果となったため、わずか1年で中止に追い込まれた。
このような問題を受け、2023年にはニューヨーク市が自動雇用決定ツールに関する規制を導入し、雇用主に対して透明性を確保した独立的なバイアス監査の実施を義務付けている。
このように、機械学習は人材雇用において依然として活用されているが、その性質上公平性を担保するための法律整備が進められ、利用と規制が一体的に進行している。
</t>
  </si>
  <si>
    <t>始めは自分が知っている情報をできるだけ書き出すことを意識しました。
その後は自分がPromptの結果を受けての質問や解釈の確認をすることでできるだけ情報を整理しやすくしました。
最後に、自分の文章を添削させることで可読性を上げつつ作文の仕方を学ばせてもらってます。</t>
  </si>
  <si>
    <t>24238197@edu.cc.saga-u.ac.jp</t>
  </si>
  <si>
    <t>プログラミングと機械学習の大きな違いは学び方である。プログラミングは人間がルールを明示的に書く方法だ。開発者が「この条件の時はこう動く」という風にすべての手順や条件を指定する。一方で、機械学習はコンピュータがデータからルールを自動で学ぶ方法だ。機械学習が必要となった理由はルールが複雑すぎる問題が増えたからである。この複雑なルールを人間がコードを書くのは現実的ではない。また、大量のデータが手に入るようになったことや、ハードウェアの進化により、大量のデータを高速に処理できるようになったことも機械学習が注目されるようになった原因である。</t>
  </si>
  <si>
    <t>ソフトウェアでの実装手段として、プログラミングと機械学習の違いを分かりやすく説明してください。例えば、なぜ機械学習という手法が出てきたのか、実現できる事の違い、など。
他にもいくつかの例を出して説明してください。</t>
  </si>
  <si>
    <t>現在、機械学習は様々な場面で利用されているが、私は自動運転車に利用されている機械学習について調査した。CNNによりカメラ映像から歩行者や車線、標識などを認識されるというディープラーニングの技術が使用されてたり、RNNが車両の軌道予測や動作シーケンスの学習に使用される。車両がリアルタイムに周囲の環境を把握し、運転操作を自動で行っている。また、機械学習モデルは膨大な走行データをもとに継続的に学習、改善される。</t>
  </si>
  <si>
    <t>実世界での機械学習の利用状況について一つ例を挙げてください。どんな場面で、どんな技術が、どんな使われているのか、どうして機械学習がつかったのかなど詳しく説明してください。</t>
  </si>
  <si>
    <t>具体的に質問すること。</t>
  </si>
  <si>
    <t>24238172@edu.cc.saga-u.ac.jp</t>
  </si>
  <si>
    <t>プログラミングは人間がルールや手順を明示的に記述する必要があり，ルールが複雑だったりデータが多すぎたりすると実装が難しくなります．そこで，データから自動的にパターンを学習する機械学習が登場しました．プログラミングは計算や制御が得意で，機械学習は予測や認識が得意です．</t>
  </si>
  <si>
    <t>ソフトウェアの実装手段として、プログラミングと機械学習の違いについて教えてください．例えば，なぜ機械学習という手法が出てきたのか? や，実現できる事の違いなどです．</t>
  </si>
  <si>
    <t>医療分野では，画像認識やディープランニングなどの技術が腫瘍の検出や治療プランの提供などに使われています．機械学習の利用により，医師の誤診を防いだり，個別化医療を実現したりするために機械学習が利用されています．</t>
  </si>
  <si>
    <t>実世界での機械学習の利用状況について，どんな場面で、どんな技術が、どんな使われ方をしているのか? なぜ、機械学習を使ったのか?を調べ，文章にまとめてください．</t>
  </si>
  <si>
    <t>文章にまとめることを要求し，生成された文章を活用することで，設問(4)に答えやすくなりました．</t>
  </si>
  <si>
    <t>24238070@edu.cc.saga-u.ac.jp</t>
  </si>
  <si>
    <t>従来のプログラミングは、人間が明示的に手順や規則を記述し、入力に対して一義的な出力を導く方式である。これに対し機械学習は、大量のデータから統計的手法を用いて規則性を抽出し、自動的に予測モデルを構築する点に特徴がある。前者は計算手順が明確な業務処理や制御系に有効であるが、画像認識や自然言語処理のようにルール化が極めて困難な課題には適用が難しい。こうした背景において、データ資源の増加と計算能力の発展を受けて機械学習が登場した。現在、スパムメールの判定、音声認識、需要予測など、従来手法では対応困難な分野で活用が進んでいる。すなわち、ルールを明確に規定できる問題には従来型プログラミングを、規則を記述できないがデータが豊富に存在する問題には機械学習を適用するのが合理的である。</t>
  </si>
  <si>
    <t>近年、企業活動における機械学習の活用が進んでいる。その一例として、武田薬品工業は医薬品の需要予測にAIを導入している。従来、需要予測は過去の販売データや専門家の知見に基づき行われていたが、市場変動や突発的要因を考慮することは難しかった。機械学習モデルは大量の時系列データから複雑なパターンを抽出し、需要の変動を高精度に予測できる。この技術を製造計画に組み込むことで、欠品の回避や在庫過多の抑制、さらには廃棄削減とコスト効率化が実現されつつある。機械学習を採用した理由は、非線形かつ多要因的な需要変動を従来手法では十分に捉えられないためである。すなわち、AI活用により社会的要請である安定供給と持続可能性を両立させる試みが展開されていると言える。</t>
  </si>
  <si>
    <t>AIを使ってオセロのゲームを作った時のそのゲームのアルゴリズムの解析が難しかった。</t>
  </si>
  <si>
    <t>24238194@edu.cc.saga-u.ac.jp</t>
  </si>
  <si>
    <t>プログラミングは人がルールを決めて書く方法であり、決まった処理に向いている。一方で、機械学習はコンピュータが大量のデータからルールを学ぶ方法で、複雑であいまいな問題に強いため機械学習は、画像認識や音声理解など、人がルールを作りにくい場面で活躍できる。さらに進化した生成AIは、文章や画像を自動で作成でき、人間のような自然な応答も可能であり、これにより創造的な作業やコミュニケーション支援にも活用されている。</t>
  </si>
  <si>
    <t xml:space="preserve">金融業界において、今日機械学習を活用した住宅ローン審査が進んでいる。例えばソニー銀行では、AIによるクレジットスコアリングと異常検知技術を用いて、最短30分で審査結果を提示できる仕組みを導入。これにより、夜間や休日でも自動対応が可能となり、顧客満足度の向上と業務効率化を実現している。従来の人手による審査は時間がかかり、離脱率が高かったため、機械学習による迅速かつ柔軟な対応が求められた。
</t>
  </si>
  <si>
    <t>24238441@edu.cc.saga-u.ac.jp</t>
  </si>
  <si>
    <t>プログラミングは人間がルールや手順を決めてコンピューターに指示を与えるものであり、機械学習はコンピューターがたくさんのデータからパターンを学んでコンピューターがルールを決めるものである。
機械学習はプログラミングで解決することが難しい問題を解決するために用いられる。例えば、画像に映っている動物は何なのかなど人間が明確な手順を示すことが難しいが、画像のデータを機械に学習させることによって画像の動物を識別できるようになる。</t>
  </si>
  <si>
    <t>Copilotに「ソフトウェアでの実装手段として、プログラミングと機械学習の違いについての述べてください。」と入力した。</t>
  </si>
  <si>
    <t>企業の機械学習の活用例として、顧客対応をAIチャットで行うものがある。質問の回答を自動で行い、オペレーターの負担軽減と深夜や休日の対応が可能になったり、海外の顧客向けに多言語の対応が可能になったりする。顧客ごとにデータを学習させておくと個別対応もかのうである。実際に楽天市場（インターネット通販）やみずほ銀行ではAIチャットボットが導入されており、必要に応じて人間のオペレーターに引き継ぐ仕組みなどもあるようです。</t>
  </si>
  <si>
    <t>Copilotで「社会や企業での機械学習（AI）の活用例を複数教えてください。また、その事例において機械学習を利用することの利点も示してください。」と入力し、その解答をもとに、「企業での活用例の顧客対応について詳しく教えてください。実際に採用している企業も上げてください。」と入力した。</t>
  </si>
  <si>
    <t>最初に活用されている例を複数個あげてもらい、その中で興味がわいた1つを次のPromptで聞いた。実際に活用している企業を上げさせて、実際に活用されているのか自分で調べて設問(4)に記入した。</t>
  </si>
  <si>
    <t>パソコンをあまり使わない身としては環境構築から一人でするのは難しかった。</t>
  </si>
  <si>
    <t>24238335@edu.cc.saga-u.ac.jp</t>
  </si>
  <si>
    <t>プログラミングは人間が手順や条件を明示的に記述して動作を決める方法であり、数値計算や業務処理などルールが明確な分野に適している。一方で、機械学習は大量のデータから規則やパターンを自動的に学習して判断する方法であり、画像認識や音声認識などルール化が困難な分野に強い。</t>
  </si>
  <si>
    <t>ソフトウェアの実装手段において、プログラミングと機械学習の違いについて簡潔に教えて</t>
  </si>
  <si>
    <t>英国での AI ステトスコープによる心臓病診断支援
イギリスの医療機関において、症状を訴える患者に対して使われた。また、ステトスコープとマイクロフォンで心音を録音し、心音データとして使用された。患者が症状を持って来院した際、通常の診察に加えてこの AI ステトスコープで簡単な検査をする。進行すると治療が難しい病気の早期発見のために使用された。</t>
  </si>
  <si>
    <t>実世界での機械学習またはAIの利用状況について1つ調査して簡潔にまとめて、その時はなぜ使われたのかとかも書いて</t>
  </si>
  <si>
    <t>使用例を調査する時になぜ使用されたのか、どんな時に使用されたのか等が含まれるように質問をしたこと。</t>
  </si>
  <si>
    <t>24238327@edu.cc.saga-u.ac.jp</t>
  </si>
  <si>
    <t>プログラミングは、人間がコンピュータに対して、実行すべき手順や判断基準を、一つ一つ具体的に記述していく方法である。答えが明確であり、手順が決まっている作業を得意としている。人間がすべてのルールを把握し、記述する必要がある。予期せぬ事態や、ルール化が難しいあいまいな問題への対応は苦手である。一方で、機械学習は、人間が大量のデータをコンピュータに与え、そのデータに潜むパターンや法則性をコンピュータ自身に見つけさせる方法である。ルール化が難しく、複雑で曖昧な問題が得意である。判断の根拠がブラックボックス化しやすい。学習のための大量かつ良質なデータが気つよう不可欠である。判断のルールを人間が作るか、機械が自ら学ぶかが大きな違いである。</t>
  </si>
  <si>
    <t xml:space="preserve">あなたは、私の優秀なレポート作成アシスタントだ。
私は、AIについて学習している建築学科の大学二年生だ。
AIは日常でよく利用している。
AIに関する詳しい知識はあまりない。
以下の課題について、アカデミックかつ平易な言葉遣いで、完成度の高いものを作成してください。
ソフトウェアでの実装手段として、プログラミングと機械学習の違いについて調べる。
この課題について出力してほしい。
条件
AIに詳しくない大学生でも分かりやすいように出力
専門用語を利用する場合、分かりやすい説明や具体例を添えること。
重要な箇所をわかりやすくすること
</t>
  </si>
  <si>
    <t>AIに役割を与え、出力の質が向上するようにした。
自分のレベル感に合わせて出力するよう設定を設けた。
条件を与え、自分が求めている出力に近づくようにした。
役割や設定、条件をプロンプトに取り入れることにより、AIが完成度の高い、読みやすい構造で出力するように心がけた。</t>
  </si>
  <si>
    <t>機械学習は、データから学ぶ能力を活かし、すでに建築の様々なフェーズで活用され始めている。特に建築学科の学生にとって興味深い設計の現場における利用事例として、ジェネラティブデザインがある。ジェネラティブデザインとは、設計者が制約情報(例：敷地形状、日照要件)と目的(例：居住空間の面積の最大化、構造的な安定性)をコンピュータに入力すると、AIがそれらの条件を満たす膨大な数のデザイン案を自動で生成・提案する技術である。AIは、学習した過去の建築データや物理法則に基づき、人間では思いもよらないような形状や構造のパターンを何百、何千と探索し、それぞれの案を性能評価(例：日当たり、風通し)と共に提示してくれる。設計者はその中から優れた案を選び出し、自身の創造力をブラッシュアップしてくれる。経験豊富な建築家とブウレインストリーミングを繰り返すような作業を、AIと行うことができる。</t>
  </si>
  <si>
    <t>あなたは、私の優秀なレポート作成アシスタントだ。
私は、AIについて学習している建築学科の大学二年生だ。
AIは日常でよく利用している。
AIに関する詳しい知識はあまりない。
以下の課題について、アカデミックかつ平易な言葉遣いで、完成度の高いものを作成してください。
実世界での機械学習(AI)の利用状況1つを調査する。
この課題について出力してほしい。
条件
AIに詳しくない大学生でも分かりやすいように出力
あなたが建築学科の学生である点を活かし、「建築分野での利用事例」を出力
専門用語を利用する場合、分かりやすい説明や具体例を添えること。
重要な箇所をわかりやすくすること</t>
  </si>
  <si>
    <t>一つ目の課題と同じく、AIに役割を与え、出力の質が向上するようにした。
自分の専門分野とレベル感に合わせて出力するよう設定を設けた。
条件を与え、自分が求めている出力に近づくようにした。
役割や設定、条件をプロンプトに取り入れることにより、AIが完成度の高い、読みやすい構造で出力するように心がけた。</t>
  </si>
  <si>
    <t>環境作成において、説明が理解しずらかった。そのため、改善することによりさらにいいものになると思う。</t>
  </si>
  <si>
    <t>24238331@edu.cc.saga-u.ac.jp</t>
  </si>
  <si>
    <t>萩田 淳史</t>
  </si>
  <si>
    <t xml:space="preserve">プログラミングは、人間が処理のルール（アルゴリズムと手順）を全て明確に記述し、コンピュータは決められた手順を忠実に実行すると定義され、正確性と再現性が求められる定型的な処理（計算、データベース操作、明確な手順のある業務システムなど)を得意とするのに対し、機械学習は、データからコンピュータが自律的にルールやパターンを学習し、人間は学習の枠組み（モデル）とデータを提供すると定義され、パターン認識、予測、曖昧さを含む複雑な問題解決 （画像認識、音声認識、自然言語処理、売上予測など）を得意とする。
</t>
  </si>
  <si>
    <t>クレジットカードやオンラインバンキングにおける不正利用のリアルタイム検知に機械学習が利用されている。</t>
  </si>
  <si>
    <t>特にない</t>
  </si>
  <si>
    <t>24238196@edu.cc.saga-u.ac.jp</t>
  </si>
  <si>
    <t>プログラミングは人間がアルゴリズムを定義してコードを書く。構築方法としてはロジックとデータから結果が得られる。それに比べて機械学習はデータと結果をもとにコンピュータ自身がモデル学習をする。構築方法としてはデータと結果からルールが得られる。プログラミングは結果を出すもの、機械学習はルールを作り出すものと言える。
用途の違いとして、プログラミングは明確なルールがあるもの（計算、制御、条件分岐など）に向いている。具体例は電卓、在庫管理、交通制御、ウェブアプリがある。ルールが変わるとコードを書き直す必要がある。機械学習は明確なルールが定義しずらいもの（認識、予測、分類など）に向いている。例としては画像認識、音声認識、異常検知がある。より正しい結果を出すには莫大なデータが必要になるが、データが変われば再学習させるだけで対応可能な場合が多い。</t>
  </si>
  <si>
    <t>ソフトウェアでの実装手段として、プログラミングと機械学習の違いについて教えてください。
二つの根本的な違い、できることの違いなど教えてください。
具体的な例も提示してください</t>
  </si>
  <si>
    <t>ただ違いを聞くのではなく、比較してほしい項目も指定しつつ、自分の知らないところもあると思ったから「など」と書いてほかの情報も書いてもらえるようにした。その後具体的な違いが欲しければ説明可能と来たので具体例も聞いた。</t>
  </si>
  <si>
    <t>利用状況についてGoogle healthなどで医療画像診断が挙げられる。機械学習が使われる経緯としては、医師の経験や集中力に頼る作業では見落としや判断のばらつきが生じる。また人間の処理能力を超える医療画像がある。それに比べて画像自体はピクセルの集合体でCNNのようなDeep learningに適している。ヒューマンエラーも出なくなるので機械学習が使われるようになった。使われる場面としてはCTやMRI画像から異常を検知したり、
Ｘ線や内視鏡、超音波画像や顕微鏡画像の判定など様々な「画像」を使う場面である。ここではＣＮＮを利用して形や色の濃淡から異常を検知したり、ピクセル単位で異常を特定したりして、その後異常・正常に分類される。また正常画像からの例外を学習して未知の異常発見にも使われる。
この場合では最終的に医師が判断を下すので医師の能力と二重での確認に使用されている。</t>
  </si>
  <si>
    <t>社会や企業、組織などでの機械学習の利用状況を教えてください。
２での医療画像診断について詳しく知りたいです。なぜ機械学習を使っているのか、使われる場面、技術、使われ方等教えてください</t>
  </si>
  <si>
    <t>最初に例をいくつか挙げてもらうことで満遍なく情報を得ようと思った。その中でも例示が詳しく書いてあり、実例が出ているものを確認してその詳細を聞きなおした。</t>
  </si>
  <si>
    <t>事前の環境構築の説明が足りなさ過ぎた。コンピュータを普段使わない人にとっては手も足も出ないので動画での説明が欲しいと思った。</t>
  </si>
  <si>
    <t>23238910@edu.cc.saga-u.ac.jp</t>
  </si>
  <si>
    <t>　従来のプログラミングでは、人間があらかじめ手順を定め、それをコードとして実装することでコンピュータを動かしてきた。この方法は計算や条件分岐など、明確に規則を記述できる処理に強みを持っている。一方で手書き文字認識や音声認識のように、ルールを完全に定義できない複雑な課題に対応することは難しい。
　その課題を解決する手段として登場したのが機械学習である。機械学習は大量のデータをもとにコンピュータが自らパターンを学習し、判断や予測を行う仕組みである。これにより、人間がルールを設計できない問題でも処理が可能になった。さらに近年はディープラーニングを基盤とした生成AIが発展し、既存の知識を活用して新しい文章や画像を生み出すことも可能となっている。</t>
  </si>
  <si>
    <t>　実世界における機械学習の利用例として、製造業の予知保全がある。工場では多くの機械が稼働しており、突発的な故障が発生すると生産ラインが停止し、大きな損失につながる。この課題に対し、センサーで取得した振動や温度などのデータを機械学習で分析し、故障の兆候を事前に検出する仕組みが導入されている。これにより、従来の定期点検や経験に頼った判断では難しかった壊れる前の予測が可能となり、メンテナンスの効率化やコスト削減、生産性の向上が実現されている。機械学習が用いられるのは、人間の経験だけでは見逃しやすい微小な変化をデータから自動的に学習し、より確実な予測を行えるためであると考える。</t>
  </si>
  <si>
    <t>実際の社会や企業でのAI・機械学習の活用事例をひとつ紹介してください。どのような場面で使われているか、その際に使われている技術、具体的な利用方法、そして機械学習を導入した理由について、調査結果をまとめたいので、簡潔に説明してください。</t>
  </si>
  <si>
    <t>どんな場面で、どんな技術が、どんな使われ方か、なぜ使うのか、という4つの要素を分かりやすく含めるようにした。</t>
  </si>
  <si>
    <t>Teamsのチャットで学籍番号がわかっていればグループチャットを作成できるので、事前に生徒側にグループチャットを作成する指示をし、講義までの関係性やわからないところの共有をしやすくするとよいと個人的に思いました。</t>
  </si>
  <si>
    <t>24238080@edu.cc.saga-u.ac.jp</t>
  </si>
  <si>
    <t>プログラミングは人間が指示したものことに対して、コンピューターがその通りに動くことであり、やり方を教えることで結果を出します。それに対して機械学習とはコンピューターが自分で学んでいくものです。結果をからやり方を導きます。人間としてわかっているのに説明できないことはたくさんあります。多くの経験から様々な情報を利用して理解しているからです。そのようなときに機械学習が役に立ちます。</t>
  </si>
  <si>
    <t>プログラミングと機械学習の違いを初心者でもわかるように教えてください</t>
  </si>
  <si>
    <t>医療分野での利用状況を説明すると、診察や検査の際に利用されている。大量の診断画像を学習したAIを利用し、Ｘ線やMRI画像をAIに読み込ませることで病気を検出することができる。これにより病気の早期発見や診断の精度が向上させることができる。さらに人間の場合微小な病気の変化を見落としたり、人手不足といった問題を解決することができます。</t>
  </si>
  <si>
    <t>実世界で機械学習はどのような利用をされていますか。5W1Hを使って詳しく説明してください。具体例は5つ書き出してください
医療画像診断についてなぜ機械学習を取り入れたのですか。人間ではよくない理由を含めて答えてください</t>
  </si>
  <si>
    <t>一文で終わらせるのではなくて具体例の数を求めたり、自分の必要な情報をもとめるために追加の分を付け加えた</t>
  </si>
  <si>
    <t>確かに私たちはどのように猫を判断しているのかと深く考え直せた。言語だけでは足りなくて複雑に絡み合っているのかなと思った。いまいちどのように使えばいいかわからなかったが、仕事での利用方法などを聞き、よりよい世界には必要なことだとわかった。</t>
  </si>
  <si>
    <t>24238410@edu.cc.saga-u.ac.jp</t>
  </si>
  <si>
    <t>プログラミングは計算処理などの人間が明確に定義できる問題を扱っている。人間が設定したルールに従ってソフトウェアを作ることができる。しかし、近年のデータは、画像、音声、言語などの複雑で曖昧なものが増えているため、機械学習で扱う。機械学習では、与えられたデータからアルゴリズムを学習するため、人間がプログラムできない問題も処理できる。画像認識、音声認識、翻訳などが機械学習で可能になる。</t>
  </si>
  <si>
    <t>プログラミングと機械学習の違いについて教えてください。また、具体的な実現できることの違いやなぜ機械学習という手法が出てきたのかを詳細に教えてください。</t>
  </si>
  <si>
    <t>ECサイトにおいて、レコメンデーションをするために機械学習が利用されている。過去の販売データや購入履歴をもとに、その顧客に合った商品やサービスが表示される。また、季節や旬の商品も表示され、消費者の購買意欲を高め、売り上げ向上につながるため機械学習が使われている。</t>
  </si>
  <si>
    <t>社会や企業、組織などでの機械学習(AI)の利用状況を教えてください。どんな場面で、どんな技術が、どんな使われ方をしているのか、なぜ機械学習を使うのかを詳細に教えてください。</t>
  </si>
  <si>
    <t>詳しく知りたいので、「詳細に」という言葉を入れて作成した。</t>
  </si>
  <si>
    <t>MNIST-初めての機械学習の作成において、書かれているpythonのコードが難しかったので、少しコメントなどで注釈を入れてほしかった。</t>
  </si>
  <si>
    <t>24238227@edu.cc.saga-u.ac.jp</t>
  </si>
  <si>
    <t>プログラミングは人間がルールを作り、その手順通りに動くもので、機械学習はコンピュータが大量のデータから学ぶ。プログラミングはウェブアプリやゲームなどに使用され、機械学習は顔認識や音声認識に使用される。</t>
  </si>
  <si>
    <t>プログラミングと機械学習の違いを教えて</t>
  </si>
  <si>
    <t>簡潔な質問をして、自分で出た答えから正しいかどうかを調べた。</t>
  </si>
  <si>
    <t>ECサイトのレコメンド機能でディープラーニングなどの技術を使うことによって、ユーザーの過去の閲覧商品や購入履歴から個人に最適化された提案を行うことができる。</t>
  </si>
  <si>
    <t>実世界で機械学習がどんな技術がどのように使われているのか、なぜ機械学習を使ったのかを教えて。</t>
  </si>
  <si>
    <t>セットアップ作業が一番難しかった。</t>
  </si>
  <si>
    <t>24238015@edu.cc.saga-u.ac.jp</t>
  </si>
  <si>
    <t>ソフトウェアは、人間が特定の手順やルールをデータとして読み込ませることで、決まった通りに動かすことで作業効率を上げることができる．一方で、機械学習は、データを大量に与え、コンピュータ自身に、パターンや判断基準を覚えさせることができ、プログラミングとは違った、不規則な事柄などの対応をすることができる。</t>
  </si>
  <si>
    <t>機械学習が発展することで、これからさらにどのようなことができるようになるのか。</t>
  </si>
  <si>
    <t xml:space="preserve">画像認識　顔の特徴点（目・鼻・輪郭など）を学習したモデルが、登録された本人かどうかを判定する。顔の形や光の当たり方は毎回少し違うので、ルールを人間が書くのは不可能。機械学習なら大量の顔画像からパターンを学んで柔軟に判別できるから。
</t>
  </si>
  <si>
    <t>機械学習の身近な例と、それを実現するメリット</t>
  </si>
  <si>
    <t>答えを出しやすく質問した</t>
  </si>
  <si>
    <t>lobeで画像を、正確に認識させることが難しく、様々な理由を考えたが、全部なのかもしれないが、どれなのかよくわからなかった。また、pcに、複数の画像を簡単に準備する方法がわからず時間がかかってしまった。</t>
  </si>
  <si>
    <t>24238013@edu.cc.saga-u.ac.jp</t>
  </si>
  <si>
    <t>プログラミングとは､人がコンピューターにこうしてと命令を書くこと。つまり、ルールを作るのは人間で､計算や決まった作業を得意としている。例えば、電卓やゲームなどがある。それに対して機械学習とは､コンピューターが自分でルールを見つける方法。予測や判断､分類を得意としている。例えば、顔認証や音声認識などがある。</t>
  </si>
  <si>
    <t>ソフトウェアでの実装手段として、プログラミングと機械学習の違いについて、例を交えてわかりやすく説明して。</t>
  </si>
  <si>
    <t>コンビニやスーパーでは、毎日「どの商品をどれくらい仕入れるか」を決める必要があり､天候データ、過去の販売データ、イベント情報、曜日や時間帯といった多様なデータを入力して「明日の販売数」を予測する。例えば、セブン-イレブンやイオンなどの小売業では、AIが店舗ごとに販売量を予測し、最適な発注数量を提案し､店長はその提案を参考にして発注を行うことで、食品ロスの削減や欠品の防止につなげる。</t>
  </si>
  <si>
    <t>事前準備が難しかったので､学生のコンピューターへの理解をより深めるべきだと感じた。</t>
  </si>
  <si>
    <t>24238154@edu.cc.saga-u.ac.jp</t>
  </si>
  <si>
    <t xml:space="preserve">ソフトウェアの実装には「プログラミング」と「機械学習」がある。プログラミングは人間がルールを明示的に記述するのに対し、機械学習は大量のデータからコンピュータが規則性を学習する。前者は計算処理や制御など明確な規則に強いが、画像認識や自然言語理解のような複雑な課題には限界があった。そこで機械学習が登場し、従来困難だったパターン認識や予測が可能となり、生成AIをはじめ新たな応用分野を切り拓いた。
</t>
  </si>
  <si>
    <t xml:space="preserve">ソフトウェアでの実装手段として、プログラミングと機械学習の違いについて述べてください。例えば、なぜ機械学習という手法が出てきたのか？例えば、実現できる事の違い、など。生成AIを使用した場合は、その結果としてのレポートはここになります。
</t>
  </si>
  <si>
    <t>とくになし</t>
  </si>
  <si>
    <t>製造業では、機械装置の故障を未然に防ぐために「予知保全」が行われている。IoTセンサーで温度や振動などを収集し、機械学習モデルで異常を予測する。従来の閾値ルールでは見落としや誤警報が多かったが、機械学習により複数指標のパターンから早期に異常を検知できる。これにより緊急停止や保守コストを削減し、生産効率を向上させることが可能となった。</t>
  </si>
  <si>
    <t xml:space="preserve">実世界（社会や企業・組織など）での機械学習(AI)の利用状況を1つ調査してください。どんな場面で、どんな技術が、どんな使われ方をしているのか、なぜ機械学習を使ったのかを整理してください。レポートとして200字程度にまとめてください。
</t>
  </si>
  <si>
    <t>なるべく聞かれたまま質問してその後文字数などの条件をつけた。</t>
  </si>
  <si>
    <t>もう少し作業量があっていいと思った。</t>
  </si>
  <si>
    <t>24238334@edu.cc.saga-u.ac.jp</t>
  </si>
  <si>
    <t>プログラミングとは人間がルールを決めて書く方法であり、機械学習とはコンピューターが自分でルールを見つけて書く方法である。また機械学習が出てきた背景には大量のデータが取得、保存できるようになったからである。人間では到底実現不可能な短時間で、大量のデータから自動的に正確な結果を得ることができる。</t>
  </si>
  <si>
    <t>NetflixやAmazonなどのインターネットサービスではおすすめの映画やおすすめの商品を提案されることがある。これはユーザーの行動を分析してユーザーの傾向を見つけている。これらには協調フィルタリング（似た人の好みから予測）やコンテンツベース（アイテムの特徴から予測）、ディープラーニング（画像や音声の特徴を深く学ぶ）などが使われている。これらを組み合わせることでNetflixやAmazonはより精度の高いおすすめを実現している。</t>
  </si>
  <si>
    <t>実社会(社会や企業、組織)での機会学習の利用状況をどんな場面で、どんな技術が、どんな使われ方をしているのか高校生にもわかるように教えて⇒1についてもっと教えて⇒どんな技術が使われてるの？⇒1~3についてもっと深くおしえて</t>
  </si>
  <si>
    <t>できるだけ、細かく、分かりやすく質問し、返された内容からもっと深く知るために何度も質問をしたこと。</t>
  </si>
  <si>
    <t>24238085@edu.cc.saga-u.ac.jp</t>
  </si>
  <si>
    <t>プログラミングは人間が書く。根拠は明確で必然性からアルゴリズムを定義する。アルゴリズムは固定されており、容易に説明できる。一方、機械学習はソフトウェアが書く。根拠が曖昧だが、多くの事例からアルゴリズムを定義する。また、アルゴリズムはデータに依存し、時間とともに変わる。
プログラミングは、人間が書くため、計算処理や在庫管理、決済システムなど決まった手順の作業に強みがある。しかし、画像認識や音声認識、自然言語処理のようにルールを設計しにくい分野では限界があった。そこで登場したのが機械学習である。機械学習は膨大なデータから自動的にパターンや規則を学習し、精度を高めることができる。これにより、顔認証や音声アシスタント、需要予測、自動運転など、従来のプログラミングでは難しかった複雑で曖昧なタスクの実現が可能となり、応用範囲が広がっている。</t>
  </si>
  <si>
    <t>入力したprompt
(1)なぜ機械学習という手法が出てきたのか。またプログラミングと機械学習で実現できることの違いを200字以内で具体的に書いてまとめて。
それぞれ箇条書きでまとめた後に文章を書いて。
(2)まとめ文は119字である。
二百字に近づけて
(3) プログラミングと機械学習での実現できることの違いをもう少し具体的に書いた文にしたい
(4)なぜ機械学習という手法が出てきたのかという内容が抜けている。
300字に増やして良いので今までの字数以外の条件を満たして
promptの選定理由
1:自分で上手に言語化することが出来なかった事と、長い文章を読む前にどのような内容が書いてあるか箇条書きすることでより短時間で重要な内容を理解できると思ったから。
2:講義では具体的にpromptを書くべきだと仰っていたので1ではなるべく具体的に文字数を指定してみた。しかし出力された文章は119字であるのに対し。チャットGPTは199字だと言い張ったから。
3:プログラミングと機械学習で実現できることの違いが曖昧だったから。
4:出力された文章は(1)の指示を完全に満たしていなかった。制限した文字数が少なすぎたのが原因であると考えたため文字数を増やした。</t>
  </si>
  <si>
    <t>ない</t>
  </si>
  <si>
    <t>医療
・AIによるゲノム（遺伝子）配列の分析AIによるガン治療の最適化 
・悪性腫瘍やポリープなどの発見AIによるX線画像の読影 
・診察時の視覚支援AIによる治療計画の立案 
・成分分析AIによる創薬
・AIによる支援計画書や周辺資料の自動作成AIによる利用者の見守りと危険行動の警告
・AIロボットが手術を代行AIが手術時の視覚や手先をサポート
なぜ機械学習を使ったのか。
・人のゲノム配列は人によってことなり、その組み合わせは100万通り以上る。このような膨大なゲノムデータを扱うには人の力だけでは困難だから
・日本は先進国の中でも、放射線画像診断装置（CTやX線など）の台数が多い。しかし画像を読影し分析できる放射線科医は、不足している。そのため画像診断AIを使用し、読影時間の削減や読影の精度度向上に活用されている。
・医療従事者の負担軽減をするため
・欧米では承認されている薬の多くが日本では開発未着手にある状態にある。AIを利用することで新薬開発の効率化やコスト削減につながる。
・介護職員の負担軽減のため。職員が一人ひとりの部屋を見回りする必要がなくなり、入居者の事故を未然に防ぐことにもつながる。
・AIが手術時の視覚や動きを支援すれば、医師歴や経験値に関係なく高品質な手術を行いやすくなるから。</t>
  </si>
  <si>
    <t>初日のPythonのプログラミングコードが難しかった。
情報系のコースではないのでchatGPTを使っても理解できなかった。</t>
  </si>
  <si>
    <t>24238442@edu.cc.saga-u.ac.jp</t>
  </si>
  <si>
    <t>　ソフトウェア開発において，プログラミングと機械学習は大きく異なる．
　まず，定義について整理する．プログラミングは，開発者がアルゴリズムと条件分岐を明示的に記述して動作を決める方式である．
仕様が決まっており，論理的な正当性と決定論的な振る舞いが得やすい点が特徴となっている．一方，機械学習はデータと目標を与え，パラメータを調整して入力→出力の写像を学習する方式である．手作業でルール化が難しい高次元・曖昧・ノイズを含むタスクで高い性能を発揮することが多い点が特徴である．ここでの本質的な差は「知識がどこに書かれているか」である．従来のプログラミングはcode中に知識が明示されるのに対し，機械学習では知識がモデルのパラメータとして格納される．これにより，手作業でルール化が難しい高次元・曖昧・ノイズを含むタスクで高い性能を発揮することができる．
　次に具体的に何ができるかだが，従来のプログラミングは明確なルールや仕様がある処理，安全性が最優先の制御，証明可能性や検証が必要な分野などルールベースな領域を得意としている．対して機械学習は画像認識や音声認識など人間の感覚に近いパターン認識や異常検知や予測保守など大量の情報処理を必要とする領域を得意としている．現実ではプログラミングと機械学習を組み合わせるといった手法がとられている．
　また，なぜ機械学習は誕生したか，その歴史的背景についても触れておく．まず，センサー，ログ，音声などの大量データが世にあふれた．これにより経験的に「データから学ぶ」アプローチが利用できる素地が生まれた．当初は大規模データを処理できるハードウェアが実運用が困難だったが，GPUや大規模分散学習で現実的になってきた．さらに効率的なアルゴリズムの発達により，「ルールでは書けないがデータからは学べる」問題が次々に解けるようになった．
　さて，機械学習における強みと弱みについてだが，まず強みについて述べる．画像，音声，テキストのような非構造化データから特徴を自動で抽出できること，事前学習から微調整を行うことで別タスクに流用可能な点，データ量とモデルの規模を増やすと性能が改善しやすい傾向，ユーザ・環境に合わせた最適化ができるなど機械学習特有の強みが多々存在する．
　一方で,作成される学習データに強く依存しているため，バイアスが生じやすかったり，どういった判断基準なのかわからず，ブラックボックス化してしまったりといったリスクも併せ持っている．
　まとめると，従来のプログラミングは人間があれこれ指示して動かす方式である．一方で，機械学習はデータと目的を与え，モデルがルールや特徴を学習して推論する方式となっている．機械学習の発展は大量データと計算資源，学習アルゴリズムの改良により現実問題の多くを自動化可能にしたのである．</t>
  </si>
  <si>
    <t>ソフトウェアの実装手段としてプログラミングと機械学習の違いはどのようなことがありますか？また，具体的に何ができるか，なぜ機械学習という手法が生まれたか，何が強み，弱みか，今後の展望など具体的かつ詳細に説明してください　ただし，文字数に制限はありません．とにかく具体的かつ詳細に説明することを優先してください</t>
  </si>
  <si>
    <t>まずプログラミングと機械学習についていまいちわかっていなかったので情報量が多く，理解できる出力を得ることを優先したいと考えました．そこで事前情報から例まで幅広く具体的に指定することで各項目について書きやすいようにしています．</t>
  </si>
  <si>
    <t>　実世界における代表例には，糖尿病性網膜症スクリーニングにおける自律型AIシステムがある．背景として糖尿病網膜症は中高年の失明原因の主要因となっている．失明を防ぐには早期治療がカギである．しかし，患者が定期検査を受けない割合が多く，専門医リソースや地域格差が障壁となる．そこで，AIを利用することで大量の画像をスクリーニングすることで人件費を抑えて瞬時に検査判定を行っている．具体的にはアメリカのプライマリケア診療所で患者が定期受診した際に眼底写真をとりＡIで分析する．そこで中等度以上の網膜症または黄斑浮腫が検知されれば即時で眼科へ紹介する．このように定期健診から早期に発見，専門家への接続を迅速に行う行うことが可能となっている．</t>
  </si>
  <si>
    <t>今回のAI実習ではプログラム面における機械学習と深層学習の違いだったり，画像分析AIの使い方について学びました．特に，画像分析AIは初めて使いましたが，動かすだけなら思ったよりも簡単で楽しかったです．ただ，キリン，ゾウ，ライオンの3つの判定だけでも正答率の偏りがすごくて実際に使えるものにする難しさを実感しました．　　強いて言えば画像分析AIのところで各班ごとに判定の正確性を競ったり分析するものを各自で決めたりなど他と競う内容があるとより主体的な学びができると思います．</t>
  </si>
  <si>
    <t>24238052@edu.cc.saga-u.ac.jp</t>
  </si>
  <si>
    <t>プログラミングは結果を得るためにルールを人間が記述するのに対し、機械学習は大量のデータから自動的にルールを発見し予測を行う。また、プログラミングは非常に高速で確実であるため、確実な再現性が求められ、誤差も許されない金融取引や制御処理などに用いられる。それに対し、機械学習はデータに潜む複雑なパターンや特徴を見つけ出す能力に優れているため、画像や音声、自然言語などの飛行増加データを扱う分野や、過去のデータから未来を予測する分野で用いられる。</t>
  </si>
  <si>
    <t>ソフトウェアでの実装手段として、プログラミングと機械学習の違いについて分かりやすく説明してください。</t>
  </si>
  <si>
    <t>機械学習の利用状況の1つとして、「ECサイトの商品レコメンデーション（Amazonなど）」が挙げられる。ユーザーが購入した商品と他の多数のユーザーの行動パターンを比較して、興味を持つ可能性が高い商品を予測している。例としては、「この商品を見た人はこんな商品も購入しています」などがある。機械学習を用いることによって、企業の売上向上と顧客体験の向上につながっている。また、パーソナライズされることによって、「まるで自分のことを理解してくれている」と感じさせることにより、顧客の購買意欲が高まり、サイトの滞在時間やリピート率が増加する仕組みである。</t>
  </si>
  <si>
    <t>社会や企業の組織では機械学習はどのように使われていますか。実際の例を用いて非常に具体的に説明してください。</t>
  </si>
  <si>
    <t>詳細に知りたかったので、具体例を用いて説明してほしいと強調した。</t>
  </si>
  <si>
    <t>環境を構築するのに時間がかかってしまいました。一つ一つ写真などがあればスムーズにできると思います。</t>
  </si>
  <si>
    <t>24238033@edu.cc.saga-u.ac.jp</t>
  </si>
  <si>
    <t>プログラムは厳密にルールを提示しないと実装することができないが正確な答えを必ず返す。一方、機械学習はデータをもとに特徴や法則を読み取ることでルールを構築するため、正確性は薄れてしまうが柔軟な答えを出すことができる。このため、精度はデータの質や量に大きく左右されてしまう。
また、プログラミングは設計者の価値観や解釈が入ってしまうのに対し、機械学習はデータをもとに実装するため、特に画像や音声など人によって普遍的でないもの（解釈が異なるもの）を客観的に扱える点で有効であると考える。一方、プログラムは設計者の意図を反映しやすく、自分の理想のソフトウェアを実装することが可能である。</t>
  </si>
  <si>
    <t>Amazonのレコメンドエンジン
AmazonのECサイトで、ユーザーに商品をお勧めする場面で使われる。
機械学習の中でも「協調フィルタリング」や「ディープラーニング」を活用し、ユーザーの購買履歴、閲覧履歴、類似ユーザーの行動データを分析する。
機械学習を使用した理由はユーザーごとに異なる嗜好をリアルタイムで学習し、精度の高いレコメンドを提供するため、手動でルールを設定するのは不可能なほどデータ量が膨大であるため自動化が必須だったため、の二つの理由が挙げられる。</t>
  </si>
  <si>
    <t>実世界 (社会や企業・組織など) での機械学習(AI)の利用状況1つを調査。どんな場面で、どんな技術が、どんな使われ方をしているのか? なぜ、機械学習を使ったのか?
という質問に答えてほしいです。できる限り正確な情報を集めて、考えてください。あとどのサイトを参照したか提示して。
Amazonの話をもっと掘り下げてください。なぜAmazonは機械学習という手段をとったのでしょう？(お勧めの商品を提示するほかの手段はなかったのか？)機械学習をすることによる利点を挙げてください。</t>
  </si>
  <si>
    <t>正確な情報が求められる質問であったため、引用したサイトを提示させるプロンプトにした点。
最初の質問だけでは自分の必要な情報が得られなかったため、より自分が聞きたいことが明確になるように質問した点。</t>
  </si>
  <si>
    <t>初日のpythonのコードを読む作業が難しく、授業時間内に理解することができなかった。</t>
  </si>
  <si>
    <t>24238059@edu.cc.saga-u.ac.jp</t>
  </si>
  <si>
    <t>プログラミングは人間のプログラマがコードを書く。そのため、アルゴリズムは固定されていて、容易に説明することができる。
機械学習は、データからソフトウェアがコードを書く。そのため、アルゴリズムはデータに依存し、時間とともに変わる。書かれたコードの根拠は曖昧であり、多くの事象からアルゴリズムを定義している。また、機械学習の目的は汎化である。</t>
  </si>
  <si>
    <t>プログラミングと機械学習の違いについて教えてください。また、その根拠となる出典元も提示してください。</t>
  </si>
  <si>
    <t>金融業界の不正検知
銀行やクレジットカード会社は、取引データを分析し、不正利用をリアルタイムで検知している。
金融取引では、MLモデルを使って異常なパターンを検出し、詐欺やフィッシング攻撃を防止している。
ここで機械学習が使われている理由は、不正パターンは常に進化するため、固定ルールでは対応困難だが、MLは過去の膨大な取引データから特徴を学び、新しい不正パターンにも適応できるためである。</t>
  </si>
  <si>
    <t>実世界での機械学習の利用状況の例を挙げてください。その時に例と共に根拠となるデータや出典元も提示してください。また、なぜ機械学習を使っているのか理由も説明してください。</t>
  </si>
  <si>
    <t>出典元を明記させることにより、自分でその情報が正しいのかを確認できるようにした。</t>
  </si>
  <si>
    <t>教科書としていたものの日本語が少し難しく、理解するのに時間がかかった。</t>
  </si>
  <si>
    <t>24238290@edu.cc.saga-u.ac.jp</t>
  </si>
  <si>
    <t>ソフトウェアを作る方法には大きく分けて「プログラミング」と「機械学習」がある。プログラミングは、人間がルールや手順を考えてコードに書き、コンピュータに実行させる方法である。計算や並べ替えなど、処理が明確に定義できる問題には非常に強い。一方で、画像認識や音声認識のように膨大で曖昧なパターンを持つ問題では、すべてのルールを人間が書くことは難しい。
　そこで登場したのが機械学習である。機械学習は大量のデータを使ってコンピュータ自身にルールを学ばせる仕組みで、人間が直接定義できない複雑な特徴も扱えるようになる。例えば手書き数字の判別は、従来のプログラミングでは困難だったが、機械学習を用いることで高い精度で自動的に認識できるようになった。
　このように、機械学習という手法は「人間がルールを書けない問題」を解決するために生まれたといえる。近年では、インターネットやセンサーの普及により膨大なデータが集まるようになり、それを処理できる計算資源も整ったことで、機械学習は急速に発展してきた。つまり、従来のプログラミングでは対応できなかった複雑で曖昧な課題を扱うために必要とされ、その結果として多様な分野で利用されるようになったのである。</t>
  </si>
  <si>
    <t>機械学習という手法がなぜ出て来たのか</t>
  </si>
  <si>
    <t>近年、機械学習（AI）は社会や企業の幅広い分野で利用されている。その代表的な例の一つが、小売業における無人店舗やセルフチェックアウトである。従来の店舗では、レジで商品ごとにバーコードを読み取る必要があり、時間がかかるだけでなく、多数のスタッフを配置する必要があった。しかし現在では、コンピュータビジョン技術と深層学習を用いた商品認識システムが導入され、レジ待ち時間の削減や人手不足の解消に活用されている。
　具体的には、店舗に設置されたカメラが商品を撮影し、機械学習モデルがその外観から種類を自動的に判別する。これにより、パンや惣菜のように形や大きさが少しずつ異なる商品であっても、高い精度で識別できる。さらに、センサーや重さの測定を組み合わせることで、商品が棚から取られたかどうかを追跡し、顧客が持ち帰った商品を自動的に計算・決済する仕組みが実現している。こうしたシステムは大丸や海外チェーンの店舗などで実証され、実際の運用が始まっている。
　このように、無人店舗やセルフチェックアウトでは、コンピュータビジョンや深層学習といった機械学習技術が中心的な役割を担っている。コンピュータビジョンは、カメラで撮影した映像から物体を検出・認識する技術であり、深層学習によって多様な商品画像を学習させることで、パンや惣菜のように形や大きさが微妙に異なる商品でも高精度に識別できる。また、センサー技術や重量検知システムと組み合わせることで、商品が棚から取られたタイミングを正確に把握し、顧客が持ち帰る商品を自動的に計算できる。これらの技術の組み合わせによって、人手を大幅に減らしながらスムーズな買い物体験を提供することが可能となっている。</t>
  </si>
  <si>
    <t>無人店舗・セルフチェックアウトにおける機械学習技術に使われている技術を教えて</t>
  </si>
  <si>
    <t>今回のPBLでは、事前準備が十分に行えなかったことが大きな課題となった。そのため、演習の進行が想定よりも遅れ、計画通りに作業を進めることが難しかった。特に、必要な知識やツールの習熟に時間を要し、取り組みを順調に進められなかった。</t>
  </si>
  <si>
    <t>24238229@edu.cc.saga-u.ac.jp</t>
  </si>
  <si>
    <t>ソフトウェアの実装手段としてのプログラミングと機械学習には、処理のルールを人が与えるか、データからコンピューター自身が学習するかという違いがある。プログラミングでは決められた手順を正確に安定して実行することができ、機械学習ではデータから学習し、ルール化できない複雑なパターンや未知のデータに対して推論を行うことができる。</t>
  </si>
  <si>
    <t>実世界で使われている例として、製品の不良品検査がある。これは画像認識AIを用いて良品と不良品の画像を学習させ、製品が不良品かどうか判定できるようにしている。なぜ機械学習が使われているかというと、人間では長時間の検査に限界があったり見落とす可能性があるため安定して検査できる機械学習が使われている。</t>
  </si>
  <si>
    <t>24238124@edu.cc.saga-u.ac.jp</t>
  </si>
  <si>
    <t xml:space="preserve">アプローチの違いがあります。プログラミングでは、手書き型や命令型などのルールベースのもの人が定義する技術で、機械学習のものは、統計や確率的なデータドリブンのものでデータから学ぶ技術である
</t>
  </si>
  <si>
    <t>プログラミングと機械技術の違いについて詳しい違いを詳細に説明しその測定方法と詳細な解決策をリストアップしてください</t>
  </si>
  <si>
    <t xml:space="preserve">タクシー配車予測で使われておりタクシー業界において、乗客の需要予測を行うために活用されおり機械学習による予測モデルが使われている。過去の乗車履歴、気象情報、イベント情報、人口統計などをAIが学習し0分後の乗客需要を予測し、ドライバーに「乗客が多い可能性の高い場所」を提案している。
</t>
  </si>
  <si>
    <t>実世界 での機械学習(AI)の利用状況1つを調査しどんな場面で、どんな技術が、どんな使われ方をしているのかを調べ機械学習を使ったのか調べリストアップして答えよ</t>
  </si>
  <si>
    <t>24238134@edu.cc.saga-u.ac.jp</t>
  </si>
  <si>
    <t>プログラミングは、人間がルールや手順を記述し、コンピュータに命令することであると定義されており、予測や判断はせず、決められた通りにしか動かない。機械学習は、コンピュータが大量のデータから学習し、自ら判断や予測を行う技術であると定義されている。例えば、電卓やゲーム、Webアプリなどのルールが明確な処理ではプログラミングの技術が用いられていて、顔認証や音声認識、推薦システムなどのルールが複雑・曖昧で、大量のデータがある処理では機械学習の技術が用いられている。
機械学習という手法が出てきた背景には、データが爆発的に増えたことや、ルールを人間が手書きするのがほぼ不可能な処理が増えたことなどがある。
つまり、機械学習は、人間の限界を補うために誕生したと言える。</t>
  </si>
  <si>
    <t>プログラミングと機械学習の違いを教えて
なぜ機械学習という手法が出てきたのか教えて</t>
  </si>
  <si>
    <t>医療の現場では、画像診断という技術が活用されている。例えば、内視鏡検査のリアルタイム支援がある。これは、消化器内視鏡で撮影された映像をリアルタイムでAIが解析し、ポリープやがんの疑いを検出するもので、日本ではこの分野の画像データが豊富で実用化が進んでいる。この技術を活用することで、診断の精度向上と見落とし防止の効果が期待できる。</t>
  </si>
  <si>
    <t>機械学習がどんなところで使われてるか教えて
医療の現場で使われている画像診断について詳しく教えて</t>
  </si>
  <si>
    <t>会話をするように心がけた。
まずは大きなテーマで聞いてから、そのあとにピックアップして再度聞き返した。</t>
  </si>
  <si>
    <t>環境構築は、難しくて説明を読むだけではできなかった。操作結果の画像を載せてくださったらできるようになるかもしれません。</t>
  </si>
  <si>
    <t>24238082@edu.cc.saga-u.ac.jp</t>
  </si>
  <si>
    <t>プログラミングは、開発者がアルゴリズム（明確なルールやロジック）を手動で設計し、それをコンピュータにコードとして記述することで動作する手法です。ルールや条件を開発者が明示的に書く必要があり、適切なアルゴリズム設計や条件分岐が求められます。
一方で、機械学習は、コンピュータにデータを与えて「学習」させ、そのパターンや特徴を自動的に見つけ出し、未知のデータに対して推論や予測を行う手法です。明確なアルゴリズムを開発者が書くのではなく、モデルがデータからパターンを学習し答えを予測します。
従来のプログラミングでは、開発者がアルゴリズムを明示的に設計しなければなりません。しかし、「ルールを明確に書くことが難しい」「問題が複雑すぎるてパターンが多い」など明確なルールを作るのが難しい場合、従来のプログラミングだけでは対応しきれないです。また、コンピュータの性能が向上し、インターネットやスマホの普及で膨大なデータが手に入るようになりました。こうした背景から、「データから自動的にルールやパターンを学習し、汎用的に使える仕組み」が求められ、機械学習という手法が発展しました。</t>
  </si>
  <si>
    <t>ソフトウェア実装における「プログラミング」と「機械学習」の違いについて丁寧に説明して
機械学習という手法はなぜ生まれたのか説明して</t>
  </si>
  <si>
    <t>日立製作所では製造装置や設備の「予兆保全AI」を利用しています。過去の故障データをもとに機械学習モデルを構築しており、従来の「壊れてから直す」から「壊れる前に直す」を実現しています。製造業の工場設備の異常検知、予知保全、生産ラインの最適化といった場面で使われており、異常検知AIが正常動作とのズレ（異常兆候）をリアルタイムに検出することができます。
故障する前にメンテナンス（予兆保全）を行えると、突発停止が激減し、事後保全に比べてより効率的に作業を行えるため機械学習を使っています。実際に、半導体製造装置の例では、「Lumada予兆保全ソリューション」により故障によるダウンタイムが30%以上削減されました。</t>
  </si>
  <si>
    <t>現在、実世界 (社会や企業・組織など) での機械学習(AI)の利用状況を5つ教えて
今あげた5つが なぜ、機械学習を使ったのか教えて
2 : 製造業：品質管理と予知保全　について組織名も含めて具体例などを用いて詳しく説明して
日立製作所は機械学習を実際にどんな場面で利用しているか教えて
今挙げた場面で、どんな技術が、どんな使われ方をしているのか詳しく説明して
日立製作所「Lumada予兆保全ソリューション」について詳しく説明して</t>
  </si>
  <si>
    <t xml:space="preserve">AIの使い方の授業で例を複数個挙げさせるといいと知ったので5個と指定した点。
なるべく多く質問した点。
</t>
  </si>
  <si>
    <t>事前準備の説明はほとんどコピペするだけよく簡単なものでしたが、事前準備が終わっていない人が多く、普段PCを全く触らない人からするとハードルが高いかもしれないため、設定する画面の録画を用意した方がより分かりやすいと思いました。また、講義中にLobeをダウンロードしている人が多くいました。Wi-Fiを少しでも軽くするため、ダウンロードだけでもしてほしいので資料の最初に書いた方がいいと思いました。（最初が分からず、すぐ諦める人がいるかもしれないため）</t>
  </si>
  <si>
    <t>24238456@edu.cc.saga-u.ac.jp</t>
  </si>
  <si>
    <t>プログラミングと機械学習の基本的な違いは、プログラミングは人間がルールを明示的に記述してコンピュータに動作を指示する方法で、機械学習はルールを人間が書かず、データから学習させる方法である。なぜ機械学習という手法が出てきたのかというと、三つある。一つ目はルを明文化できない問題である。これは、猫の画像を見て猫と判断するルールを人間がコード化するのはほぼ不可能なように人間が直感的に行っていることをコードにできない。　二つ目は膨大な条件分岐の爆発である。音声認識や自動運転などでは、想定される入力パターンが膨大ですべてを if 文やルールベースで網羅するのは非現実的。三つ目はデータが豊富になったことである。インターネット・IoTで膨大な画像・テキスト・音声データが集まるようになり、データから学ぶアプローチが有効になった。実現できることの違いはプログラミングは税計算システム、在庫管理、制御システムなど、ルールが明確で誤差が許されない場面。機械学習が得意な領域は、画像認識、音声認識、自然言語処理、レコメンドシステムなど、ルールを人間が書けないがデータが豊富な場面。</t>
  </si>
  <si>
    <t>プログラミングと機械学習のソフトウェアでの実装手段として違いについて教えて。</t>
  </si>
  <si>
    <t>ホームセンターカインズでは、全国の店舗ごと・商品ごとに「どれくらいの量を仕入れるか（発注量）」を決めるため、需要予測の場面で機械学習を活用しています。Google Cloud の Vertex AI Forecast という機械学習サービスを使っています。この技術では、過去の販売データに加えて、季節、天候、キャンペーンなどさまざまな要因を学習させ、時系列予測モデルによって「未来の売上数」を予測します。各店舗・各商品の販売データを AI が分析し、翌週・翌月などの販売数を予測する。そして、その予測結果をもとに、本部が自動的に適切な発注量を決める。最後に、現場の担当者も、AI の予測と理由を確認しながら最終判断を行うというように使われます。なぜ機械学習を使ったのかというと、予測の精度を上げるため、全国の店舗 × 膨大な商品の組み合わせを、人手で毎回計算するのは不可能だからです。</t>
  </si>
  <si>
    <t xml:space="preserve">機械学習がどんな場面で、どんな技術が、どんな使われ方をしているのか?なぜ、機械学習を使ったのか?
</t>
  </si>
  <si>
    <t>背景 技術 活用 導入理由 の流れを意識することと、技術名を具体的に書くです。</t>
  </si>
  <si>
    <t>24238423@edu.cc.saga-u.ac.jp</t>
  </si>
  <si>
    <t>プログラミングは人がルールを記述して処理を行う手法である。そのため、計算や業務処理など明確な手順がある分野に適している。機械学習は大量のデータからパターンを学習し画像認識や予測など複雑な問題に対応可能である。そのため、機械学習はルールを記述するのが困難な画像認識や予測など、複雑な対処に対応可能である。</t>
  </si>
  <si>
    <t>ソフトフェアでの実装手段として、プログラミングと機械学習の違いについて項目ごとにまとめてください。　項目例）実現できる事の違い、なぜ機械学習ができたのかなど</t>
  </si>
  <si>
    <t>クレジットカードの不正利用検知に利用されている。異常検知、決定木、ニューラルネットワークなどの技術を用いて、取引履歴をリアルタイムで分析し、通常と異なるパターンを検出してアラートを出す。機械学習AIを利用することで不正取引の早期発見と損失の最小化、顧客の信頼性向上、人手による監視の限界を補完することができる。</t>
  </si>
  <si>
    <t>実世界 (社会や企業・組織など) での機械学習(AI)の利用状況の調査をいくつか挙げろ。どんな場面で、どんな技術が、どんな使われ方をしているのか? なぜ、機械学習を使ったのか?など項目ごとにまとめてください。</t>
  </si>
  <si>
    <t>演習や講義の内容はAIについてたくさんのことを学ぶことができた。環境をつくるための手順の説明が省略されている部分があったのでそこを理解するのが難しかったです。</t>
  </si>
  <si>
    <t>24238509@edu.cc.saga-u.ac.jp</t>
  </si>
  <si>
    <t>①プログラミングと機械学習の違い
　＜プログラミング＞
　・人間がアルゴリズムをコードで記述する。
　・入力すると、プログラムに基づき出力が決まる。
　・強みとしては、決定的な処理、明確な仕様、再現性である。
　・弱みとしては、音声認識や自然言語理解などルールが複雑すぎる場合、人が記述するのは困難である。
　＜機械学習＞
　・人間がアルゴリズムを直接書くのではなく、データを与えてコンピュータがパターンを学習する。
　・入力と出力の例を大量に与えると、規則性をモデルが自動的に推定する。
　・強みとしては、音声や画像、翻訳など、曖昧さや複雑さを与える。
　・弱みとしては、結果が確率的で、ブラックボックス的になる場合がある。
②機械学習が登場した背景
　・データ量の爆発的増加（インターネット、センサー）
　・コンピュータ性能の向上（GPU、並列処理）
　・人間がルールを手で書ききれない問題領域（画像分類、自然言語処理）
③実現できることの違い
　プログラミングは、銀行システムや会計処理などの、仕様が明確な問題。
　機械学習は自動運転、顔認識などの、仕様が曖昧で、例から学ぶ問題。</t>
  </si>
  <si>
    <t>「医療画像診断でのAI利用を調査」
①どんな場面か？
　病院の放射線科などで、X線写真やCT、MRI画像を解析して病気を早期に発見する場面。
②どんな技術か？
　画像認識（コンピュータビジョン）やニューラルネットワーク（CNN）
③どんな使われ方？
　脳MRIから脳梗塞の早期兆候を検出したり、医師が見落としやすい小さな腫瘍や異常陰影をAIが補助的に指摘する。
④なぜ機械学習を使うのか？
　医療画像は非常に複雑かつ膨大で、人間だけで正確に診断するのは大変なので、診断精度を上げることで、医師の負担軽減や見落とし防止に貢献できる。また、機械学習なら、大量の過去データを学習し、曖昧で多様なパターンを自動的に判別できる。</t>
  </si>
  <si>
    <t>24238012@edu.cc.saga-u.ac.jp</t>
  </si>
  <si>
    <t>プログラミングは、人間が論理や手順を明示的に記述し、コンピューターに実行させる手法である。演繹的であり、アルゴリズムは容易に説明できる。一方、機械学習はコンピューターが大量のデータから規則を自動的に学ぶ方法である。帰納的であり、目的は汎化でアルゴリズムはデータに依存し、時間とともに変わる。従来のプログラミングでは、顔認識や言語理解などのようにルールを定義しにくい問題を扱うことが難しかった。こうした課題を解決するために、機械学習という手法が登場した。プログラミングは正確さや制御性に優れ、機械学習は柔軟さや予測能力に強みを持つ。</t>
  </si>
  <si>
    <t>武田薬品工業では、医薬品の需要を予測するために、機械学習を活用している。以前は担当者の経験や勘に頼っていたが、AIを使うことで季節や市場の変化など、複雑な要素をまとめて分析できるようになった。その結果、在庫のあまりや不足が減り、薬を必要とする人に安定して届けられるようになった。AIは過去の販売データや傾向を学びながら予測を立て、生産や出荷の計画に役立てられている。武田が機械学習を導入したのは、より正確な予測で無駄を減らして、社会に必要な薬を確実に届けるためだ。</t>
  </si>
  <si>
    <t>武田薬品工業における機械学習において、どんな場面で使われているか、なぜ機械学習を使おうとしたのか。</t>
  </si>
  <si>
    <t>AIが生成した情報をそのまま鵜呑みにするのではなく、その情報をWebでもう一度調べなおすなどして、情報に誤りがないかなどを確かめた。</t>
  </si>
  <si>
    <t>個人的には環境づくりに苦戦しました。</t>
  </si>
  <si>
    <t>24238062@edu.cc.saga-u.ac.jp</t>
  </si>
  <si>
    <t>現代のソフトウェア開発において、「プログラミング」と「機械学習」は目的やアプローチが異なり、それぞれに適した分野が存在する。
まず、プログラミングとは、人間が明確なルールや手順をコードとして記述する方法である。たとえば、電卓アプリでは、数値の入力、演算子の判定、計算結果の表示といった処理をすべて人間が設計し、プログラムとして実装する。このように、ロジックが明確で、処理の流れが予測可能な場合にプログラミングは非常に有効である。
一方、機械学習は、コンピュータが大量のデータからパターンやルールを自動的に学習する手法である。たとえば、猫の画像を判定するアプリでは、「これは猫」「これは犬」といったラベル付きの画像を多数学習させることで、猫かどうかを判断するモデルを構築する。人間がルールを明示的に書くのではなく、コンピュータがデータからルールを見つけ出す点が特徴的である。
このように、プログラミングと機械学習はそれぞれ得意な分野が異なり、プログラミングは明確な処理や制御に強く、機械学習はパターン認識や予測に優れている。したがって、目的に応じて使い分けていくことが重要になる。</t>
  </si>
  <si>
    <t>近年では、企業や自治体などでAIチャットボットの導入が進んでいて、業務の効率化やサービスの質の向上に役立っている。特に、問い合わせ対応や社内の情報共有など、繰り返し発生する業務において活用されることが多い。
たとえば、サントリーホールディングスでは、人事や給与に関する社内の問い合わせ対応にAIチャットボットを導入していて、年間で約1,000時間分の業務を削減できたという。これにより、担当者の負担が減るだけでなく、社員が必要な情報をすぐに得られるようになり、社内の業務効率が向上している。
技術的には、自然言語処理（NLP）を使ってユーザーの質問を理解し、適切な回答を返す仕組みが中心になっている。さらに、機械学習によって過去の会話データを学習し、より正確で自然な応答ができるようになっている。最近では、ChatGPTのような大規模言語モデル（LLM）を活用することで、文脈を踏まえた柔軟な対話が可能になってきている。
機械学習が使われている理由は、従来のルールベースのチャットボットでは対応できなかった曖昧な質問や複雑な会話に対応するために機械学習を使用すると、チャットボットがユーザーの言葉の使い方や意図を学習し、より自然で的確な応答ができるようになるからです。また、24時間対応が可能になることで、ユーザーの利便性も大きく向上する。
このように、AIチャットボットは単なる自動応答ツールではなく、機械学習の技術を活用することで、企業や組織の業務を支える重要な存在になっている。</t>
  </si>
  <si>
    <t>AIチャットボットについてどんな場面で、どんな技術が、どんな使われ方をしているのか? なぜ、機械学習を使ったのか?</t>
  </si>
  <si>
    <t>AIチャットボットの活用事例について調べるにあたり、生成AIを活用して機械学習の例として何があるのか情報収集を行った。</t>
  </si>
  <si>
    <t>サブフィールドPBLの演習や講義はとても興味深い内容だったのですが、サブフィールドPBLの講義を受ける事前準備を自宅でする際に説明を読んでもあまり理解ができず、かなりつまづいたので、もう少し分かりやすく書いてほしいと思いました。</t>
  </si>
  <si>
    <t>24238035@edu.cc.saga-u.ac.jp</t>
  </si>
  <si>
    <t>プログラミングは、人間が支持を出したことに対して行動を起こすことができるのに対し、機械学習は過去の学習から現在起きていることを判断する能力が長けているという最も大きな違いがある。また、プログラミングは１８００年代に作られたものであり、それに対して機械学習は1950年代に作られたという年代にも差がある。最も大きな違いから、例えば明確なルールとタイミングが必要な交通信号の制御はプログラミングが行い、過去のデータから最適な制御を学習する交通量に応じた信号の最適化については機械学習が行うというそれぞれの性質を生かした仕事が割り当てられている。</t>
  </si>
  <si>
    <t>1.ソフトウェアでの実装手段として、プログラミングと機械学習の違いとは何がありますか。違いについて詳細な説明をリストアップしてください。
2.どちらのほうが歴史が長いですか？どのような時代から考えられてきたのか、またあとからできたものはどのような需要があって作られたのか詳細な説明をお願いします
3.プログラミングと機会学習は主な用途の部分が大きな違いと言っていいのですか？
4.では、実現できることの違いは何がありますか？その詳細な説明をリストアップしてください。
5.プログラミングは、こちらから指示を出したことに対して、行動を起こすことができるのに対して、機械学習は、過去の学習から現在起きていることを判断する能力が長けているということですね</t>
  </si>
  <si>
    <t>日本国内の数学教育での機械学習活用事例について調べた。事例としては、「すららドリル」というAI教材が挙げられる。この「すららドリル」とは小学校から高校の数学教育を対象とされ、生徒の理解度に応じた問題出題や個別最適化された学習支援を使用目的としている。機械学習は、過去のデータから学習して最適なものを選ぶ能力が長けていることから、児童・生徒一人一人の学習状況や理解度に応じて問題を選び、学習履歴を記録し、分析することができる。これは、教師のふたんを軽減させるためにも導入されている。実際にこのドリルを導入した学校では一人一人に合った学習内容を提供することができ、学習の習慣を定着させることもできることが効果として挙げられている。</t>
  </si>
  <si>
    <t>1.では、次はこれについて回答をお願いします。実世界 (社会や企業・組織など) での機械学習(AI)の利用状況1つを調査。どんな場面で、どんな技術が、どんな使われ方をしているのか? なぜ、機械学習を使ったのか?
2.教育について興味があるので教育の事例をお願いします
3.数学教育で機械学習の利用がされている例はありますか？もし、そのれがあれば詳細な説明をリストアップしてください。また、なければ他教科でも構いません
4.日本国内での例をお願いします
5.このすららドリルとは実際に使われていますか</t>
  </si>
  <si>
    <t>実際に国内の教育現場で機械学習がどのように導入されているのかについて興味を持ったため、どのような効果があるのかを詳しく問い、教育の現場でも使うことのできる技術が備わっていることを確かめた。</t>
  </si>
  <si>
    <t>24238024@edu.cc.saga-u.ac.jp</t>
  </si>
  <si>
    <t>プログラミングは人間がルールを提示する必要があり、人間もルールを理解せずに使用していることが多い。そのためデータから機会に学習させてルールを自動かするのが機械学習である。
プログラミングは計算や制御などに向いている、機械学習はパターン認識や予測などに適している。また、プログラミングと違って機械学習は再学習可能であり適応性が高い。</t>
  </si>
  <si>
    <t>ソフトウェアでの実装手段として、プログラミングと機械学習の違いについての述べてください。例えば、なぜ機械学習という手法が出てきたのか? 例えば、実現できる事の違いを分かりやすく説明して、違いについて対比みたいにして</t>
  </si>
  <si>
    <t>lineやSNSで文字を打つときに、次に来そうな言葉を予測して表示すること。技術としては、過去の入力履歴や一般的な言語パターンを学習した自然言語処理が使われている。
写真を自動で人、風景、食べ物などに分類したりまとめる。youtubeなどのおすすめ動画も過去にみた動画や視聴時間からユーザーの興味を持ちそうな動画を予測する。
大学のオンライン授業システムの文字起こしなども機械学習によって行えている。</t>
  </si>
  <si>
    <t>実世界での機械学習の利用状況を教えて、わたしは大学二年生で私の身近なもので上げてほしい、三つだして、場面や技術使われ方をしりたい。</t>
  </si>
  <si>
    <t>数を絞り、自分に関連した情報を引き出してもらった</t>
  </si>
  <si>
    <t>授業はとても面白く、自分はAIについてはある程度知っていると思っていたがまだまだ分からない事も多くて勉強になった。もっとAIを使用して、他の人より差をつけていきたいと思います。</t>
  </si>
  <si>
    <t>24238365@edu.cc.saga-u.ac.jp</t>
  </si>
  <si>
    <t>プログラミングは電卓やATMなど人間が決めたルールを明確に処理できるのに対し、機械学習は大量のデータから規則性やパターンを学び、画像認識や音声入力など人間がルールを明確にできないものに対しても対応できる。すなはち、ルールが明確かどうかでプログラミングが使われるか機械学習が使われるかが分かれる。</t>
  </si>
  <si>
    <t>プログラミングと機械学習の違いを述べてください。推測はせず、事実のみ述べてください。
二つのできることの違いを述べてください。
例を示してください。</t>
  </si>
  <si>
    <t>スパムメールの判定で機械学習が使われている。その理由は、スパムメールは形式や内容が多様でありかつ変化するので、明確にルールを定めることができないので、プログラム化することが難しいからである。機械学習を使うことで、大量のメールデータからパターンを自動的に学習し、未知のスパムにも対応することができる。スパムメールの判定には、特定の単語や表現が含まれているかをチェックするルールベース手法や、メールの文法構造や文脈を考慮する自然言語処理など様々な技術が使われている。実際にスパムメールの判定はGmailやOutlookなどの多くのメールサービスで利用されている。学習済みモデルが、受信した新しいメールをリアルタイムに判定し、スパムと判定されたメールは「迷惑メールフォルダ」に振り分けられる。そのメールをユーザーが、スパムかどうかを判定することにより、モデルが改良されていく。</t>
  </si>
  <si>
    <t>機械学習はどのような場面で使われているか、例を示してください。
スパムメールの判定について、なぜ機械学習を使うのか、またどのような学習を行い、どのように実際に利用されているかを説明してください。推測はせず事実のみを述べてください。
スパムメール判定にはどのような技術が用いられていますか？</t>
  </si>
  <si>
    <t>推測をさせないことでなるべく誤った情報が出力されないように心掛けた。また自分がしっかり理解できるまで質問をくりかえした。</t>
  </si>
  <si>
    <t>24238044@edu.cc.saga-u.ac.jp</t>
  </si>
  <si>
    <t>プログラミングと機械学習の違いは、プログラミングは人がアルゴリズムを把握して手作業で入力し、目標の出力を得ることを目的とするのに対し、機械学習は入力と理想の出力を与えアルゴリズムを考えさせるということにある。前者は人の手によるもので、ソフトウェア毎に多くの人手と時間を要する。一方後者の場合は機械モデルと学習データの整合性が取れていれば複雑なアルゴリズムを機械が発見してくれる。今日、情報技術の進化の伴い自然言語処理や画像認識といった人間が形式化しにくい問題技術を実装することが求められることが多くなり、機械学習といった新しいアプローチが注目を浴びていると考える。</t>
  </si>
  <si>
    <t>ソフトウェア開発におけるプログラミングと機械学習の本質的な違いをまとめて。例えば、プログラミングは人がアルゴリズムを把握して手作業で入力し、目標の出力を得ることを目的とするのに対し、機械学習は入力と理想の出力を与えアルゴリズムを考えさせるということにある。できれば表で分かりやすくまとめて。
ソフトウェアでの実装手段として、プログラミングと機械学習の違いについての述べてください。</t>
  </si>
  <si>
    <t>現在はどれほどの割合の情報サービスの実装で機械学習が使われているのでしょうか。</t>
  </si>
  <si>
    <t>インドでの「Leher」プロジェクトでは、ドローン＋AI を使って大規模に農薬散布を管理。作物密度（crop density）や植物のストレス（病害・水ストレスなど）をドローンの画像でAIを使って解析する。必要な場所にだけ薬剤を散布し、結果として薬剤の使用量を 30% 程度削減することに成功したうえ、広い面積を短時間でカバーでき、労働力削減やコスト削減が図られている。機械学習は画像認識の分野で高い能力を発揮する。機械学習は、インドなど農業の盛んな世界中の地域で人々の作業及び質の良い作物を育てる環境作りの両方を助けている。</t>
  </si>
  <si>
    <t>ドローンで農薬散布　AI　実際の事例　なぜ活用されているか。どのようなメリットがあるかを分かりやすく多角的にまとめて。</t>
  </si>
  <si>
    <t>具体的に何を知らせて欲しいか、どのような形式で知らせて欲しいかを明確に指示していること。</t>
  </si>
  <si>
    <t>プログラミングの内容が一部英語で少し難しかったですが班のみんなで読み解いていくのは楽しかったです。</t>
  </si>
  <si>
    <t>24238390@edu.cc.saga-u.ac.jp</t>
  </si>
  <si>
    <t>プログラミングは、人間が作ったプログラムをコンピュータが処理して実行するものであるため、コンピュータの処理した結果は、人間が求めていたものとなる。また、単純な作業や少ないデータを用いる時、セキュリティに関わることなど機械学習が苦手とすることを処理することができる。
機械学習は、データをもとに機械自身が学習することで、人間が教えなくても、学習したことをもとに判断する。しかし、学習させるためには多くのデータが必要となり、そこから判断した結果が正しいものであるとは限らない。機械学習は、プログラミングにはできなかった、音声をもとに文字を生成したり、車の自動運転に活用したりすることなどを可能にした。</t>
  </si>
  <si>
    <t>・プログラミングと機械学習は何が違うのか、それぞれ何ができるのか教えてください。
・プログラミングではできなかったが、機械学習ではできるようになったことはありますか。
・逆に機械学習にはできないが、プログラミングにできることはありますか。</t>
  </si>
  <si>
    <t>世界では、様々なことに機械学習が利用されているが、特に自動運転に関しては、機械学習を用いたことで、大きな変化が起こった。カメラから送られてくる映像から道路上の物体が人なのか、車なのかなどを判断することができ、その精度も上がっていること、天気や渋滞などの道路上の環境の変化にも対応できるようになったこと、正確に判断することができるようになったため、事故率を下げたことなど様々な効果が表れた。現在、世界の多くの企業が機械学習を用いた自動運転を実現しようとしているが、このように、自動運転に機械学習を用いたのは、人間と同じような運転時の判断を行うことができ、データを学習し続けることで、多くの環境に対応することができたり、自動車に搭載される様々なシステムの精度を改善したりすることができるからである。</t>
  </si>
  <si>
    <t>・今現在、世界では、機械学習はどのように利用されていますか。詳しく教えてください。
・自動運転について、機械学習を使用したことでどのような結果になりましたか。
・どれくらいの企業が、自動車に機械学習を用いているのですか。</t>
  </si>
  <si>
    <t>まずは、世界でどのように機械学習が使用されているのかを調べるために、大雑把に質問した。そこから、自分が興味を持った自動運転について機械学習を用いたことでどのような変化が生まれたのか、どれくらいの企業が機械学習を用いているのかを質問するようにした。</t>
  </si>
  <si>
    <t>機械学習に扱う演習の時間をもう少し長くすると、より機械学習のすごさを理解できると思う。</t>
  </si>
  <si>
    <t>24238253@edu.cc.saga-u.ac.jp</t>
  </si>
  <si>
    <t>プログラミングと機械学習の違いは、プログラミングは、動作のすべてをルールやコードとして記述するのに対し、機械学習では、ルールを人間が書くのではなく、データからルールを学習させるといったものであり、プログラミングのアプローチは、ルールベースなものであるため同じ入力に対して常に同じ結果が得られる決定論的な性質を持つことになり、機械学習のアプローチは、データ駆動型であるため出力は確率論的な性質を持つ。機械学習が出てきた背景としていろいろなルールが追加されて人間がルールを書き出せない問題を解決するために登場した背景がある。従来のプログラミングならば文章が単語を並べるだけのぎこちない文章にしかなりかねないが、生成AIは、文脈に沿った文章を作成してくれるようになっている。画像認識も同様に従来のプログラミングならば現実的な画像を生成することができないが、機械学習は、予測して、コンピュータが特徴を抽出して画像を作成する。よって、機械学習はプログラミングではできないことを補う役割を担う。また、これらを併用することでもっと複雑な問題が解決できるようになる。</t>
  </si>
  <si>
    <t>ソフトウェアでの実装手段として、プログラミングと機械学習の違いについての述べてください。初学者にもわかりやすいような専門性のある言葉をお願いします。なぜ機械学習という手法が出てきたのか? 例えば、実現できる事の違い、など。生成AIを使用した場合のことも含めて例示してください。</t>
  </si>
  <si>
    <t>コンビニ（例：セブン‐イレブン、ローソンなど）では、各店舗で毎日どの商品をどれだけ仕入れるかを決める必要があります。これを人の勘や経験だけで行うと、売れ残りや品切れが発生しやすくなります。ここで使われているのが、機械学習による需要予測モデルです。
過去の販売データ（天気、曜日、気温、時間帯、イベント情報など）を大量に学習させ、
「明日のこの店舗では、どの商品がどれだけ売れるか」をAIが予測します。
技術的には、回帰モデルやニューラルネットワーク（ディープラーニング）などが使われている。</t>
  </si>
  <si>
    <t>実世界 (社会や企業・組織など) での機械学習(AI)の利用状況1つを調査。どんな場面で、どんな技術が、どんな使われ方をしているのか? なぜ、機械学習を使ったのか?具体的に教えてください</t>
  </si>
  <si>
    <t>事前にダウンロードなどの環境設定は執り行ったほうがいいと思います。また、聞いてて分からないような内容もありました。座学もいいと思いますが、演習の時間をもっと増やしてほしいなと思いました</t>
  </si>
  <si>
    <t>24238216@edu.cc.saga-u.ac.jp</t>
  </si>
  <si>
    <t>プログラミングは人が手順や条件を明示的に指示して動作させる手法である。一方、機械学習は大量のデータからパターンを学習し、明確な指示がなくても自ら判断や予測を行う手法である。画像認識や音声認識など、複雑で人間がルール化しにくい問題を解決するために機械学習が登場した。これにより、従来のプログラムでは困難だった柔軟で高度な処理が可能となった。</t>
  </si>
  <si>
    <t>機械学習の歴史についてもっと知りたいのですが、おすすめの書籍や資料などはありますか？</t>
  </si>
  <si>
    <t>福祉施設では、障害者支援のために機械学習が活用されている。例えば、入居者の表情や動作をAIが解析し、体調変化や異常行動を自動で検知するシステムが導入されている。また、音声認識や視線入力を使ったコミュニケーション支援機器もあり、重度障害者の自立を助けている。これは、人手不足の現場で職員の負担を減らし、利用者一人ひとりに合った支援を行うため、機械学習が用いられている。</t>
  </si>
  <si>
    <t>環境構築がとても難しかったので、説明の資料をもう少し詳細にしてほしい。</t>
  </si>
  <si>
    <t>24238165@edu.cc.saga-u.ac.jp</t>
  </si>
  <si>
    <t>プログラミングと機械学習には基本的な違いがいくつかある。まず、仕組みについては、プログラミングは人間がルールを明示的に記述するものに対し、機械学習は、コンピュータがデータからルールを学ぶものである。次に、出力については、プログラミングは計算結果などの明確な出力が得られるのにに対し、機械学習は学習によって得られたモデルが出力ｔなる。また、実現できることについては、プログラミングはルールや手順が明確な処理、例えば、四則演算やファイル操作といった決まった手順に強い。一方で、機械学習は画像認識や音声認識など、明確なルール化が難しい問題に強い。このように、機械学習はデータからルールを学ぶアルゴリズムを構築することで、人間が書けない複雑なルールを自動的に見つけるために生まれた新しい実装手段である。</t>
  </si>
  <si>
    <t>Prompt
ソフトウェアでの実装手段として、プログラミングと機械学習の違いについてわかりやすく述べてください。例えば、なぜ機械学習という手法が出てきたのか? 例えば、実現できる事の違い、など。。</t>
  </si>
  <si>
    <t>自動運転AI は、車が人間の代わりに周囲の状況を判断して安全に走行するための技術である。車に搭載されたカメラやセンサーによって、人や車、信号、道路などの周囲の情報を収集し、機械学習によって画像を認識しながらアクセルやブレーキ、ハンドルを自動で制御している。自動運転AI は現在、トヨタや日産、ホンダなどの車に機械学習を応用され、すでに様々な形で実用化が進んでいる。自動車運転には多くの複雑であいまいな判断が必要であるため、従来のプログラミングでは対応が難しい。よって、機械学習は大量のデータから自らパターンを学習することで、人間のように状況に応じて柔軟に判断することを可能にしているのである。</t>
  </si>
  <si>
    <t>実世界 (社会や企業・組織など) での機械学習(AI)の利用状況1つを調査しなければなりません。まず、１つ決めたいので、実世界 (社会や企業・組織など) での機械学習(AI)の利用状況を３つ挙げてください。
それなら自動運転AIについて書こうと思います。どんな場面で、どんな技術が、どんな使われ方をしているのか? なぜ、機械学習を使ったのか?について書かなければいけないので、それらについてわかりやすく教えてください。</t>
  </si>
  <si>
    <t>いくつか候補を挙げてもらってその中から調査するものを選んだ。また、１回ですべて聞くのではなく、複数回に分けて質問した。</t>
  </si>
  <si>
    <t>演習の時に何をすればいいのかわからないときがあったので、演習内容を具体的に説明してくれればよりよくなると思います。</t>
  </si>
  <si>
    <t>24238089@edu.cc.saga-u.ac.jp</t>
  </si>
  <si>
    <t>まず、プログラミングと機械学習の決定的な違いについて、前者は人が事前に決めた明確なルールをすべて記述し、そのことに従ってある事柄を処理するのに対し、後者は多数のデータを読み取った後にルールやパターンを自動で学習し、処理するといった違いがある。また、それぞれの使われ方という観点から見た違いとして前者は正確さ、高速さがとても優れているため銀行での入出金、企業での在庫数といったものの管理のほか、ゲーム内のロジックに使われている。後者はパターンの認識、予測、推論といった未来の状況に対する処理に優れており、スマホやパソコンでの顔認証、音声認識のほかに自動運転技術や気象情報の予測によく使われている。結果としてプログラミングは既知、既存の事柄の処理の高速化、機械学習は未知の事柄に対する予測の正確化に特化しており、現代の社会において双方が重要な役割を担っていることが分かった。</t>
  </si>
  <si>
    <t>需要予測や在庫の最適化の場面で回帰、分析、クラスタリングといった技術が過去の販売データや天候、トレンドなどをもとにして、将来の売れ行きを予測するときに使われている。</t>
  </si>
  <si>
    <t>機械学習がどんな場面でどんな技術がどんな使われ方をしているのかを知りたい。</t>
  </si>
  <si>
    <t>最初の環境づくりが説明書が少し見づらく難しかった。授業中の話し合いの時間などはとても有意義な時間だったのでもっと取り入れてほしいと感じました。</t>
  </si>
  <si>
    <t>24238020@edu.cc.saga-u.ac.jp</t>
  </si>
  <si>
    <t>プログラミングと機械学習は問題の解き方の発想や得意分野が根本的に違う。プログラミングの解き方は「どうやって解くか」を人間が定義していて、機械学習は「何を解くか」だけ与えて、解き方は機械が見つける。実現できることの違いは、プログラミングはルールが明確な処理が得意で例えば税金計算、在庫処理、データ整形など。これらの場合では特に機械学習の出番はほとんどない。逆に機械学習は画像認識など曖昧でパターンが多い場合が得意で、プログラミングでは手作業で特徴を定義するのはほぼ不可能なため機械学習にしかできない。</t>
  </si>
  <si>
    <t>ソフトウェアでの実装手段として、プログラミングと機械学習の違いについて教えてください。例えば実現できることの違いについて知りたいです。</t>
  </si>
  <si>
    <t>aiでゲームを作成した場合、権利はaiの会社が持つのでしょうか、それとも個人が持つのでしょうか？</t>
  </si>
  <si>
    <t>製造業では品質の安定化と生産効率の向上を目的として、機会学習の導入が進んでいて、その中でも注目されているのが、異常検知システムの応用である。これは製品や機会の異常を自動的に検知する技術である。今までの異常検知は人間に判断されてきたが、わずかな異常や複雑なパターンを見逃すことが多かった。これに対して機会学習は過去の正常なデータと異常データを学習することで、高精度で異常を発見することが可能になった。
例えば、トヨタや日立製作所などの企業では、製造設備に搭載されたセンサーから温度、振動、電流などのデータを取得し、ニューラルネットワークやランダムフォレストといった機会学習モデルを使って異常を予測している。
このように製造業で機会学習が使われる理由は、人間では捉えられない異常なパターンを機会が学習することで見つけることができ、高精度に判断できる点にある。</t>
  </si>
  <si>
    <t>私は佐賀大学2年理工学部です。
目的はレポート作成です。
条件は実世界 (社会や企業・組織など) での機械学習(AI)の利用状況1つを調査。どんな場面で、どんな技術が、どんな使われ方をしているのか? なぜ、機械学習を使ったのか?です。
これに基づいて文書を作成してください。</t>
  </si>
  <si>
    <t>自分の立場を述べて、目的、条件、出力をきちんと書くことを工夫した。</t>
  </si>
  <si>
    <t>資料の中でどこまで自分でやればいいのかよく分からなかったです。</t>
  </si>
  <si>
    <t>24238339@edu.cc.saga-u.ac.jp</t>
  </si>
  <si>
    <t>プログラミング
・人間がルールを設ける
・明確な手順がある処理が得意
機械学習
・データからルールを学ぶ
・パターン認識や予測が必要な処理が得意
なぜ機械学習が必要、可能となったのか？
↓必要
猫かどうか判断するという人間にとっては簡単な作業をプログラミングでルールを設けるととても難しい。
↓可能
インターネットの普及により画像・音声・テキストデータが大量に手に入り、
GPUなどコンピューターの性能が進化したことで計算に要する時間が減った。</t>
  </si>
  <si>
    <t xml:space="preserve">ソフトウェアでの実装手段として、プログラミングと機械学習の違いを初心者にもわかりやすく教えて
どうして機械学習という手法ができたのですか？理由、可能にした要因などを教えてください
</t>
  </si>
  <si>
    <t>ユニクロ
在庫管理・需要予測・おすすめ商品のパーソナライズにて利用されている。
在庫管理と需要予測に関して
機械学習→販売データ、天候、地域などを学習予測する
画像認識AI→来店客数、動線などを分析
といった技術を使用している。
天候や季節、地域差などの莫大な販売データを学習、考慮でき、人手のかかる作業を自動化することで効率化を図れるため使用されている。</t>
  </si>
  <si>
    <t>ユニクロに関してAIはどのような用途、技術が使われていますか？またAIを使う理由を教えてください。</t>
  </si>
  <si>
    <t>なるべく文章を明確に端的に書くように意識した</t>
  </si>
  <si>
    <t>24238367@edu.cc.saga-u.ac.jp</t>
  </si>
  <si>
    <t>　プログラミングとは、人間があらかじめ手段やルールを明確に決めてコンピューターに指示することである。プログラミングによる処理は条件がはっきりしていることがポイントである。逆に言えば、人間がルールを明確に書けない問題には弱いという欠点がる。
　機械学習とは、ルールを人間が書く代わりに、コンピューターがデータからルールを見つけ出す仕組みのことである。人間が正解のデータをたくさん与えることで、コンピューターがそこから共通点や傾向を学ぶ。機械学習は、人間が明確にルール化できないようなあいまいで複雑なパターン認識を得意とする。
Q実現できることの違い
　プログラミングは数値の計算、交通信号やエレベーターの制御、ゲームの操作など決まったルールで動くシステムや条件が明確な処理を正確に行えることが強みである。人間の感覚や、あいまいな判断が必要なことは苦手である。
　機械学習は大量のデータをもとにコンピューター自身がパターンやルールを学ぶ方法である。写真から人や動物を識別すること、音声を聞き取って文字に変換することなどである。</t>
  </si>
  <si>
    <t>私は理工学部に所属する大学二年生です。今回AI自習を受けたので課題に対する答えを教えてほしいです。
ソフトウェアでの実装手段として、プログラミングと機械学習の違いについて教えてください。
プログラミングと機械学習について詳しく教えて。
プログラミングと機械学習の実現できることの違いを教えて。</t>
  </si>
  <si>
    <t>近年、野球のピッチング分析ではAI技術の導入が進んでいる。特にメジャーリーグで使われるHawk-EyeやTrackManは投球データの収集と解析に機械学習を活用している代表的な例である。
Hawk-Eyeは複数の高精度カメラが投球を三次元的に追跡し、ボールの回転数、回転軸、変化量、ボールのリリース位置などを詳細に記録する。これらのデータを機械学習モデルに入力することで、投手ごとの特徴や投球パターンを分析し、理想的なフォームや最適な球種の組み合わせを導き出す。
人間が視覚的、感覚的にしかとらえられなかった情報を、数値として正確に理解できる。長期間にわたって学習することで、けがのリスク予想や疲労度の可視化にも応用されている。</t>
  </si>
  <si>
    <t>実世界 (社会や企業・組織など) での機械学習(AI)の利用状況1つを調査。どんな場面で、どんな技術が、どんな使われ方をしているのか? なぜ、機械学習を使ったのか?
自分の趣味である野球では使われていますか？ピッチングやバッティングで。
ピッチングを掘り下げたい。</t>
  </si>
  <si>
    <t>自分が理工学部の学生であることを示す
帰ってきた答えから気になることを一つだけ掘り下げるようにする</t>
  </si>
  <si>
    <t>事前のダウンロードが難しかった。スライドや動画を作ってもらい、見ながら操作できると楽だったと思う。</t>
  </si>
  <si>
    <t>24238006@edu.cc.saga-u.ac.jp</t>
  </si>
  <si>
    <t>プログラミングは、人間がルールや手順を明示的に指示して動かすのに対して、機械学習は、データからパターンを自動的に学習して動かす。そのためプログラミングに対して、機械学習は短時間で実装することができる。また、プログラミングは同じ入力に対し、必ず同じ出力を返すのに対し、機械学習は、同じ画像を見せたとしても結果が変わることがある。そのため、プログラミングの方が機械学習よりも信憑性が高く安定性があるといえる。</t>
  </si>
  <si>
    <t>ソフトウェアでの実装手段として、プログラミングと機械学習の違いをはっきりさせて、長所と短所に分けてまとめて</t>
  </si>
  <si>
    <t>医療現場において、医療診断支援システムが使われている。これは、患者のレントゲンなどの画像をAIが診断するシステムである。診断においては、画像の中から細かい違いを見つける必要がある。微細な違いを見分ける必要があるため見逃す可能性が出てくる。これを防ぐために機械学習が使われている。機械学習を使い大量のデータをもとに違いを探せる経験的学習が効果的である。</t>
  </si>
  <si>
    <t>実世界での機械学習の利用状況を具体的に上げ、なぜ機械学習でないといけないのかを付け加えて表でまとめて</t>
  </si>
  <si>
    <t>表でまとめてもらうことで、私が見やすくしてもらいました</t>
  </si>
  <si>
    <t>24238425@edu.cc.saga-u.ac.jp</t>
  </si>
  <si>
    <t>プログラミングは、人からプログラムを受け取りコンピューターが出力するという人が書くもので、機械学習はソフトウェアがコンピューターにデータと結果を渡してコンピューターがそれらを判断してプログラムを出力するというものになっている。機械学習が出てきたのは、CPU,GPUの性能が向上し、大量のデータを処理できるようになったことや、プログラミングでは困難だった画像の読み取りなどに対応する必要があったから。プログラミングが実現できることとしては、制御処理や物理演算、高度な正確性が必要なことなどを実現させることができる。機械学習ができることは、画像を認識したり、生成AIなどの会話、過去のデータから未来を予測することなどが実現できる。</t>
  </si>
  <si>
    <t>慶應義塾大学病院のAI Hospital Program
使われた場面としては、放射線画像やCT,MRIなどの画像を読み取り検出を補助することや、患者来院数や入院数を予測し、医療施設のキャパシティを効率的に活用すること、AIチャットボットを使用してコミュニケーション能力や診断の流れを練習させたこと。使われた技術としてはディープラーニング、予測モデル、生成AIを使用した。使われた理由としては、大量のデータを活用すること、時間労力の削減、制度安全性の向上などに使用された。</t>
  </si>
  <si>
    <t>AIを上手に使うにはAIと会話をしていかなければならないということを初めて知った</t>
  </si>
  <si>
    <t>24238043@edu.cc.saga-u.ac.jp</t>
  </si>
  <si>
    <t>ソフトウェアを作る方法として、よく使われるのはプログラミングと機械学習である．
プログラミングでは、人があらかじめ手順や条件を考えてコードに書き込む．そのため、同じ入力を与えれば常に同じ結果が得られる．また、計算処理やシステムの制御のように手順が明確な問題に向いており、一度作れば安定して動作する．
一方、機械学習ではコンピュータがデータからルールを学習する．結果はデータの量や質によって変わることがあり、画像や音声のように言葉でルールを説明しにくい分野で力を発揮する．ただし、環境やデータが変わるとモデルを調整する必要がある．
つまり、プログラミングは「人が手順を教える方法」、機械学習は「コンピュータが自ら学ぶ方法」と言える．どちらも長所と短所があり、目的に応じて使い分けることが大切である．</t>
  </si>
  <si>
    <t>ソフトウェアでの実装手段として、プログラミングと機械学習の違いについて，いろいろな観点から述べてください。
この文章の中から要点を抜き出して整理して</t>
  </si>
  <si>
    <t>　病院では、診療記録を作ったり、病気の診断を手伝ったりするのに、機械学習が使われ始めている。医師は毎日の診察で、患者さんの話や検査の結果を記録する作業に多くの時間を使っており、とても大変である。
　こうした問題を解決するために、大規模な人工知能（LLM）が注目されている。患者さんとのやり取りを入力すると、診療記録の下書きを自動で作ったり、症状から考えられる病気の候補を出したりできる。
　この仕組みでは、自然言語処理（NLP）という技術を使って、人間の言葉を理解し、文章にまとめることができる。医師はAIが作った記録を確認して直すだけでよいため、事務作業の時間を大きく減らせる。また、診断の見落としを防ぎ、診療の質を高めることもできる。
　機械学習を使う理由は、医師の負担を減らして、患者さんの診察により多くの時間を使えるようにするためである。さらに、医師の人数が少ない病院でも、限られた人員で効率よく仕事ができる点も大きなメリットである。このように、機械学習は現代の医療に欠かせない技術として、今後さらに使われていくと考えられる。</t>
  </si>
  <si>
    <t>実世界 (社会や企業・組織など) での機械学習(AI)の利用状況1つを調査。どんな場面で、どんな技術が、どんな使われ方をしているのか? なぜ、機械学習を使ったのか?簡潔にまとめて
この文章から要点を抜き出して箇条書きにして
この文章を中学生にもわかるようにして</t>
  </si>
  <si>
    <t>課題で求められている内容を整理しやすくするため、箇条書きで出力させるようにした。また、読み手が理解しやすいよう中学生向けの表現を指定し、重要なポイントを漏らさず含めることを意識した。</t>
  </si>
  <si>
    <t>24238366@edu.cc.saga-u.ac.jp</t>
  </si>
  <si>
    <t>プログラミングと機械学習の違いはルールを人間が作るか機械が見つけるかである。機会学習はインターネットの普及によりデータが大量に集まったことで難しい問題や人間が楽になろうとした欲でできたものである。プログラミングは四則演算など決まったルールを人間が提示できるものに使い、機械学習は人間がルールを提示することが難しい不確定要素が大きい画像認識や自動運転などに使われる。この二つの違いは人間ができるかできないかの違いである。</t>
  </si>
  <si>
    <t>・機械学習はなぜできたか歴史を教えて
・機械学習はどういうものに使われてるのか教えて</t>
  </si>
  <si>
    <t>実世界で機械学習の一つとして家で忙しいとき、手が使えないとき、家にいなくて家電を操作できないときなどに音声認識を使い、生活を便利にすることができる。音声認識がなぜ機械学習を使ったのは音声のデータは複雑でありプログラミングでは難しく、また機械学習は音声データで精度を向上できるので使われている。</t>
  </si>
  <si>
    <t>音声認識はなんでプログラミングより機械学習を利用したの？</t>
  </si>
  <si>
    <t>プログラミングより機械学習が良いところを浮き彫りにしたかった。</t>
  </si>
  <si>
    <t>あまり思うことはなかった。理工学部の出席番号順だったがコースごとのわかれたほうが親睦や話しやすさも考慮しやすくなると思う。</t>
  </si>
  <si>
    <t>24238295@edu.cc.saga-u.ac.jp</t>
  </si>
  <si>
    <t>プログラミングは手順を順番にコンピューターに実行させて目標にたどり着くが、機械学習は以前のデータを渡すことにより自動で目標に導いてくれる。機械学習はプログラミングほどの専門的な知識はいらないからより多くの人が使う人ができる。プログラミングは新しいものをつくることつまり０から1を作ることができる。機械学習は過去のものを未知のものに対応することができる。</t>
  </si>
  <si>
    <t>パナソニック
車載システムにおける人物検知に取り入れられている。軽量化や高精度検知として活躍している。機械学習を使っている理由はデータベースで話を進めることでより良い製品がつくれるからである。</t>
  </si>
  <si>
    <t>機械学習を利用している企業
パナソニックがどういう風に機械学習を利用しているのか
なぜ利用しているのか</t>
  </si>
  <si>
    <t>始めに企業に絞って調べる意向を伝えた。機械学習の使われ方の全容を自分なりにとらえて要約した。</t>
  </si>
  <si>
    <t>演習の時に何をどうすればいいのか、つまりわからないところがあればAIをつかい自分たちで理解するという学習方法だということを理解するのに時間がかかった。</t>
  </si>
  <si>
    <t>24238116@edu.cc.saga-u.ac.jp</t>
  </si>
  <si>
    <t>ソフトウェアの実装方法として、従来は主に「プログラミング」が用いられてきました。
プログラミングとは、開発者が問題解決のために明確なルールや処理手順をコードとして
具体的に記述する方法です。例えば、条件分岐や計算の手順、データ操作の方法などを詳
細に指示し、その指示に従ってコンピュータが動作します。このため、プログラムの挙動
はコードを解析すれば理解でき、結果も予測しやすいという特徴があります。透明性が高
く、動作の制御や修正が容易であるため、多くのシステム開発に適用されてきました。
しかし、近年、従来のプログラミングだけでは対応が難しい課題が増えてきました。特
に、画像認識や音声認識、自然言語処理といった分野では、問題のパターンが非常に複雑
かつ多様であり、すべてのルールを人間が手動で書き起こすことが困難です。こうした課
題に対応するために登場したのが「機械学習」です。機械学習は大量のデータから特徴や
パターンを抽出し、それをもとに自動的に判断や予測を行う技術です。開発者が明確なル
ールを逐一記述するのではなく、コンピュータ自身がデータに潜む規則を学び取り、その
学習結果に基づいて動作します。そのため、機械学習モデルの内部の動きは複雑でブラッ
クボックス化しやすく、なぜその判断を下したのかが人間にとって直感的に理解しづらい
場合もあります。このように、プログラミングと機械学習はそれぞれ異なる強みを持って
います。プログラミングは明確なルールに基づいて処理を行うため、制御が容易で結果の
予測がつきやすい一方、複雑で多様なパターンを扱うのは苦手です。機械学習は複雑なパ
ターンをデータから自動で学習できるため、人間が設計しきれないような問題に強力です
が、その結果の解釈や精度の検証には特別な工夫が必要です。したがって、現代のソフト
ウェア開発においては、問題の性質に応じて、プログラミングと機械学習の両者を使い分
けたり組み合わせたりすることが重要となっています。</t>
  </si>
  <si>
    <t>実世界での機械学習の利用状況の 1 つとして医療分野の画像診断支援システムがあり、主
に病院やクリニックなどの医療現場で、レントゲンや CT（コンピュータ断層撮影）、MRI
（磁気共鳴画像法）などの医療画像を解析する際に使われています。医師が患者の疾患や
病変を発見する手助けをするために導入されています。例えば、がんの早期発見、肺炎や
脳卒中などの異常検出に活用されています。画像の中の微細な特徴やパターンを自動で抽
出し、疾患の有無を判別する深層学習（ディープラーニング）やノイズ除去や画像の前処
理、領域分割など、解析の精度を高めるために使われる画像処理技術などの技術が使われ
ています。医療画像診断支援システムは、医師が画像を読む際の補助ツールとして使われ
ています。システムは画像を解析し、病変の疑いがある箇所をハイライト表示したり、診
断結果の可能性を示します。これにより医師は見落としを減らし、より迅速で正確な診断
ができるようになります。完全に診断を代替するものではなく、あくまで診断のサポート
を行う役割を担っています。従来の画像解析は、人間が設計したルールや特徴量に基づい
て処理を行うものでした。しかし医療画像には非常に多様な病変の現れ方があり、すべて
のパターンを事前にルール化することは困難です。とくに深層学習は大量のラベル付き医
療画像を使い、特徴を人間の手を介さず自動で学習します。これにより、医師が気づきに
くい微細な異常や複雑なパターンも検出できるようになります。さらに、データに基づい
て柔軟にモデルを更新できるため、新たな病態や画像取得条件の変化にも適応しやすい点
がメリットです。そのため機械学習は医療画像診断支援システムに採用されています。</t>
  </si>
  <si>
    <t>実世界 (社会や企業・組織など) での機械学習(AI)の利用状況 1 つを調査。どんな場面
で、どんな技術が、どんな使われ方をしているのか? なぜ、機械学習を使ったのか?につい
て教えて</t>
  </si>
  <si>
    <t>24238426@edu.cc.saga-u.ac.jp</t>
  </si>
  <si>
    <t>プログラミングは、人間が手順や条件を明確に定め、それをコードとして記述することでコンピュータを動作させる手法である。そのため、処理の内容や判断基準がはっきりしている問題に適している。
一方、機械学習は人間がルールを直接与えるのではなく、コンピュータが大量のデータからパターンや特徴を学習し、自ら判断基準を獲得する手法である。画像認識や音声認識など、人間が明確なルールを定義しにくい課題に対して有効である。</t>
  </si>
  <si>
    <t xml:space="preserve">機械学習の利用例として、音楽配信サービスや動画サイトで使われている「おすすめ機能」が挙げられる。
これらのサービスでは、ユーザーがどの曲や動画を再生したか、どのくらい視聴したかといった行動データをもとに、好みに合った作品を自動的に提案している。
この仕組みには機械学習の技術が使われており、ユーザーごとの嗜好の傾向を学習して、似た傾向を持つ他のユーザーのデータと比較しながら、次に興味を持ちそうなコンテンツを予測している。これにより、ユーザーは自分に合った作品を効率的に見つけられ、サービスの利用時間や満足度も向上している。
このように機械学習を利用するのは、単純なルールでは表せない個人の好みをデータから自動的に学習し、柔軟に対応できるからである。
</t>
  </si>
  <si>
    <t>身近な機械学習の利用方法とその内容</t>
  </si>
  <si>
    <t>具体的に自分が欲しい答えを書く。</t>
  </si>
  <si>
    <t>事前準備の説明を理解するのが少し難しかった。</t>
  </si>
  <si>
    <t>24238506@edu.cc.saga-u.ac.jp</t>
  </si>
  <si>
    <t>プログラミングとは、人間が明確なルールを決めてコードを書くことでコンピュータに処理させることである。ルールに具体的な数字などの人間が明確に定義できる場合や処理の理由を説明するこはできるが、画像分析や音声認識などの明確な定義ができない場合、処理が困難になる。また、機械学習とは、人間がコンピュータに対して大量のデータを与えることで特徴や規則を学習させて予測や分類を行うである。ルールを明確に定義しなくてもいいので柔軟な判断が可能である。しかし、多くのデータが必要でることや処理の理由を説明することが難しい。</t>
  </si>
  <si>
    <t>chatgdp
ソフトウェアでの実装手段として、プログラミングと機械学習の違いについての述べてください。例えば、なぜ機械学習という手法が出てきたのか？わかりやく</t>
  </si>
  <si>
    <t>自動車業界での自動運転に機械学習が利用されている。車が「歩行者」「信号」などを自動で判別するために、カメラやセンサーからの画像や距離データにより画像分析を行っている。人間がすべての交通状況におけるルールを定義することが困難であるため、大量の運転データからパターンを学習させている。</t>
  </si>
  <si>
    <t>chatgdp
実世界 (社会や企業・組織など) での機械学習(AI)の利用状況1つを調査。どんな場面で、どんな技術が、どんな使われ方をしているのか? なぜ、機械学習を使ったのか?
簡単にわかりやすく</t>
  </si>
  <si>
    <t>24238258@edu.cc.saga-u.ac.jp</t>
  </si>
  <si>
    <t>プログラミングは、人間が手順や条件を明確に指定して動作させる方法であり、ルールがはっきりしている処理に向いている。一方、機械学習は大量のデータからコンピュータが自ら規則を学ぶ手法で、明確なルールを定めにくい問題に対応できる。人の判断や感覚に近い処理を自動化するために機械学習が登場し、画像認識や音声認識など従来のプログラミングでは困難だった処理を実現できるようになった。</t>
  </si>
  <si>
    <t>chatGPT</t>
  </si>
  <si>
    <t>英語の勉強をするときに音声認識や自然言語処理の機械学習モデルを使い、発音の正確さや文法ミスなどをaiが判定する。これにより学習の質を上げることができ、また先生がいなくても1人で勉強ができる。</t>
  </si>
  <si>
    <t>GoogleのAIモード、chatGPT</t>
  </si>
  <si>
    <t>2つのpromptを使用し、さまざまな情報を得た</t>
  </si>
  <si>
    <t>23238202@edu.cc.saga-u.ac.jp</t>
  </si>
  <si>
    <t>プログラミングとは、人がルールを書き、人間によって設計されているが、機械学習は、大量のデータからルールを自動的に学習させて、ソフトウェアを構築する方法である。プログラミングは、明確なルールに従う処理や、データの変換・整形などが向いている。機械学習は、あいまいな問題の判断や、データの傾向予測が向いている。</t>
  </si>
  <si>
    <t>ソフトウェアでの実装手段として、プログラミングと機械学習の違いについて教えて。
プログラミングと機械学習でそれぞれ実現できることを教えて</t>
  </si>
  <si>
    <t>利用場面の例としてECサイト・広告配信（リコメンドシステム）がある。利用技術は、協調フィルタリング、コンテンツベースフィルタリングなどである。使用例としては、「Amazonや楽天で「あなたへのおすすめ商品」を提示する」や、「NetflixやYouTubeでの動画推薦」、「Google広告でのパーソナライズド広告配信」 などがある。この技術の仕組みは、ユーザーの過去の購買履歴や閲覧傾向、似たユーザーの行動を元に、将来興味を持ちそうな商品を予測するというものであり、機械学習を使うことで人それぞれに適した広告などを出すことが可能になった。</t>
  </si>
  <si>
    <t>実世界での機械学習の利用状況を教えて。どんな場面でどんな技術がどのように使われているかを明記して</t>
  </si>
  <si>
    <t>Pythonのコードが複雑で難しかった。</t>
  </si>
  <si>
    <t>24238160@edu.cc.saga-u.ac.jp</t>
  </si>
  <si>
    <t>プログラミングは人間がルールを明確に記述し，コードとデータの入力によって実行結果を表示するものだが，機械学習は機械が入力されたデータからルールを自動的に学習し，コンピュータ自身がモデルから予測し出力する技術である．機械学習という手法が出てきたのにはいくつか理由がある．一つ目は，画像認識や音声認識などでは「猫の特徴」や「人の声のパターン」を明確なルールで記述するのが困難になったことだ．猫の耳の形や毛の模様をすべてコードで定義するのは不可能である．そこで「データからパターンを学習する」機械学習が必要になった．二つ目は，インターネット，スマートフォン，IoTの普及により，膨大なデータが日々生成され，データが爆発的に増えたことだ．人間が手作業で分析するのは限界があり，機械が自動で学習する必要があった．三つめは，株価予測，気象予測，異常検知など，常に状況が変化する環境の問題については固定されたルールでは対応できず，モデルが自動で適応する必要があるからだ．実現できる事の違いについて，従来のプログラミングは明確な手段がある処理に適しており，電卓，ファイル操作，ゲームの動作などに利用される．しかし，環境の変化に弱い．一方，機械学習は環境の変化に強く柔軟に適応可能であり，顔認識，音声翻訳，チャットボットなどパターン認識，予測，分類に適している．</t>
  </si>
  <si>
    <t>Microsoft Copilot</t>
  </si>
  <si>
    <t>近年，メディア・広告業界ではAI技術の導入が急速に進展している．特に，コンテンツ制作の効率化や広告効果の最大化を目的として，機械学習が重要な役割を果たしている．
電通グループは「∞AI（ムゲンエーアイ）」を提供し，広告コピーの自動生成や効果予測に活用している．この中でも「AICO2」は，コピーライターの思考パターンを学習した自然言語処理モデルであり，高品質な広告文を短時間で生成可能である．これにより，広告制作のスピードと精度が向上している．
SO Technologiesは「Dify」というAIツールを用いて，広告テキストの自動生成を実現している．商品ページのURLを入力するだけで，商品の特徴を抽出し，広告文案を自動生成する仕組みである．この技術により，中小企業における広告制作の時間とコストを大幅に削減している．
NETFLIXでは，視聴データをAIで分析し，コンテンツ企画やキャスティングに活用している．視聴傾向や離脱率などの情報をもとに，最適な俳優の選定やストーリー設計を行っている．これにより，視聴者の好みに合ったコンテンツ制作が可能となり，満足度の向上とオリジナル作品の強化を同時に実現している．
以上の事例は，機械学習が人間の経験や勘に依存していた広告・メディア分野において，データに基づく判断と自動化を可能にし，業務の効率化と成果の向上に貢献していることを示している．</t>
  </si>
  <si>
    <t>参考にしたウェブサイトから得た情報を入力し，わかりやすくまとめてもらった．</t>
  </si>
  <si>
    <t>プログラムの実行を全員行うのは難しいと感じました．</t>
  </si>
  <si>
    <t>24238420@edu.cc.saga-u.ac.jp</t>
  </si>
  <si>
    <t>プログラミングは人間がルールを明示的に書くことでコンピュータを動かす。特徴として、ルールが明確、予測可能、限界があることが挙げられる。機械学習はルールを人間が書く代わりに、データからコンピュータが自ら学ぶ。大量のデータを与え、プログラムがその関係を自動的に見つけ出す。特徴として、ルールを自動で獲得できる、柔軟で応用が利く、ブラックボックス的なことが挙げられる。機械学習という手法が登場した理由は、ルールが明確に書けない問題を解決するためである。これにより、人間が理解しにくい複雑なパターンの処理や自動化が可能になった。</t>
  </si>
  <si>
    <t>ソフトウェアで実装できるプログラミングと機械学習の違いは何ですか。また機械学習が登場したのはなぜですか。</t>
  </si>
  <si>
    <t>小売業では、商品の売上を予測するために機械学習が活用されている。セブン‐イレブンやAmazonなどでは、販売履歴・天候・曜日・気温・イベント情報などのデータをAIに学習させ、需要を自動で予測している。この技術により、品切れや在庫過多を防ぎ、廃棄ロスの削減や利益の最大化につなげている。経験からの判断では、要因が複雑で正確な予測が難しかったが、機械学習は多くのデータからパターンを見つけ出すことができるため、高精度な予測が可能になった。よって、企業は意思決定の精度向上のために機械学習を導入している。</t>
  </si>
  <si>
    <t>企業での機械学習の利用例を一つ挙げてください。その時にどんな場面、どんな技術、どんな使われ方をするのかを具体的に述べてください。また、機械学習を使ったのはなぜか述べてください。</t>
  </si>
  <si>
    <t>何を知りたいのか明確にして企業だけに例を絞った。</t>
  </si>
  <si>
    <t>環境構築が難しかったのでもっと詳しく書いた方がいいと思った。</t>
  </si>
  <si>
    <t>23238443@edu.cc.saga-u.ac.jp</t>
  </si>
  <si>
    <t>プログラミングは人間がルールを設定するものであり機械学習はデータから自動的にルールを学習するものである。なぜ機械学習が出てきたのかは人間では手に負えないくらいのデータ量になってきていて機械学習に任せた方がパフォーマンスが良い可能性が高いからである。ただ機械学習はデータがないと始まらなく新しくモノやルールを作ろうとするのには向いていないという欠点もある。</t>
  </si>
  <si>
    <t>小売業の在庫確認やECサイトのおすすめなどに使われており機械学習モデルで客のニーズが管理し、人間には扱えないほどの膨大なデータを処理することが出来る。</t>
  </si>
  <si>
    <t>実世界 (社会や企業・組織など) での機械学習(AI)の利用状況1つをおしえて</t>
  </si>
  <si>
    <t>設問の欲しい部分だけを切り抜いて使うこと</t>
  </si>
  <si>
    <t>24238265@edu.cc.saga-u.ac.jp</t>
  </si>
  <si>
    <t xml:space="preserve">プログラミングは、人間がルールや手順を明確に記述し、コンピュータに実行させる方法であり、論理的で再現性が高い。一方、機械学習はコンピュータが大量のデータから規則や特徴を自動的に学習する方法で、複雑なパターン認識や予測に強い。よってプログラミングは人がルールを与えるのに対し、機械学習はコンピュータがルールを見つけ出すという違いがある。
</t>
  </si>
  <si>
    <t>ソフトウェアでの実装手段として、プログラミングと機械学習の違いについての述べてください
大学2年生がわかる内容で200字程度でまとめて</t>
  </si>
  <si>
    <t>実世界での機械学習の利用例として、パナソニックコネクトが導入した社内AIアシスタント「ConnectAI」がある。これはOpenAIの大規模言語モデルを活用し、社員の業務効率化や情報検索、文書作成支援などを目的としている。2023年から国内約1万3千人に展開され、1年間で約18万時間の労働時間削減につながった。</t>
  </si>
  <si>
    <t>パナソニックで機械学習が利用されている場面を教えてください。またそれの目的やその成果をわかりやすく教えて</t>
  </si>
  <si>
    <t>具体的な内容とわかりやすさを重視した。</t>
  </si>
  <si>
    <t>環境構築の説明で少し手こずったのでもう少し具体的に、動画などで説明して下さるともっとわかりやすいと思いました。</t>
  </si>
  <si>
    <t>24238463@edu.cc.saga-u.ac.jp</t>
  </si>
  <si>
    <t>プログラミングは、人間がルールや条件を定義して、コンピュータが処理するが、機械学習では、	入力と正しい出力のデータを大量に与え、コンピュータがその関係性を調べて、ルールを自動で構築する。</t>
  </si>
  <si>
    <t>コンビニでは、商品を仕入れる量をAIによる需要予測システムを使って管理している。需要を左右する要因はたくさんあり、それらを人間がルールとして明示的にプログラム化するのは不可能なのでAiに任せている</t>
  </si>
  <si>
    <t>AIの使い方について詳しく知ることができた。
マイクロソフトの社員の方の話が聞けて、貴重な体験だった</t>
  </si>
  <si>
    <t>24238138@edu.cc.saga-u.ac.jp</t>
  </si>
  <si>
    <t>プログラミングと機械学習は、どちらもコンピュータを活用するための基本技術である。プログラミングは人間がルールを定義できる領域で力を発揮し、機械学習はデータからルールを抽出する領域で強みを持つ。</t>
  </si>
  <si>
    <t>プログラミングと機械学習の違いについて簡単にまとめられるように教えて</t>
  </si>
  <si>
    <t>機械学習はクレジットカードの不正利用検知に使われている。クレジットカード会社やオンライン決済サービスで、教師あり学習を用いて過去の正常取引と不正取引のデータを学習させている。新しい決済が行われるたびにAIが判定し不正の可能性が高い場合には本人確認を求めている。
不正利用の手口は年々巧妙化しており、人間が決めたルールをあらかじめ書いて対応するのは限界があるから。</t>
  </si>
  <si>
    <t>機械学習が使われている状況を教えて
どの技術が使われているのか、なぜ機械学習なのかも教えて</t>
  </si>
  <si>
    <t>設問に対して自分がまとめられる量の情報が得られるように必要な文を考えて入れた</t>
  </si>
  <si>
    <t>環境構築の時にしてもしなくてもいい動作があって迷ったからするかしないか確定させたほうがいいと思った。</t>
  </si>
  <si>
    <t>24238322@edu.cc.saga-u.ac.jp</t>
  </si>
  <si>
    <t>プログラミングは、人間がルールを設計し、コンピュータがそれを実行する、いわゆる「手順を決める知能」である。機械学習は、人間が「学び方」を設計し、コンピュータがデータからルールを見つける、いわゆる「経験から学ぶ知能」の一部をコンピュータに持たせる仕組みである。</t>
  </si>
  <si>
    <t>「ソフトウェアでの実装手段として、プログラミングと機械学習の違いについての述べてください。」に対して、私はプログラミングはただ決められた作業を繰り返すだけであって、正誤から学ぶことができないもの。機械学習は学習し、正誤を確認することで正確性を増すモデルを作るもの。
以上のように考えたのですが、私の考えを踏まえて意見を聞かせてください。</t>
  </si>
  <si>
    <t>機械学習のプログラムを実行したとき、プログラミングの時と比べて非常に時間を要したが、これはたまたまなのか。それとも機械学習の短所であるのかどうか。</t>
  </si>
  <si>
    <t>自動運転は、一定の条件下で車が人間のように周囲の環境を認識し、判断・制御を行う技術であり、その中でも特に「認知」の部分に機械学習が活用されている。また、機械学習を使うことで、AIは過去の学習データから分析や予測を行い、初めての状況にも柔軟に対応できるようになる。</t>
  </si>
  <si>
    <t>「実世界 (社会や企業・組織など) での機械学習(AI)の利用状況1つを調査。どんな場面で、どんな技術が、どんな使われ方をしているのか? なぜ、機械学習を使ったのか?」に対して、私は自動運転について調べた。自動運転はレベル3のある一定の条件下において使用されており、周囲の環境を認識し、適切な判断を下すために様々な機械学習技術を活用している。また、「認知・判断・制御」をAIが担っており、そのなかで主に認知の部分で使用されている。自動運転にはAIの柔軟性が欠かせず、トレーニングされたAIなら、これまでの学習から分析や予測を行えるため、初めて目にするものでも正しく認識して回避行動を行うことができるため、機械学習が使用されている。
以上の文で考えたのですが、私の意見を踏まえて、意見を聞かせてください。</t>
  </si>
  <si>
    <t>自分の意見を述べた後に生成AIの意見を聞くことで自分の意見についての感想を知ることができ、自分の文を踏まえた要約をしてもらえる点。</t>
  </si>
  <si>
    <t>環境構築の日本語に少し違和感を覚えた。
もう少し詳しく環境構築の説明をしてほしかった。</t>
  </si>
  <si>
    <t>24238156@edu.cc.saga-u.ac.jp</t>
  </si>
  <si>
    <t>プログラミングは人間がコードを描きそれを機械に実行させる方法。書かれたコードから入力されれば同じような結果が出る。プログラミングができた経緯として初期のコンピュータは動作の効率が悪く、コードから機械に命令を出し、機械に実行させる方法が考案された。
機械学習は大量のデータを学習させ、コンピュータに規則性を学習させる方法。例えば画像から動物の種類を判断する動作には複雑な判断基準を設ける必要があるため、規則性を学習させることで解決でいる。また、学習させるデータによって過学習やデータ不足が起こり、精度が悪化したりする。</t>
  </si>
  <si>
    <t>ソフトウェアの実行手段としてのプログラミングと機械学習の特徴をそれぞれ二つずつ挙げて
加えて、プログラミングや機械学習が生まれた経緯についてもそれぞれ２つずつ挙げてほしい</t>
  </si>
  <si>
    <t>生成AIはこちらから数を指定しなければできる限り多くの情報を出力してくるように感じていてそのすべてをうまく扱いきれていなかったため、数を減らすためにこのような形にした。</t>
  </si>
  <si>
    <t>機械学習（AI)の実世界での利用状況の一つに製造過程での利用が挙げられる。AIによる画像判定システムにより不良品の検出などを行っている。これは半導体関連産業でも使われている。数百から数千ものパラメータが絡み合うためここから最適な動作をするにはパターンを学習する機械学習（AI)でなければ対応できないから。</t>
  </si>
  <si>
    <t>AIにどのような利用方法があるのかを２～４つ挙げてほしい。もしAIの利用方法に半導体関連のものがあったなら優先してあげてほしい。
半導体製造におけるプロセス最適化についてなぜ機械学習（AI)を利用したかについてリストアップしてほしい</t>
  </si>
  <si>
    <t>AIの探し出した答えの中から４つほどを挙げてもらうが半導体の製造にAIが活用されていることは聞いていたのでできれば半導体に関係のあるものをいくつか出力させたかったから</t>
  </si>
  <si>
    <t>同じ班の人とよく議論できていたと思う。他の班の人とはそうではなかったのでぜひ他の班の人とも交流できたらいいと思う</t>
  </si>
  <si>
    <t>24238106@edu.cc.saga-u.ac.jp</t>
  </si>
  <si>
    <t>プログラミングとは、人間があらかじめルールや処理手順を明確にコードとして記述し、それをコンピュータに実行させる技術です。これに対して機械学習は、大量のデータをコンピュータに与え、そこからパターンや規則を自動的に学習させる技術です。機械学習という手法が登場した背景には、いくつかの重要な要因があります。まず、現代社会ではインターネットやセンサー技術の発展により、膨大な量のデータが日々生成されるようになった。こうしたデータを有効に活用するためには、人間が手作業でルールを定義する従来のプログラミングだけでは限界があるという理由がある。さらに、画像認識や音声認識、自然言語処理のように、ルールが複雑で明示的に定義しにくい問題も増えてきたからである。複雑化する課題やデータ量の増加に対応するために、機械学習は必要不可欠な技術として発展してきたと考えた。</t>
  </si>
  <si>
    <t>プログラミングと機械学習の違いについて教えてください</t>
  </si>
  <si>
    <t>製造工場の画像認識AIを活用した品質管理の自動化に利用されている。生産ラインを流れる製品をカメラで撮影し、AIが傷や汚れ、形状の異常などを瞬時に検知することで、検査の精度向上と効率化を実現している。さらに、工場の機械に設置したセンサーからデータを収集し、AIが故障の兆候を事前に予測する「予知保全」も行われている。これにより、突然の設備停止を防ぎ、計画的なメンテナンスを行うことで、生産性の向上に繋がっている。</t>
  </si>
  <si>
    <t>アナコンダの環境構築の事前準備が難しかったです。</t>
  </si>
  <si>
    <t>24238294@edu.cc.saga-u.ac.jp</t>
  </si>
  <si>
    <t>プログラミングは、計算、シミュレーション、業務システムの処理（在庫管理、会計計算など）、アルゴリズムが明確にわかっている処理などを得意とする。
一方で機械学習は、画像・音声・文字などのパターン認識、株価予測、需要予測などの複雑な予測、データに隠れたルールや相関を発見することなどを得意とする。
このことから、プログラミングは「人間がルールを明確に説明できる処理」に強く、機械学習は「ルールを説明することが難しい複雑な問題」に強い、と言うことができる。</t>
  </si>
  <si>
    <t>ソフトウェアでの実装手段として、プログラミングと機械学習の違いについて、分かりやすく述べてください。例えば、なぜ機械学習という手法が出てきたのか? 例えば、実現できる事の違い、など。</t>
  </si>
  <si>
    <t>Promptを作成する上で工夫した点は、「分かりやすく」を付け足すことで、専門用語を用いた難しい説明を排除した。</t>
  </si>
  <si>
    <t>スマートスピーカー
どんな場面で使われているか
・「音楽をかけて」「照明を消して」「エアコンをつけて」などの操作
・「明日の天気」「近くのコンビニ」などの情報検索
・「タイマーを5分にセット」「買い物リストに牛乳を追加して」などの指示
これらをすべて音声のみで行うことができる。
どんな技術が使われているか
・音声認識（ASR: Automatic Speech Recognition）
・深層学習（RNN, LSTM, Transformer）→人間の発話をテキスト化
・自然言語処理（NLP/NLU: Natural Language Understanding）
→テキスト化された音声を解析し、「ユーザーの意図（インテント）」を特定。
「明日の天気は？」 → 「天気情報を取得する」タスクに変換するなど。
・対話管理（Dialog Management）
→質問に答える、追加質問をする、家電操作APIにリクエストを送るなど、状況に応じた応答を生成する。
どんな使われ方をしているか。
家庭内でのハンズフリー操作→料理中や移動中でも声だけで指示ができる。
スマートホームの中心→IoT家電（照明・エアコン・ロボット掃除機）と連携。
情報サービスの窓口→ニュース、天気、交通情報を音声で提供。
なぜ機械学習を使ったのか。
「電気つけて」「ライト点けて」「照明オン」など、同じ意味でも言い回しが複数存在するため、機械学習で「意味のパターン」を学習する必要があったから。
また、大量データから学習させることで、部屋の騒音などの環境ノイズや、方言、発音の違いなどの個人差に対応できるため。</t>
  </si>
  <si>
    <t>音声認識に関する機械学習(AI)の利用状況1つを調査。どんな場面で、どんな技術が、どんな使われ方をしているのか? なぜ、機械学習を使ったのか?</t>
  </si>
  <si>
    <t>生成AIと聞いて、Siriなどの音声入力が一番に浮かんだので、利用例を音声認識に関することに限定することで、自分が知りたい分野により近い回答を一度で得られるようにした。</t>
  </si>
  <si>
    <t>班の人と相談しながら活動を進めることで、分からない問題が解決したり、自分にはない発想の考え方を知れたりしました。しかし、jupyter notebookでのコードが、それぞれどの部分の指示に対応しているのかは、協力して考えても難しく、生成AIの力を借りて、ようやく理解できたことが多くありました。自分で考えることをおろそかにしないよう、適度に使っていけば、生成AIは私たちの早い成長を助けるとても便利なツールだと感じました。</t>
  </si>
  <si>
    <t>24238108@edu.cc.saga-u.ac.jp</t>
  </si>
  <si>
    <t>プログラミングは人間がどう動くかのルールを明示的に記述しており、仕組みが明確であるが、複雑な問題ではルールを全て書くのが不可能に近いという問題点がある。機械学習では人間はデータを与えコンピュータがそのデータからパターンを自動で学習しており、データさえあれば複雑な問題も解けるが、なぜその判断をしたのかが説明しにくいという問題点がある。機械学習という手法が出てきたのは現実世界は曖昧で多様で例外だらけで、明確なルールで定義できないことが増えたのでデータから学ぶという発想が生まれた。</t>
  </si>
  <si>
    <t>プログラミングと機械学習のアプローチの違いについて教えてください。例えばなぜ機械学習という手法が出てきたのか、実現出来ることの違いなどです。</t>
  </si>
  <si>
    <t>小売業での「需要予測」への機械学習活用について。明日どの商品をどれくらい仕入れるか判断する場面で回帰モデルや時系列予測モデル(ランダムフォレスト、XGBoost、ニューラルネットワーク)の技術が、AIが出した予測値をもとに、①自動で発注数を決める。②店舗スタッフの発注支援に使う。③廃棄ロスや在庫切れを減らす。などの形で日常的に利用されている。機械学習を使う理由としては、人間の判断には限界があること、AIは膨大なデータを扱えることが挙げられる。</t>
  </si>
  <si>
    <t>社会や企業、組織などでの機械学習(AI)の利用状況を1つ教えてください。例えばどんな場面でどんな技術が、どんな使われ方をしているのか。なぜ、機械学習を駆使しているのか。</t>
  </si>
  <si>
    <t>環境整備が自分一人で行うには少し難しかったです。また、グループで行うことで分からないことが質問しやすく理解度も深まったと思います。</t>
  </si>
  <si>
    <t>24238409@edu.cc.saga-u.ac.jp</t>
  </si>
  <si>
    <t>現代の情報技術において、「プログラミング」と「機械学習」はしばしば混同されるが、それぞれの概念は本質的に異なる。両者の理解を深めることは、技術選択や応用において重要である。本稿では、プログラミングと機械学習の概念的及び技術的相違点について論じる。
1. プログラミングの定義と特徴
プログラミングは、コンピュータに対して具体的な命令を記述し、目的の動作を実現する手法である。プログラマはアルゴリズムを設計し、その仕様に基づいてソースコードを作成する。したがって、プログラムの動作は人間が設計した明示的なルールに基づき、決定的に実行される。
この特徴は、動作の予測可能性と再現性を保証する一方で、複雑かつ曖昧な問題に対してはルール設計の困難さを伴う。
2. 機械学習の定義と特徴
一方、機械学習は大量のデータから統計的手法を用いて規則やモデルを自動的に獲得する技術である。機械学習モデルは、人間が明示的に定義しないパターンや相関関係をデータから抽出し、未知の入力に対して予測や判断を行う。
この学習プロセスは、従来のプログラミングと異なり、明示的な命令の記述を必要とせず、経験的な情報に基づく柔軟性を持つ。
3. 両者の相違点
本質的な違いは「ルールの決定方法」にある。プログラミングは「人間がルールを設計し、それをコンピュータに実行させる」方式であるのに対し、機械学習は「コンピュータがデータからルールを学習し、それに基づいて処理を行う」方式である。
この違いは応用範囲にも反映される。プログラミングは正確で厳密な処理を要する分野に適し、機械学習はパターン認識や予測、複雑な判断を要する分野での有用性が高い。
4. 結論
以上より、プログラミングと機械学習は目的や手法において根本的に異なる技術である。両者を適切に理解し使い分けることは、情報システムの設計や問題解決において不可欠である。今後も双方の技術は相補的に発展し、より高度な知的処理の実現に寄与すると期待される。</t>
  </si>
  <si>
    <t>企業や組織における機械学習（AI）の活用状況として、製造業における「予知保全（Predictive Maintenance）」の導入が挙げられます。NECの事例によれば、製造業ではセンサーから収集したデータをもとに機械学習を活用し、設備の故障予兆を検出する取り組みが進められています。これにより、従来の経験則に頼った「そろそろ故障しそうだから部品交換しよう」といった判断から、データに基づく「いつ、どの部品が、どのように故障する可能性が高いか」を予測する判断へとシフトしています。
このようなデータドリブンのアプローチは、属人性の解消や生産性の向上に寄与し、機械学習の導入が製造業の業務効率化に大きな効果をもたらしていることが示されています。NECの解説によれば、機械学習の活用が進んでいる背景として、データ取得・保存の容易さやツールの進化、精度向上などが挙げられます。これらの要素が組み合わさることで、企業はより効率的な運用が可能となり、競争力の強化につながっています。
参考文献：NEC「機械学習の仕組みとは？学習方法や活用事例まで徹底解説！」（https://jpn.nec.com/solution/dotdata/tips/machine-learning/index.html）</t>
  </si>
  <si>
    <t>社会や企業・組織での機械学習(AI)の利用状況1つをソースを明確にして表示してください</t>
  </si>
  <si>
    <t>夏休み終盤にせず、八月中旬にしてほしい</t>
  </si>
  <si>
    <t>24238431@edu.cc.saga-u.ac.jp</t>
  </si>
  <si>
    <t>　従来のプログラミングでは、人間がルールを作り、その通りにコンピュータを動かすことであり、対して機械学習では、データを与えられたコンピュータが自動的に学んでルールを見つけるというアプローチの違いがある。また従来のプログラミングと機械学習のそれぞれで実現できることの違いは、以下に示した。
プログラミングで実現できること：
・計算や制御
・単純な置換による自然言語処理
機械学習で実現できること：
・CNNによる画像認識
・意訳を含めた自然言語処理
・推薦システム
・chatGPT、Copilotなどのような生成系AI
　以上の内容を踏まえると、機械学習では、従来のプログラミングでは表せない（数式やif分では表現できない）曖昧な問題に対応するために、機械学習が出てきたことが分かり、これがソフトウェアでの実装手段としてのプログラミングと機械学習の大きな違いであることが言える。</t>
  </si>
  <si>
    <t>以上までの内容を振り返って、ソフトウェアでの実装手段として、プログラミングと機械学習の違いについて述べてください。例えば、なぜ機械学習という手法が出てきたのか? 例えば、実現できる事の違い、など。初学者にも分かりやすく、かつ具体的に紹介してください。</t>
  </si>
  <si>
    <t>以前に今回のAI実習の講義に関する質問をした状態で、それまでの内容を振り返らせることで、望ましい回答に近づけるようにした。また、例を挙げたり、具体的に示すことを促すことにより、曖昧な答えが返ってくることを防いだ。</t>
  </si>
  <si>
    <t>実世界で利用されているAIの1つとして、製造工場における"故障予知"や"設備保全"が挙げられる。まずは、使われている場面について紹介する。製造工場の生産ラインには、モーター、ポンプ、ベルトコンベアなどといった多くの機械が常に動いている。これらが突然壊れたり、停止したりすると、生産に遅れが生じ、大きな損失を生むことになる。そのため、「故障する前に異常を予測して、事前に点検や修理する」 仕組みが求められる。このような場面において、機械学習が利用されている。そして、ここで使われている技術が、機械学習による異常検知モデルである。これは、各機能のセンサーが読み取る温度や振動、電流や電圧などのデータを、正常に動作している場合とそうでない場合で学習させて、異常の有無を判断させるというものである。具体的には異常検知（Anomaly Detection）、時系列予測（Time Series Forecasting）、ディープラーニング（特にLSTM）など。このシステムを用い、常時機械の点検をしながら、異常の可能性がある場合はその内容を通知するという使われ方をしている。また、このシステムに機械学習を利用したのは、人間では気づきにくい複数の要素の関係により発生する異常のパターンを見逃すのを防ぐためという理由がある。</t>
  </si>
  <si>
    <t>実世界 (社会や企業・組織など) での機械学習(AI)の利用状況1つを教えてください。その際、以下のことについて詳細に具体的に紹介してください。
・どんな場面か
・どんな技術か
・どんな使われ方をしているのか
・なぜ、機械学習を使ったのか</t>
  </si>
  <si>
    <t>ポイントを箇条書きで挙げて具体的な案を出力させるようにした。最初の1文でメインの質問を簡潔に書くことで、ずれた回答が出力されないようにした。</t>
  </si>
  <si>
    <t>jupiternotebookを用いた演習に関して、コードの理解が十分にできた学生が少ないように感じたので、演習の時間を延ばしたり、解説を加えたりするなどするとより良くなるのではないかと感じた。</t>
  </si>
  <si>
    <t>24238064@edu.cc.saga-u.ac.jp</t>
  </si>
  <si>
    <t>プログラミングとは、人間がコンピュータに命令を与えることで、ルールを教えるものです。
機械学習は人間が直接ルールを書くのではなくコンピュータ自身にルールを学ばせること、つまりルールを教えるのではなく学ばせるものになります。目的はプログラミングが決められた処理を正確に行うことで、機械学習はデータからパターンや予測を見つけることです。つまり実現できるのは、温度によってメッセージが変わるなどができるのがプログラミングで画像から猫か犬かを判定するのが機械学習のできることです。</t>
  </si>
  <si>
    <t>プログラミングと機械学習の違いはなんですか
理由:違いをわかるようにするためにききました</t>
  </si>
  <si>
    <t>荷物の配送の時、AIが最も効率の良い道を自動で提案する。この技術は地図・交通データの学習を行い、未来の交通状況を予測できるようにする。そして、予測した情報をもとにどの順番で配ると効率がよいかを決めてくれる。次に需要予測を行う。どこでいつ、どれだけの荷物が出るかを事前に予測しておく。最後にリアルタイムの天候や渋滞、事故などがあったらルートを再計算する。このように、複雑な手段がいくつも必要なため人の手では難しいので、機械学習で行う</t>
  </si>
  <si>
    <t>機械学習はどのようなところに使われますか
↓
社会では主にどこにつかわれていますか
↓
機械学習の配送ルートの最適化はどのような技術で実行しているのですか</t>
  </si>
  <si>
    <t>最初の二つでどこに使われているかを絞り込み
最後の質問で詳細をきいた。
工夫した点は3回質問して精度を高めました</t>
  </si>
  <si>
    <t>プログラミングの理解が難しかったです</t>
  </si>
  <si>
    <t>24238032@edu.cc.saga-u.ac.jp</t>
  </si>
  <si>
    <t>池邉 晃成</t>
  </si>
  <si>
    <t>プログラミングは開発者がプログラムのすべての動作を詳細に制御できるため、ルールが明確なタスクや構造化されたデータの処理が得意なのに対し、機械学習はデータからパターンを自動的に学習することができるため、ルールが不明瞭なタスクや、構造化されていないデータの処理が得意である。</t>
  </si>
  <si>
    <t>プログラミングと機械学習の違いについて、それぞれの利点に着目して教えて</t>
  </si>
  <si>
    <t>スマートフォンの顔認証の場面で機械学習が使われている。その場面では、深層学習の一部である畳み込みニューラルネットワークという技術が顔の特徴量検出や特徴量比較と認証に使われている。
その場面で機械学習が使われている理由として、無限の多様性への対応やセキュリティなどが挙げられる。</t>
  </si>
  <si>
    <t>身近な社会の中で機械学習が利用されている状況を一つ挙げて。
一緒にそれがどんな場面でどのような技術がつかわれているか、またなぜその場面で機械学習が使われているかを教えて。</t>
  </si>
  <si>
    <t>24238049@edu.cc.saga-u.ac.jp</t>
  </si>
  <si>
    <t>ソフトウェア開発には「プログラミング」と「機械学習」という二つの方法がある。プログラミングは、人間があらかじめルールや手順を決め、それをコンピュータに指示する仕組みである。例えば「気温が30度を超えたらエアコンを作動させる」といったように、条件や動作を明確に設定する必要がある。この方法は、計算や制御など明確な手順がある処理に向いている。一方、機械学習は、人が細かくルールを決めにくい問題に対し、コンピュータがデータから自ら学ぶ手法である。例えば「犬と猫の画像識別」では、大量の画像データを基にAIが特徴を抽出する。近年は、音声認識や自動運転など複雑な問題が増えたため、機械学習の利用が進んでいる。つまり、プログラミングは「人がルールを教える」方法、機械学習は「コンピュータがデータからルールを学ぶ」方法であり、それぞれ得意な分野が異なる。</t>
  </si>
  <si>
    <t xml:space="preserve">1.ソフトウェアでの実装手段として、プログラミングと機械学習の違いについての述べてください。例えば、なぜ機械学習という手法が出てきたのか? 例えば、実現できる事の違いをわかりやすく説明して
聞いた理由
とりあえず書くための枠組みを作るために
2.要点をわかりやすくまとめて
聞いた理由
要点を書き出して文を書くため
</t>
  </si>
  <si>
    <t>現実の社会では、小売業において機械学習が活用されている例が多い。例えばコンビニでは、過去の売上データや天候、曜日、地域イベントなどをもとに、どの商品がどの程度売れるかを予測するシステムが導入されている。この際、「需要予測モデル」と呼ばれる機械学習技術が用いられ、統計的分析やニューラルネットワークで学習が進められる。こうした技術により、店舗は適切な在庫管理が可能となり、品切れや余剰在庫の減少が実現できる。複数の要因が絡むため、人間だけで正確に予測することは難しい。そこで機械学習が用いられることで、効率的かつ合理的な運営が可能になっている</t>
  </si>
  <si>
    <t xml:space="preserve">1.実世界 (社会や企業・組織など) での機械学習(AI)の利用状況1つを調査。どんな場面で、どんな技術が、どんな使われ方をしているのか? なぜ、機械学習を使ったのか?をわかりやすく説明して
聞いた理由
とりあえず書くための枠組みを作るため
2.コンビニではどのように使っているか教えて
聞いた理由
一番利用しているコンビニではどんな技術が使われているかまとめるため
</t>
  </si>
  <si>
    <t>わかりやすく要点をまとめてもらってそこから文を書きました</t>
  </si>
  <si>
    <t>チームでの話し合いは充実していたが、作業の進め方が少し分かりにくかった。来年度は役割分担を明確にして進めると、もっと良い活動になると思う。</t>
  </si>
  <si>
    <t>24238046@edu.cc.saga-u.ac.jp</t>
  </si>
  <si>
    <t>　プログラミングと機械学習の違いについて、アプローチの面では、人間がルールを明示的に記述するのがプログラミング、データからパターンを学習するのが機械学習である。
　このそれぞれのアプローチにより、プログラミングは、「計算処理、業務システム、税計算」などの、ルールが明確な場合に利用されており、その理由の1つとして、人間がルールを記述し、作っていくため、説明責任が必要な場面に適しているというものが挙げられる。
対して機械学習は、「画像認識、予測モデル、自然言語処理」などといった、ルールが複雑、曖昧で、人間が定義しづらい場合に利用されており、その理由としては、大量のデータから学習することができ、複雑なパターン認識が可能になるためである。その反面、この複雑なモデルは、「なぜその判断をしたのか」を人間が直感的に理解することが難しく、説明責任の必要な場面には適していないとされている。
　以上の違いを一言でまとめると、プログラミングはルールが明確で説明責任が必要な場面に強く、機械学習は複雑で曖昧な問題や予測に強いが、説明責任には弱い。
　つまり、両者を組み合わせ、互いの弱点を補う方法が最も良い手段なのではないかと考える。</t>
  </si>
  <si>
    <t>1ソフトウェアでの実装手段として、プログラミングと機械学習の違いを教えて。
→わかりやすい違いをまず知るため。
2様々な場合における、選定基準を詳しく教えて。
→1で挙げられた違いを踏まえて、どのような判断基準で2つを使い分けるのか知るため。
3実現できることの違いを教えて。
→どのような事例で利用されるのか。実用例を知るため。
4なぜ説明責任が必要な事例において機会学習は不向きなのかをわかりやすく教えて
→これまでの質問では詳しく説明されておらず、機械学習の主な弱点につながる内容であるため。</t>
  </si>
  <si>
    <t>　クレジットカード不正利用において、教室あり学習の技術を使い、過去の正常・不正取引データを学習し、取引ごとに「不正スコア」を算出する。この技術は、既知パターン検出に強い。また、教師なし学習を使い、正常取引のパターンを学習し、逸脱した取引を「異常」として検知する。この技術は未知の不正パターンに対応できる。更に、ディープラーニングを使い、複雑な特徴(取引時間、端末情報、地理情報など)を組み合わせて高精度な不正判定を実現した。
　これらの機械学習の技術を使うようになった理由には、不正手口の多様化と進化により、固定ルールでは追いつけ無くなってきたこと、リアルタイムでの処理が、機械学習の技術を使うことで可能になること、大量のデータから、複雑なパターンを学習し、精度を高めることができること、などが挙げられる。</t>
  </si>
  <si>
    <t>1クレジットカードの不正利用の取り締まりにおいて、機械学習のどのような技術が、どのような使われ方をしているのかを説明して、最後に表にまとめて。
→テーマを絞って質問し、なるべく不要な説明がされないように工夫した。また、表にまとめてもらうことで自分が理解しやすいようにした。
2機械学習の技術別に強み、弱みを挙げて。
→機械学習の中の技術について、より詳しく説明を求めるため。
3機械学習がなぜ使われるようになったのか教えて。
→1での質問で抜けてしまっていた内容を追加で質問した。</t>
  </si>
  <si>
    <t>初めは広い内容を質問し、その中から段々と限定していくようにpromptを作成した。
また、求めていた回答が少し抜けていた場合に、もう一度抜けていた部分を明らかにして質問をし直すようにした。</t>
  </si>
  <si>
    <t>最初の環境設定が、自分一人では難しかった。
もう少し噛み砕いて説明をしてほしいと感じた。</t>
  </si>
  <si>
    <t>24238002@edu.cc.saga-u.ac.jp</t>
  </si>
  <si>
    <t>ログラミングと機械学習は、どちらもコンピュータに処理を行わせるための技術だが、その根本的な考え方やアプローチには明確な違いがある。プログラミングは、簡単にいうとがあらかじめ手順やルールを設定して、それをコンピュータに実行させる方法である。一方、機械学習は、コンピュータ自身がデータから規則性を見つけ出し、未知の入力に対して自ら判断や予測を行うことを目的とした技術である。
プログラミングは問題解決のためのアルゴリズムを私たち人間が行うのに対し、機械学習はＡＩが大量のデータを解析し、規則性を自動的に学習を行っている。
大まかにいうとプログラミングが手動、機械学習が自動であることが一番の違いである。</t>
  </si>
  <si>
    <t>プログラミングと機械学習の違いについて文章の形で専門分野をふまえてお願い</t>
  </si>
  <si>
    <t>医療分野でＡＩによる画像診断の支援に役立っている。
ＡＩが過去の大量のデータを学習して、がんや肺炎などの病気を自動で見つけ出すことに役立っている。例としてGoogle Healthが開発した乳がん検出AIは、放射線科医よりも高い精度で乳がんの兆候を見つけたという報告がある</t>
  </si>
  <si>
    <t xml:space="preserve">社会や企業などの現実世界ででＡＩがどんな場面で、どんな技術が、どんな使われ方をしているのか?　　　　　　　
　　　　　　　　　　　　　　　　　　　　↓
ＡＩの医療・福祉分野について活用を例をふまえて教えて
</t>
  </si>
  <si>
    <t>まず実際にどんなところにＡＩがつかわれているかリストアップしてそこから自分の興味のある分野を決め、実際の例をあげさせせることで正確性を挙げることを工夫した</t>
  </si>
  <si>
    <t>講義の事前準備が難しかった</t>
  </si>
  <si>
    <t>24238096@edu.cc.saga-u.ac.jp</t>
  </si>
  <si>
    <t xml:space="preserve">プログラミングでは、既存のコードを用いて表現したいことをルールに従って表わさなければいけないため、特に画像を表すときには複雑で膨大な処理を要する。機械学習はプログラミングと異なりデータからパターンやルールを自動的に学習する手法であり、人間がルールやコードを用いて表す必要なく、モデルに繰り返し学習させることで特定の物に対して認識することができるようになる。
機械学習が手法として出てきた背景には、大きく分けて3つの理由がある。1つ目はインターネットの普及により膨大なデータを集められるようになった。これを処理するためにはプログラミングよりも機械学習の方が効率的である。2つ目は、計算機性能の向上である。　GPUなどの発展により、大量のデータを高速に処理できるようになったからである。最後に、音声認識、画像処理、自然言語処理など、明確なルール化が困難な分野では、プログラミングよりも機械学習の方が適しているからである。
近年は、機械学習の中でも特に深層学習（ディープラーニング）を基盤とした生成AIが存在感を示している。このようなAIは文章・画像生成にも応用でき、従来のプログラミングでは不可能なところまで到達している。
</t>
  </si>
  <si>
    <t>機械学習の使われている具体例の１つとして、多くの企業が顧客対応を自動化するためにAIチャットボットを導入しているものがある。
たとえば、通信会社、銀行、ECサイト（例：Amazonや楽天）、航空会社などでは、顧客からの問い合わせ対応をAIが行っている。
このことにより、24時間いつでも質問に答えられる体制が整い、業務の効率化と顧客満足度の向上が図られている。AIチャットボットでは機械学習技術が使われている。まずは自然言語処理、人間の言葉を理解し、意味を解析する技術である。次は発言の“意図”を分類する機械学習モデルが学習データから自動で識別する。固定的な回答ではなく、質問の文脈に応じて回答文を生成できるのが特徴である。主な業務内容としてはFAQ（よくある質問）の自動応答、契約内容や料金プランの案内、商品の発送状況や返品手続きの説明、問題を解決できない場合は、人間のオペレーターに引き継ぐ。このように、単純な対応はAIが担当し、複雑な対応は人間が行うという形で運用されている。なぜ機械学習を使ったかについては、主に4つの理由がある。１つは大量の問い合わせに対応するため、企業には毎日数千件の問い合わせが届くため、すべてを人間が対応するのは非効率。AIが自動で処理することで、対応コストを大幅に削減できる。
2つ目は24時間対応が可能になるためであり人間の勤務時間に関係なく、夜間や休日もサービスを提供できるからである。3つ目は顧客満足度の向上であり待ち時間が減り、迅速な回答が得られることで顧客の満足度が上がるからである。
4つ目は学習による精度向上、AIは過去の会話データから学習を続けることで、回答の正確さや自然さを向上させることができるからである。</t>
  </si>
  <si>
    <t>初めてのAI学習で色々な学びになりました。</t>
  </si>
  <si>
    <t>24238323@edu.cc.saga-u.ac.jp</t>
  </si>
  <si>
    <t>プログラミングは人間が行動手順をはじめに定義し、コンピュータに命令を与え、望むデータを求める行為である。それに対し機械学習は人間が与えたデータをもとに、コンピュータ自身が最適な行動手順を学び、導出するものである。プログラミングは人間が手を加えているため出力結果の理解が簡単だが、機械学習による出力はコンピュータによる最適解によって出力されるため理解することが難しいことが多い特徴がある。</t>
  </si>
  <si>
    <t>プログラミングと機械学習の違いについて</t>
  </si>
  <si>
    <t>機械学習（AI）が発達すると人間が行うプログラミングの必要性はなくなってしまうのでしょうか？</t>
  </si>
  <si>
    <t>スマートフォンの内蔵されているカメラアプリにおいて、カメラで写真や映像を撮影する際に人間の顔や動物の顔を認識し、そこにピントを自動で合わせるために機械学習（画像認識）が利用されている。</t>
  </si>
  <si>
    <t>機械学習が組み込まれている身近な技術を複数あげよ。</t>
  </si>
  <si>
    <t>機械学習を身近なものだと感じるために、命令文を作成した。</t>
  </si>
  <si>
    <t>人数が多いため全員が一斉に同じサイトを開くと動作が遅くなったり、そもそも動作を起こせないことがあった。
また複数の教授が会議内で同時に発言されたため、自分の聞くべき情報がわかりにくかったです。</t>
  </si>
  <si>
    <t>24238419@edu.cc.saga-u.ac.jp</t>
  </si>
  <si>
    <t>プログラミングは、ルールや手順を人が全部決めて、コンピュータに命令として書き込む方法であり、その指示によってしかコンピュータは動かない。一方機械学習は、人がすべてのルールを決めるのではなくいくつかのパターンのデータを与えてコンピュータがそのデータを分析して自分で学習して未来の予測や分類をする。具体例として、りんごとみかんを見分けるタスクを作るとする。プログラミングの場合色が赤色ならりんご、オレンジならみかんというようにルールを手書きする。機械学習の場合たくさんの画像とこれはりんごなのかみかんなのかというラベルをコンピュータに渡し見分け方を学習させる。つまり、ルールやパターンが固定されている作業ではプログラミングを用い、認識して分類したり予測したりすることが必要な作業では機械学習を用いることが有効である。現在世界には膨大なデータ情報量が出回っているので人間がすべてのルールやパターンをプログラムするのは不可能であるため、自分で予測や分類ができる機械学習が誕生したのである。</t>
  </si>
  <si>
    <t>ソフトウェアでの実装手段として、プログラミングと機械学習の違いについて初心者大学生にもわかりやすく詳細に述べてください。
機械学習はなぜ誕生したの？なぜプログラミングだけではだめなの？</t>
  </si>
  <si>
    <t>製造業において、機械学習は不良品検出や検査精度の向上、作業の効率化、故障予測、技術や技能の伝承、さらに人手不足の支援などを目的として利用されている。活用事例として、日本のアイテック株式会社さんでは、NC工作機械加工プログラムが属人化しているという課題に対して、ARUMCODEを用いて2Dまたは3D図面から最適な加工条件、工具選定、NCプログラムを自動生成し、さらに作業指示書や見積書も同時に出力した。その結果作業時間が従来の1/10以下に短縮され、また教育負担の軽減にもつながった。機械学習を用いるメリットとして、複雑な判断の自動化、大量のデータの活用、市場や製品の変化への柔軟な対応、属人性の排除、環境負荷の低減などが挙げられる。製造業において、機械学習の利用は品質、効率、安全、持続可能性のすべてに関わる技術革新であり、AIによる性能予測や製造プロセスの最適化はかなり有望なアプローチとなっている。これが製造業で機械学習が利用されている理由である。</t>
  </si>
  <si>
    <t>社会や企業・組織などでの機械学習の利用状況を詳しく教えてください。どんな場面で、どんな技術が、どんな使われ方をしているのか、またなぜ機械学習を用いているのかの説明までお願いします。</t>
  </si>
  <si>
    <t>授業時にグループの人が生成AIを用いていた際、専門用語がたくさん出てきて難しかったので初心者大学生でもわかりやすいようにというワードを入れて入力した。また講義の際畠山先生がおっしゃっていた詳細に述べてというワードも入れてAIに質問した。さらに、一回聞いただけではよく分からなかったところをもっと詳しく説明してもらえるようにわかるまで何回も聞いた。具体例も何種類か提示してもらった。</t>
  </si>
  <si>
    <t>私の班には情報コースの人がいて、プログラミングの知識が私たちよりあってリードしてくれたから割とスムーズに進めることができたが、その人がいなかったら戸惑っていた部分も出てきていたと思う。また事前に環境構築を自分でする際、自分で調べないとできないところがあって難しかった。</t>
  </si>
  <si>
    <t>24238388@edu.cc.saga-u.ac.jp</t>
  </si>
  <si>
    <t>プログラミングは、人間がアルゴリズムやルールを明示的に記述し、コンピュータに指示を与える手法である。機械学習は、データからパターンを学習し、モデルを構築することで、明示的なルールを記述せずにタスクを実行する手法である。また、従来のプログラミングでは、ルールを明示的に書くのがほぼ不可能、現実世界のデータはノイズや例外が多く、固定ルールでは対応困難、AIによる自動判断や予測のニーズが高まったなどの問題があり、これらを克服するために登場した。特に、ディープラーニングの発展により、画像・音声・自然言語といった非構造データの処理が飛躍的に進化した。</t>
  </si>
  <si>
    <t>ソフトウェアでの実装手段として、プログラミングと機械学習の違いについての述べてください。例えば、なぜ機械学習という手法が出てきたのか? 例えば、実現できる事の違い、など。
上記の内容についてレポートを作成してください。</t>
  </si>
  <si>
    <t>EC業界におけるレコメンドシステム
ECサイトでユーザーに、対して「あなたのおすすめの商品」を提示する場面や顧客の購買履歴や閲覧履歴をもとに、パーソナライズされた商品提案を行う場面で、「機械学習アルゴリズム」やユーザー属性、過去の購入履歴、検索履歴、クリックデータなどを活用した「特徴量エンジニアリング」、レイテンシ50ms以下で推薦結果を返す仕組みである「リアルタイム推論」などの技術が使われている。</t>
  </si>
  <si>
    <t>いつも授業は友達と受けているけど、今回は初対面の人だったので、少しコミュニケーションをとるのが難しかった。</t>
  </si>
  <si>
    <t>24238079@edu.cc.saga-u.ac.jp</t>
  </si>
  <si>
    <t>プログラミングでは難しいことがあるから機械学習が必要になった。例えば猫の写真を見てそれが猫か判断するなど、プログラムを人間が描くのが難しいため、データから学ばせる機械学習が登場した。
プログラミングは、人間がプログラムを書くので、明確な作業に強い。
機械学習は、コンピュータがルールを学ぶのであいまいな判断や予測に強い。</t>
  </si>
  <si>
    <t>予備知識がない大学生にも分かるように説明してください。 ソフトウェアでの実装手段として、プログラミングと機械学習の違いについての述べてください。例えば、なぜ機械学習という手法が出てきたのか? 例えば、実現できる事の違い、など。</t>
  </si>
  <si>
    <t>機械学習とプログラミングが得意なことの境界はどこなのか。</t>
  </si>
  <si>
    <t>エンタメ・音楽配信
協調フィルタリングという、似たような音楽を聴いている他のユーザーの行動を参考にしておすすめの作品やプレイリストを作成する。人によって好みが違うため、プログラムを手作業で作るのは不可能であるため。</t>
  </si>
  <si>
    <t>実世界 (社会や企業・組織など) での機械学習(AI)の利用状況1つを調査。どんな場面で、どんな技術が、どんな使われ方をしているのか? なぜ、機械学習を使ったのか? 大学生が身近に感じられるようなものをあげてください</t>
  </si>
  <si>
    <t>自分の中で身近に感じられるものがわかりやすいと思ったので、大学生が身近に感じられるものと限定した。</t>
  </si>
  <si>
    <t>事前に環境設定？をやるのが難しかった。作業画面の動画などあれば大変助かると思う。</t>
  </si>
  <si>
    <t>24238382@edu.cc.saga-u.ac.jp</t>
  </si>
  <si>
    <t>従来のプログラミングは、人間が手順やルールを明示的に設計して動作を指示する方式であり、手順が明確な処理や条件分岐に適している。しかし、画像認識や音声認識のような複雑でルールを定義しにくい問題には限界がある。一方、機械学習は大量のデータから自動的に規則や特徴を学習し、人間が設計できない複雑な問題に対応できる手法である。データ量の増加や計算機性能の向上を背景に発展し、柔軟で高精度な処理を実現する。</t>
  </si>
  <si>
    <t>ソフトウェアでの実装手段として、プログラミングと機械学習の違いについての述べてください。例えば、なぜ機械学習という手法が出てきたのか? 例えば、実現できる事の違い、など。 
以下の #手順 を忠実に守って、 #入力分 の要約を #文字数 の条件を満たして作成してください。 #手順： ・出力する前に、何文字になったかをカウントしてください。 ・カウントした結果、#文字数 の条件を満たしていることが確認できた場合に限ってタスクを終了してください。 ・カウントした結果、#文字数 の条件を満たしていない場合は、#文字数 の条件を満たせるまで文字を追加したり削除して処理を繰り返してください。 ＃文字数： ・下限：250字 ・上限：300字 #入力分：</t>
  </si>
  <si>
    <t>コンビニ業界では、弁当やおにぎりなどの発注数を決める際に機械学習が活用されている。天候、曜日、時間帯、過去の販売実績、地域イベントなど多様なデータをもとに、AIが翌日の販売量を予測する。使用される主な技術は回帰分析やディープラーニングで、複数の要因を同時に分析し、高精度な需要予測を実現している。従来の人の勘や経験だけでは対応が難しかった発注判断をデータで最適化し、廃棄ロスの削減や品切れ防止など、効率的な店舗運営に貢献している。</t>
  </si>
  <si>
    <t xml:space="preserve">実世界 (社会や企業・組織など) での機械学習(AI)の利用状況1つを調査。どんな場面で、どんな技術が、どんな使われ方をしているのか? なぜ、機械学習を使ったのか?
以下の #手順 を忠実に守って、 #入力分 の要約を #文字数 の条件を満たして作成してください。
#手順：
・出力する前に、何文字になったかをカウントしてください。
・カウントした結果、#文字数 の条件を満たしていることが確認できた場合に限ってタスクを終了してください。
・カウントした結果、#文字数 の条件を満たしていない場合は、#文字数 の条件を満たせるまで文字を追加したり削除して処理を繰り返してください。
＃文字数：
・下限：250字 
・上限：300字 
#入力分：
以下は、実世界での機械学習（AI）の利用事例の一例です。
---
### 事例：コンビニ業界における需要予測（例：ローソン、セブン‐イレブンなど）
**どんな場面で使われているか**
コンビニでは、弁当やおにぎりなどの「商品の発注数」を決める際に、機械学習が利用されている。天候、曜日、時間帯、過去の販売実績、地域イベントなどのデータをもとに、「明日どの商品がどれだけ売れるか」をAIが予測する。
**どんな技術が使われているか**
主に「回帰分析」や「ディープラーニング（深層学習）」などの機械学習手法が用いられる。これらにより、複数の要因を同時に考慮した高精度な需要予測が可能となっている。
**なぜ機械学習を使ったのか**
人の経験や勘だけでは、天気や地域イベントなど多様な要素を考慮するのが難しく、発注ミスによる「売れ残り」や「品切れ」が発生しやすい。機械学習を導入することで、データに基づいた予測ができ、廃棄ロスの削減や販売機会の最大化を実現している。
 </t>
  </si>
  <si>
    <t>ChatGPTは文字数を正確にカウントできないので、Promptの作成で指定通りに入力するようにした。</t>
  </si>
  <si>
    <t>環境構築が難しかった。</t>
  </si>
  <si>
    <t>24238451@edu.cc.saga-u.ac.jp</t>
  </si>
  <si>
    <t>プログラミングと機械学習の違いを簡単にまとめると人がルールを書くかコンピューターがルールを学ぶということである。プログラミングには明確な手順や条件が必要であり計算や条件分岐がはっきりしている問題に向いている。一方機械学習は明確な手順や条件は必要なく膨大なたくさんの種類のデータが必要になってくる。ルールがはっきりとしていない言葉にできないような問題に向いている。</t>
  </si>
  <si>
    <t>機械学習に間違ったデータを与えると正しいデータは失われてしまうのか</t>
  </si>
  <si>
    <t>建築の分野で建物の設計のサポートに使われている。画像認識や生成AI、最適化AIが使用されている。図面や間取りをデータで読みとって３Dモデルを作ったりしている。設計には快適さやバランスなど数式では表せない要素があるから使用されている。</t>
  </si>
  <si>
    <t>もうちょっとWi-Fi環境を良くしてほしいと思った。</t>
  </si>
  <si>
    <t>24238159@edu.cc.saga-u.ac.jp</t>
  </si>
  <si>
    <t>定義としてプログラミングとは、人間がルールを作りそれに基づいてコンピューターが動く形式であり、機械学習とはコンピューター自身が反復演習により自分でルール・規則性を学び、判断できるようになる形式である。例えばリンゴとミカンの判別においてプログラミングでは人間が「赤はリンゴ、オレンジはミカン」とルールを作りそれをコンピューターが見分ける。しかし、青リンゴや赤いミカン、黄色のミカンが登場してしまうとその変化に対応できない。一方機械学習では、たくさんの画像を見せリンゴとミカンについて教え、コンピューターがそれを学習していく。もし間違えたとしてもその画像に写るものの特徴を記録し反復して学習する。</t>
  </si>
  <si>
    <t>プログラミングと機械学習の違いについて具体的な違いがはっきりとわかる例を挙げながらプログラミングを専攻していない一般人にもわかるように説明して</t>
  </si>
  <si>
    <t>現代人ならもはや必需品であるスマートフォンの顔認証に機械学習が利用されている。スマホのカメラが使用者の顔を学習し覚えることでロックが解除される仕組みである。スマホに自分の顔を登録する際に機械学習モデルが顔の特徴を記録し、ロック解除時に登録された顔の情報と一致するか判断する。機械学習である理由は、顔の特徴を複数枚の画像から学習できる、新しい顔や変化にも柔軟に対応できるためである。プログラミングだけの場合、目・鼻・口の位置や形、大きさなどを細かく指定しなければならない。</t>
  </si>
  <si>
    <t>現代社会で、機械学習がどんな場面で、どんな技術が、どんな利用方法で活用されているのか。またなぜ機械学習を使っているのかをプログラミングを専攻していない一般人にもわかるように１つ例を挙げて分かりやすく説明して</t>
  </si>
  <si>
    <t>22238244@edu.cc.saga-u.ac.jp</t>
  </si>
  <si>
    <t>プログラミングは人が作り、これが示すアルゴリズムに従い出力される結果の一連の流れが明示的である一方、機械学習、特に広義の機械学習は、そのモデルは人が作り、人が与えたデータに対して評価される最適なパラメータはその決定までの流れが陰伏的である
狭義の機械学習の一例である強化学習は生成された結果に関して報酬スコアによるフィードバックを与え正確性を増していく特徴があり、深層学習は多層に渡るニューラルネットワークを介してアルゴリズムが相互作用的なパラメータ評価を行うとともに、評価をフィードバックして、より最適なアルゴリズムを回帰的に変化させる特徴がある
プログラミングは個々の事例を考慮して、個別に作成しなければならない煩雑さがあるが、その点においてこれら機械学習は人がデータと目標を与えるだけでモデルが包括的に評価する
モデルはその大元のプログラムに一般性があるため評価は汎用性があり、未知の事象にも人のように柔軟に対応をすることが出来る</t>
  </si>
  <si>
    <t>スマホの顔認識ロック
畳み込みニューラルネットワークを使い、画像をピクセル単位で処理し、特徴(輪郭・形・パターン)を自動で抽出
人間が特徴を設計せず、データから自動で人の顔らしさを学ぶ
プログラムで形状ルールを定義する従来の方法では顔の角度・明るさ・表情の違いなどを全てコード化出来なかったが機械学習なら大量の画像データから自動で特徴を抽出できる</t>
  </si>
  <si>
    <t>機械学習が利用されている例と、どんな技術がどのようにして使われているか、なぜ機械学習であるのかを教えて</t>
  </si>
  <si>
    <t>機械学習AIや深層学習AIの個人的な設計・作成・利用のプロセスについての情報があったらより良いと思った</t>
  </si>
  <si>
    <t>24238482@edu.cc.saga-u.ac.jp</t>
  </si>
  <si>
    <t>プログラミングと機械学習はどちらもコンピュータを用いて問題を解決する手段ではありますが、そのアプローチや実現できる内容には大きな違いが存在します。プログラミングは、人間が明示的にルールや手順を記述する方法です。例えば、数値の計算や文字列の処理、条件分岐など、明確な手続きができる問題に対しては、プログラミングが適しています。プログラミングの特徴は、入力に対してどのような処理を行うかを人間があらかじめ定義できる点です。一方、機械学習は、大量のデータからパターンや法則を自動的に学習させる手法です。例えば、「画像から猫を判定する」「音声から人の話す言葉を文字に変換する」といった複雑な問題では、機械学習が適しています。最後に、プログラミングと機械学習の最大の違いは、「ルールを人間が作るか、データから学ぶか」にあります。</t>
  </si>
  <si>
    <t>ソフトウェアでの実装手段として、プログラミングと機械学習の違いについての述べてください。例えば、なぜ機械学習という手法が出てきたのか? 例えば、実現できる事の違い、など。を大学生に分かりやすく答えてほしいです。</t>
  </si>
  <si>
    <t>大阪王将を運営するイートアンドホールディングスでは、餃子を製造するラインで、パック詰め後の餃子の個数や異物混入を検査する工程を、従来は目視や定期的な機械でチェックしていましたが、目視検査では疲労や注意力低下によるミスリスクがあったり、製造速度を落とさずに高精度を維持することが難しかったり、製造条件や照明、餃子の形状のばらつきがあると、単純な閾値判定では対応できない異常パターンが出現しやすかったりしました。そこで、画像解析・ディープラーニングモデルを用いた不良品検知システムを導入しました。すると、検品速度の大幅な向上や検品品質の均質化・ヒューマンエラーの低減、生産性の改善、形状変異・ノイズ条件下でも比較的高い判別能力が期待されるといった効果が生まれました。</t>
  </si>
  <si>
    <t>実世界 (社会や企業・組織など) での機械学習(AI)の利用にはどのようなものがあるのか、大学生に分かるように答えてほしいです。</t>
  </si>
  <si>
    <t>24238155@edu.cc.saga-u.ac.jp</t>
  </si>
  <si>
    <t>プログラミングと機械学習はいずれもソフトウェアを実現する手段ですが、その仕組みは大きく異なります。プログラミングは、人間があらかじめ手順や条件を明確に定め、コンピュータに指示を与える方法です。入力と出力の関係を論理的に設計できるため、計算処理やデータ整理など、ルールが明確な問題に適しています。
一方、機械学習はコンピュータが大量のデータから自ら規則を学ぶ方法です。プログラマーが明示的にルールを作らずとも、データを与えることでパターンを発見し、予測や分類を行うことができます。そのため、画像認識や音声解析など、複雑でルールを定義しにくい問題に有効です。
両者の最大の違いは、「人間がルールを作るか、データがルールを作るか」という点にあります。明確な手順で処理できる課題にはプログラミングを、データに基づく判断が必要な課題には機械学習を用いるのがいいと思います。今後は両者を組み合わせることで、より高度で柔軟なソフトウェアの開発が期待されています。</t>
  </si>
  <si>
    <t>ソフトウェアでの実装手段として、プログラミングと機械学習の違いについておしえてください</t>
  </si>
  <si>
    <t>コンビニエンスストア業界では、店舗ごとに販売履歴を分析し、「どの商品を・いつ・どれくらい発注すべきか」を最適化しています。これにより、商品の売れ残りや品切れを減らし、廃棄コストの削減や販売機会の拡大に貢献しています。</t>
  </si>
  <si>
    <t>社会や企業で実際に利用されているAIについて教えてください</t>
  </si>
  <si>
    <t>人が多いとうまくパソコンが動かなかったのでもっと教室を分けてするのもいいと思います。</t>
  </si>
  <si>
    <t>23238905@edu.cc.saga-u.ac.jp</t>
  </si>
  <si>
    <t xml:space="preserve">プログラミングと機械学習の違いについて、基本的なものは、アプローチ、入力、出力があるが、ここではアプローチの違いについて述べる。
　プログラミングでは、人間がルールや手順を記述する。機械学習ではデータからパターンを学習し、ルールを自動的に学習する。プログラミングの場合、知識の出どころは、人間の知識や経験であるが、機械学習の場合、過去のデータ・統計的推論である。これを柔軟性の観点からみると、プログラミングはルール外の状況に弱く、機械学習は未知の状況にも対応できる。また、出力の性質として、プログラミングは決定論的であり、同じ入力であれば、同じ出力となることに対し、機械学習では確率的であり、同じ入力でも多少の変動がある。
　開発者はプログラミングの場合、ロジックの設計・記述をする。機械学習では学習データを準備・モデルを訓練する。
　具体例として、猫の画像判定を挙げる。プログラミングでは猫の特徴として、「耳が尖っている」「ひげがある」「目が丸い」などを人間が定義してコード化する。しかし、猫の種類やポーズ、背景の違いに対応することが難点である。機械学習の場合は、猫の画像と「これは猫」というラベルを大量に与えることで、AIが自動的に特徴を摘出し、新しい猫の画像にも柔軟に対応することができる。
　また、他の具体例として、商品のレコメンド機能を挙げる。プログラミングの場合、「過去にAを買った人にはBを勧める」という固定ルールに基づき、パターンが限定的となる。機械学習では、ユーザーの閲覧履歴・類似ユーザーの行動をもとに、動的におすすめを生成する。
　これらの違いが重要な理由について挙げると、プログラミングはルールが明確な世界に強く、例として会計処理、在庫管理等が挙げられる。機械学習はルールが曖昧な世界に強く、例として、音声認識や製造業の異常検知、顧客行動予測などが挙げられる。故に、プログラミングでは困難であることに対応するために、機械学習という手法が出てきたと考えられる。
</t>
  </si>
  <si>
    <t xml:space="preserve">何故、機械学習という手法がでてきたのか
アプローチの違いについて詳しく
具体例を他にも出してください
</t>
  </si>
  <si>
    <t>実社会での機会学習の利用状況について、JR海浜幕張駅での利用状況について調査する。JR海浜幕張駅では改札滞留時間の削減のために、機械学習による混雑予測モデルとリアルタイムデータの統合分析の技術が使われている。
　機械学習モデルにおいて、過去の混雑データやイベント情報、天候などを学習し、5～30分後の混雑状況を予測する。この精度の高い予測により、利用者に状況把握を図っている。
技術導入の背景として、地域の発展と利便性の向上があった。駅全体での混雑の緩和が必要であり、住民の通勤・通学ルートの改善が求められていた。そのため、機械学習モデルによる都市全体の利便性、効率性を高めるためのインフラ整備が行われたと考えられる。</t>
  </si>
  <si>
    <t>社会や企業・組織などでの機会学習の利用状況
社会インフラ・公共分野の項目において、どのような場面で使われているか
先ほどの回答から、JR海浜幕張駅で改札滞留時間が削減したことは、どのような技術が使われているのか
何故この技術を取り入れようとしたのですか</t>
  </si>
  <si>
    <t>質問は何回かに分けて行う。抽象的な質問からAIから頂いた回答をもとに具体性が求められる質問を行う。</t>
  </si>
  <si>
    <t>24238063@edu.cc.saga-u.ac.jp</t>
  </si>
  <si>
    <t>機械学習では過去のデータをもとに、コンピュータがパターンを学習し、予測や判断を行うため未知のケースにも対応しやすい。これに対しプログラミングは人間がコンピュータに対して明確な命令をコードで記述し、順番に実行させる手法であり、決まった処理には強いが予測や判断はできないという特徴がある。</t>
  </si>
  <si>
    <t>プログラミングと機械学習の違いは何なのか例を示して詳しく教えてください</t>
  </si>
  <si>
    <t>「例を示して」と入れることで定義面の違いだけでなく具体例まで教えてもらい、違いをより明確に書けるようにした。</t>
  </si>
  <si>
    <t>画像解析をによってMRIやCT画像からがんや脳疾患などの異常を検出する医療診断支援システムとして利用されている。機械学習により、医師の目では見逃す可能性のある微細な異常を高精度で検出できたり、大量の過去症例データを学習して診断の精度とスピードが向上させたりすることができる。</t>
  </si>
  <si>
    <t>機械学習は実世界ではどのような場面で活躍してるのか三つ例を挙げてください。また、そこに機械学習が使われている理由も示してください。</t>
  </si>
  <si>
    <t>三つ例を挙げてもらって、自分の身近にある利用方法を選べるようにした。</t>
  </si>
  <si>
    <t>今まで生成AIをほとんど利用していなかった人間なのでAIの進歩を改めて実感しこれからは積極的に使っていこうと思わせてくれた面白い講義だったと思います。</t>
  </si>
  <si>
    <t>24238171@edu.cc.saga-u.ac.jp</t>
  </si>
  <si>
    <t>プログラミングは人が明確なルールや手順（アルゴリズム）を記述し，動く順番としては，入力されプログラムが動き出力するという流れである。プログラムの強身としては，明確にルール化できるものに強いという点が挙げられる。一方で，機械学習は，人がルールを直接書くのではなく，モデルにデータからパターンを学習させる。学習は入力データと正解ラベルを大量に与え，モデルがルールを自動で形成する。機会学習の方は，入力し学習済みのモデルが出力するという流れである。機会学習の強みとしては，パターン認識や予測に強いという点が挙げられる。なぜ，プログラミングだけではなく，機械学習が登場したのかというと，画像認識や音声認識など，人でも説明しにくいパターンを説明するためである。開発コストとしては，プログラミングはルールを定義するのに人の知識が必要で，またルールが多いと，開発の工数が多くなる。機会学習では，データがあればルール化を自動化できるが，データ収集・前処理にコストがかかる。透明性という点では，プログラミングははルールがコード化されているためブラックボックス性が低い。対して，機械学習はモデルの内部が複雑なため，なぜそう判断したかが分かりにくい。適応性の面では，プログラミングは環境変化に対応するにはコード修正が必要だが，機械学習は新しいデータで再学習をすることで自動的に対応可能である。信頼性においては，プログラミングは同じ入力に対しては必ず同じ結果に対し，機械学習は，誤りを含む可能性がある。両者にはメリットデメリットがあるため，ハイブリッドして使うのがよいと考えられる。</t>
  </si>
  <si>
    <t>ソフトウェアでの実装手段として、プログラミングと機械学習の違いについての述べてください。例えば、なぜ機械学習という手法が出てきたのか? 例えば、実現できる事の違い、など。 多角的な視点から考えて。また，いくつか提案して。</t>
  </si>
  <si>
    <t>アマゾンにおいての商品レコメンドの場面で使われている。これは，トップページや商品ページのあなたへのおすすめ，この商品を買った人はこんな商品も購入しています。というところである。これは，協調フィルタリングやディープラーニング，自然言語処理，強化学習などの技術が使われている。使われ方としては，購入履歴・閲覧履歴・レビューなどを学習して，ユーザーごとに最も関心の高い商品を自動提案をしたり，季節・トレンド・地域などの情報も組み合わせてリアルタイムに推薦したりなどがある。なぜ機械学習が使われているのかというと，商品数が数億点を超えるため，人間や固定ルールでは対応不可のであるからである。</t>
  </si>
  <si>
    <t>実世界 (社会や企業・組織など) での機械学習(AI)の利用状況1つを調査。どんな場面で、どんな技術が、どんな使われ方をしているのか? なぜ、機械学習を使ったのか? 多角的な視点から考えて。また，いくつか提案して</t>
  </si>
  <si>
    <t>広い視点からの意見が欲しかったので，多角的な視点から考えてと質問して，また，いろんな意見が欲しかったため，いくつか提案してという質問をしました。</t>
  </si>
  <si>
    <t>Wi-Fiがつながりにくかったため，可能ならもう少し分散させて授業を行うのがよいと思った。</t>
  </si>
  <si>
    <t>24238429@edu.cc.saga-u.ac.jp</t>
  </si>
  <si>
    <t>---プログラミング--------
メリット
・正確で予測可能:人間の決めたルールの基づいて動作するので結果の間違いが少ない
・シンプルな問題に強い:処理が単純なものは早く簡単に作ることが可能
・データが少なくても可能:ルールが決まっていればプログラム通りに動作するので、データの多さが重要ではない。
デメリット
・複雑な問題には不向き:ルールを考えプログラムを作成する必要があるため、画像の処理などは現実的ではない
・変化への対応が難しい:新しいパターンやルールができるとプログラムを書き直す必要がある
---機械学習----------
メリット
・複雑な問題に強い:人間がルールを考えなくてもデータに隠れたパターンを自動で見つけて学習してくれる。
・大量のデータから学ぶ:データが多ければ多いほど学習量が増えるため、より正確な判定をできるようになる。
・変化に対応しやすい:新しいデータを追加して再学習させることで、プログラムを大幅に書き直すことなく性能を改善することができる
デメリット
・大量のデータが必要:質の高く大量のデータがなければ、正確な判断をすることが難しい
・なぜそう判断したのかわかりにくい:コンピュータが発見したパターンは複雑すぎて、人間には理解することが難しい場合がある。
・予期しない間違い:学習に使っていないパターンが出てくると、新しいパターンに対応できず理解できない奇妙な間違いをすることがある。
これらを簡単にまとめるとプログラミンと機械学習の実現できることの違いとして、単純と複雑で分けられると考える。プログラミングでは、単純で判断する工程が少なく、判断基準が明確であるルーチンワーク性の強いものに使うことに適している。機械学習は、人間が感覚的に判断するものを、膨大なデータをもとに判断することに優れている。
プログラミングの主な実用例として、洗濯機のコース選択、信号の切り替えなどがあげられる。一方、機械学習の主な実用例として自動で文章を作成する生成AIや自動運転技術などがある。
プログラミングと機械学習、双方の良さを生かすことでより幅広い分野で使うことができるようになります。</t>
  </si>
  <si>
    <t>ソフトフェアでの実装手段として、プログラミングと機械学習を比較したときのメリット・デメリットを初心者でもわかるように説明して</t>
  </si>
  <si>
    <t>製造業では、不良品の自動検出に画像認識技術が活用されている。この技術は、工場の製造ラインで利用されており、電子部品、食品、飲料などの大量生産で、製品に不良がないかチェックする工程で使用されている。AIに正常な製品と不良品の画像を学習させることで、人の目では見逃してしまうような傷も検出することが可能である。さらに、機械学習をすることで、人による判断によるばらつきをなくし、安定した品質管理が実現できる。製造ラインのスピードが上がると人の目では判断が追いつかなくなるが、AIによる検査では人より早く正確に判断できる。</t>
  </si>
  <si>
    <t>実世界での機械学習(AI)の利用状況をの例を1つあげてほしい。そして①どんな場面で、②どんな技術③どんな使われかたをしているか？④なぜ機械学習を使ったのか？それぞれの項目ごとに、機械学習初心者に向けて教えて。</t>
  </si>
  <si>
    <t>項目ごとにまとめさせることで、文章を書く時順を追ってわかりやすくかけた。</t>
  </si>
  <si>
    <t>講義内容や実習内容ともに難易度がちょうどよかった。これから必要不可欠なAIの知識の基礎を学ぶことができた。ありがとうございました。</t>
  </si>
  <si>
    <t>24238122@edu.cc.saga-u.ac.jp</t>
  </si>
  <si>
    <t>プログラミングは、人間があらかじめルールや手順を明示的にコードとして記述する方法であり、動作が予測しやすく、デバッグもしやすいという利点がある。数値計算やデータ処理など、ルールが明確な処理を正確に行うのに適している。その一方で、機械学習は大量のデータからコンピュータが自らルールを学ぶ方法であり、人間が定義しにくい複雑なパターンや曖昧な判断を行えるのが特徴である。画像認識や音声認識、自然言語処理などに強みを持つが、学習データの質や量に結果が左右され、動作理由を説明しにくいという欠点もある。</t>
  </si>
  <si>
    <t>ソフトウェアでの実装手段として、プログラミングと機械学習の違いについて、それぞれでできることの違いや、良い点や悪い点など比較しながら述べてください。</t>
  </si>
  <si>
    <t>製鉄業大手のJFEスチールでは、NECと共同で機械学習を活用した作業者の安全監視システムを導入している。製鉄所では照明や設備の配置が複雑で、作業者が立ち入り禁止区域に誤って入るなどの危険があるため、従来のルールベースのプログラムでは対応が難しかった。そこで、カメラ映像をもとに作業者の姿勢や位置を自動で判定する画像認識技術を導入し、ディープラーニングによってさまざまな環境条件でも人物を高精度に検出できるようにしている。その結果、作業者が危険区域に侵入した際に自動で警報やライン停止を行えるなど、安全対策の自動化が実現した。機械学習を採用した理由は、環境や条件が多様で明確なルールを定義することが困難であったためである。大量の映像データを学習させることで、柔軟に判断できるモデルを構築できた。これにより、人手に頼らずリアルタイムで危険を検知できる仕組みが可能となった。</t>
  </si>
  <si>
    <t>会社や企業で機械学習がどのような場面で、どんな技術が、どのような使われ方をしているのか、また、なぜ機械学習を使ったのかを事実をもとに利用状況を一つ教えてください。</t>
  </si>
  <si>
    <t>24238060@edu.cc.saga-u.ac.jp</t>
  </si>
  <si>
    <t>機械学習は機械が自分でデータをもとに学習し，プログラミングはプログラマーがデータを入力し，コンピュータがそれをもとに出力する．機械自らが学習しない．問題解決のためのルールを人間が直接書くか、データから自動で学ばせるかという違いがある．プログラミングは例外を除く事柄に強く(計算など)，機械学習が複雑な事柄（画像処理など）に強い．理論上プログラミングで可能なことは機械学習も可能だが，実用上不適．なぜなら，プログラミングなら1+1=2とコードを書くだけのものが，機械学習では1+1=2を導くのに膨大なデータが必要となるため．また，機械学習はあくまでデータからの予測であるから，多少なりとも結果に偏りが生じてしまう．</t>
  </si>
  <si>
    <t>ソフトウェアでの実装手段として、プログラミングと機械学習の違いについて詳しく，違いをはっきりさせて教えてください．
プログラミングでできることは機械学習でも可能か．</t>
  </si>
  <si>
    <t>機械学習がプログラミングを学んで，こちらが，こうプログラミングをしてほしいと与えればコードを教えてくれますか．すなわち，公開されていないようなコードてあっても，機械学習自らがコードを組み立てられますか．</t>
  </si>
  <si>
    <t xml:space="preserve">Eコマース（Amazon, 楽天など）ウェブサイトのトップページ、メール、商品検索結果．レコメンデーションエンジンを構築し、「この商品を見た人は、こちらも買っています」といった提案を生成している．「どの商品をすすめるべきか」というルールを、人間が手作業で何億もの顧客と商品の組み合わせに対して定義するのは現実的に不可能であって，MLは、大量の購買，閲覧データから潜在的な関連性を自動で発見し、提案の精度を飛躍的に高める．
</t>
  </si>
  <si>
    <t>機械学習はどこで，どのように，どうして使われていますか，うまくまとめてください．</t>
  </si>
  <si>
    <t>Lobe-aiの動作がうまく行かないことがあった．インポートができないなど．</t>
  </si>
  <si>
    <t>24238301@edu.cc.saga-u.ac.jp</t>
  </si>
  <si>
    <t>プログラミングとは人間が機械に対しての動作を指示する方法であるのに対し、機械学習はコンピューターが学習し人間の指示にない行動も自分の判断で行えるようになる。機械学習は実際に、顔認識や音声認識、売上予測等で活躍している。また、機械学習は柔軟性も高い。たとえば顔認識は顔を機械に学習させた後、マスクやメガネなど装飾品で顔を一部隠しても認識できる。</t>
  </si>
  <si>
    <t>プログラミングと機械学習の違いは？</t>
  </si>
  <si>
    <t>機械学習はクレジットカードの不正利用防止として用いられている。持ち主のクレジットカード使用の過去のデータを学習し、カードの不正利用、不正アクセス、詐欺行為をデータと照会し検知するシステムで、リアルタイムで異常を検出することができる。このシステムは実際にクレジットカード会社、銀行、証券会社、ECサイト、企業のセキュリティが導入している。このシステムのメリットとしては人間が見逃す微細な不正を見逃さない、データが蓄積するほど精度が向上する、リアルタイムで検知できることがあげられる。課題としては、誤検知の場合がある、学習データの質が重要である、プライバシーや法的な配慮が必要になることがあげられる。</t>
  </si>
  <si>
    <t>機械学習の不正検知とは？</t>
  </si>
  <si>
    <t>過去の質問に「私はプログラム初心者なので、このプログラムをわかりやすく教えてください」と入力していたので、Copilotが学習し、プログラム的な話は最小限に、なにができるか、どこで使われているか、長所と短所をピックアップして教えてくれた。</t>
  </si>
  <si>
    <t>演習の内容の詳しい解説は、後日チームスに映像、あるいはpdf等で残してほしいと感じた。</t>
  </si>
  <si>
    <t>24238142@edu.cc.saga-u.ac.jp</t>
  </si>
  <si>
    <t>プログラミングと機械学習は、どちらもソフトウェアを実現するための手段であるが、そのアプローチは根本的に異なる。プログラミングは、人間が仕様や要件を基にルールや手順を明示的に記述し、コンピュータに実行させる方法である。入力に対して常に同じ出力が得られる決定的な仕組みであり、正しさはテストケースや仕様との一致によって評価される。銀行のATM処理や在庫管理システムのように、手順が明確で論理的に定義できる問題に強みを発揮する。一方、機械学習は「ルールを人間が書く」のではなく、「データかコンピュータがルールを学ぶ」アプローチである。大量のデータとその結果を与え、最適化によってモデルを構築し、未知の入力に対して予測や分類を行う。ここでは正しさは完全一致ではなく、精度や再現率といったとうけいてきな指標で評価される。画像認識や音声認識、スパム判定など、ルールを明示的に定義するのが難しい領域に適している。この二つは対立するものではなく補完関係にあり、例えば業務システムの中で機械学習モデルを組み込み、予測結果を基にプログラムが処理を分岐する、といった形で共存している。</t>
  </si>
  <si>
    <t>トヨタの自動運転開発において、機械学習は車両の「認知・予測・計画・制御」という一連のプロセスの中核を担っている。まず、カメラやLiDARなどのセンサーから得られる膨大なデータを解析し、歩行者や車両、信号、標識といった周囲の状況を認識する場面で、深層学習による画像認識技術が活用されている。さらに、周囲の車や歩行者の動きを予測するために、過去の動きや環境情報を入力として将来の行動を推定するモデルが用いられます。その結果をもとに、車両は安全に走行するための最適な加減速や操舵を計画し、必要に応じて自動で制御を行う。また、トヨタは「Mobility Teammate Concept」という理念のもと、人と車が強調して運転する仕組みを重視している。ドライバー主体の運転を支援する「ガーディアン」や、特定条件下で完全自動運転を行う「ショーファー」といったシステムに機械学習が組み込まれている。さらに、現実の走行データだけではなく、レイトレーシングによる高精度な合成データを生成し、まれなケースや危険なシステムを学習に取り入れることで、認識精度や安全性を高めている。トヨタが機械学習を採用する理由は、道路環境や人間の行動が複雑で多様であり、従来のルールベースのプログラムでは対応しきれないためである。機械学習は膨大なデータからパターンを抽出し、未知の状況にも柔軟に対応できる汎化能力を持っている。さらに、データが蓄積されるほど精度が向上し、継続的な改善が可能です。こうした特性により、トヨタは「交通事故死傷者ゼロ」という社会的目標に近づくために、機械学習を自動運転開発の中核技術として活用している。</t>
  </si>
  <si>
    <t>もっとグループ作業を増やしてほしい</t>
  </si>
  <si>
    <t>24238432@edu.cc.saga-u.ac.jp</t>
  </si>
  <si>
    <t>Matoba Shimpei</t>
  </si>
  <si>
    <t xml:space="preserve">プログラミング
　開発者が明確にルールや手順を記述することでコンピュータに処理を実行させる手法。これは命令型の手法であり入力に対してどのような処理を行うかを人間が論理的に設計する。
　要件定義→設計→実装→テスト→運用という工程が一般的であり、各工程はある程度明確に分かれている。開発者は論理的に設計し、それをコードとして実装する。テストでは仕様通りに動くかを確認する。
　ルールが明確で論理的に定義できる処理に適している。
　仕様変更に対して柔軟性が低く、ルールを変更するごとにコードの修正が必要となる。
機械学習
　過去のデータからパターンやルールをモデルが自動的に学習するアプローチの仕方。人間がルールを定義するのではなく、アルゴリズムがデータを解析し、最適な判断基準を構築する。これは、ルールが明確でない、あるいは複雑すぎて人間が定義できないような問題に対して有効である。
　データ収集→前処理→モデル選定→学習→評価→推論という工程が一般的であり、特に、データの質がモデルの性能に大きく影響するため、前処理や特徴量の選定が重要な役割を果たす。
　パターン認識や予測が必要な分野に強い。これらの分野は、明確なルールを定義することが困難であり、膨大なデータから傾向を学習することで高い精度を実現する。
　モデルがどのように判断しているかを人間が理解しづらいという課題がある。
</t>
  </si>
  <si>
    <t>AIによるタクシー配車予測
　"場面"
　　タクシー会社が、乗客の需要を予測して効率的に車両を配置するためにAIを導入している。　　　
これにより、乗客の待ち時間を減らし、ドライバーの売り上げを向上させることが可能になる。　
　”技術”
　　需要予測モデル、天候や過去の乗車履歴などの解析、GISとの連携、リアルタイム予測
　”使われ方”
　　ＮＴＴドコモ、富士通、DeNAなどが共同で開発したAIタクシーでは、30分後の乗客需要を　　　　　　予測し、ドライバーに最適な移動先を提案。実証実験では、ドライバーの一日当たりの売り上げが平均1409円増加したという成果がある。
　”なぜ機械学習を使ったのか”
　　経験に依存しない予測が可能になるため、新人ドライバーでもベテラン並みの判断ができる。高齢化が原因で人手不足なため効率的な運行が求められている。売り上げ向上と顧客満足度の両立により乗客の待ち時間を減らし、サービス品質を向上させる。
　　</t>
  </si>
  <si>
    <t>機械学習の実社会での活用事例を知りたい、場面、技術、使われ方、理由</t>
  </si>
  <si>
    <t>複数の観点に分けて聞くことで、論理的な整理がしやすくなった。</t>
  </si>
  <si>
    <t>演習内容をもう少しわかりやすく説明してほしかった。書かれているコードが難しくて苦労した。</t>
  </si>
  <si>
    <t>24238516@edu.cc.saga-u.ac.jp</t>
  </si>
  <si>
    <t>プログラミングは人間がルールを明示的に記述し、入力に対して決まった処理を行う手法である。一方、機械学習は大量のデータからコンピュータ自信が規則や特徴を学習し、判断や予測を行う手法である。従来のプログラミングでは画像認識や音声認識など、ルール化が困難な問題に対応できなかった。そこで、データから自動的に学ぶ機械学習が登場し、複雑で曖昧な問題にも柔軟に対応できるようになった。つまり、機械学習は人の知識では定義しづらい問題解決を可能にする技術である。</t>
  </si>
  <si>
    <t>プログラミングと機械学習の違いについて、200字以内でまとめよ。</t>
  </si>
  <si>
    <t>コンビニの需要予測における機械学習の調査。コンビニでは、天候、曜日、時間帯、イベント情報などをもとに、どの商品がどれだけ売れるかを機械学習モデルで予測している。たとえば、セブンイレブンではAIが過去の販売データや気温の変化を分析し、翌日におにぎりを何個仕入れるか、などを自動で算出する。これにより、売り切れや廃棄を減らし、利益を最適化できる。機械学習を使う理由は、人間では処理しきれない大量かつ複雑なデータの関係を自動的に学び、より正確な判断ができるようにするためである。</t>
  </si>
  <si>
    <t>実世界での機械学習の一つを調査し、どんな場面で、どんな技術が、どんな使われ方をしているのか。</t>
  </si>
  <si>
    <t>24238010@edu.cc.saga-u.ac.jp</t>
  </si>
  <si>
    <t>プログラミングでは人間がルールを書きそれにのっとった決まった処理を行うため、何かルールを追加したいときは自分で追加しないといけないため柔軟性が低いが、機械学習ではデータからルールを学習するため、新しいパターンに即座に対応でき、柔軟性が高い。</t>
  </si>
  <si>
    <t>ソフトウェアの実装手段としてプログラミングと機械学習の違いを分かりやすく具体例を出しながら説明して</t>
  </si>
  <si>
    <t>機械学習はがんの早期発見で活用されている。がんの画像診断は人間の目では見落としやすいことや医師によってばらつきが出ることが課題だったが、ディープラーニングや画像前処理技術を活用することで医師の見落としを防ぐことや、異常がある可能性の高い画像を優先的に医師に提示したりすることができる。</t>
  </si>
  <si>
    <t>実世界での機械学習の活用例を挙げて
画像診断ではどんな場面で、どんな技術が、どんな使われ方をしているのか? なぜ、機械学習を使ったのかを分かりやすく教えて</t>
  </si>
  <si>
    <t>ほしい情報は必ず明記する。
分かりやすくという一言を加える。</t>
  </si>
  <si>
    <t>24238145@edu.cc.saga-u.ac.jp</t>
  </si>
  <si>
    <t>ルールを人間が作成するプログラミングだと入出力のパターンが膨大となるソフトウェアを作成することは困難である。そこでコンピューターにある程度の入出力のパターンを学習させ、自動で入出力のパターンを見分られる関数を作成させることで解決させるために機械学習という手法が出てきた。</t>
  </si>
  <si>
    <t>防犯カメラの顔認証システムが人を判別するために使用されている。
プログラミングで行う条件分岐だけでは膨大な量の人を判別することは不可能であるため、機械学習を用いて処理する必要があったため。</t>
  </si>
  <si>
    <t>機械学習はどのような場面で使用されているのかを教えてください。また、その場面でなぜ機械学習が使用されたのかも併せて推して得てください。8種類例を提示してください。
顔認証の機械学習についてより詳しく教えてください。</t>
  </si>
  <si>
    <t>まず、複数の選択肢を提示してもらいその後で特定のひとつに話題を絞ることでより詳細に知ることができる。</t>
  </si>
  <si>
    <t>生成AIのより良い使用方法を知ることができたところがよかった。</t>
  </si>
  <si>
    <t>24238481@edu.cc.saga-u.ac.jp</t>
  </si>
  <si>
    <t>プログラミングは人間がコンピュータに行わせたい処理を一個一個の手順に分けて命令をする方法である。計算を行ったり、結果を表示したりという具体的な処理を人間が考えてコードに書く。この方法は計算や並び替えなどのルールが明確な問題に強く、動作の理解がしやすいといった特徴がある。
一方で、機械学習は細かい手順は入力せず、大量のデータからコンピュータ自身がルールを学ぶという方法である。大量のデータを与えて学習させるとコンピュータ自ら特徴を見つけ出して判別できるようになる。よってプログラミングのときのように人間がルール化できないような複雑な問題に対応しやすいといった違いがある。</t>
  </si>
  <si>
    <t>プログラミングと機械学習で実現できる事の違いについて教えてください</t>
  </si>
  <si>
    <t>機械学習は現在、様々な場面で活用されている。本レポートでは身近な事例としてコンビニでの活用について述べる。コンビニではどのような商品がどのくらいいつ売れるのかという予測をする必要があったためこのような場面で使用されている。このような課題に対して、過去の販売データや天気、近隣でのイベントなどの情報を学習させ特定の日のこの時間にある店舗でこの商品が売れるのかというのを自動的に予測させている。この技術が在庫切れや廃棄ロスの防止策として使われている。この分野で使用されている理由は商品の販売予測はさまざまな要因がかかわるためにルール化を行うのが非常に難しいためである。機械学習を用いれば、大量の過去のデータから自動的にパターンを見つけ出し、予測モデルを作ることができるので活用されている。</t>
  </si>
  <si>
    <t>実際の企業などで機械学習を使用している例を一つ上げてください。具体的な場面や技術などに触れながら教えてください</t>
  </si>
  <si>
    <t>レポートの作成課題の条件に当てはまるような内容になるように工夫した。</t>
  </si>
  <si>
    <t>環境構築についてもう少しわかりやすく説明があってもよいと思った。理解している人とそうでない人の差が大きいように感じた</t>
  </si>
  <si>
    <t>23238908@edu.cc.saga-u.ac.jp</t>
  </si>
  <si>
    <t>プログラミングと機械学習の違いは、未知の現象に対応する力があるかどうかだと考える。例えば画像を認識させたいとき、プログラミングでは画像を認識するための特徴をデータとして渡す必要がある。たとえ同じ物体を写した画像だとしても、特徴として渡したデータと当てはまらない時にうまく認識してくれない。
機械学習では、複数のデータを読み込ませて、その特徴をモデルとして機械自ら学習する。学習した特徴によって画像を認識するため、未知の画像でも推測した内容を返してくれる。</t>
  </si>
  <si>
    <t>chatGPT、Gemini等の生成AI : 学生の勉強の補助や企業でのプログラミングのコーディングの手助けなどに使用されている。使用者との対話を学習し、よりよい受け答えが出来るようになってきている。</t>
  </si>
  <si>
    <t>24238025@edu.cc.saga-u.ac.jp</t>
  </si>
  <si>
    <t>ソフトウェアを実装する手段としてのプログラミングと機械学習の違いは、問題解決のアプローチ、つまりルールをどう設定するかである。ルール設定の点では、プログラミングは人間が明示的に記述しするが、機械学習はデータから自動的に学習するという違いがある。機械学習という手法が出てきた理由は、プログラミングにはできない、ルール化が不可能な複雑なタスクをコンピュータに実行させる必要が生じたからや、データ量の爆発的増加(ビッグデータ)は、データそのものに潜む傾向や予測を自動で抽出・活用するための手段として、機械学習を必用としたからなどが考えられる。</t>
  </si>
  <si>
    <t>ソフトウェアでの実装手段として、プログラミングと機械学習の違いについて詳しく述べて。例として、実現できる事の違いなどがあること
ソフトウェアでの実装手段として、プログラミングと機械学習の違いから機械学習ができた理由を教えて</t>
  </si>
  <si>
    <t>ソフトウェアでの実装手段として、プログラミングと機械学習の違いから、機械学習の中身をとらえるため。</t>
  </si>
  <si>
    <t>従来のプログラミングでは対処が難しかった「複雑なパターン認識」や「未来の予測」の分野で使われている。一つ目が、製造・検査の場面で使われ、画像認識が主な技術とした不良品の自動検出、品質管理の目的で使用されている。二つ目が、医療・ヘルスケアの場面で、同様に画像認識が主な技術であり、画像診断支援、病気の早期発見の目的に使用される。三つ目には、顧客対応・サービスに使用され、自然言語処理（NLP）を使い、自動対応、問い合わせ対応を目的として使われる。四つ目が、マーケティング・小売の場面で、時系列分析の技術が使われ、需要予測、在庫最適化の目的である。機械学習が使われる理由として、機械学習は、人間が言語化・ルール化できない、またはルールが複雑すぎる問題を得意とするからである。また、過去のデータに潜む複雑な相関関係を捉え、未来を高精度で予測できるため、業務の最適化を高度化することができるからである。他にも、業務の自動化と人手不足の解消をするためなどの理由がある。</t>
  </si>
  <si>
    <t>実世界 (社会や企業・組織など) での機械学習(AI)はどんな場面で、どんな技術が、どんな使われ方をしているのか、なぜ、機械学習を使ったのかを教えて</t>
  </si>
  <si>
    <t>機械学習が、どのように使われているかを詳しく知るために、条件を細かく指定したことです。</t>
  </si>
  <si>
    <t>環境構築が情報系のコースではなかった、私には少し難しく感じました。入力コードをそれぞれのパソコンに合わせて、例を書いていただけるとわかりやすいと思いました。授業中に、ファイルで送られてきた環境構築の方法とは違った方法で、そちらのほうが分かりやすく、簡単であったため、そちらも最初に教えていただけるとありがたかったです。</t>
  </si>
  <si>
    <t>24238457@edu.cc.saga-u.ac.jp</t>
  </si>
  <si>
    <t xml:space="preserve">私は化学を専攻しているため、化学的な視点でのプログラミングと機械学習のアプローチの違いを酸塩基反応を用いてCopilotに例示させた。以下はそれを参考にして考察した。
まずプログラミングでは、Pythonのnotebookを使用すると、if文で
①if acid == "HCl" and base == "NaOH":
②  return "NaCl + H2O"
と書くことで「酸と塩基が反応したら水と塩ができる」という予測ができる。
ただしこのCopilotの考えたコードでは酸がHClで塩基がNaOHの時に限られるため、
他の酸塩基を用いるにはコードを修正・追加等が必要となる。つまり、ルールが固定されているということである。
次に機械学習の場合は様々な酸塩基反応を学習させる。そして、モデルがパターンを学ぶことで未知の反応を予測する。これにより人間がルールを書かなくてよい。
ただし、学習させるデータが少ないと間違った判断をする可能性がある。また、なぜその判断になったのかはわからない。ブラックボックスと言われる問題である。つまり、データ数により結果が左右される。
上記より
プログラミングと機械学習の違いを極端に表すと、”結果が決定的or確率的”であると考える。
</t>
  </si>
  <si>
    <t>・化学的視点でプログラミングと機械学習の違いを具体例を用いて説明して</t>
  </si>
  <si>
    <t>化学に関連するものを調べたところ、旭化成でマテリアルズ・インフォマティクス（MI）が活用されていた。
これは構造や配合の設計をMIが行うことで、１回の実験で成功することができている。MIの導入により、研究のスピードを上げるだけでなく、コスト削減にもつながっている。
MIのような機械学習がこれから、さらに取り入れられると化学者は必要なくなるのか考えた。
今回のAI実習で機械学習には不確実なところがあったり、新しい概念に対応できなかったりする場合があると学んだ。よって、最終的に判断するのは化学者、つまり人間だと考える。特に化学では危険物を取り扱うので、安全面や環境への影響を機械学習にすべて任せることはかなりリスクがある。</t>
  </si>
  <si>
    <t>実際に企業で使われている機械学習について教えて</t>
  </si>
  <si>
    <t>グループの全員がパソコンの操作に慣れていなかったので、環境設定にてこずりました
でも、解決方法を探すために協力できたのでよかったです</t>
  </si>
  <si>
    <t>24238267@edu.cc.saga-u.ac.jp</t>
  </si>
  <si>
    <t>プログラミングは、人間がルールを決めてプログラムとしてコード化するが、機械学習は大量のデータでコンピュータに学習させ、ルールを作ることができる。機械学習が出てきた理由は、複雑すぎるルールは人間が書けないことや、大量のデータが集めやすくなったこと、計算資源の向上の3点が挙げられる。</t>
  </si>
  <si>
    <t>実世界での機械学習の利用例として小売業の需要予測がある。商品の仕入れ、在庫数を予測して、廃棄や欠品を減らすために活用されている。技術として、XGBoostなどの回帰モデルや時系列予測モデルを使い、過去の販売データ、天気、イベント情報などから翌日の販売数を予測する。使い方として、AIが予測した発注数をもとに、店舗担当者が最終判断を行う。機械学習を使った理由は、要因が複雑で人手では正確に予測できないため。導入により廃棄削減・利益向上が可能になる。</t>
  </si>
  <si>
    <t>演習を始めるための環境構築が個人的に難しかった。演習内容は、実際に機械学習を体験するといった、今までにしたことが無いことができて良い経験になったと思う。</t>
  </si>
  <si>
    <t>24238115@edu.cc.saga-u.ac.jp</t>
  </si>
  <si>
    <t>ソフトフェアの実装方法は主にプログラミングが用いられてきた。プログラミングとは、開発者が解決すべき問題に対して明確なルールや処理手順をコードとして具体的に記述する技術。詳細に指示を行うとその指示に従ってコンピュータが作動するため、結果も予測しやすいという特徴がある。だが、従来のプログラミングだけでは対応が難しい、画像認識や音声認識、自然言語処理などの分野が増えてきた。このような課題を解決するために機械学習が出てきた。機械学習は、大量のデータから特徴やパターンを抽出し、それをもとに自動的に判断や予測を行う技術のこと。そのため出力はプログラミングは常に同じだが、機械学習は学習内容によって変わる。</t>
  </si>
  <si>
    <t>ソフトフェアでの実装手段として、プログラミングと機械学習の違いは何ですか。
それぞれ手法についても教えて。
ほかに何が違うの。</t>
  </si>
  <si>
    <t>1回じゃなくて何回か質問を行った。
事実確認を行った。</t>
  </si>
  <si>
    <t>顔認証システム(Face Recognition)について調査した。スマートフォンなどの画像認識技術の中で畳み込みニューラルネットワークというものが使われている。顔を検出し特徴を抽出して本人かどうかを判定する。光の当たり方や眼鏡、マスク、表情など複雑なパターンを人間がルール化するのが不可能であるため機械学習を使った。</t>
  </si>
  <si>
    <t>実世界での機械学習の利用状況。どんな場面でどんな技術をどのように使われているか教えて。
もう少し詳しくお願い。
あとなぜ機械学習が使われているの。</t>
  </si>
  <si>
    <t>何回か質問した。
あってるか事実確認を行った。</t>
  </si>
  <si>
    <t>環境を整えるのが大変だった。やり方について動画を作っていただいたほうが分かりやすいと思った。</t>
  </si>
  <si>
    <t>24238257@edu.cc.saga-u.ac.jp</t>
  </si>
  <si>
    <t>プログラミングは、人間がすべてのルールや手順を明示的に書く必要があった。しかし、画像認識や音声認識のようにルールを明確に定義できない問題が多く存在する。こうした課題を解決するために機械学習が生まれ、これにより人間がルールを教えなくてもコンピュータがデータを通して判断や予測を行えるようになった。</t>
  </si>
  <si>
    <t>プログラミングと機械学習に違いについて教えてください。</t>
  </si>
  <si>
    <t>コンビニでは、商品の発注量を決めるために機械学習が使われている。過去の販売データや天気、曜日、イベントなどをもとにAIが需要を予測する回帰分析やディープラーニングなどの技術が活用されている。これにより、品切れや売れ残りを防ぎ、廃棄ロスの削減と売り上げの最適化が可能となっている。従来の経験や勘に頼る発注方法よりもデータに基づく判断できる点が大きな利点であり、企業の効率的な経営に貢献している。</t>
  </si>
  <si>
    <t>実世界で使われている機械学習の例を1つ教えてください。どんな場面でどんな技術がどんな使われ方をしているのか、そしてなぜ機械学習を使っているのか大学のレポートで提出できるようにまとめてください。</t>
  </si>
  <si>
    <t>質問する際にどんな内容と、どのくらいの長さで答えてほしいのかを具体的に伝えるように工夫した。レポートに使いやすい構成が得られるようにした。また、専門用語が難しすぎないように学生が理解しやすいように表現を意識した。</t>
  </si>
  <si>
    <t>事前準備の環境構築が難しかった。</t>
  </si>
  <si>
    <t>24238130@edu.cc.saga-u.ac.jp</t>
  </si>
  <si>
    <t>プログラミングと機械学習の最も大きな違いは、ルールを誰が作るかという点にある。プログラミングでは、人間があらかじめ手順や条件を論理的に設計し、コンピュータに明示的な命令として与える。そのため、結果の理由をコードから明確に追うことができ、数値計算や制御など、答えが一意に定まる処理に適している。
一方、機械学習は大量のデータをもとに、コンピュータ自身がパターンやルールを自動的に学び取る手法である。人間が明確に定義しにくい画像認識や音声認識、予測といった複雑な問題に強いが、学習結果の根拠を説明しにくいという課題もある。
つまり、プログラミングは「人がルールを作る方法」であり、機械学習は「データからルールを見つける方法」である。この違いにより、両者は得意とする領域や開発の考え方が大きく異なっている。</t>
  </si>
  <si>
    <t>あなたはレポート課題に取り組んでいます。テーマは「ソフトウェアでの実装手段として、プログラミングと機械学習の違いについて述べよ。」である。例えば、なぜ機械学習という手法が出てきたのか? 例えば、実現できる事の違いなど。
条件に従って論理的で客観的な構成を重視すること。</t>
  </si>
  <si>
    <t>近年、天気予測では機械学習が活用されている。従来の数値予報は膨大な計算が必要だったが、AIは過去の気象データを学習し、短時間で高精度な予報を出せる。例えばGoogleのGraphCastは、気温や風速などを数分で予測でき、従来手法を上回る精度を示した。これにより、災害対策や農業、発電計画などへの迅速な対応が可能となっている。機械学習の導入は、コスト削減と予報精度の向上を両立する手段として期待されている。</t>
  </si>
  <si>
    <t>実社会における（社会や企業組織など）での機械学習（AI）の利用状況を１つ調査し、文章に書き起こしてほしい。どんな場面において使われ、どんな技術が、どんな使われ方をしているのか、なぜ機械学習を使ったのか。特に天気予報に関するAI技術について教えてほしい。</t>
  </si>
  <si>
    <t>より詳細で具体的な指示を出せるよう工夫した</t>
  </si>
  <si>
    <t>jupyter notebookを使った作業が少し難易度が高く理解に苦戦しました。</t>
  </si>
  <si>
    <t>24238157@edu.cc.saga-u.ac.jp</t>
  </si>
  <si>
    <t>　現代のソフトウェア開発において、「プログラミング」と「機械学習」はともにコンピュータに知的な処理を行わせる手段である。しかし、その二つでは、考え方や仕組みが大きく異なる。
　最も大きな違いは、「ルールを誰が作るか」である。プログラミングでは、人間が問題を分析し、「こういう場合にはこう動く」といった手順や条件を自分で考えてコードに書き込む。たとえば、家計簿アプリなら、「収入と支出を入力したら残高を計算する」というように、人間が明確なルールを決める。一方で機械学習では、人間がルールを直接書かず、コンピュータがたくさんのデータからルールを自動的に学ぶ。たとえば、犬と猫の写真をたくさん見せて、「これは犬」「これは猫」と教えると、コンピュータが自分で特徴を見つけて分類できるようになる。
　次に、二つの手法が得意とする問題の種類が違う。
　プログラミングは、ルールがはっきりしている問題に強い。たとえば、計算、データの整理、ゲームの動作など、正確な手順を決められるものだ。
　しかし、画像や音声の認識、文章の意味理解のように「どうやって判断すればいいのか」を明確に言葉で説明できない問題には向いていない。
　そうした複雑で曖昧な問題に対しては、機械学習が有効である。コンピュータが自分でデータからパターンを見つけ出すため、人間がルールを定義できなくても高い精度で処理ができる。
　最後に、結果をどの程度説明できるかという点にも違いがある。
　プログラミングの場合、動作は人間が書いたコードに基づくため、「なぜその結果になったのか」を容易に説明できる。それに対して機械学習では、コンピュータが内部で複雑な計算を行ってルールを作るため、結果の理由を明確に説明しにくい。たとえば、「なぜこの写真を猫だと判断したのか」を人間が理解するのは難しい。この点は「ブラックボックス問題」と呼ばれ、機械学習の課題の一つでもある。
　このように、「プログラミング」は人間が作る手法であり、「機械学習」はコンピュータがルールを守る手法といえる。必要に応じてこれらを使い分ける必要がある。</t>
  </si>
  <si>
    <t>私はソフトウェアでの実装手段として、プログラミングと機械学習の違いに関する大学のレポートを書いています。
ソフトウェアでの実装手段として、プログラミングと機械学習の違いについて3つまとめてください。
それぞれの違いを明確にするとともにこの分野に関して素人である私に対してもわかるようにまとめてください。</t>
  </si>
  <si>
    <t>近年、機械学習（AI）は社会のさまざまな場面で活用されている。その中でも代表的な例として、製造業における「異常検知システム」が挙げられる。例えば、トヨタなどの自動車メーカーでは、製造ライン上のセンサーやカメラから得られる膨大なデータを機械学習で解析し、機械の故障や製品の不良を早期に発見する仕組みを導入している。従来の方法では、人がルールを設定して異常値を判断していたが、想定外の不具合や微妙な変化を検出することは難しかった。
　これに対し、機械学習では過去の正常データや異常データを学習し、データのパターンから自動的に異常を検出できる。特に「教師あり学習」や「深層学習（ディープラーニング）」の技術が用いられており、画像認識や音の解析などにも応用されている。この結果、人の経験や勘に頼っていた検査作業が自動化され、品質の安定化と生産効率の向上が実現した。
　機械学習を利用する理由は、膨大なデータの中から人間が気づけないパターンを見つけ出し、精度の高い予測や判断を行える点にある。ルールを人がすべて定義する従来のプログラミングとは異なり、AIが自ら学び成長することで、複雑で変化の多い現場にも柔軟に対応できる。こうした特徴が、製造業をはじめとする多くの分野で機械学習の導入を進める原動力となっている。</t>
  </si>
  <si>
    <t>私は、実世界 (社会や企業・組織など) での機械学習(AI)の利用状況1つを調査し、どんな場面で、どんな技術が、どんな使われ方をしているのか?という内容の大学のレポートを書いています。 この内容に関して、実用例1つを取り出しまとめてください。 詳しくまとめるとともにこの分野に関して素人である私に対してもわかるようにまとめてください。</t>
  </si>
  <si>
    <t>フォーマットを意識してPrompt作成を行った。</t>
  </si>
  <si>
    <t>班の人数を増やしてみんなの意見を聞きながら進めていきたい。</t>
  </si>
  <si>
    <t>24238302@edu.cc.saga-u.ac.jp</t>
  </si>
  <si>
    <t>プログラミングと機械学習では、基本的な定義が異なっておりプログラミングでは決定論的に結果を出しており、目的に対して設計→アルゴリズム→コードの順に、コード内のルールで決まる。
対して機械学習では確率的または統計的に結果を出しており、目的に対してデータを用いてモデルを訓練→推論で結果を出している。また、プログラミングはあらかじめルールが決まっているため結果は正確で決定的で説明や再現性もあるのが特徴である。なので数式処理、暗号、金融に関して機械学習より使われている。対して機械学習は人が理解できない複雑な関係も数値的に捉えることができる。なので画像の中で犬と猫を判別したり声や文章から感情を推定したりすることができる。</t>
  </si>
  <si>
    <t>プログラミングと機械学習での違いは何か詳細に教えてください。また、プログラミングが機械学習より優れている点その逆についても詳細に教えてください。</t>
  </si>
  <si>
    <t>金融業界　不正検知：クレジットカードの不正利用をリアルタイムで検出
教師あり学習により既知の不正パターンを検出
教師なし学習により未知の不正パターンを検出
深層学習により高度なパターン分析
異常スコアが高ければカードを一時停止</t>
  </si>
  <si>
    <t>実世界で機械学習はどのような企業でどのように使われていますか。
使われている技術についても詳しく教えてください。</t>
  </si>
  <si>
    <t>コードの結果が反映されているのかわからないところがあった</t>
  </si>
  <si>
    <t>24238205@edu.cc.saga-u.ac.jp</t>
  </si>
  <si>
    <t>プログラミングは与えられた目標を解決するための手順を1からすべて記述しなければならないのに対し，機械学習は以前のデータを渡すことで自動で目標に導くようにプログラミングと機械学習は与えられた目標を解決するためのアプローチが異なるという違いがある。プログラミングは正確な状況や未来を予測でき不測の事態が滅多に起こらない。機械学習は過去のデータを元に未知の出来事に対応できる。条件分岐で定義づけできるようなタスクはプログラミング，条件分岐できないようなタスクは機械学習が相性がいい。</t>
  </si>
  <si>
    <t>InstagramやXなどで各ユーザーごとにおすすめを表示するのに機械学習が使われている。誰をフォローしているかやどの投稿を長く見たかなどを記録してデータを収集し，ニューラルネットワークのようなアルゴリズムを使用し投稿ごとに興味を持つ確率を計算して高い順に表示する。条件分岐での定義づけが難しいため機械学習が使われる。</t>
  </si>
  <si>
    <t>最初の環境設定や初めて聞く単語が多く理解するのが難しかった。</t>
  </si>
  <si>
    <t>24238167@edu.cc.saga-u.ac.jp</t>
  </si>
  <si>
    <t>プログラミングは、人間がルールや手順を明示的に記述するのに対し、機械学習は、大量のデータからパターンを学習し、モデルがルールを自動生成する。実現できることの違いとしては、プログラミングは、ルールが明確な処理や高速で決定的な動作が得意。機械学習はパターン認識や予測や複雑な関係の推定が得意。</t>
  </si>
  <si>
    <t>ソフトウェアでの実装手段として、プログラミングと機械学習の違いについて簡潔にわかりやすく教えてください。　できる事の違いについてはどんなことがあるのかいくつか例を出して。</t>
  </si>
  <si>
    <t>事例：自動運転車における機械学習の活用
どんな場面で使われているか？：歩行者や車両、信号、標識の認識車線維持や障害物回避複雑な交通状況での意思決定（交差点、渋滞など）経路計画と最適な走行制御
どんな技術が使われているか？：画像認識、センサーフュージョン、時系列予測モデルなど
どんな使われ方をしているのか？：テスラのオートパイロット、日産propilot
なぜ機械学習を使ったのか？：道路状況は無限に近いパターンがあり、すべての状況を事前にプログラムするのは困難だから。実走行データやシミュレーションを使ってモデルを進化させられるから。</t>
  </si>
  <si>
    <t>実世界 での機械学習(AI)の利用状況1つを調査して。どんな場面で、どんな技術が、どんな使われ方をしているのか? なぜ、機械学習を使ったのか?などをまとめて書いて。</t>
  </si>
  <si>
    <t>会場のwifi環境の改善。環境構築をすべて自分でするのは難しい。</t>
  </si>
  <si>
    <t>24238168@edu.cc.saga-u.ac.jp</t>
  </si>
  <si>
    <t>プログラミング
ソフトウェアの機能や動作を実現するために、コンピュータに命令を与える手段のこと。プログラミング言語を使って、特定の処理や動作を記述することにより、ソフトウェアが目的の機能を果たすようになる。
機械学習
データから学習して、ルールやアルゴリズムを自動的に構築する方法。これは、従来の「プログラミングによる明示的な命令」とは異なり、経験（データ）をもとにソフトウェアが自ら判断や予測を行えるようになるという点が特徴。「ルールを人が書く」のではなく「ルールをデータから学ぶ」という点で、ソフトウェア開発の新しい実装手段。特に、複雑な判断や大量のデータ処理が必要な場面で強力な効果を発揮する。
従来のプログラミングでは、すべてのルールを人間が書く必要があったが、ルールが複雑すぎる・例外が多すぎる・データが大量にあるといった問題に直面した。こうした課題に対して、「データから学習する」というアプローチが有効であり、機械学習が登場した。
実現できる事の違い
プログラミングは人が処理手順やルールを明示的に記述する技術であり、論理的な問題解決に適している。例として、電卓アプリ・ゲーム・データベース管理・Webサイトなどがある。一方で、機械学習は大量のデータをもとにコンピュータが自らルールを学習する技術で、複雑な判断やパターン認識に強みがある。例として、顔認識・音声認識・スパムメール判定・売上予測がある。
使い分け
ルールが明確な処理を行う場合はプログラミングが適している。
ルールが曖昧・複雑・大量のデータがある場合は機械学習が適している
まとめ
プログラミングは「人が考えたルールをそのまま実装する」手段。機械学習は「人がルールを明示できないような複雑な問題を、データから学習して解決する」手段。両者は対立するものではなく、それぞれの特性を生かせるように組み合わせて使うことで、より強力なソフトウェアが作れる。</t>
  </si>
  <si>
    <t>・ソフトウェアでの実装手段として、プログラミングと機械学習の違いについての述べてください。例えば、なぜ機械学習という手法が出てきたのか? 例えば、実現できる事の違い、など。についてのレポートを書きたいです。これらの違いを横に並べて比較しやすいように教えてください
・ソフトウェアでの実装手段としてのプログラミングとは
・ソフトウェアでの実装手段としての機械学習とは</t>
  </si>
  <si>
    <t>タクシーの配車予測
タクシー会社は、乗客がどこに現れるかを機械学習を利用して予測し、効率よく車を配置させている。
機械学習では、人口データ・天気・交通情報・過去の乗車データ・天気・イベント情報・携帯電話の位置情報などたくさんのデータを分析し、乗客が現れそうな場所を予測している。これにより、ドライバーの端末に「今、乗客が多いエリア」が表示される。また、30分先までの乗車需要を予測し、地図上に表示することで、リアルタイムの予測ができる。そして、500m四方のエリアごとに、乗客獲得確率や進行方向まで予測することもでき、雨の日やイベント開催時など、急な需要変化にも対応することができる。これによる情報は、ドライバーのスマホに「この場所に行けば乗客がいる可能性が高い」と表示される。乗客の動きは複雑で人間では法則を見つけ出しルール化することはできないが、機械学習に頼ることで過去のデータからパターンを学習させることで予測が可能になる。また、経験や勘に頼らずだれでも使える仕組みであるため、新人ドライバーや不慣れな地域での営業でも効率よく乗客を見つけることができる。効果として、利用者の待ち時間の短縮や、ドライバーの負担軽減、売り上げのアップなどがあげられる。実際に、1人あたり一日平均1409円の売り上げが増加した実例がある。そのほかにも、働きやすさが向上し、人材不足の解消にも貢献し、離職率の低下につながっている。</t>
  </si>
  <si>
    <t>・実世界 (社会や企業・組織など) での機械学習(AI)の利用状況1つを調査。どんな場面で、どんな技術が、どんな使われ方をしているのか? なぜ、機械学習を使ったのか?についてわかりやすく身近な例を教えてください
・事例：タクシーの配車予測についてもう少し詳しく教えてください</t>
  </si>
  <si>
    <t>自分が検索結果を理解しやすいように、身近な例に限定して検索を掛けた</t>
  </si>
  <si>
    <t>AI実習前に行う初期設定が少しむずかしかったです。
演習では、普段使っているはずなのに知らなかったことが多く驚きました。
特にAIの使い方について勉強になったと感じました。今までも、PCに搭載されているAIを便利だと思って利用してきたけれど、今までの使い方では全然AIを使いこなせっていなかったことが分かりました。質問するときに、大まかに質問を投げかけていてAIと5回以上も会話をしたことがなかったし、細かい情報をあたえたりもしてなかったので、これからは、AIをうまく使えるように工夫を重ねて利用していきたいと思いました。</t>
  </si>
  <si>
    <t>24238201@edu.cc.saga-u.ac.jp</t>
  </si>
  <si>
    <t>　プログラミングは、人間があらかじめルールや手順を明示的に記述するものである。入力データに対して、プログラマーが定義したアルゴリズムを適用し、出力を得る仕組み。よってプログラミングは、処理のルールが明確であり、論理的に定義できる、税金計算やファイル操作、ゲームのロジックなどに適しているといえる。
　一方、機械学習とは、データからルールやパターンを自動的に学習する手法である。入力データとその正解を用いてモデルを学習させ、新しいデータに対する予測や分類を行う。よって機械学習は、ルールを明示的に記述することが難しい複雑な問題である、画像認識や音声認識、自然言語処理などに適しているといえる。</t>
  </si>
  <si>
    <t>　ユニクロ（株式会社ファーストリテイリング）は、商品の需要予測と在庫管理において、Googleと共同でAIを用いた需要予測システムをもとに、天候やトレンドといった膨大なデータを解析して、各店舗の売れ筋を予測している。
　従来の需要予測は、担当者の経験や勘によるもので精度に限界があった。そこで機会学習を導入することで、より高精度な予測を可能にした。</t>
  </si>
  <si>
    <t>ネット回線を改善したら、よりスムーズにより良いPBLになると思う。</t>
  </si>
  <si>
    <t>24238364@edu.cc.saga-u.ac.jp</t>
  </si>
  <si>
    <t>プログラミングとは開発者が明確な手続き（アルゴリズム）を設計し、コードで命令を記述して動作を実現する手法。  
機械学習とは、データからパターンや規則を学習させ、学習済みモデルが入力から出力を推測する手法。 
おもな違いは、プログラミングは設計者が「どうやって」解くか を定義するのに対し、機械学習は設計者が「何を学ばせるか」を定義する。
また、プログラミングはコードを修正することで、バグの修正や機能を追加することができるが、機械学習では、モデルの再学習やモデルの監視によって運用している。
使用手段において、プログラミングでは、ルールが定められた条件下で、仕様どうりの処理ができるときに利用し、機械学習では、大量のデータを用いて求めたい事柄のパターンを抽出する方法がとられる。</t>
  </si>
  <si>
    <t>ソフトウェアと機械学習の違いについて複数の事柄に分けて教えて。</t>
  </si>
  <si>
    <t>金融機関での取引の不正検知で使われている。取引では、データの量と、複雑さがおおく、人の手だけではすべてを処理することは苦労するので、AIが大量のデータをパターン把握して、その状況から未知の異常検出を行っている。
不正手法の変化に対してモデルの更新やオンラインでの学習で対応が可能になる。また、行動履歴や、デバイス情報、取引グラフなどを利用することで、広い視点で判断することができる。
おもな使われ方は、カード決済、振り込みにおいて不正利用を検知したり、マネーローンダリング検知、アカウントの不正ログインを検知してからのブロックなど様々な金融取引において、活躍している。</t>
  </si>
  <si>
    <t>金融機関での取引の不正検知でaiが使われている理由と使われ方を詳しく教えて。</t>
  </si>
  <si>
    <t>AIにちゃんと伝わるように句読点を利用して文章を書いた。
句読点の使い方次第でAIの回答も変化してくるので注意が必要だとわかった。</t>
  </si>
  <si>
    <t>AIは使うべきでないという話はよく聞いたが、どういう風に向き合って、どういった使い方や学び方をするべきか教えてくれたのでとてもよかった。</t>
  </si>
  <si>
    <t>24238023@edu.cc.saga-u.ac.jp</t>
  </si>
  <si>
    <t>プログラムは，人間がルールを与えるもので，機械学習は，データからコンピュータがルールを見つけ出すもので，機械学習により，従来の手続き的プログラミングでは不可能だったパターン認識や予測が可能になった．</t>
  </si>
  <si>
    <t>ソフトウェアでの実装手段として，プログラムと機械学習の違いについて，なぜ機械学習という手法が出てきたのか? 実現できる事の違い．</t>
  </si>
  <si>
    <t>機械学習は，人間では難しい複雑な要因分析を自動化するため，在庫，廃棄を減らすため，コンビニやスーパーの需要予測といった場面で使われ，過去のデータから適切な量を求め，提案する，といった使われ方をしている事例がある．</t>
  </si>
  <si>
    <t>課題に即した答えを導くために，必要な情報と要求を記しました．</t>
  </si>
  <si>
    <t>代表的な生成AIについての説明がもう少しあるとよかったかもしれないです．</t>
  </si>
  <si>
    <t>24238449@edu.cc.saga-u.ac.jp</t>
  </si>
  <si>
    <t>プログラミングとは従来のソフトウェア開発では、人間がルールや手順を明示的に記述することで動作を実現する。この方法では、入力に対してどのように出力を得るかを人間が論理的に設計する。つまり、ルールが明確な問題や正解が一意に決まる処理には、従来のプログラミングが非常に有効である。
一方、機械学習ではルールを人間が書かずに、データから自動的に学習させるという考え方である。つまり、モデルが自らパターンを学習することで識別できるようにする。このように、機械学習はルールを明示できない、複雑な問題を扱うのに適している。現実世界の多くの問題は明確なルールで表現できないものが多い。そこで、大量のデータからパターンを学び、経験的に予測する新しい考え方が必要になり、機械学習が発展した。</t>
  </si>
  <si>
    <t>LIXILの工場設備の不具合予測AIアルゴリズム導入
場面
自社工場で設備の不具合発生を予測するAIアルゴリズムの利用を始めており、将来的には全工場への展開を検討している。目的としては、突発的な故障による生産停止を防ぎ、稼働率を改善することである。
技術
IoTセンサーで設備からデータを収得する
過去の故障データや設備の状態データ使って、予兆を検知するモデル訓練。これには機械学習の予測モデルを使う
どのように使わているか
故障が予測された設備について、部品の交換やメンテナンスを計画的に行う
なぜ機械学習を使ったのか
設備故障には多くの要因が絡み合っており、どの組み合わせで故障するか人間掛けでルール化するのは難しい
センサーで機器の動作を細かく定量的にモニタリングできるようになり、過去の状態データ蓄積できるようになった。これが予測モデルが作れる土台である</t>
  </si>
  <si>
    <t>実世界での機械学習の利用状況一つを調査して</t>
  </si>
  <si>
    <t>24238133@edu.cc.saga-u.ac.jp</t>
  </si>
  <si>
    <t>プログラミングはコンピュータに指示する方法で機械学習はコンピュータがデータからパターンやルールを自動的に学習する方法である。プログラミングは複雑な問題には不向きであり、機械学習は複雑な問題に柔軟で対応できる。プログラミングではすべて人間がルールとして記述するが顔認識や音声認識では明確に定義するのが困難である。これらに対して機械学習が便利で使用されるようになった。現代ではインターネットの普及により大量のデータで溢れている。機械学習だと大量のデータで学習でき、精度の高い予測や分類が可能である。</t>
  </si>
  <si>
    <t>機械学習が出てきた理由と何に利用されているか詳しく教えて
具体的な理由や違いを知りたいため</t>
  </si>
  <si>
    <t>タクシー業界で機械学習が利用されている。乗客がどこに現れるか予測し、車両配置しなければならないが従来はドライバーの経験に頼っていた。機械学習がによるAIを導入するこで、高精度の予測が可能になった。使用されている技術は過去データからパターンを学習する機械学習アルゴリズム、天候・イベント・交通状況などのリアルタイムデータ分析、GPS・地図データの地理空間情報処理などがある。具体的には、人口統計データ・タクシー運航データにより30分先までの需要を予測できるNTTドコモのAIタクシーや鉄道の遅延情報・イベント終了時刻・天気予測により効率的な走行ルートを示すソニーのS.RIDEなどがある。これらにより営業効率が向上し売り上げアップ、待ち時間の短縮など様々なメリットがある。</t>
  </si>
  <si>
    <t>実世界で使われている機械学習の一つを詳しく教えて
具体的に何に使われているか分からないため</t>
  </si>
  <si>
    <t>詳しい説明があったので講義の内容を理解しやすかった。班で協力し質問もすぐにできてスムーズに活動することができた。</t>
  </si>
  <si>
    <t>24238192@edu.cc.saga-u.ac.jp</t>
  </si>
  <si>
    <t>プログラミングは開発者が手動でルールやロジックを記述し、処理をコードで記述するのに対し、機械学習は大量のデータからコンピュータが自動的にルールを学習する。
また、プログラミングは動作がコードによって定義されているため再現性が高くデバッグがしやすく、ソフトウェアの動作はコードで決まるためデータに依存しない。
それに対して、機械学習は過去のデータから未来を予測したりデータの分類に強いが、深層学習では内部の判断基準が複雑で人間には理解しづらいブラックボックスになりやすい。
プログラミングは明確なルールで解決できる条件分岐などに強く、機械学習は大量の高品質なデータを用いたパターン認識や予測、分類を得意とする。</t>
  </si>
  <si>
    <t>機械学習は金融分野で不正取引の検出のために利用されている。
クレジットカードの不正利用を検出する場面において、異常検知や決定木などの技術が、取引履歴をもとに通常と異なるパターンを検出するために使われている。
機械学習を使用する理由はデータから自動で傾向を学び、未知の不正行為を検出しやすく、常に変化する不正行為の手法に対応しやすい事と、リアルタイムで監視ができるから。</t>
  </si>
  <si>
    <t>24238065@edu.cc.saga-u.ac.jp</t>
  </si>
  <si>
    <t xml:space="preserve">ソフトウェアにおけるプログラミングと機械学習の違い
本稿では、ソフトウェア実装手段としてのプログラミングと機械学習の違いを、①アプローチの違い、②不確実性への対応、③実装コストとメンテナンス、④適用領域の違いの四点から考察する。
1. アプローチの違い
プログラミングでは、人間が手順やルールを明示的にコード化するため、決められた手順で処理が実行される。その結果、柔軟性は低いが、処理の誤りは起こりにくい。一方、機械学習ではルールを人間が直接記述せず、データを与えてアルゴリズムがパターンを学習する。そのため未知の問題に対しても対応できる可能性がある。
2. 不確実性への対応
プログラミングは条件が明確で例外の少ないタスクに強く、確実性が高い。一方、機械学習は未来や未知の入力に対して確率的に対応できる点が利点である。ただし、学習の性質上、誤った判断を下す可能性もある。
3. 実装コストとメンテナンス
プログラミングはルールが固定されているため、仕様変更があるとコードを修正する必要がある。頻繁な変更が発生すると、人件費や時間的コストが増大するという欠点がある。これに対し、機械学習ではデータを更新することでモデルが自動的に改善される可能性がある。機能の確認は必要だが、全体的なコストは削減できる場合が多い。
4. 適用領域の違い
プログラミングは計算処理、業務システム、制御系など「正確さ」が求められる分野に強い。一方、機械学習は音声認識、画像分類、需要予測など「曖昧さを含む分野」に適している。
結論
以上を踏まえると、プログラミングの長所は決められた処理を確実に実行し、予期せぬ挙動が起こりにくい点にある。しかし柔軟性に欠けるため、曖昧な問題や未知の問題には対応しづらい。一方、機械学習は学習によって対応範囲を拡大でき、曖昧さや未知の問題に柔軟に対応できる点が強みである。ただし、データの偏りや不足により誤った処理を行う可能性がある点には注意が必要である。
</t>
  </si>
  <si>
    <t>ソフトウェアでの実装手段としてのプログラミングと機械学習の違いを根拠を上げて述べてください。数個程度箇条書きで上げてそれぞれに関する説明もつけてください。
誤字脱字や変更したほうがレポートの完成度が上がるところを教えてください。また修正したものを出力してください。
解答の精度を上げるために根拠を上げて述べてくださいという文言を追加した。
冗長な文章にならないかつある程度の情報量を確保するために数個程度箇条書きにして説明もつけた。
誤字脱字と表現のチェックをしてもらった。</t>
  </si>
  <si>
    <t>小売業では、機械学習を用いた需要予測が広く活用されている。過去の販売データ、季節要因、イベント情報などを学習させることで、どの商品が、いつ、どれくらい売れるかを高精度に予測できる。これにより在庫切れを防ぎつつ、余剰在庫や廃棄を削減でき、収益改善につながる。従来は担当者の経験や勘に依存していた予測を、機械学習が大量データを基に行うことで、より客観的かつ効率的に実施できる点が大きな強みである。結果として、企業はコスト削減と顧客満足度向上を同時に実現できるため、需要予測は機械学習の代表的な活用分野となっている。</t>
  </si>
  <si>
    <t xml:space="preserve">実世界 (社会や企業・組織など) での機械学習(AI)の利用状況1つを調査してください。どんな場面で、どんな技術が、どんな使われ方をしているのかを述べてください。 なぜそれは機械学習を使ったのですか。以上をわかりやすく、300文字程度にまとめてください。また、参考にした情報を明示してください。
600文字で出力して
誤字脱字や変更したほうがレポートの完成度が上がるところを教えてください。また修正したものを出力してください。
</t>
  </si>
  <si>
    <t>まずは簡単に概要をまとめてもらうために300字で出力させた。嘘を書かれてはいけないので情報のソースを教えてもらった。少し内容を詳しく知りたかったので改めて600字で出力させた。</t>
  </si>
  <si>
    <t>周りで事前にパソコンに環境を構築できている人がかなり少なかった。なぜかインストールできないとか動かないとかがあったので、エラーが起きた時のマニュアルが載ってたが、それに加えて今までで質問があったことに対しての対応を載せてほしい。そのほかはネットが遅かった以外の問題はなく、内容にも不満はなかった。</t>
  </si>
  <si>
    <t>24238021@edu.cc.saga-u.ac.jp</t>
  </si>
  <si>
    <t>プログラミングは、人間がやり方をすべて決めて、それをコードに書くものであり、機械学習は、答えの出し方が分からなくても、データから学習させて答えを出すものである。
プログラミングでは難しいが機械学習では上手くいくものとして、画像認識、音声認識、スパムメール分類、売上や株価の予測、レコメンドシステムなどがある。
ルールが複雑なもの、データが大量にあるもの、パターン認識が必要なもの、個別最適化が必要なものなどは機械学習が必要になる。</t>
  </si>
  <si>
    <t>プログラミングでは難しいが、機械学習で上手くいく例を紹介して</t>
  </si>
  <si>
    <t>機械学習は自動運転で使われている。
自動運転においては、認識、予測、判断、制御、自己位置推定などの機能に機械学習が使われている。使われている技術は、例えば、画像認識(CNN:畳み込みニューラルネットワーク)、物体検出(YOLO、SSD、Faster R-CNN)、強化学習(DQN、PPOなど)がある。
自動運転では、ルール化できない複雑なものや、大量のデータを処理したり、予測が必要になるので機械学習が適している。</t>
  </si>
  <si>
    <t>機械学習は自動運転でどのように使われているか、その技術についても詳しく教えて。
またなぜ機械学習を使ったのか。</t>
  </si>
  <si>
    <t>普段全くパソコンを触らないので、最初の環境を構築するところが難しかった。</t>
  </si>
  <si>
    <t>24238022@edu.cc.saga-u.ac.jp</t>
  </si>
  <si>
    <t xml:space="preserve">プログラミングとは、人間があらかじめ明確な手順やルールを設計し、それをコンピュータに指示する方法です。処理内容が論理的に説明できるBMIを求める計算などの問題では、プログラミングによる実装が有効です。
一方機械学習は、人間がルールを直接書くのではなく、コンピュータ自身が大量のデータからパターンを学習してルールを見つけ出す手法です。たとえば、画像から猫と犬を識別する場合、数式で表すのは無理でも、機械学習を用いればデータから自動的にそれらの特徴を抽出し、分類できるようになります。
機械学習が登場した背景には、従来のプログラミングでは対応が難しい複雑な問題が増えたことがあります。特に画像認識や音声認識、自然言語処理など、明確なルールを人間が定義できない領域において、機械学習は大きな成果を上げています。
プログラミングは「人がルールを作る」手法であり、機械学習は「コンピュータがルールを学ぶ」手法です。現代の多くのソフトウェアでは、両者が補い合う形で用いられており、例えば自動運転車では機械学習が周囲の認識を担当し、プログラミングが車両の制御を行うなど、それぞれの強みを活かして実現されています。
</t>
  </si>
  <si>
    <t>近年、企業活動のさまざまな分野で機械学習（AI）の導入が進んでおり、その中でも代表的な事例として、ヤマト運輸による業務量予測システムがあります。ヤマト運輸は過去の荷物取扱量データをもとに機械学習モデルを構築し、日ごとの業務量を予測する仕組みを導入しました。これにより、営業所ごとの人員配置やトラックの配車計画を最適化しています。
このシステムでは、時系列予測や回帰分析などの機械学習技術を用い、曜日・季節・天候・セール情報など多様な要因を組み合わせて、荷物量の変動を高精度に予測します。また、単に精度を上げるだけでなく、過大・過小予測によるコストやサービスへの影響を考慮した評価関数を採用することで、実際の業務改善に直結する仕組みになっています。さらに、モデルを定期的に更新する「MLOps（機械学習の運用管理）」の仕組みを整え、常に最新のデータで予測を行えるようにしています。
機械学習を導入した理由は、物流量が日々大きく変動し、人間がルールを明示的に書くことが難しかったためです。従来の手法では対応しきれない複雑な要因を自動的に学習し、最適な予測を出すことが可能となりました。その結果、ヤマト運輸では人員や車両の無駄を減らしつつ、サービス品質を維持することに成功しています。</t>
  </si>
  <si>
    <t>良かったです</t>
  </si>
  <si>
    <t>24238008@edu.cc.saga-u.ac.jp</t>
  </si>
  <si>
    <t>プログラミングとは、開発者があらかじめ明確なルールや手順を人間の手で記述する方法です。これは「手続き型の実装手段」とも言われ、条件分岐や繰り返し処理、数式計算などをコードに落とし込み、決められたロジックに従ってコンピュータを動作させるという考え方です。この方法は、計算処理や業務フローの自動化、UIの構築など、処理の内容や手順がはっきりしている場面で特に有効です。
一方で、機械学習は「ルールを人間が書かずに、データから自動的に学ばせる」という考え方に基づいた手法です。人間が明確なルールを定義することが困難な問題、たとえば画像認識や音声認識、自然言語の理解といった複雑で曖昧なタスクに対しては、ルールベースでは限界があります。そこで、機械学習では、正解付きのデータ（教師データ）を大量に与え、コンピュータ自身がその中からパターンや関係性を学び取り、未知のデータにも応用できるモデルを構築します。</t>
  </si>
  <si>
    <t>ソフトウェアでの実装手段として、プログラミングと機械学習の明確な違いについて詳しく説明してください。</t>
  </si>
  <si>
    <t>プログラミングが適している問題と機械学習が適している問題は具体的にどんな問題か？</t>
  </si>
  <si>
    <t>小売業では、機械学習を使った需要予測が重要な業務の一部として活用されています。これは、売上最大化と在庫最適化という2つの目的を同時に達成するために、複雑なデータを効率よく処理できるAIの利点を活かした好例です。</t>
  </si>
  <si>
    <t>企業は、どのような場面で機械学習を使うようになったのか？</t>
  </si>
  <si>
    <t>条件を与えたり目的を明確にしたりする。</t>
  </si>
  <si>
    <t>グループワークで何をすればよいかわかっていない学生が一部いたため、大きな課題を小さなタスクに分けて提示すればよいと思いました。</t>
  </si>
  <si>
    <t>24238226@edu.cc.saga-u.ac.jp</t>
  </si>
  <si>
    <t>実現できることの違いとしてはプログラミングではルールを人が記述するのに対して機械学習ではルールをデータから学習する。プログラミングでは、「人間がルールを書く」のに対して機械学習では「データからルールを獲得する」ことから人間が書けるルールならプログラミングが有効で人間が書けない複雑すぎる領域は機械学習が強い。両方を組み合わせて実用化するケースが多い。例　プログラミング　・家計簿アプリ・ゲームロジック
機械学習　・顔認証・翻訳AI・チャットGPT</t>
  </si>
  <si>
    <t>プログラミングと機械学習の主な違いは？</t>
  </si>
  <si>
    <t xml:space="preserve">一言で言うと「工場での不良品チェックを、人の代わりにAIが自動でやっているから便利」と言えます。例えば富士通では　金融、通信、公共セクター、ヘルスケアなど多様な分野でクラウドAI／機械学習を用いたサービスを展開しています。例えばがんゲノム解析プラットフォームの構築や、GPUクラスタを使ったディープラーニングのモデルの設計・運用などです。
</t>
  </si>
  <si>
    <t>実際に機械学習を利用している会社やどのような利用のされ方をされているのか教えてと入力しました</t>
  </si>
  <si>
    <t>実際に使っている会社を調べて現実味を持たせました</t>
  </si>
  <si>
    <t>とても分かりやすくためになりました</t>
  </si>
  <si>
    <t>24238300@edu.cc.saga-u.ac.jp</t>
  </si>
  <si>
    <t>プログラミングとは、私たちがしてほしいことであったり、ゴールや目標があるとすると、私たちはそれらまでの道のりであったり、アプローチの仕方、手順などを明確にコンピュータに伝える必要がある。機械学習はそのゴールや目標に向けて、私たちはデータや傾向をコンピュータに学ばせ、コンピュータ自身が学習し、ゴールや目標に向けて手順などを割り出すことができる。機械学習は私たち人間よりもはるかに多いデータ収集や分析する能力があるので、私たちが思いつかないアプローチの仕方も生み出すことができる。</t>
  </si>
  <si>
    <t>アマゾンであったり、ヤフー、グーグルなど、私たちが1つでも調べたり、検索したりすると、コンピュータは、これまでの傾向から、検索者の次に調べたいようなことだったり、買いそうなものを予測し、私たちに提案している。これらの機械学習は、使う人が増えるほど、様々なデータが増え、あらゆる場面に対応した商品を提案したり、広告を企業は出すことができる。</t>
  </si>
  <si>
    <t>オンラインでしてほしい</t>
  </si>
  <si>
    <t>24238007@edu.cc.saga-u.ac.jp</t>
  </si>
  <si>
    <t>プログラミングを学習するにあたって機械学習との違いについて調べた。大きな違いとして、プログラミングは「人間が直接記述する」のに対して機械学習では「データからコンピュータから自身がルールを学習する」ことが２つの違いになる。プログラミングで人間がルールを全て記述していたものを機械学習に置き換えることでコンピュータ自身でルールを学ぶようにすることが実現した。</t>
  </si>
  <si>
    <t xml:space="preserve">機械学習(AI)は、先進的な分野だけでなくビジネスや日常生活の多くの場面で浸透している。業務の自動化や効率化から、新たなサービスの創出、未来予測など活用範囲は拡大し続けている。その中でも農業分野で使用されている機械学習について調べた。農業分野だけではないが人手不足や高齢化によって担い手不足が深刻である。これにより、熟練者への経験に頼るということになっている。
　特に経験の浅い若い農業従事者は農地の生育状況を判断するのは難しいことである。そのため、広大な農地でドローンなどを使い撮影した画像はAIが解析することによって農業従事者の経験をカバーすることに繋がる。生育状況の把握と収量を予測することができる。葉の色や茂り具合をAIが判断して生育状況を可視化する。そして、過去のデータと照らし合わせることで収穫量や的確な収穫時期をAIが予測する。また、作物の画像からAIが変化を検知し害虫・病気の早期発見を行う。発見した場所には農薬の使用を最小限に抑えてピンポイントに農薬を散布することができる。
</t>
  </si>
  <si>
    <t>プロンプト「農業分野の機械学習の利用状況を調査してください」</t>
  </si>
  <si>
    <t>特定の分野を指定しておくことで生成AIがピンポイントに回答してくれるように工夫した。</t>
  </si>
  <si>
    <t>24238081@edu.cc.saga-u.ac.jp</t>
  </si>
  <si>
    <t>プログラミングは、ある動作に対してどのように動くかを事前に細かく人間からルールを作られたものであり、機械学習は、与えられるたくさんの情報からどのように判断するべきかを学び、コンピューター自身がルールを作っていくものである。このような特徴のため、プログラミングは、計算や在庫管理などの明確なルールに従って作業をすることが得意であるのに対して、機械学習は、画像や音声の認識などのあいまいな判断が必要な作業が得意である。</t>
  </si>
  <si>
    <t>1.プログラミングとは
2.機械学習とは
3.これら二つの違いを分かりやすく</t>
  </si>
  <si>
    <t>プログラミングと機械学習の二つの事柄を先に個別で質問することで二つの特徴を再認識したうえで自分が考えた違いを思い浮かべ、その考えがあっているかの確認を踏まえて、違いを尋ねた。</t>
  </si>
  <si>
    <t>医療の現場でＸ線写真などに写っている小さな異常を検知することでがんの早期発見という形で使われているものがあり、医師が「ここに腫瘍あり」とラベルをつけた医療画像を教師あり学習が用いられており、数千～数百万枚のデータの収集、異常がある画像とない画像を読み込ませ、特徴を自動で学習させ、新しい画像に対して自動で判断できるようになるという過程を経て、診断のサポートとして導入された。なぜ使ったのかについては医師の見落としや経験の差が命に関わる、医療画像が大量に増えており、人手では処理しきれない、地域によっては専門医が不足している、という問題点が背景にあったため、同じ精度で何千枚でも処理でき、経験の差が生まれない機械学習が用いられるようになったからである。</t>
  </si>
  <si>
    <t>1.実際に機械学習はどのような形で使われているかできるだけ多く例を挙げて
2.挙げられた例の中で医療についてどんな場面で、どんな技術が、どのように使われているのか、また使われるようになった経緯をわかりやすく説明して</t>
  </si>
  <si>
    <t>二つの質問に分けることで一つ目の質問で挙げた例の中の一つについてだけを細かく説明してもらえるようにした。</t>
  </si>
  <si>
    <t>24238242@edu.cc.saga-u.ac.jp</t>
  </si>
  <si>
    <t>プログラミングは人間が予め処理の手順や条件を論理的に定義し、その通りにコンピュータを動作させる手法である。一方、機械学習は明確なルールを人間が与えるのではなく、大量のデータからコンピュータ自身がパターンや特徴を学習し、判断や予測を行う手法である。</t>
  </si>
  <si>
    <t>ソフトウェアでの実装手段として、プログラミングと機械学習の違いについて、理工学部2年生が理解できるように述べてください。例えば、なぜ機械学習という手法が出てきたのか? 例えば、実現できる事の違い、など。</t>
  </si>
  <si>
    <t>資生堂の「肌画像解析AI」によるスキンケア提案システム
店舗の肌診断サービスやスマホアプリで利用者の肌を撮影してAIが機械学習による画像認識技術を用いて肌状態を自動解析し、その結果に基づいてスキンケア商品を個別に提案するサービスを実施している。
このシステムを導入した理由として、人による診断には個人差があるため客観的で一貫した評価が必要だったため、短時間で正確な診断を大量に行う必要があったため、利用者一人ひとりに最適な提案を実現したかったため、などがあげられる。</t>
  </si>
  <si>
    <t>化粧品業界での機械学習(AI)の利用状況1つを調査。どんな場面で、どんな技術が、どんな使われ方をしているのか? なぜ、機械学習を使ったのか?</t>
  </si>
  <si>
    <t>自分が興味のある化粧品業界という社会に焦点を当てさせた。</t>
  </si>
  <si>
    <t>22238253@edu.cc.saga-u.ac.jp</t>
  </si>
  <si>
    <t>プログラミングは明確なルールや手順がある場合や高い信頼性が必要な場合，データが少ない場合に向いている。一方で，機械学習は明確なルールが定義できない場合や大量のデータがある場合，予測や検知を必要とする場合に向いている。</t>
  </si>
  <si>
    <t>機械学習とプログラミングのそれぞれについて実装するのに向いているケースを教えてください</t>
  </si>
  <si>
    <t>工場で，生産性向上のために手作業を削減する目的でAIを導入した結果，目視で行っていた検査・検品の自動化・省人化に成功。</t>
  </si>
  <si>
    <t>24238394@edu.cc.saga-u.ac.jp</t>
  </si>
  <si>
    <t>プログラミングは、全ての判断基準や処理手順を人間が設計する。つまり、プログラミングとは「ルールを人間が決めてそれを機械に実行させる」という仕組みになっている。機会学習は、人間がルールを明示的に書くのではなく、データからコンピューター自身にルールを学ばせる手法。つまり、「この入力に対してこの出力になるように、パターンを自動的に見つけだしてほしい」という考え方である。また、プログラミングでは、明確な手順・論理的処理などを得意な分野としているが、機械学習では、曖昧・複雑なパターンを得意としている。</t>
  </si>
  <si>
    <t xml:space="preserve">例えば、クレジットカードなどの不正検知などに機械学習が使用されており、教師あり分類、異常検知、GNNなどの技術が使われている。また、過去の不正利用されたデータでモデル学習をし、リアルタイムの取引をスコア付けし、高リスクであると判断した取引はブロックするといった使われ方をしている。パターンが複雑に変化するので、手作業では検出しきれないなどといった理由で機械学習を使用している。
</t>
  </si>
  <si>
    <t xml:space="preserve">実世界 (社会や企業など) で機械学習が使われている例を教えてください。どんな場面で、どんな技術が、どんな使われ方をしているのか、機械学習を使ったのかなど詳細に教えてください。
</t>
  </si>
  <si>
    <t>24238120@edu.cc.saga-u.ac.jp</t>
  </si>
  <si>
    <t>プログラミングは開発者が人の力で明確なルールや大中を記述するやり方で、ある条件が満たされたときに特定の処理をしたりする。これは、業務システムなどに使われている。しかし、機械学習は多くのデータからコンピューターがパターンやルールを学ぶやり方で、明確なルールの設定が難しいときに使われるという違いがある。</t>
  </si>
  <si>
    <t>機械学習が利用されているのは、製造業における外観検査や検品自動化ということ。キズや汚れなど、欠陥の種類が多様で、形状や色、光の反射等の条件で見え方が変わるような製品。従来の単純な画像処理では対応が難しいものやリアルタイム性が求められる検査。生産速度を落とさずに検査を行う必要がある場面で画像から特徴を自動で抽出できる深層学習が使われている。人手検査では経験・疲労・主観に依る判断のばらつきが発生しやすいが、機械学習モデルは一定の条件で一貫して判断でき、検査員を大規模に配置する必要が減る。再加工・返品・クレーム対応などの不良品コストが下がる。検査速度が上がるため生産ラインの滞りが減少するから。</t>
  </si>
  <si>
    <t>24238452@edu.cc.saga-u.ac.jp</t>
  </si>
  <si>
    <t>プログラミングとはコンピュータに明確な手順を指示してプログラムを作成することであるのに対して、機械学習は与えられたデータからパターンを学習し、予測や判断を行う技術である</t>
  </si>
  <si>
    <t>オンラインショッピング
場面：顧客の購入履歴や閲覧履歴に基づく在庫管理など
技術：ディープラーニング・強化学習
使われ方：ユーザにおすすめ商品の提供、需要予測による在庫の最適化</t>
  </si>
  <si>
    <t>現在、社会や企業でどのように機械学習（AI）が活用されているのかリストアップして 
また、次の三つに意識してまとめて 
どのような場面か 
どのような技術か 
どのような使われ方か</t>
  </si>
  <si>
    <t>コースごとに授業を分けて、各分野での使い方を学ぶ講義がいいと思う</t>
  </si>
  <si>
    <t>24238053@edu.cc.saga-u.ac.jp</t>
  </si>
  <si>
    <t>プログラミングと機械学習は、どちらもコンピュータを動かすための手段だが、考え方が大きく違う。プログラミングは、人間があらかじめ「こうなったらこうする」というルールをすべて決めて書く方法である。たとえば、信号の色を見て「赤なら止まる」「青なら進む」と命令するように、人が正しい手順を考えて教える。このやり方は、ルールがはっきりしている問題ではとても便利だ。
一方で、世の中には「どうやって判断すればいいか」がはっきりしない問題も多い。たとえば、「猫の写真を見分ける」「声から感情を読み取る」といったことは、人間にはできてもルールを言葉で説明するのは難しい。そこで登場したのが機械学習である。機械学習では、たくさんのデータを見せて、コンピュータが自分でパターンを学び取る。人がルールを教えるのではなく、「例」をもとに考え方を身につけるのが特徴だ。
つまり、プログラミングは「人間がルールを作る方法」、機械学習は「コンピュータがルールを学ぶ方法」である。機械学習は、人間が一つ一つのルールを決めるのが難しくなった現代の複雑な問題に対応するために生まれた新しい技術である。</t>
  </si>
  <si>
    <t>ソフトウェアでの実装手段として、プログラミングと機械学習の違いについての述べてください。簡単に説明してください。</t>
  </si>
  <si>
    <t>近年、物流業界では人手不足や燃料費の高騰により、効率的な配送が大きな課題となっている。こうした中、ヤマト運輸はAI（機械学習）を活用した「配送ルート最適化システム」を導入している。このシステムは、過去の配送データや交通情報、天候、時間帯別の受取傾向など多様な情報をもとに、最も効率の良い配送ルートを自動で算出するものである。これにより、ドライバーの走行距離を短縮し、再配達率の低下や残業時間の削減を実現している。
このAIには、機械学習を用いた予測モデルや最適化アルゴリズムが組み込まれており、日々の配送結果を学習して精度を高めている。人間では処理しきれない膨大な条件や変動要因を、AIが高速に分析して最適な判断を下すことが可能である。
ヤマト運輸が機械学習を導入した理由は、複雑な要因が絡む配送計画を人手で設計するのが困難だったためである。また、効率化によるコスト削減や環境負荷の軽減といった社会的要請にも応える必要があった。データの蓄積とAI技術の発展により、現場業務の自動化と最適化が現実的となったことも導入を後押しした。
このように、機械学習は物流の現場において、経験や勘に頼らない合理的な判断を可能にする新たな技術として重要な役割を果たしている。</t>
  </si>
  <si>
    <t>実世界 (社会や企業・組織など) での機械学習(AI)がどんな場面で、どんな技術が、どんな使われ方をしているのか、箇条書きでポイントを押さえて教えてください</t>
  </si>
  <si>
    <t>24238129@edu.cc.saga-u.ac.jp</t>
  </si>
  <si>
    <t>プログラミングは、人間があらかじめ定めた手順に従って処理を行わせるものである。たとえば、数値の計算、データの並べ替え、ファイルの読み書き、特定の条件に基づく処理の分岐などが典型的である。こうした課題はルールが明確であり、処理の内容を詳細に定義することが可能である。そのため、実装した通りにソフトウェアが動作し、同じ入力には常に同じ結果が得られるといった、決定論的な性質を持つ点が特徴である。機械学習は、コンピュータが大量のデータから自動的にパターンや規則性を学び、未知のデータに対して推論や予測を行う手法である。画像認識、音声認識、自然言語処理、需要予測など、明確なルールを人間が記述することが難しい問題に対して用いられることが多い。たとえば、手書きの文字を認識してデジタルな文字列に変換する「手書き文字認識」を考える。これを従来のプログラミングで実装しようとする場合、すべての文字の形状やパターンをあらかじめ定義する必要がある。しかし、実際には人によって文字の書き方が大きく異なる上、同じ人であっても筆跡や書き方に微妙な違いがある。たとえば、数字の「1」と「7」や「4」と「9」などは、手書きでは非常に似てしまうことがある。そのため、「この線の角度が◯度以上なら○○の文字」といった単純なルールでは、あらゆるパターンに対応するのは困難である。
そこで、機械学習では、実際の手書き文字とその正解ラベル（例：「これは8」「これはA」など）を大量に学習させることで、文字のパターンをモデルが自動的に抽出し、新たな手書き画像に対して適切な文字を推定できるようになる。このように、入力のパターンが多様であったり、あいまいな場合には、機械学習のアプローチが非常に効果的である。両者の違いをまとめると、ルールが明確で手順が定義できる問題にはプログラミングが適しており、ルールが曖昧で複雑な問題には機械学習が有効である。</t>
  </si>
  <si>
    <t>農業分野における機械学習の利用状況は、病害の予測、作物の成長管理、収穫の自動化のために有機農業（化学肥料や農薬を使わない栽培）を行う場面で、病害の発生リスクを予測する機械学習モデルや作物の成長状態や病気の兆候を検出する画像認識や温度・湿度・土壌情報などをリアルタイムで取得するセンサー連携などの技術が使われている。使われ方として、自社農場でAIツールを使い、栽培データを収集したり、病気の兆候をAIが検出し、農薬を使わずに対策を立てたり、ロボットが画像から収穫タイミングを判断し、自動で収穫したりしている。従来の課題は、有機農業は手間がかかり、病害管理が難しかったり、経験が必要で、新規参入者にはハードルが高かったり、人手不足や高齢化による作業負担の増加があったため、データに基づいた予測で、病害リスクを事前に察知でき、作業の自動化により、労働負担を軽減、栽培ノウハウをAIに学習させることで、誰でも高品質な農業が可能にできる機械学習を取り入れた。</t>
  </si>
  <si>
    <t>専門用語がむずかしかった。</t>
  </si>
  <si>
    <t>24238003@edu.cc.saga-u.ac.jp</t>
  </si>
  <si>
    <t>プログラミングはルールが明確に決まっているものを条件分岐やアルゴリズムを用いて記述することである。機械学習は答えのあいまいな思考について与えられたデータの傾向で判断するものである</t>
  </si>
  <si>
    <t>copilot</t>
  </si>
  <si>
    <t xml:space="preserve">プログラミングと機械学習の違いを表などを使ってわかりやすく説明して
</t>
  </si>
  <si>
    <t xml:space="preserve">youtubeのおすすめ欄において「あなたへのおすすめ」を過去に見た動画のジャンルや再生時間、どんな動画に「いいね」やコメントをしたか、どのチャンネルを登録しているか、どんな検索ワードを使ったか、他の似たユーザーが見ている動画などをもとに予測して表示している。
大量のデータの分析や整理は人間よりも機械学習のほうが優れている。また、リアルタイムでの表示変更は機械学習にしか実現できない
</t>
  </si>
  <si>
    <t>質問4において自分はyoutubeのおすすめ欄が思い浮かんだ。その知識を補強するようにAIを用いた</t>
  </si>
  <si>
    <t>一グループに一人はセンサープログラミング実験を履修した人が在籍しているほうがいい。
環境構築がまずできない人が多かった</t>
  </si>
  <si>
    <t>24238040@edu.cc.saga-u.ac.jp</t>
  </si>
  <si>
    <t>プログラミングと機械学習の違いは、プログラミングは、人間が明確なルールや手順を考え、それをコンピュータに指示して動かす手法である。計算や条件分岐など、答えが明確な処理には非常に有効である。機械学習は、大量のデータからコンピュータ自身がパターンを学び、ルールを自動的に見つけ出す技術である。これにより、従来のプログラミングでは難しかった予測や判断が可能となった。また、画像認識や音声認識のように、ルールを人間が定義しにくい問題には限界があるため機械学習が登場した。</t>
  </si>
  <si>
    <t>プログラミングと機械学習の違い、なぜ機械学習ができたか</t>
  </si>
  <si>
    <t>近年、物流業界では機械学習を活用した需要予測システムが導入されている。例えば、大手小売業や運送会社では、過去の販売データ、天候、イベント情報などをもとに、商品の需要を高精度に予測する仕組みを構築している。従来は人間の経験や固定的な数式で予測していたが、機械学習では膨大なデータからパターンを自動的に学習し、季節変動や突発的な需要変化にも柔軟に対応できる。この技術により、在庫の過不足を減らし、配送ルートや人員配置を最適化することが可能となった。機械学習を用いる理由は、社会や市場の変化が複雑化し、人間の判断だけでは正確な予測が難しくなっているためである。データから自動的に学ぶ仕組みを取り入れることで、効率的で持続可能な物流運営を実現している。</t>
  </si>
  <si>
    <t>機械学習はどのような場面で使われているか、使われる理由</t>
  </si>
  <si>
    <t>講義で実際にAIを用いて説明されていたので分かりやすかった。</t>
  </si>
  <si>
    <t>24238343@edu.cc.saga-u.ac.jp</t>
  </si>
  <si>
    <t>明確な違いとしては柔軟性や予測力があり機械学習はそれに優れている。しかしデータにとても依存していいて、その学習データが間違っていると誤った予測をしてしまうので注意が必要である。対してプログラミングは柔軟性、予測力では機械学習と比べて劣っているが、デバッグが容易であり、明確な制御が可能というメリットを持っている。よってプログラミングは請求書の自動処理などが向いており、機械学習は顧客の購買傾向予測などが向いている。</t>
  </si>
  <si>
    <t>ソフトウェアでの実装手段としてのプログラミングと機械学習、それぞれのメリット、デメリットを詳しく教えてください。</t>
  </si>
  <si>
    <t>メルカリで商品を出品するときに機械学習を活用したAI出品サポート機能という画像1枚から商品属性と売れやすい価格を自動提案するものを導入することで平均3～4分かかっていた商品名やカテゴリ、価格などの入力時間を約1分まで減らし、出品後24時間以内の成約率が15%向上することに成功した。機械学習を使った理由は柔軟性や予測力が重要であるからである。</t>
  </si>
  <si>
    <t>企業で機械学習が利用されている例を一つ挙げてください。なぜ機械学習が採用されているのかも教えてください。</t>
  </si>
  <si>
    <t>・例を"一つ"挙げてください。ということで例が複数でてくることを防いだ。
・どんな場面で、どんな技術が、どんな使われ方をしているのか? というのを書かなくとも出てくるだろうと思い、あえて質問しなかった。</t>
  </si>
  <si>
    <t>コマンドが難しいのもあったりすべて英語というのもあり、理解するのがとても難しかった。</t>
  </si>
  <si>
    <t>24238448@edu.cc.saga-u.ac.jp</t>
  </si>
  <si>
    <t>プログラミングは人間がルールや手順を明示的に記述することを考え方として、開発者が入力と出力の関係を理解し、その処理手順をプログラムとしてコード化することを仕組みとして行う。機械学習は人間がルールを直接書くのではなく、データからコンピュータがルールを「学習」することを考え方として、入力データと正解データを大量に与え、モデルがその関係を自動的に見つけ出すことを仕組みとして行う。プログラミングは設計者がルールを完全に把握している必要があるのに対して、機械学習は明確なルールを定義しにくい問題でも対応可能である。これらがプログラミングと機械学習の違いである。</t>
  </si>
  <si>
    <t>プログラミングと機械学習の違いについて述べて</t>
  </si>
  <si>
    <t>コンビニスーパーでの需要予測システム。コンビニやスーパーでの商品の仕入れ・発注の場面で使われている。機械学習の時系列予測モデルや回帰モデルだったり、ディープラーニングといった技術が使われている。AIが明日はこの商品が何個売れると予測してそれに対して店員さんが発注数量を決めるか、システムが自動発注を行うという使われ方をしている。機械学習を使った理由としては、商品の売れ行きは、天気・気温・曜日・時間帯・地域イベントなど、
多くの要素が複雑に関係していて、それらの要因をすべて人間がルールとしてプログラムに書くのは不可能に近いということや、コンビニでは毎日、膨大な販売データが蓄積されていて機械学習はこのような大量のデータから傾向を学ぶのが得意であり、より正確な予測モデルを作ることができるということなどから機械学習が使われている。</t>
  </si>
  <si>
    <t>コンビニスーパーでの需要予測はどんな技術が使われているか。</t>
  </si>
  <si>
    <t>質問した後により詳しく学べるように疑問に思ったことを投げかけた。</t>
  </si>
  <si>
    <t>環境構築が少し難しい感じがした。</t>
  </si>
  <si>
    <t>24238470@edu.cc.saga-u.ac.jp</t>
  </si>
  <si>
    <t>プログラミングは人がルールを細かく決めて、コンピュータに「こう動け」と命令する方法です。一方、機械学習は大量のデータを使って、コンピュータ自身がルールを見つける方法です。たとえば、迷惑メールを見分ける場合、プログラミングでは請求などという言葉があれば迷惑と決めますが、機械学習では過去のメールを学習して、自動で判断基準を作ります。つまり、プログラミングは人が教える、機械学習は自分で学ぶという違いがあります。</t>
  </si>
  <si>
    <t>例としてYouTubeでは、機械学習を使ってユーザーに合った動画を自動でおすすめしています。これは、過去に見た動画のジャンルや再生時間、検索履歴などをもとに、AIが「次に見たくなる動画」を予測する技術です。使われているのは「ディープラーニング」という高度な機械学習で、何百万もの動画と視聴行動を学習しています。人が手作業でおすすめするのは不可能なので、機械学習を使うことで、毎日何十億回も再生される動画の中から、ぴったりのものを瞬時に提案できるのです。</t>
  </si>
  <si>
    <t>自分は福岡県からの通いなので夏休みに大学まで来るのは大変だった。班で作業するのは自分のわからないことを教えてもらい班の人に助けられたのよかったです。</t>
  </si>
  <si>
    <t>24238204@edu.cc.saga-u.ac.jp</t>
  </si>
  <si>
    <t>　現代のソフトウェア開発において、「プログラミング」と「機械学習」は、目的達成のための異なるアプローチとして位置づけられています。「プログラミング」と「機械学習」は根本的な考え方や実装手段が大きく異なります。
　プログラミングは、開発者がルールや手順を明確に記述することで、コンピュータに処理を実行させる手法です。例えば、電卓アプリでは「足し算」「引き算」などの演算処理を、条件分岐や関数を使って明確に定義します。このような手法は、ルールがはっきりしていて、例外が少ない処理に適しています。
　一方、機械学習は、コンピュータが大量のデータからパターンやルールを自動的に学習し、予測や判断を行う手法です。例えば、迷惑メールの判定や画像認識など、明確なルールを人間が定義するのが困難な問題に対して、機械学習は効果があります。これらの分野では、例外が多く、状況が変化しやすいため、従来のプログラミングでは対応が難しい。
　よって、プログラミングと機械学習はそれぞれ得意分野が異なり、目的に応じて使い分けることが重要です。</t>
  </si>
  <si>
    <t>プログラミングと機械学習のちがいについて説明して</t>
  </si>
  <si>
    <t xml:space="preserve">　実世界での機械学習（AI）の利用状況の一つとして、フリマアプリのメルカリがあります。メルカリでは、商品を出品する際の手間や価格設定のミスが課題でした。そこで、機械学習を活用した「AI出品サポート機能」を導入しました。ユーザーが商品画像をアップロードすると、AIが画像認識でカテゴリやブランドを推定し、過去の取引データをもとに適正価格を提案します。
　この機能により、出品時間は短縮され、成約率も向上しました。
</t>
  </si>
  <si>
    <t>実世界における機械学習（AI）の利用状況を一つ紹介して</t>
  </si>
  <si>
    <t>一番最後にしてほしいことを書いた（例えば、～を説明して、～を紹介して）</t>
  </si>
  <si>
    <t>24238458@edu.cc.saga-u.ac.jp</t>
  </si>
  <si>
    <t>プログラミングは、人があらかじめ「こう動いてほしい」という手順を決めてコンピュータに命令を書く方法です。一方、機械学習は、コンピュータが様々なデータを使って自分でルールを学ぶ方法です。プログラミングは計算や整理のように正しい答えが決まっている問題が得意で、機械学習は画像や音声など、人が説明しにくいあいまいな問題に強いです。</t>
  </si>
  <si>
    <t>コンビニやスーパーでは、機械学習を使って商品の売れ行きを予測しています。天気や時間、曜日、過去の売上データなどをAIが学習し、「今日はおにぎりが何個売れそうか」などを予測します。これにより、売れ残りを減らして無駄をなくしたり、人気の商品を切らさないようにできます。人の経験や勘だけでは難しいことを、データをもとに正確に判断できるのが、機械学習を使う大きな理由です。</t>
  </si>
  <si>
    <t>何がゴールなのかが不明確だった。</t>
  </si>
  <si>
    <t>24238088@edu.cc.saga-u.ac.jp</t>
  </si>
  <si>
    <t xml:space="preserve">プログラミングはルールを人が作って機械に結果を出力させるもので、機械学習は結果を与えて機械がルールを作り、結果を出力できるようになるという違いがある。明確なルールを作れるものはプログラミングの方が得意で、人によって判断に差があるようなものは機械学習の方が得意。
機械学習はデータを集めるのが難しい。
プログラミングは計算のような答えが1つに決まるようなものの処理が得意で、機械学習は画像認識のような答えがはっきりしないものの処理が得意。
プログラミングは人が書く必要があるが、機械学習はデータを入れるだけなので、実装にかかる手間に差がある。
</t>
  </si>
  <si>
    <t>自動運転に機械学習が利用されている。
センサーやカメラを用いて、道路環境や障害物の識別をしている。
機械学習を使うことで、学習方法によってははじめての状況にも柔軟に対応できる。</t>
  </si>
  <si>
    <t>24238137@edu.cc.saga-u.ac.jp</t>
  </si>
  <si>
    <t>プログラミングは、電卓や会計ソフトのような「ルールが明確な処理」に強く、正確な計算やデータの整形などに向いており、機械学習は、画像認識や音声認識のような「曖昧なパターンを扱う処理」に強く、人間の感覚に近い判断をさせることに向いている。</t>
  </si>
  <si>
    <t>プログラミングと機械学習の手法の違いや実現できることの違いの詳細な説明を2つずつ教えて</t>
  </si>
  <si>
    <t>教育分野では生徒ごとに異なる理解度や学習スピードに対応するには、膨大なデータ分析が必要っであり、Khan AcademyやDuolingoなどの学習アプリはユーザーの回答履歴を分析し、苦手分野を特定して最適な問題を出題できる。</t>
  </si>
  <si>
    <t>実際に機械学習が扱われている例を教えて、またなぜ機械学習を利用しているのか、どんな使われ方をしているのかを詳細に教えて</t>
  </si>
  <si>
    <t>24238099@edu.cc.saga-u.ac.jp</t>
  </si>
  <si>
    <t>プログラムは「人間がロジックを完全に決める」、機械学習は「ロジックの一部をデータに学ばせる」ため、中心となるものがプログラミングでは「アルゴリズムの設計」、機械学習では「モデル選択と学習のプロセス」となる。</t>
  </si>
  <si>
    <t>プログラミングのソフトウェアでの実装方法とはなんですか？初心者にも理解できるような厳密な説明をしてください→プログラミングでなく機械学習の場合どうなりますか→ふたつの相違点を表として出力してください
ソフトウェアでの実装手段ものがあまりわからなかったので「初心者にもわかるように」を入れた。</t>
  </si>
  <si>
    <t>クレジットカードの不正利用検知で、異常検知や教師あり学習といった技術が、取引パターン
をリアルタイム分析して不正されている場合に自動でブロックするという利用のされ方をしている。
機械学習を使う理由として、取引データが膨大、不正パターンが複雑、正常な取引との境界が曖昧であることなど、人の手で不正利用を見分けることが困難であるからというものがあげられる。</t>
  </si>
  <si>
    <t>AIはどんな場面で、どんな技術が、どんな使い方をされていますか？具体的に→2.金融でAIが利用されているのは人の手だけでは不正利用かどうかを見分けにくいからですか？</t>
  </si>
  <si>
    <t>出力された具体例のうちひとつに焦点を当てて、自分で考えた、技術が使われている理由の正誤を判定してもらった点</t>
  </si>
  <si>
    <t>24238249@edu.cc.saga-u.ac.jp</t>
  </si>
  <si>
    <t>プログラミングは明確にルール化できる。手順を人間が描くため、ルール、条件をコードで指定する。機械学習は元となる画像やデータからルールを探し出し学習されろことでモデルが自動でパターンを見つける。人間がルールを書けない複雑なタスクが増えたことで機械学習が必要になった。</t>
  </si>
  <si>
    <t>プログラミングとLobeの違い</t>
  </si>
  <si>
    <t>はま寿司ではDX（デジタルトランスフォーメーション）戦略で、AI、IoT、ICT、RPA などの先端技術、鮮度管理・皿監視への画像認識 AI を導入している。機械学習を使うことでスタッフの負担を軽減し人件費削減や戦略的に運営を改善する。待ち時間や案内精度の改善、清潔感・鮮度感を保つことで顧客満足を高めることができる。</t>
  </si>
  <si>
    <t>はま寿司での機械学習(AI)の利用状況は。どんな場面で、どんな技術が、どんな使われ方をしていてなんでそれが使われているのか。</t>
  </si>
  <si>
    <t>どの企業で使われているかをはじめから指定して詳しく説明してもらった。</t>
  </si>
  <si>
    <t>24238045@edu.cc.saga-u.ac.jp</t>
  </si>
  <si>
    <t>プログラミングとは
人がコンピュータにやって欲しいことを細かく命令して書く方法である。
人がコードを通してルールをきめそれをコンピュータに実行させる。
機械学習とは
ルールをコンピュータに自動で学ばせる方法である
たくさんのデータを見せてコンピュータ自信にルールを発見させる。
2つの違いはルールの学習のさせ方と学習段階にある。
プログラミングは人が直接ルールをコードで作成させるのに対して、機械学習はコンピュータが自律的にデータから学ぶとこに違いがある。次に学習段階は、プログラミングは明確に条件や過程を手動で入力する必要があるのに対して、機械学習はたくさんのデータをつかって自動で学ぶという違いがある。
・プログラミングにはできなくて機械学習にできること
プログラミングはルールがはっきりないような事象は苦手である。
画像認識や音声認識などは明確なルール・形がないため明確なルールを要するプログラミングは不向きである。対して機械学習は大量のデータを収集することで法則のようなものを作成し照らし合わせることが出来る。
・機械学習にはできなくてプログラミングにはできること
ルールが明確で確実に同じ結果が欲しい時にプログラミングは有効である。
計算やデータ処理は数値を利用して結果をだすため必ず同じ答えを導き出すことが出来る。エレベーターや信号の動作処理は誤作動があってはならないためプログラミングの正確性が必要となるのだ。</t>
  </si>
  <si>
    <t xml:space="preserve">
﻿・ソフトウェアでの実装手段として、プログラミングと機械学習の違いについて
﻿・実世界での機械学習（AI）の利用状況1つを調査
私はプログラミング及び機械学習に精通していないので知識がない人にも分かるように説明して
プログラミングにはできなくて機械学習にできることを教えてください。逆も然りです</t>
  </si>
  <si>
    <t>私たちがよく利用するようになった生成AIも機械学習のひとつである。今この講義・課題でも私たちは生成AIを利用している。普段の生活での疑問を解消してくれる今では欠かせないツールとなっている。生成AIはネットにある莫大な情報を使って色々な形にあった回答をAI自ら考えアンサーをだしてくれる。多くの情報量を使い様々な状況に対応することに長けた機械学習にとって最高の使われ方と言えると考える。しかしプログラミングとはちがい確実な正解が帰ってくるわけではないため生成AIを使う私たちは注意が必要である。</t>
  </si>
  <si>
    <t>私がpromptの作成時に工夫していることは
・専門用語を多用されないように知識がないことを提示する
・分からないことは逐一聞く。
・枠組み大きなものからどんどん小さく質問していく。
・真偽に注意する。</t>
  </si>
  <si>
    <t>24238009@edu.cc.saga-u.ac.jp</t>
  </si>
  <si>
    <t>プログラミングは、ルールを自分で決めるやり方で、例えを挙げると自分で時間つくること。機械学習は、データからパターンを学ぶやり方で、例えを挙げるとすると過去のテストの傾向から勉強法を決めること。</t>
  </si>
  <si>
    <t>ソフトウェアでの実装手段として、プログラミングと機械学習の違いについての述べてください。大学生の生活に関連付けてわかりやすく説明してほしい。</t>
  </si>
  <si>
    <t>利用場面は、オンライン授業での出席確認がある。使用技術は、顔認識・顔検出・視線分析などの機械学習がある。活用方法は、AIが自動で学生の顔を認識し、出席と集中度を判定する。手動では対応できない精度・スピードで判断できるために、AIを使う。</t>
  </si>
  <si>
    <t xml:space="preserve">大学生活での機械学習(AI)の利用状況1つを教えてほしい。どんな場面で、どんな技術が、どんな使われ方をしているのか詳しく教えてほしい。なぜ機械学習を使ったのかしえてほしい。
</t>
  </si>
  <si>
    <t>大学生活での利用状況を聞くことによって、自分が理解しやすいように工夫した。</t>
  </si>
  <si>
    <t>回線が遅かった。</t>
  </si>
  <si>
    <t>24238275@edu.cc.saga-u.ac.jp</t>
  </si>
  <si>
    <t xml:space="preserve">1. プログラミングとは
　プログラミングは、人間がコンピューターに特定の処理を実行させるためのルールや手順を明示的にコードとして記述する方法。たとえば、ユーザーがボタンを押したら画面を切り替えるといった処理を、条件分岐やループなどの構文を使って記述する。
特徴：処理が明確で予測可能、ロジックを人間が定義、UI制御や業務処理に適している。
2. 機械学習とは
　機械学習は、コンピュータが大量のデータからパターンやルールを自動的に学習する方法。画像認識や音声認識、予測分析など、明確なルールを定義しづらい処理に適している。
特徴：データからルールを学習、予測や分類に強い、モデルを訓練して未知のデータにも対応可能
3. 両者の比較　（プログラミング→プ　機械学習→機　と表示）
　項目　
　①ルールの定義　プ→人間が明示的に記述
　　　　　　　　　機→コンピュータがデータから学習
　②処理の柔軟性　プ→固定的（変更には再コーディング）
　　　　　　　　　機→柔軟（再学習で対応可能）
　③適用分野　　　プ→計算、UI、業務処理など
　　　　　　　　　機→画像認識、音声認識、予測分析など
　④実装例　　　　プ→条件分岐、ループ処理
　　　　　　　　　機→ニューラルネットワーク、回帰分析
4. 組み合わせの重要性
　現代のソフトウェアでは、プログラミングで基本構造を構築し、機械学習で高度な判断や予測を行うというように、両者を組み合わせて活用することが一般的。
まとめ
　プログラミングは「ルールを人が書く」、機械学習は「ルールをデータから学ぶ」という根本的な違いがある。目的や課題に応じて、どちらを使うか、あるいは両方を組み合わせることで、より柔軟で高度なソフトウェアを実現することが可能である。
</t>
  </si>
  <si>
    <t>ソフトウェア実装におけるプログラミングについて説明して
→機械学習について
　→これらの違いについて詳細にまとめて</t>
  </si>
  <si>
    <t>インフラメンテナンス予測におけるAI活用の概要
AI技術は、橋梁・道路・水道管などのインフラの老朽化を事前に予測し、効率的な点検・修繕を可能にする。画像認識AIによる損傷検出、過去データを活用した劣化予測モデル、修繕の優先順位を決定するスコアリングAIなどが活用されている。
日本国内では、NTTドコモによる橋梁診断支援AI、大阪府泉州地域での道路損傷検知、Fracta Japanによる水道管の漏水リスク予測、NTTの鋼材腐食予測など、実用化が進んでいる。
これらの技術により、点検の効率化、人材不足の補完、コスト削減が期待される一方で、教師データの不足やモデルの汎用性、現場への導入体制などの課題も存在する。
今後は、国土交通省によるDX推進や生成AIの活用、リアルタイムモニタリングの導入が進み、より高度なインフラ管理が実現されると期待されている。</t>
  </si>
  <si>
    <t>1日目の２限をセットアップしてこなかった人のための時間にするならやってきたら3限からでいいということにしてわからない、できなかった人は二限からという形にするのがいいと思いました。
2日間ありがとうございました。</t>
  </si>
  <si>
    <t>24238484@edu.cc.saga-u.ac.jp</t>
  </si>
  <si>
    <t>なぜ機械学習という手法が出てきたのかというと従来のプログラミングでは、複雑すぎてルールを明示できない問題が増えてきたからで、例えば、犬の画像を判定するには、犬の耳・目・毛並みなどの特徴をすべてコードで書く必要があり、それはとても現実的ではない。しかし、機械学習なら、猫の画像を大量に見せるだけで、特徴を自動で学習することができる。プログラミングは、人間がルールを明確に定義できる問題に強く、機械学習は、ルールが複雑すぎて人間が明示できない問題に強い。よって、プログラミングは、こうすればこうなると明確に決められる処理に強く、機械学習は、どうすればいいか分からないけど、過去の例から学べるような処理に強い。</t>
  </si>
  <si>
    <t>ソフトウェアでの実装手段として、プログラミングと機械学習の違いについてとても分かりやすく詳細に述べてください。例えば、なぜ機械学習という手法が出てきたのか? 例えば、実現できる事の違い、など。</t>
  </si>
  <si>
    <t>例としてスーパーマーケットで過去の販売データ、外部データ、店舗ごとの特徴を把握するために時系列予測モデル、回帰分析、ディープラーニングが利用されている。使われている理由は、人間の勘や経験に頼ると限界があったり、また、大量のデータを処理できることや精度が高く、廃棄ロスの削減や売り逃しの防止などコスト削減につながるから。</t>
  </si>
  <si>
    <t>実世界 (社会や企業・組織など) での機械学習(AI)の利用状況1つを挙げ、どんな場面で、どんな技術が、どんな使われ方をしているのか? なぜ、機械学習を使ったのか?詳細に分かりやすく教えて。</t>
  </si>
  <si>
    <t>24238112@edu.cc.saga-u.ac.jp</t>
  </si>
  <si>
    <t>プログラミングは、人間が手順や条件を明示的に記述してコンピュータに指示する方法である。一法、機械学習は大量のデータからコンピュータ自身が規則を学び、判断を行う手法である。従来のプログラミングでは対応が難しかった画像認識や音声認識などを実現できる点で、機械学習はより柔軟で高度な処理を可能にしている。</t>
  </si>
  <si>
    <t>ソフトウェアの実装手段として、プログラミングと機械学習の違いについてなぜ機械学習という手法が出てきたのか。実現できることの違いについて簡単にまとめて。</t>
  </si>
  <si>
    <t>企業では、例えば製造業の不良品検出に機械学習が活用されている。カメラで撮影した製品画像を機械学習モデルが分析し、キズや、欠陥を自動で判断する仕組みである。これにより人の目による検査よりも速く正確に判断でき、生産効率が大幅に向上した。機械学習を使う理由は、複雑で微妙な欠陥パターンを人間がルール化するのが難しいためである。</t>
  </si>
  <si>
    <t>企業での機械学習の利用状況１つについてどんな場面で、どんな技術がどんな使われ方をしているのか？なぜ機械学習を使ったのか？簡単にまとめて。</t>
  </si>
  <si>
    <t>１つについてまとめること。</t>
  </si>
  <si>
    <t>わかりやすくてよかった。</t>
  </si>
  <si>
    <t>24238034@edu.cc.saga-u.ac.jp</t>
  </si>
  <si>
    <t>プログラミングは、入力→出力がひとつひとつ対応しており、明確な指示のもとで特定のタスクを実行するためのツールであるのに対して、機械学習は、コンピュータが明示されずにデータやパターンからルールを構築し、そのルールに基づいてタスク遂行のために用いられるツールである。
このことから、前者は単純化された作業においてマクロを組むことで、ひとつの入力で確実に出力が行われるため、膨大なタスクを人の入力ありきで行うことに適しており、後者は人の入力をひとつ行うことによってコンピュータが反復学習によってタスクを作業化するため、人による管理を必要としないタスクを自動的に実行することに適している。しかし、機械学習には完全性が保障されていないため、点検が必要であるのが改善点である。</t>
  </si>
  <si>
    <t>プログラミングと機械学習のちがいについてできるだけ詳しく説明し、その効果について教えてください。</t>
  </si>
  <si>
    <t>細胞のタンパク質構造における夥しいほどのパターンを機械学習で処理することによって医療研究に使われた例を聞く。
この研究に機械学習が使われる理由は、予想するに、数億とある構造パターンにプログラムを組んで識別するにはコストがかかりすぎる。しかしそれを機械学習によってプログラムを構築することによって、演算することのみにコストを用いることができるため、現実的であったからであると考える。</t>
  </si>
  <si>
    <t>自由度や自主性に富んだ今回の講義は満足度が高かったが、それゆえにタスクを明確にされていなかったがゆえに活動のモチベーションに欠けてしまっていたと考える。</t>
  </si>
  <si>
    <t>24238392@edu.cc.saga-u.ac.jp</t>
  </si>
  <si>
    <t>ソフトウェアの実装には大きく「プログラミング」と「機械学習」という二つの手法がある。従来のプログラミングでは、人間があらかじめルールや条件を明確に定義し、その通りにコンピュータが動作するよう指示する。つまり「入力に対して出力を決める手順」を人間がすべて設計する。一方で、機械学習は大量のデータからパターンを学び、ルールを自動的に導き出す手法である。これにより、人間が明確なルールを与えにくい問題──たとえば画像認識や音声認識、文章生成など──にも対応できるようになった。
機械学習が登場した背景には、処理能力の向上とビッグデータの蓄積がある。従来のプログラミングでは複雑すぎて手作業でルール化できなかった分野において、データから自動的に最適な判断を導く技術が求められたためである。したがって、プログラミングは「論理的な手順を明示的に書く」手法であり、機械学習は「データから法則を見つけ出す」手法といえる。特に生成AIのような最新技術は、この機械学習の延長線上にあり、人間の創造的な作業を支援する新たなソフトウェア実装の形を示している。</t>
  </si>
  <si>
    <t>ソフトウェアを作るときに使われる実装手段として、プログラミングと機械学習にはどのような違いがありますか？また、なぜ機械学習という手法が登場したのか、そしてそれによってどのようなことが実現できるようになったのかを教えてください。</t>
  </si>
  <si>
    <t xml:space="preserve">金融業界では、不正取引の検知に機械学習が広く利用されている。銀行の取引データを学習したモデルが、通常とは異なるパターンを自動で検出し、不正送金や詐欺を早期に見つける仕組みだ。これには決定木やニューラルネットワークなどの分類モデルが使われている。従来のルールベースでは見逃していた複雑な不正パターンも、データから学習することで高い精度で対応できるようになった。人手による監視の限界を補い、セキュリティ強化と業務効率化を同時に実現している点が、機械学習が選ばれた理由である。
</t>
  </si>
  <si>
    <t>実際の社会や企業では、どのような場面で機械学習（AI）が使われているのか知りたいです。具体的な例をひとつ挙げて、どんな技術がどのように活用されているのか、そしてなぜ機械学習が選ばれたのかを説明してください。</t>
  </si>
  <si>
    <t>質問を考えるとき、単に「機械学習の例を教えて」とするのではなく、「なぜその手法が選ばれたのか」や「どんな技術が使われているのか」まで含めて具体的に聞くようにした。</t>
  </si>
  <si>
    <t>24238061@edu.cc.saga-u.ac.jp</t>
  </si>
  <si>
    <t>プログラミングと機械学習の違いを学び、ソフトウェア開発の考え方が大きく変化していることを感じた。従来のプログラミングでは、人間が明確なルールを定義し、それに従って動作を設計していた。しかし現実の問題の多くは単純な条件式では表せず、人間でも説明が難しいものが多い。そこでデータから自動的に法則を見つけ出す機械学習が登場したことに大きな意義があると感じた。特に画像認識や音声認識など、膨大なデータを活用して高精度な判断を行える点が魅力的である。一方で機械学習には結果の理由を説明しにくいという課題もあり、今後は人間の理解と機械の学習をどう結びつけるかが重要だと学んだ。</t>
  </si>
  <si>
    <t>ソフトウェアでの実装手段として、プログラミングと機械学習の違いについての述べてください。例えば、なぜ機械学習という手法が出てきたのか? 例えば、実現できる事の違い、など。具体的に教えてください。</t>
  </si>
  <si>
    <t>コンビニエンスストアでは商品の発注業務に機械学習が活用されている。従来は店長や従業員が経験や勘をもとに発注していたが天候や曜日、イベントなどによる需要変動を正確に予測するのは難しかった。そこで過去の販売データや気温、時間帯、地域の特性などを学習させることで、翌日にどの商品がどれだけ売れるかを予測するシステムが導入された。これにより、欠品や廃棄が減り、効率的な店舗運営が可能になっている。私はこの事例から、機械学習は人間の経験を補い、データに基づいた判断を実現できる点が非常に有用だと感じた。同時に、人の勘や感覚を完全に置き換えるのではなく、協調して活かすことが今後の技術活用の鍵になると学んだ。</t>
  </si>
  <si>
    <t>実世界 (社会や企業・組織など) での機械学習(AI)の利用状況1つを調査。どんな場面で、どんな技術が、どんな使われ方をしているのか? なぜ、機械学習を使ったのか?具体的に教えて下さい。</t>
  </si>
  <si>
    <t>授業前にやってこなければならない環境構築が難しかった。
授業はこれからAIと付き合っていくためにとても大事なことを教えてもらえて充実した時間となった。</t>
  </si>
  <si>
    <t>24238083@edu.cc.saga-u.ac.jp</t>
  </si>
  <si>
    <t>プログラミングは先に手順をしめし、それに従ってコンピュータが処理を行う。機械学習はデータを元にコンピュータ自身がデータを学び、ルールを自動的に覚える。プログラミングは動作が正確で再現性が高く、論理的に定義できる問題に適している。機械学習は複雑な問題を解決できるようになった。</t>
  </si>
  <si>
    <t>現代社会では銀行や金融機関での不正取引検知システムに活用されている。振り込め詐欺など犯罪を早期発見するために使われている。モデル評価指標という技術が使われている。機械学習を使う理由はAIがリアルタイムで取引を観察して、不自然なパターンを検出した時、アラームを出して人間が確認するようにするため、AIと人間が協力できるようになっているから。</t>
  </si>
  <si>
    <t xml:space="preserve">実世界 (社会や企業・組織など) での機械学習(AI)の利用状況1つを調査。どんな場面で、どんな技術が、どんな使われ方をしているのか? なぜ、機械学習を使ったのか?をまとめて
</t>
  </si>
  <si>
    <t>24238094@edu.cc.saga-u.ac.jp</t>
  </si>
  <si>
    <t>ルールを人間が作る」のではなく、「データからコンピューターがルールを自動で生み出す」ことで、曖昧で複雑なタスクをソフトウェアで実現可能にした革新的な手法を機械学習という。機械学習では画像を一列の数値データに変換して入力することでデータ処理を行うのに対し、ディープラーニングでは画像の形を保ったまま入力することでデータを処理する。機械学習は比較的シンプルで計算量が少ないため、短時間で実行できる。ディープラーニングは複雑で計算量が多いため、機械学習と比べると時間がかかるが、正確に実行することができる。</t>
  </si>
  <si>
    <t>機械学習モデルは、データからパターンを学習し、予測や分類を行う技術であるが、その構築には多くの技術的・倫理的な課題が存在する。また、比較的シンプルで計算量が少ないため、短時間で実行できる。
機械学習の主な技術（学習手法）
この技術は、学習データと目的によって主に3つの手法に分けられます。
機械学区集の利用方法
１　教師あり学習: 正解（教師データ）を与えて学習させる手法です。これにより、スパムメールの自動分類や、過去のデータに基づく売上予測、顔認証などのタスクに利用される。
２　教師なし学習: 正解を与えず、データ内の潜在的な構造や類似性を見つけ出す手法。主に、顧客のグループ分け（クラスタリング）や、データの構造分析などに使われる。
３　強化学習: コンピュータ自身が試行錯誤を繰り返し、設定された目的（報酬）を最大化するように最適な行動を学習する手法。自動運転技術やゲームAI（囲碁やチェスなど）、ロボットの最適な制御などに活用されている。
ほかにも、予測・分析: 過去のデータを学習し、株価の動向や商品の需要、飲食店での待ち時間などを高精度で予測する。また、金融取引における不正利用検知にも使われる。
画像・音声認識: スマートフォンでの顔認証や、製造業における不良品の自動検査、自動運転における周辺環境の認識など、画像や映像をコンピュータが認識する能力を支えている。また、スマートスピーカーなどに搭載されている音声認識技術にも不可欠である。
異なる言語間の翻訳アプリや、顧客からの問い合わせに自動で回答するチャットボット、文章の要約や自動生成といった分野で、人間が使う自然な言語を理解し、処理するために使われている。
ECサイトや動画配信サービスなどで、ユーザーの過去の行動や履歴を学習し、興味に合うおすすめ商品やコンテンツを提示する機能に利用されている。</t>
  </si>
  <si>
    <t xml:space="preserve">１.機械学習とは何か、背景も含めて中学生に説明できるようにまとめて
２.機械学習は何にどんな方法でつかわれているのかまとめて
</t>
  </si>
  <si>
    <t>私はAI実習の最初の日にパソコンが思うように動かせなかったので、班を作って活動できたのがとても助かりました。</t>
  </si>
  <si>
    <t>24238186@edu.cc.saga-u.ac.jp</t>
  </si>
  <si>
    <t>プログラミングでは、人間がソフトウェアのルールを全て決めなければならないため、明確にルールを言い表せないものを書くことはできない。一方で機械学習は、コンピュータがデータから学習してルールを作成・修正するため、曖昧なものや複雑なものにも対応できる。
ただし機械学習が一方的に優れている訳ではなく、人力のプログラミングにもコストの低さや信頼性、詳細な調整が出来る点などのメリットもあるため、工夫して組み合わせていく必要がある。</t>
  </si>
  <si>
    <t>1回目. AI学習の授業を受けている初学者です。ソフトウェアでの実装手段として、プログラミングと機械学習の違いについて詳しく述べてください。機械学習が出てきた理由や、実現出来ることの違いにも焦点を当ててください。
2回目. プログラミング側の良さについても教えてください。</t>
  </si>
  <si>
    <t>機械学習によるクレジットカードの不正検知は、クレジットカードが利用された瞬間に過去のデータなどと比べて異常がないか判別する技術で、実際に三井住友カードやVISAなどで導入されている。
具体的には、主に金額・場所・時間・頻度などの観点から、カード利用者それぞれのデータや過去に不正と認められたデータから特徴を学習して、不正かどうか判別している。また、必要に応じて利用者へのメール確認やブロックを自動で行っている。この技術は、人力のプログラミングでは難しい曖昧で複雑な判別を可能にしている。</t>
  </si>
  <si>
    <t>1回目. AI学習の授業を受けている初学者です。社会での機械学習の利用状況1つについてレポートを書きたいです。まずはどのような利用状況があるか出来るだけ多く教えてください。
2回目. クレジットカードの不正検知と車の渋滞予測に興味が沸いたので、詳しく教えてください。</t>
  </si>
  <si>
    <t>自分の状況をより正確に伝えること。
無理に1回の質問だけでやろうとしないこと。</t>
  </si>
  <si>
    <t>ペアワークで教え合うことが、学習するのに効率が良かったため続けて欲しい。</t>
  </si>
  <si>
    <t>24238424@edu.cc.saga-u.ac.jp</t>
  </si>
  <si>
    <t xml:space="preserve">  近年、人工知能の発展に伴い、ソフトウェア開発の方法にも大きな変化が見られる。従来は、プログラミングによって人間が明確な手順を設計し、それをプログラム言語で記述して実行する方法が主流であった。プログラミングは、四則演算や条件分岐など、ルールを明確に定義できる処理に適しており、結果の再現性や説明性が高いという特徴がある。しかし、曖昧な判断や複雑なパターン認識など、人間でも明確なルールを言語化しにくい問題には対応が難しいという限界がある。
 このような課題を解決するために登場したのが機械学習である。機械学習は、コンピュータが大量のデータから自動的に規則や特徴を学習する手法であり、人間が明示的にルールを与える必要がない。例えば、「犬」と「猫」の画像を識別する場合、従来のプログラミングでは犬の特徴を数式で表すことは困難だが、機械学習では多くの画像データを使って自動的に識別モデルを作ることができる。今回使用した Lobe AI も、そのような機械学習の一つである。このような技術は、画像認識、音声認識、文章生成などの分野で広く活用されている。
 プログラミングと機械学習には、それぞれ得意分野と目的の違いがある。プログラミングは論理的で明確な処理に強く、機械学習は曖昧で複雑なデータからパターンを見つけることが得意である。また、プログラミングでは人間がルールを定めるが、機械学習ではデータがルールを導くという点にも大きな違いがある。 
 このように、プログラミングと機械学習は互いに補完し合う関係にある。現代のソフトウェア開発では、両者を組み合わせることで、より柔軟で高性能なシステムを実現している。今後は、データを活用する力とアルゴリズムを設計する力の両方が求められる時代になっていくと考えられる。</t>
  </si>
  <si>
    <t>以下の文章についてのレポートを作成してください。Googleformsで回答するかたちで、章番号などをなくして作成してください。"ソフトウェアでの実装手段として、プログラミングと機械学習の違いについての述べてください。例えば、なぜ機械学習という手法が出てきたのか? 例えば、実現できる事の違い、など。"</t>
  </si>
  <si>
    <t>　近年、製造業では機械学習を活用した生産工程の自動化が進んでいる。その中でも注目されているのが、カメラとAIを組み合わせた不良品検出システムである。従来は人の目で製品を検査していたが、目視による確認は時間がかかり、作業者の疲労や経験によって精度にばらつきが生じるという課題があった。
　この課題を解決するために導入されたのが、機械学習を利用した画像認識技術である。カメラで撮影した製品画像をAIに学習させ、良品と不良品の違いを自動的に判断できるようにする。具体的には、ディープラーニングと呼ばれる手法を用い、数千枚以上の画像データを基にAIモデルを訓練する。学習後は、製造ラインを流れる製品をリアルタイムで撮影し、わずかな傷や汚れを自動で検出することができる。
　この技術を導入した結果、人間による検査作業が大幅に削減され、検出精度の向上とコスト削減が実現された。また、人が気づきにくい細かい欠陥もAIが検出できるようになり、品質の安定化にもつながっている。こうした成果から、多くの製造現場でAI検査システムの導入が広がっている。
　機械学習を用いた理由は、単純なプログラムでは「不良品の定義」を明確にルール化することが難しかったためである。例えば、「少しの傷」や「色のムラ」などは、数値や条件で表すことが困難だが、AIであれば大量の画像から自動的に特徴を学び取り、柔軟に判断することができる。この点が、従来のプログラミング手法との大きな違いである。
　このように、製造業での不良品検出における機械学習の導入は、労働力不足の解消や品質管理の高度化に貢献している。今後はさらに多様なデータを組み合わせたAIシステムが開発され、人の感覚や経験に頼らない新しい生産体制が広がっていくと考えられる。</t>
  </si>
  <si>
    <t>以下の文章についてレポートを作成してください。章番号などはつけずに、文章の形で作成してください。また、書くべき項目について一旦リストアップし、その後まとめてください。”実世界 (社会や企業・組織など) での機械学習(AI)の利用状況1つを調査。どんな場面で、どんな技術が、どんな使われ方をしているのか? なぜ、機械学習を使ったのか?”</t>
  </si>
  <si>
    <t>設問に対して、リストアップを促すことや番号などを振らない形式で書いてもらうように工夫した。その後、作成された文章を自分なりに書き換えた。</t>
  </si>
  <si>
    <t>24238170@edu.cc.saga-u.ac.jp</t>
  </si>
  <si>
    <t>プログラミングは、人間が考えたルールや手順をコードで書き、コンピュータに実行させる。しかし、画像識別では、特徴が無数に存在し、それらが映らないこともあるため、ルールをコード化することが難しい。画像識別は、プログラミングでの実行は現実的ではない。よって、機械学習では、人間は大量のデータとラベルを提示し、アルゴリズムがパターンを学習してモデルを構築する。これにより、明示的なルールを記述しなくても、複雑なパターン認識が可能になる。そのため、制御システムなどの正確で厳密な動作を求められる場合にはプログラミング、自然言語処理などの定義しにくく状況に応じた判断を求められる場合には機械学習が適していると言えるだろう。</t>
  </si>
  <si>
    <t>ソフトウェアでの実装手段として、プログラミングと機械学習の違いについての述べてください。例えば、なぜ機械学習という手法が出てきたのか? 例えば、実現できる事の違い、など。
というレポートの課題を出され、大学生が書きました。以下の文章で、各項目ごとに分割してまとめ、それぞれの評価をしてください。改善案があれば、ポイントを提示してください。
プログラミングは、人間が考えた判断基準に基づいて、機械が判断をする。しかし、画像の識別などになると、判断基準となる部分が曖昧になっていることがある。これは、プログラミングは厳密な判断基準に基づくのに対し、人間は曖昧な判断基準に基づくからである。よって、機械学習では、人間は標本とラベルのみをAIに提示する。そしてAI自身が判断基準を作ることで、曖昧な情報にも適切な判断が行えるようになる。そのため、正確で厳密な動作を求められる場合にはプログラミング、曖昧で状況に応じた判断を求められる場合には機械学習が適していると言えるだろう。</t>
  </si>
  <si>
    <t>先に自分で文章を考え、生成AIには校閲を担当させた。また、各項目ごとに分割して校閲させることで、部分的な文章の訂正だけでなく、全体としてのまとまりを重視させるようにした。</t>
  </si>
  <si>
    <t>近年、オンライン決済の増加に伴い、クレジットカードの不正利用が増加している。その課題に対応するために、機械学習を用いた不正検知システムが導入されている。従来は、人が定めた利用回数や取引金額によるルールベースでの不正検知が行われていた。しかし、正当な取引でも不正利用であると誤認されてしまうことが多かった。一方で、機械学習では取引データやカード属性、顧客属性、デバイス属性などを特徴量として利用し、過去の不正利用の事例を元にして予測モデルを構築する。この仕組みにより、取引の発生時に不正リスクをスコアリングし、リスクが高いと判定すると、クレジットカード決済を中止することができる。また、継続的な学習により、新しい不正パターンにも迅速に対応が可能であるため、検出率の上昇と誤検出率の低下を見込める。</t>
  </si>
  <si>
    <t>実世界 (社会や企業・組織など) での機械学習(AI)の利用状況1つを調査。どんな場面で、どんな技術が、どんな使われ方をしているのか? なぜ、機械学習を使ったのか?　
というレポートの文章を大学生が教授に書くことになりました。以下の文章を提出しようとしています。各項目ごとに分割してまとめ、それぞれの評価をしてください。改善案があれば、ポイントと例文と共に教えてください。
クレジットカードの不正利用を防止するために、AIによる不正感知が導入されている。人が利用回数や取引金額にルールを定めて不正を止める方法では、不正ではない取引でも範囲内であれば不正利用であると誤認してしまう。一方で、機械学習では取引データやカード属性、顧客属性、デバイス属性などのデータから、不正の特徴を示す関係性を導出し、モデル化する。こうすることで、インターネット取引の不正に素早く対応できる。また、新たな不正パターンに人間が気づく前に、AIが学習して素早く対応することも可能になる。</t>
  </si>
  <si>
    <t>自分でインターネットの情報を検索して文章を作り、生成AIには校閲を担当させた。その上で、生成AIから提案された文章を、インターネットで調べた情報により、さらに詳細に書いた。</t>
  </si>
  <si>
    <t>机の端の人が作業をすると、もう一方の端の人が作業の画面を見ることが困難になっていた。席替えをすることで、個人的に対応することができた。</t>
  </si>
  <si>
    <t>24238477@edu.cc.saga-u.ac.jp</t>
  </si>
  <si>
    <t>従来のプログラミングでは、人間があらかじめルールや条件を細かく決めて、それをコンピュータに実行させる形を取っていた。たとえば、数値の計算や特定の条件分岐などはすべて人が設計して指示する必要がある。
一方、機械学習では「ルールを教える」のではなく、「データを与えてコンピュータに学ばせる」ことで、最適な判断方法を自動的に見つけ出す。人がすべての条件を定義できないような複雑な問題（画像や音声の認識など）に対応するため、この手法が発展してきた。
つまりプログラミングは「人の知識をコードにする」方法であり、機械学習は「データから知識を見つける」方法と言える。それぞれ得意分野が異なり、目的に応じて使い分けられている。</t>
  </si>
  <si>
    <t>プログラミングと機械学習の違いについて機械学習が出てきた背景や、どんな場面で有効なのかも含めお願いします</t>
  </si>
  <si>
    <t>機械学習を実際にどう使っていくのかが自分の中ではまだ不透明でした</t>
  </si>
  <si>
    <t>自動車業界では、機械学習を活用した「自動運転技術」の開発が進んでいる。
カメラやセンサーで取得した映像・距離・速度などの大量データをもとに、AIが歩行者や車線、信号を認識し、最適な運転操作を判断する仕組みである。特にディープラーニング（深層学習）を使うことで、人間の判断に近い精度で物体を識別できるようになった。
自動運転に機械学習を用いる理由は、交通状況が常に変化し、すべてのケースを人間がプログラムで記述するのが不可能だからである。AIを使うことで、実際の運転データから学習し、安全性や効率性を高められる点が大きな利点となっている</t>
  </si>
  <si>
    <t>実世界でのAI（機械学習）の利用事例を１つ紹介してください。どんな分野で、どのような技術が、どんな理由で使われているのかを説明してください</t>
  </si>
  <si>
    <t>一般的な「チャットAI」や「画像生成AI」ではなく、自動車分野のような実用的で具体的な事例を選んだ。また、単に「どの技術が使われているか」を書くだけでなく、「なぜ機械学習でなければならないのか」という背景理由を含めるよう意識した。AIを使う際の課題や利点の両面を意識することで、より理解の深い回答にできたと思う。</t>
  </si>
  <si>
    <t>機械学習への理解がやはり難しかった</t>
  </si>
  <si>
    <t>24238071@edu.cc.saga-u.ac.jp</t>
  </si>
  <si>
    <t>「ルールが明確な業務処理」はプログラムに従い情報を処理するプログラミングで、「曖昧な判断が必要な画像認識」は予測や分類が可能な機械学習が適している。</t>
  </si>
  <si>
    <t>ソフトウェアでの実装手段として、プログラミングと機械学習の違いについて、それぞれができることから述べてください。</t>
  </si>
  <si>
    <t>メルカリは、AIによる画像認識と価格予測モデルを導入することで、商品画像1枚から、ブランド・カテゴリ・適正価格を自動提案できるようになった。機械学習を使用することで、日々の取引データで再学習でき、精度向上とユーザー体験の改善を両立できることが、機械学習を利用した理由のひとつである。</t>
  </si>
  <si>
    <t>AIが、どんな場面で、どんな使われ方をしているのか。なぜ、機械学習を使ったのかについて、具体例を一つ上げて教えて</t>
  </si>
  <si>
    <t>できるだけ簡潔に、知りたい情報についてだけ質問した。</t>
  </si>
  <si>
    <t>自分達が話を聞き逃していただけの可能性があるが、Lobeに画像を学習させる際、ファイルの名前をファイル内のすべての画像に適応する方法がわからなかった。</t>
  </si>
  <si>
    <t>24238446@edu.cc.saga-u.ac.jp</t>
  </si>
  <si>
    <t>人間が明示的な規則を与えているかどうかが大きな違いである。
スパムメールの仕分けを例にすると、
プログラミングは開発者が件名に”無料”などの文言が含まれていた場合はメールを削除するといったルールを設定し、
機械学習はたくさんのスパムとスパムではないメールを学習データとして与えて学習させる。
前者は人間がルールを作り、後者はコンピュータがルールを作っている。
それぞれ処理の正確性や柔軟性などの用途別の適性がある。</t>
  </si>
  <si>
    <t>プログラミングと機械学習の違いについて具体例を交えながら丁寧に教えて。</t>
  </si>
  <si>
    <t>化学プラントの機械学習を利用した自動制御が挙げられる。
化学プラントでは圧力や温度、流量を精密に制御する必要があり、特にスタートアップ時や製品切り替え時の非定常状態では熟練したオペレーターが手動で操作する必要があった。
そこで、NEC・産業技術総合研究所（産総研）・三井化学・オメガシミュレーションで強化学習の共同研究が行われた。
ここで用いられたシステムは主に
現実の物理法則をコンピュータ内で再現する、ダイナミック・シミュレータ
コンピュータ内で訓練しより良い学習データを取る、強化学習エージェント
コンピュータ内で学習したデータを実際のプラントで応用するための、Sim2Real技術
などである。
結果、オペレーターの負担軽減やエネルギーのより効率的な利用が可能となった。
機械学習によって試行錯誤を通じて最適な操作を学習したため、未来の予期しない事態にも柔軟に対応できるようになった。</t>
  </si>
  <si>
    <t>実世界での機械学習の応用例を化学や工学の分野から一つ丁寧に教えて。
時間がかかってもいいので正確性を重視してください。</t>
  </si>
  <si>
    <t>セットアップが難しかったです。</t>
  </si>
  <si>
    <t>24238004@edu.cc.saga-u.ac.jp</t>
  </si>
  <si>
    <t>プログラミングでは人間が条件をつけることができるためルールが明確にかける問題をとくことに適している。一方で機械学習では機械が判断して学習していくためルールが明確ではないがデータの中に法則やパターンが存在している問題に適している。</t>
  </si>
  <si>
    <t>日本の医療機関や企業では、胃や大腸の内視鏡検査で撮影された画像や動画をAIが解析し、がんや前がん病変の可能性がある箇所をリアルタイムで医師に提示する技術が実用化されているそうです
このシステムでは、検査中にAIが内視鏡の映像を逐次解析し怪しい部分を自動的にマーキングすることで、医師が見落としやすい微細な病変を発見しやすくするものでAIは診断を自動で行うのではなく、あくまで医師の判断を補助する形で利用されており、診断精度と効率を同時に高めることを目的としてしようされています。機械学習を導入すると従来の手法では難しかった曖昧なパターンの認識や人間の見落としを補うことができるようになった。さらにAIの利用は診断時間の短縮や医師の負担軽減にもつながり、医療現場の質と安全性を向上させているそうです。</t>
  </si>
  <si>
    <t>24238256@edu.cc.saga-u.ac.jp</t>
  </si>
  <si>
    <t>プログラミングは人間が手順やルールを細かく指示するもので、機械学習は人間が直接的にルールを書かないで、読み込ませたデータからパターンを見つけ出して予測や判断によって自動的にルールを学ばせるものである。</t>
  </si>
  <si>
    <t>私は理工学部2年生です。
あまりAIについての知識はありません。プログラミングと機械学習の違いを私でも分かるように教えてください。
このpromptにした理由
私自身があまり今回の内容を理解できていなかったので、私も理解できる範囲で内容を学びたいと思ったから。</t>
  </si>
  <si>
    <t>パナソニックでは、
とある文書を探す際に、文書分類・意味検索という技術を用いて探しているものと意味が近いものをAIが自動的に探してもらう、というような使われ方をしている。
機械学習を使っている理由としては、大企業では社員が多く、社内資料が膨大であるため、分からないところを人に聞くと時間がかかりすぎたり、情報が埋もれたりすることが多いためである。</t>
  </si>
  <si>
    <t>実社会での機械学習の活用について調べています。
機械学習を利用している会社はありますか？
また、そこでは機械学習はどんな場面でどんな技術がどんな使われ方をしていますか？
さらに、どういう経緯で機械学習を取り入れるようになったかを教えてください。
このpromptにした理由
具体的な会社名も調べたほうが具体的内容内容を得られやすいと考えたため。</t>
  </si>
  <si>
    <t>みんながパソコン
開くと電波が遅くなってしまうが、それを考慮してか班で1人だけパソコンを開くという方針がすごく助かりました。</t>
  </si>
  <si>
    <t>23238901@edu.cc.saga-u.ac.jp</t>
  </si>
  <si>
    <t>　従来のプログラムでは、人間や条件分岐を記述することで動作させていた。これは正解がはっきりしている問題には強かったが、画像検出などにおいて数あるバリエーションをすべてルールで記述するのは非現実的だった。また、記述した条件から外れた入力がされると正しく処理できない。一方、機械学習では大量のデータからルールを自動的に作り出すことができるため、この問題を解決することができる。つまり、ルールが明確な問題（計算、並び替えなど）はプログラムのほうが優位で、あいまいなパターン認識（人の感覚に近い判断）には機械学習を用いるほうがよいといえる。ただし、機械学習には豊富なデータがあるということが前提となっている。</t>
  </si>
  <si>
    <t>ソフトウェアでの実装において、プログラムと機械学習の違いを説明してください。プログラムの問題点と機械学習による解決策を示してください。また、それぞれの特徴や実現できるものについても解説してください</t>
  </si>
  <si>
    <t>　日本郵便での物流最適化分野で使われている。物流・配送網において、配達拠点、配送トラック、配送ルート、荷物量などをどう組み合わせて効率化するかという「ルート最適化」「配送最適化」は、従来経験や手作業で設計・調整されていた。しかし、ドライバーの高齢化・人手不足、燃料コスト、環境負荷低減要求、再配達率の抑制などの課題がある中で、「より効率的な配送ルート設計」が求められている。そこで日本郵便は、AIを用いて、配送ルートの改善やトラック運行の効率化を進めている。
　その利点として、効率化やコストの削減、人的経験・勘への依存低減、変動パラメータ（荷物量、交通、天候変化）への対応、性能維持改善の持続性が可能となる</t>
  </si>
  <si>
    <t>社会や企業・組織などでの機械学習(AI)の利用状況を1つを調査してください。使われている場面、どのような技術か、使われ方、機械学習を使う理由を示してください。また、そのソースも示してください</t>
  </si>
  <si>
    <t>具体的に質問し、こちらの知りたい内容を明確にした。また、ソースがあればよいと判断したためそれも示すように指示した。</t>
  </si>
  <si>
    <t>24238269@edu.cc.saga-u.ac.jp</t>
  </si>
  <si>
    <t>プログラミング（ルールベースの手法）の特徴は、人間が明確なルールや手順を定義することや「入力 → 処理 → 出力」の流れが固定されていること、予測可能で、動作の説明がしやすいなどがある。機械学習（データ駆動型の手法）の特徴は、明確なルールを定義する代わりに、大量のデータからパターンを学習することやモデルが「経験（データ）」をもとに自動でルールを構築すること、不確実性や曖昧さを含む問題に強いなどがある。</t>
  </si>
  <si>
    <t>ソフトウェアでの実装手段として、プログラミングと機械学習の違いについて述べてください。例えば、なぜ機械学習という手法が出てきたのか? 例えば、実現できる事の違い、などをいくつか教えて下さい。
それぞれの特徴を何個か述べさせるように「いくつか」と記入しました。</t>
  </si>
  <si>
    <t>AIによるタクシー配車予測の場面で、タクシー会社が、乗客の需要を予測して効率的に車両を配置するためにAIを導入してドライバーが「どこに乗客がいるか」を予測し、効率的に移動できるよう支援する。使われている技術は、タクシーの走行履歴、気象データ、周辺施設情報、人口統計データ、公共交通機関の運行状況などがある。機械学習を使った理由は、新人でも高精度な予測ができるようにすることで、属人性を排除し、再現性のある運用が可能にできる。利用者の待ち時間を減らし、顧客満足度の向上にもつながるから。</t>
  </si>
  <si>
    <t>実世界 (社会や企業・組織など) での機械学習(AI)の利用状況1つを調査したい。どんな場面で、どんな技術が、どんな使われ方をしているのか? なぜ、機械学習を使ったのか?いくらか教えて下さい。</t>
  </si>
  <si>
    <t>設問4の疑問点を知るためにすべての疑問点を記入しました。質問の回答が複数になるように記入しました。</t>
  </si>
  <si>
    <t>jupiter notebookの演習でプログラムを実行して何が起きているのかが分かりにくくて難しかったです。また、Lobeの演習では学習したAIが実践でちゃんと判定してくれて、初めてこのようなことをしたので楽しかったです。フォルダーのなかの写真の枚数が学習するのに程よい時間だったので良かったです。</t>
  </si>
  <si>
    <t>24238051@edu.cc.saga-u.ac.jp</t>
  </si>
  <si>
    <t>プログラミングと機械学習は、目的が同じでもアプローチが大きく異なる。まず、プログラミングは、人間がルールを明示的に記述するもの。例をあげれば、郵便番号を入力すると都道府県を表示される住所録ソフトなどである。これは、計算、在庫管理などのルールが明確に定義できるものや金融、医療などのエラーが許されない処理に向いている。次に機械学習は、人間がルールを書かず、データを与えて学習させるもの。例をあげれば、数字の画像を与えて、それが「3」か「5」かを判断する手書き文字認識などである。これは、画像認識、音声認識、自然言語処理のルールが複雑、または明確に定義できないものや売上予測、不良品検出などのパターン抽出や予測に向いている。機械学習が登場した背景として一部の問題は、明示的なルールで対応しきれないことがあげられる。これの登場により、データから自動で学ぶ方法が実用化された。この二つは対立ではなくあくまでも補完関係である。</t>
  </si>
  <si>
    <t>chatgpt</t>
  </si>
  <si>
    <t>機械学習の利用例として金融業界における不正検知システムがある。これは、銀行やクレジットカード会社が、顧客の取引の中から不正な取引（不正利用や詐欺）をリアルタイムで検知する場面で使われる。主に使われている技術は、過去の不正取引データと正常取引データを使ってモデルを学習させ、不正のパターンを見つける教師あり学習と通常の取引パターンから大きく外れた取引を検知するために使われる異常検知である。使われ方は、顧客の取引データをリアルタイムに分析し、不審な取引があれば即座にアラートを発生させ、即時にカード利用停止や本人確認を行い、不正被害の拡大を防ぐことや人手によるチェックの効率化と精度向上に寄与などがある。これらの機械学習を使う理由は、不正取引は手動で見つけるのが困難であり、パターンも日々変化しているため、ルールベースだけでは対応しきれないからである。また、機械学習モデルは大量の取引データから複雑なパターンを自動で学習し、高い精度で不正を検出できる。</t>
  </si>
  <si>
    <t>ただ、chatgptを使うのではなく、自分の知識と照らし合わせながら取捨選択を行いながら作成した。</t>
  </si>
  <si>
    <t>目標やゴールをもう少し明確にしてほしい。演習の時に最終成果物や評価基準がもう少し明確だと、取り組みやすい。個人の反省としては、もう少し周りとのコミュニケーションを大切にするべきだった。</t>
  </si>
  <si>
    <t>24238282@edu.cc.saga-u.ac.jp</t>
  </si>
  <si>
    <t>ソフトウェアを作る方法には大きく分けて、従来のプログラミングと機械学習がある。プログラミングは、人があらかじめ処理の手順やルールを決めてコードに書き込む方法で、計算処理や在庫管理など規則がはっきりしている場面に強い。ただし、画像や音声の認識のように複雑で明確なルールを作りにくい分野では限界がある。これに対して機械学習は、たくさんのデータを使って入力と出力の関係を自動的に学ばせる方法で、人が定義できない特徴やパターンを見つけることができる。最近ではデータ量や計算能力の増加により、この手法が音声認識や翻訳、推薦システムなどに広く応用されている。つまり、プログラミングは「人がルールを書く」やり方であり、機械学習は「データからルールを学ぶ」やり方と言える。</t>
  </si>
  <si>
    <t>近年、企業活動の現場では機械学習がさまざまな分野で活用されている。代表的な例が物流やサプライチェーンでの利用である。需要予測や在庫管理、配送ルートの最適化などに用いられ、販売実績や季節変動、天候やイベント情報など多様なデータを組み合わせて、将来の需要をより正確に見積もることが可能になった。その結果、過剰在庫や品切れといった従来の課題を抑え、効率的な在庫運営やコスト削減につながっている。さらに、交通状況や気象条件を考慮して配送経路を決定することで、燃料や人件費の節約、環境負荷の低減といった効果も期待される。従来の経験則や単純な計算手法では対応しきれなかった複雑な要因を処理できる点が、機械学習を導入する大きな理由である。こうした取り組みは、企業にとって単なる効率化にとどまらず、リスク管理や持続可能性の強化にも直結しており、今後さらに利用が広がると考えられる。</t>
  </si>
  <si>
    <t>班の人たちとの交流にもなって楽しかった。他の教室の音などがうるさかった。</t>
  </si>
  <si>
    <t>24238090@edu.cc.saga-u.ac.jp</t>
  </si>
  <si>
    <t xml:space="preserve">プログラミングは、人間がルールや手順を明確に書いてコンピュータに仕事をさせることで、決まった結果になる。一方、機械学習は、コンピュータがデータからルールを自分で考えて学ぶことである。このため、機械学習は統計的・予測的な結果が表れる。
</t>
  </si>
  <si>
    <t>スマートフォンの顔認証で使われている。仕組みは、まず顔の位置を見つけて、顔と背景を区別する。次に、顔の特徴を数値化して、登録データと比較し、最後に類似度を計算して本人確認をする。機械学習が使われている理由は、顔はいつも同じではないからである。例えば、光の当たり方、角度、髪形、化粧、マスクなどが毎回違うからである。これをプログラミングでやろうとすると、顔の特徴を無数に書かないといけなくなるため、ほぼ不可能である。そこで、データから自動的にパターンを学べる機械学習が使われている。</t>
  </si>
  <si>
    <t>実際に動物の画像やじゃんけんの画像を使って機械学習が使われているのを演習を通して自分たちで体験できるのがよかったです。。また、機械学習が多くの場面で使われており、その重要性についても知ることができた。グループでの活動もお互い助け合えたので、来年以降もグループ制度を採用してほしいと思いました。</t>
  </si>
  <si>
    <t>23238059@edu.cc.saga-u.ac.jp</t>
  </si>
  <si>
    <t>プログラミングは単純明快なデータや条件に対して機械学習は曖昧で複雑なデータや条件に対して処理が得意である</t>
  </si>
  <si>
    <t>ソフトウェアでの実装手段としてプログラミングと機械学習の違いについて簡潔に答えなさい。
上のことを踏まえてプログラミングと機械学習の出来ることとできないことを簡潔に答えなさい。</t>
  </si>
  <si>
    <t>ドライブレコーダー
交通事故など
自動車の走行データを基に事故を自動検知する技術
事故時の状況把握
機械学習を使うことによって衝突前後のドライブレコーダーの画像や速度の推移データなどを基に事故の状況を把握したりできるようするため</t>
  </si>
  <si>
    <t>teamsで質問していた内容を先に説明しておくとよりわかりやすく環境設定しやすいと思いました</t>
  </si>
  <si>
    <t>24238342@edu.cc.saga-u.ac.jp</t>
  </si>
  <si>
    <t>ソフトウェアでの実装において、「プログラミング」は人間が明示的にルールやロジックを記述する方法であり、入力に対して決められた処理を行い、予測可能な出力を得ることができます。この手法は、動作が明確でデバッグが容易であるため、金融や医療などの安全性が求められる分野に適しています。しかし、複雑なパターン認識や例外処理が多い場面では、コードが肥大化しやすく、柔軟性に欠けるという課題があります。
一方、「機械学習」は大量のデータをもとにモデルがパターンを学習し、予測や分類を行う手法です。画像認識や自然言語処理など、従来のプログラミングでは困難だった分野において高い性能を発揮します。新しいデータに基づいてモデルを再学習することで、精度の向上や柔軟な対応が可能です。しかし、モデルの判断根拠が不明瞭になりやすく、説明責任が求められる場面では不向きです。また、学習には大量かつ質の高いデータが必要であり、過学習や汎化性能の問題も考慮する必要があります。
このように、プログラミングは明確なルールに基づく処理に適しており、機械学習は複雑なパターン認識や柔軟な対応が求められる場面に強みを持ちます。</t>
  </si>
  <si>
    <t>ソフトウェアでの実装手段として、プログラミングと機械学習の違いについてそれぞれメリットとデメリットを含めて述べてください。</t>
  </si>
  <si>
    <t>セブン-イレブンでは、店舗ごとの商品発注業務に機械学習の技術を利用している。
従来、コンビニの商品発注は、店長や従業員が経験や勘をもとに行っていた。しかし、売上には天候や曜日、時間帯、地域のイベントなど多くの要因が影響するため、人の判断だけでは正確な予測が難しいという課題があった。そこでセブン-イレブンは、機械学習を活用した需要予測システムを導入した。
このシステムでは、過去の販売データ、天気予報、気温、近隣のイベント情報などの膨大なデータをAIが分析し，機械学習のアルゴリズムを用いて、各店舗における商品の需要を予測し、「どの商品を、どれだけ仕入れるべきか」を自動的に提案する仕組みになっている。店長はその提案を参考にして最終的な発注を決定する。
機械学習を導入した理由は、データをもとに高精度な予測ができる点にある。人間の経験や勘に頼る方法では、個人差が生じたり、天候や地域行事など外部要因を十分に反映できなかったりする。一方、機械学習は膨大なデータを分析し、複雑な関係性を自動的に学習できるため、より正確で安定した予測が可能になる。</t>
  </si>
  <si>
    <t xml:space="preserve">実世界 (社会や企業・組織など) での機械学習(AI)の利用状況1つを調査してほしい．使われている場面の詳細と，どの技術が使われているか，なぜ機械学習が使う必要があったのか詳細な理由を教えてください．また，根拠となるサイトを教えてください．
</t>
  </si>
  <si>
    <t>「機械学習の事例を教えてください」と聞くだけでは、答えがあいまいになってしまうと思った。そこで、より詳しくわかるように、質問の内容を工夫した。
まず、「どんな場面で使われているか」を詳細に聞くようにした。これによって、どんな仕事や場面でAIが使われているのか、現実のイメージがつかみやすくなると思った。
次に、「どんな技術が使われているか」も詳細に聞くようにした。AIにはいろいろな種類があり、機械学習の中でも使われる方法が違うため、そこをはっきりさせたかったからだ。
さらに、「なぜ機械学習である必要があるのか」という疑問も大事だと考えた。人の手や普通のプログラムでもできることを、なぜあえてAIで行うのかを知ることで、人と比べたAIの強みや必要性がよくわかると思った。
。最後に、できるだけ情報の正確性を確保するため，とってきた情報の証拠のサイトを表示するようにした．
このように、質問の内容をわかりやすく分けて、具体的な答えがもらえるように工夫したのがポイントである。</t>
  </si>
  <si>
    <t>AIを活用しながら演習を行うのはわからないところはもっと詳細に調べればよいし，わかるところはそのまま飛ばせばよいのでとても人によって学習の仕方が変わるので良いと思った．</t>
  </si>
  <si>
    <t>24238369@edu.cc.saga-u.ac.jp</t>
  </si>
  <si>
    <t>　プログラミングの定義はコンピュータに特定の処理を実行させるための命令（コード）を書くこと。このコードというのは人間が打ち込むものである。例でいうと電卓のように数式を打ち込んで計算をさせたり、フローチャートやゲームなどを作れたりする。使用言語はPython, Java, C++, JavaScriptなどである。
　機械学習の定義はコンピュータが大量のデータからパターンを学習し、予測や分類を行う技術である。機械学習は簡単に言えばAIを賢くする仕組みである。今回の講義でLobeを使用した。Lobeでグー、チョキ、パーの写真を読み込ませた最初の正解率は90％ほどだったが2回目になると99％まで上がりAIの成長というのを確かめることができた。</t>
  </si>
  <si>
    <t>プログラミングと機械学習の違い
プログラミングは人間が答えを導けるようにコードを書いて実行すること？
プログラミングは電卓に打ち込むみたいなもの？</t>
  </si>
  <si>
    <t>医療場面でディープラーニングを用いた画像解析技術が使用されている。患者のレントゲン写真をAIに読み込ませ考えられる病名およびその病気に対する確率を上げてくれる。これにより見逃しを少なくしたり、医療質の向上などをもたらしている。他にも患者に説明するときに確率まで出されているので説明しやすくなる。</t>
  </si>
  <si>
    <t>実世界 (社会や企業・組織など) での機械学習(AI)の利用状況1つを調査。どんな場面で、どんな技術が、どんな使われ方をしているのか? なぜ、機械学習を使ったのか?
医療分野での機械学習事例を教えて
レントゲン写真をAIに読み込ませて診断するってこと？
考えられる病名を挙げてそれぞれの確率まで出すの？</t>
  </si>
  <si>
    <t>問題文を張り付けて得られた回答のうち興味あるものから深堀していった。また生成された文章を読み自分で考えたことを聞いた。</t>
  </si>
  <si>
    <t>24238353@edu.cc.saga-u.ac.jp</t>
  </si>
  <si>
    <t>　現代のソフトウェア開発では、「プログラミング」と「機械学習」という二つの実装手段が存在する。どちらもコンピュータに処理を行わせる点では共通しているが、その仕組みや目的、得意とする分野には大きな違いがある。
　まず、プログラミングとは、人間があらかじめルールや手順を明確に定め、それをコードとして記述する方法である。たとえば、「もし温度が30度を超えたら冷房をつける」といった処理を、人間が論理的に設計し、コンピュータに指示する。この方法は、数値計算や在庫管理のように、条件やルールが明確な処理に適している。また、動作の理由がはっきりしており、誤りがあっても原因を追いやすいという利点がある。
　一方で、機械学習は、人間がルールを直接書くのではなく、コンピュータ自身が大量のデータからルールやパターンを学習するという手法である。たとえば、「キリンの画像」と「ライオンの画像」を大量に与えて学習させると、コンピュータは両者の特徴を自動的に見つけ出し、新しい画像を見たときにそれが猫か犬かを判断できるようになる。このように、機械学習は「正解のデータ」を通じて自ら法則を見いだす点が特徴であり、人間が明確なルールを定義できない問題に強い。
　では、なぜこのような機械学習という手法が生まれたのか。それは、従来のプログラミングでは扱いにくい問題が増えたことが大きな理由である。たとえば、画像認識や音声認識、自然言語処理など、人間でも明確にルールを説明できないタスクにおいては、ラベリングや具体的な数値としての可視化が困難かつ、パラメーターが複雑怪奇になり、指定することが難しい。しかし、インターネットやセンサー技術の発展により膨大なデータが得られるようになり、それらを活用して自動で学習する技術が求められるようになったからである。
　実現できることの違いを具体的に見ると、プログラミングは論理的で明確な処理に強く、機械学習は曖昧で複雑なパターンを扱うことが得意である。前者は「手順が決まっている仕事」を自動化するのに適しており、後者は「人間の感覚や判断を模倣する仕事」を自動化するのに向いている。たとえば、会計システムや交通制御のような分野はプログラミングで十分に対応できるが、画像分類や音声認識、チャットボットなどは機械学習が不可欠である。
　総じて、プログラミングは「人間がルールを作る技術」であり、機械学習は「コンピュータがルールを見つける技術」であるといえる。近年では、両者を組み合わせることで、効率的かつ高機能なシステムを構築する事例が増えている。たとえば、アプリの基本的な動作や画面遷移はプログラミングで作られ、ユーザーの行動予測や自動応答部分は機械学習で実現される。この二つの技術で長所と短所を互いに補い合いながら、より高度で適切なソフトウェア開発を行っていくことが重要である。</t>
  </si>
  <si>
    <t>#指示
ソフトウェアでの実装手段として、プログラミングと機械学習の違いを教えてください。例えば、なぜ機械学習という手法が出てきたのか? 例えば、実現できる事の違い、など。わかりやすいように構造的にまとめて
##目的
ユーザーがプログラミングと機械学習の違いを理解し、自分でレポートを作成する補助</t>
  </si>
  <si>
    <t>金融（銀行・クレジット業界）における機械学習の利用について
　現代の金融業界では、日々膨大な数の取引が行われており、その中には不正利用や詐欺行為が紛れ込む可能性がある。従来は人の監視や、固定的なルールによって不正を検出していたが、詐欺の手口が多様化・巧妙化する中で、これらの手法では限界が見え始めた。こうした背景から、機械学習を用いた不正利用や詐欺行為の自動検知システムが導入されるようになった。
　機械学習を用いて、過去の取引データを基に「通常の取引パターン」と「不正取引パターン」を学習し、新たな取引が不正である可能性を確率的に判定する仕組みである。代表的な手法としては、過去に不正だった取引データを学習させる教師あり学習、またラベルのないデータに対して他と違う挙動や特徴、異常を検出する教師なし学習が用いられている。
　実際の運用例としては、クレジットカードの不正利用検知が挙げられる。取引の金額、時間帯、端末情報、場所などをリアルタイムで分析し、通常と異なる行動パターンを示した場合に自動で警告を発する。また、融資審査においても、申請者の属性や取引履歴から返済リスクを予測し、信用スコアリングに活用されている。さらに、銀行では不正送金の検知や資産運用の自動化などにも応用が広がっている。
　機械学習を導入する主な理由は、従来の固定的なルールや人の監視では対応しきれない「複雑で変化するパターン」に柔軟に対応できる点にある。人間が設計したルールでは、未知の不正手口や新しい取引傾向に追随することが難しいが、機械学習モデルはデータから自ら規則を発見し、時間とともに精度を高めていくことができる。これにより、誤検知を減らしつつ検出率を向上させ、監視コストの削減にもつながっている。
　実際に、Mastercardや三菱UFJ銀行などの大手金融機関では、AIによるリアルタイム取引監視が行われている。これらのシステムは、数億件規模の取引データを瞬時に分析し、不正の可能性をスコア化することで迅速な対応を可能にしている。今後は、不正や詐欺発見の理由を説明可能なAI（XAI）などの導入が進み、より安全で透明性の高い金融サービスの実現が期待される。</t>
  </si>
  <si>
    <t>#指示
 実世界 (社会や企業・組織など) での機械学習(AI)の利用状況を８つ調査して。どんな場面で、どんな技術が、どんな使われ方をしているのか? なぜ、機械学習を使ったのか?
わかりやすいように構造的にまとめて 
##目的 
ユーザーが実世界 (社会や企業・組織など) での機械学習(AI)の利用状況を知り、その中から1つ選んで自分でレポートを作成する補助</t>
  </si>
  <si>
    <t>あくまでもレポートを作成するための補助として、生成AIを活用するために「＃目的」の部分のプロンプトを作成した。
また、具体的に「8つ調査して」と指定することで複数の機械学習(AI)の利用状況から自分が最も興味のあるものを見つけるために生成AIを利用した。</t>
  </si>
  <si>
    <t>24238121@edu.cc.saga-u.ac.jp</t>
  </si>
  <si>
    <t>従来のプログラミングは、人間があらかじめルールや手順を論理的に書き出し、その通りにコンピュータを動かす手法である。一方、機械学習は大量のデータをもとにコンピュータ自身が規則や特徴を学習し、判断や予測を行う手法である。人間がすべてのルールを記述することが難しい画像認識や音声認識などの分野で高い性能を発揮できるため、機械学習という新しい方法が生まれた。</t>
  </si>
  <si>
    <t>チャットGPT</t>
  </si>
  <si>
    <t>とくにないです</t>
  </si>
  <si>
    <t>場面: 製造ラインでの製品の外観検査。
技術・使われ方: ディープラーニングを用いた画像認識技術を使用。カメラで撮影した製品画像から、AIが学習した正常なパターンと照合し、傷や異物などの不良箇所を自動で検出・分類します。
使用理由: 従来の人手による検査では、見落としや検査精度のばらつきが発生しやすく、作業員の負担も大きいため。機械学習を導入することで、検査精度と効率が大幅に向上し、人件費の削減にもつながります。</t>
  </si>
  <si>
    <t>Google Gemini</t>
  </si>
  <si>
    <t>24238098@edu.cc.saga-u.ac.jp</t>
  </si>
  <si>
    <t>プログラミングは、人間が明確なルールや手順をコードとして記述し、コンピュータにその通りに作動させる方法であり、ルールは人間が決めることができ、予測可能な動作を行うため、バグがなければ常に同じになる。また、ロジックが中心であるためデータがなくても動作可能である。一方、機械学習は大量のデータを使って、コンピュータから自らパターンを学習し、ルールを推測する方法であり、ルールはデータから自動的に学習され、予測や分類が得意である。また、結果は確率的であるため同じ入力でも多少結果が変わることがある。よって、ルールが明確な業務処理はプログラミング、パターン認識や予測が必要な処理は機械学習を用いるとよい。</t>
  </si>
  <si>
    <t>ソフトウェアでの実装手段として、プログラミングと機械学習の違いについて２つのメリットとデメリット、どのような処理に適しているかを詳しく教えてください</t>
  </si>
  <si>
    <t>プログラミングと機械学習にはそれぞれ相違点があり、それぞれの長所がどのような処理に適しているのかを知りたかったから</t>
  </si>
  <si>
    <t>メルカリのAIによる出品サポートには機械学習が使われている。商品出品時の情報入力支援の際に使われていて、画像認識と自己教師あり学習、LightGBM（価格推定）などの技術が使われており、商品画像１枚からカテゴリ・ブランド・価格を自動提案したり、入力時間を約１分に短縮という使われ方をしている。機械学習の導入理由は、出品者の負担軽減と売上向上を目的に、手動入力のミスや時間を削減をするためである。</t>
  </si>
  <si>
    <t>実際に機械学習が使われている企業や組織を教えてください。また、その機械学習がどんな場面で、どんな技術が、どんな使われ方をしているか、なぜその場面で機械学習を用いたのか教えてください</t>
  </si>
  <si>
    <t>実際に機械学習が使われている企業にはどんなものがあるのか、その企業がどのような意図をもってどのような活用法で機械学習を用いているかを知るためにこのようなPromptを作成した。</t>
  </si>
  <si>
    <t>班のメンバー全員のパソコンでやるのか、代表者一人のパソコンでやるのかを最初にはっきり決めておいた方がいいと思った。</t>
  </si>
  <si>
    <t>24238340@edu.cc.saga-u.ac.jp</t>
  </si>
  <si>
    <t>プログラミングは、機会に対して何をどおするかを1つ1つ教えて実行させるもの。電卓や昔のゲーム機などがその例である。
機械学習は、機会に様々なパターンやルールを教えて、それをもとに様々なものを識別させたりする。顔認識や音声認識がその例だ。</t>
  </si>
  <si>
    <t>Coplit
授業で使用したものだからである。
1番使いやすいと思った。</t>
  </si>
  <si>
    <t>画像データにもとずく病気の診断、数多の診察データにもとずく患者の病気の進行の予測など。
なぜなら、人の知識量や情報の識別能力には限界があるから。</t>
  </si>
  <si>
    <t>機械学習実用例。</t>
  </si>
  <si>
    <t>知りたい内容を簡潔に伝えること。</t>
  </si>
  <si>
    <t>事前設定が難しすぎた。
いくら先生と連絡とっても個人でできることにはその差がある。
最悪、班員一人だけでいいなら最初から言って欲しい。</t>
  </si>
  <si>
    <t>24238469@edu.cc.saga-u.ac.jp</t>
  </si>
  <si>
    <t>ソフトウェアを作るときの方法には、大きく分けて「プログラミング」と「機械学習」の二つがある。この二つの違いは、人がルールを決めるか、それともコンピュータがデータから学ぶかという点にある。プログラミングでは、人間があらかじめ手順や条件を考えてコードに書き込む。たとえば、「もしAならBする」といったように、動作の流れを人が細かく指定する。そのため、動作の予測がしやすく、ミスの原因も追いやすい。一方で、入力のパターンが多すぎる問題や、はっきりしたルールが作れないような場合には対応しにくいという弱点がある。これに対して機械学習は、コンピュータが大量のデータを使って自分でルールを見つけ出す方法である。画像認識や音声認識のように、人間でも説明が難しい判断を自動的に学習できるのが強みである。しかし、データの質に結果が大きく左右されたり、なぜその判断をしたのかを説明しづらいという問題もある。このように、プログラミングと機械学習はどちらが優れているというより、それぞれに向いている分野が異なる。作りたいソフトの目的に応じて、最適な手法を選ぶことが大切だといえる。</t>
  </si>
  <si>
    <t>プログラミングと機械学習の違いが情報系に属していない人でもりかいしやすい</t>
  </si>
  <si>
    <t xml:space="preserve">近年、医療の分野ではAI、とくに機械学習の技術がさまざまな場面で活用されている。代表的な例が画像診断支援である。CTスキャンやX線、MRIなどの画像をAIが分析し、がんや異常組織を自動で検出するシステムが実用化されている。これにより、医師の見落としを減らし、診断の正確さを高めることができる。また、AIは膨大な診療データや研究論文を学習し、患者の症状や検査結果から病気の可能性や治療法を予測することにも利用されている。これにより、個々の患者に合った医療（個別化医療）が実現しつつある。一方で、AIの判断をどのように信頼するか、データの扱いをどう管理するかといった課題も残されている。今後は、医師とAIが協力しながら、安全で効果的な医療を提供する仕組みづくりが求められている。
 </t>
  </si>
  <si>
    <t>医療分野におけるAI</t>
  </si>
  <si>
    <t>分野を絞るべきである。</t>
  </si>
  <si>
    <t>環境を作るときに難しそうにしている人が多く見られた。</t>
  </si>
  <si>
    <t>24238077@edu.cc.saga-u.ac.jp</t>
  </si>
  <si>
    <t>プログラミングは開発者がルールなどをコードとして記述して入力データに対して決まった行動をとり、機械学習はデータと結果を与えることでデータからパターンやルールなどを自動的に学習します。前者は大量のデータや複雑なパターンによる判断を手動で記述するのが困難ですがどのように動くか予測しやすく明確なルールで動く物（例えば計算機など）にむいています。後者は学習に大量のデータが必要となりどのように動くか分からないですが明確なルールがないデータや大量のデータから傾向を分析することができます</t>
  </si>
  <si>
    <t>Netflixのユーザー向け動画推薦で機械学習が利用されています。これはユーザーの視聴履歴や行動に基づいてそのユーザーが興味を持っていそうなコンテンツを提案するというものです。ここでは主に協調フィルタリングと深層学習が使われています。協調フィルタリングとはユーザーの視聴履歴や評価を基に似た嗜好を持つ他のユーザーとの類似性を計算するというものです。これらの技術を使うことでユーザーがアプリを開いた際などにおすすめのセクションに動画が表示されます。過去のジャンルのキーワードなどから予測するプログラミングでは多様化する嗜好などの要因により正確性が低く手動によるメンテナンスが膨大になるというデメリットがありましたが機械学習を用いることで大量のデータからパターンを自動で学習できるようになり、ユーザーの行動変化に即座に対応できるようになりました</t>
  </si>
  <si>
    <t>24238188@edu.cc.saga-u.ac.jp</t>
  </si>
  <si>
    <t>ソフトウェアの実装手段であるプログラミングと機械学習は、根本的なアプローチが異なる。
従来のプログラミング（ルールベース）では、人間が明確なルールや処理手順を定義し、コンピュータはそのルールに従うことで目標を達成する。そのため、条件が同じであれば必ず同じ結果が出力され、確実性と安定性がある。一方で、機械学習では、コンピュータがデータからパターンや規則性を学習し、自律的にモデルを構築する。このアプローチでは、コンピュータがデータに基づいて判断基準を自ら導き出すため、学習データに基づく予測・推論の結果が出力され、結果は必ずしも同じとは限らないが、柔軟性と進化の可能性を秘めている。知識は、プログラミングでは人間が明示的に設定するが、機械学習では大量のデータから抽出される。
機械学習という手法が出てきた最大の理由は、従来のプログラミング（ルールベース）では対応が困難な複雑な課題を解決するためだ。
特に、画像認識や自然言語処理、音声認識のように、人間が無意識に行っている判断を「もしAならばB」といった明確なロジックとしてルール化するのが極めて困難なタスク（例えば「猫」を認識するルール）が問題だった。これは、人間の直感や暗黙知に依存するタスクであり、膨大な数のルールが必要になるためだ。この解決案として、機械学習は、大量のデータと正解例を与えることで、人間がルールを記述することなく、コンピュータが特徴量と判断基準を自動で獲得できるようにした。また、市場のトレンドやデータパターンが常に変化する環境において、従来のプログラミングでは環境が変わるたびに人間がコードを修正（メンテナンス）する必要があったが、機械学習モデルは新しいデータを追加して再学習させることで、比較的容易に最新の状況に適応した判断基準に更新できるという利点も、機械学習が登場した大きな理由だ。
プログラミングは、税率計算やデータベースからの特定条件検索など、明確な手順で処理が決まっているタスクに確実性と安定性を提供する。一方、機械学習は、画像内の物体検出やスパムメールの検知、株価の予測など、パターン認識、予測・推論、最適化が求められるタスクを柔軟に実現する。
開発の側面で比較すると、プログラミングはロジックの複雑性が高まるとコード記述とデバッグが困難になるが、機械学習はデータ収集・前処理と適切なモデルの選択・調整に専門知識が必要だ。性能の測定方法も異なり、プログラミングはユニットテストやカバレッジで正しさの検証を行うが、機械学習はテストデータで精度や再現率などの評価指標を測定し、未知のデータに対する予測の精度を測る。また、プログラミングは人間が記述したロジックなので手順が明確で透明性が高いのに対し、機械学習はモデルのブラックボックス化の問題があり、XAI（説明可能なAI）などの技術を用いて判断根拠の説明を試みている。</t>
  </si>
  <si>
    <t>実社会における機械学習の利用例として、製造業の不良品検知がある。工場内の生産ラインにおいて、カメラで撮影した製品の画像データを入力とし、画像認識技術を使った機械学習モデルが、製品の傷や汚れといった欠陥を自動で分類・検出するという使われ方をしている。従来、熟練作業者が目視で全数検査を行っていたが、人為的な見逃しや作業負荷の高さが課題だったため、膨大な画像データから欠陥のパターンを正確に学習できる機械学習を導入した。これにより、検査の精度向上と高速化が実現し、品質の安定化と人手不足の解消に貢献している。</t>
  </si>
  <si>
    <t>2日目の2限目と三限目を入れ替えてもらうことを望みます。</t>
  </si>
  <si>
    <t>24238391@edu.cc.saga-u.ac.jp</t>
  </si>
  <si>
    <t>プログラミングは人がルールや手順を一つ一つ書いて動かすことである。機械学習はデータを収集し、それをコンピュータに学ばせ、自分で判断できるようにすることである。実装するための流れと目的にも違いがある。プログラミングは設計→コーディング(コンピュータが理解ができる言葉で命令をかく作業)→テスト→実装の流れである一方、機械学習はデータ準備→学習(大量のデータからコンピュータやパターンやルールを覚えさせる)→評価(どのくらい正しく動くか、新しいデータで性能を確かめる)→改良である。また、プログラミングと機械学習のメリット・デメリットを比較してみるといくつか挙げられる。プログラミングのメリットはルールが明確なため結果の予測がしやすいことや、バグの原因を見つけやすいこと、少ないデータでも動かせること。逆にデメリットは一つ一つの手順を人が考える必要があることや応用性に欠けることである。機械学習のメリットは様々なデータからコンピュータが自動で学習すること、画像検索や音声認識などの複雑な問題に強いこと。デメリットは学習させるためのデータが少ないと適切な判断ができないため大量のでーたと計算が必要であること、結果を導き出した根拠がわかりにくいことなどかある。つまり、プログラミングは正確で予測するのに長けているが柔軟性が低く、機械学習は柔軟で応用が広いが、データと時間が必要で結果が分かりにくい。この2つは目的によって適切さが違う。そのため、上手に使い分けることが大切である。電卓アプリやゲームのキャラクターの動きなど、ルールがはっきりしているような正確性が問われる処理をする場合、プログラミングが良い。顔認識、音声認識、天気予報などの人がルールを決められない
複雑で柔軟性が問われる処理をする場合、機械学習が良い。このように２つの違いを知っていれば、目的に応じて使い分けることができるのである。</t>
  </si>
  <si>
    <t>ソフトウエアでの実装段階としてプログラミング学習と機械学習のちがいについてのべてください
の課題にこたえます簡単に3つくらいの問題を提起
コーディング、学習、評価についてわかりやすく簡潔に
その2つをくらべたときのメリットデメリットをおしえて
どちらのほうがこの場合は良い！ってあるなら</t>
  </si>
  <si>
    <t>最近自動車学校に通っているため自動車運転システムでの機械学習について調べてみた。
自動運転システムは、自動車が人の代わりに運転を行うときに使われている。歩行者を検知して止まる、前の車との車間距離を安産に保つ、などの場面で使われる。運転をしている際、天気や交通状況、人通りなどはその時々であるあめルールを設けられない。また人の運転データから学習させ、再現させることができる。そのため、柔軟に判断できる機械学習が使われている。</t>
  </si>
  <si>
    <t xml:space="preserve">実世界での機械学習の利用状況をひとつ調査
れいを5つくらい
4
どんなばめんでどんな技術が
なぜつかわれてるのか
 </t>
  </si>
  <si>
    <t>例をいくつか挙げさせて、自分の興味あるものを探す。</t>
  </si>
  <si>
    <t>2日間の演習や、課題作成を通して、プログラミングと機械学習の違いや使い分けのポイントがより明確に理解できた。機械学習においてデータから自動的に学習して判断できるようになるのは不思議だなと思う。そこについての深い理解はまだできていないので、これからのPBLで深堀りしたい。また、3人でスライドを作ったり、生成AIに聞いて、得た情報を自分の言葉でグループの人に伝えるのがとても難しく、頭を使った。普段AIに頼りがちになっているがAIはあくまでも利用するものであって、鵜呑みにしたり依存したりするのは危険なので、それを踏まえてうまく活用していきたい。</t>
  </si>
  <si>
    <t>24238336@edu.cc.saga-u.ac.jp</t>
  </si>
  <si>
    <t>プログラミングは、人間がルールや手順を明確にコードとして記述し、コンピュータはその指示通りに動く。 一方、機械学習は、大量のデータをコンピュータに与え、データに潜むパターンやルールを自ら学習させる方法。実現できることとして、プログラミングは計算やデータ管理など、手順が明確な処理が得意であることに対し、機械学習は過去のデータに基づき、売上予測や顧客の分類といった未知のデータに対する判断や予測を可能にする。</t>
  </si>
  <si>
    <t>プログラミングと機械学習の違いについて簡単にまとめて</t>
  </si>
  <si>
    <t>オンラインショッピングサイトの商品ページやトップページなどで、ユーザーの購買履歴や閲覧履歴が似ている別のユーザーの情報を参考に予測して推薦する技術を用いて、ユーザー一人ひとりの過去の行動データをAIが分析し、興味を持ちそうな商品を自動で表示する。機械学習を用いることで、この膨大な組み合わせの中から、一人ひとりに最適化された商品を提案できる。</t>
  </si>
  <si>
    <t>24238320@edu.cc.saga-u.ac.jp</t>
  </si>
  <si>
    <t>プログラミングは、人がルールや手順を記述することで処理を実現する。一方で機械学習はルールを人が記述するのではなく、データから規則性を学習させる方法である。このように処理を実現させるまでのアプローチの仕方が異なっている。
他にも、適用領域が異なっている。プログラミングはルールが明確ではっきりと定義できる領域に適している。会計処理やシステム制御など誤りが許されない場合がこれにあたる。これに対し、機械学習はルールを明確に記述することが困難な領域を得意とする。画像認識や音声認識、自然言語処理など人が条件を並べるのが難しい場合に力を発揮する。</t>
  </si>
  <si>
    <t>トヨタ自動車
トヨタは製造現場からオフィスに至るまでAIを活用することで業務のスピードと効率化を図っている。製造現場では設備の稼働状況をAIがリアルタイムで監視し、メンテナンス時期の予測や生産効率の最大化提案行っている。また、自動運転技術にAIを活用している。車から集められる膨大な量のデータをAIが学習することで事故の可能性をリアルタイムで分析、ハンドルやブレーキ操作を自動で行うことで事故を回避するシステムを開発している。</t>
  </si>
  <si>
    <t>24238097@edu.cc.saga-u.ac.jp</t>
  </si>
  <si>
    <t>プログラミングは人間が命令を与える。一方で、機械学習は人間が例を与え、コンピュータが命令を導き出す。
プログラミングは、1940年代頃のコンピュータ黎明期に発展し、アルゴリズムを人間が設計してコンピュータに命令する手法である。問題を解く手順を人間が設計することにより、計算、制御、データ処理、ゲームなど論理的に定義できるタスクを実現できる。データは処理対象で、ルールは固定される。正しいプログラムなら常に同じ結果で、バグは修正で対応する。
機械学習は、1950年代に人工知能研究の一部として誕生し、近年はデータと計算資源の増大で急速に発展している。問題を解く手順をコンピュータが発見することにより、音声認識、予測など正確なルールが書きにくいタスクを実現する。データがルールそのものを作り、多ければ多いほど性能が上がる傾向がある。学習データに依存し、確率的な誤りを含み、精度向上が課題である。</t>
  </si>
  <si>
    <t>プログラミングと機械学習の違いについて、表を作成し、まとめてください。たとえば、実現できることや起源の違いなどです。</t>
  </si>
  <si>
    <t>小売業における需要予測で機械学習が利用されている。スーパーやネットショップなどで、商品の売上数・在庫量を予測する場面において、機械学習モデルが使われている。過去の販売データ、天気、曜日、イベント情報などを入力データとして、将来の売上量を予測し、予測結果をもとに、仕入れ量や在庫数を自動的に調整する。商品の売れ行きは、季節・天気・セール・地域特性など多くの要因が複雑に関係しており、人間がルールを手作業で作るのが困難であるため、機械学習が利用されている。</t>
  </si>
  <si>
    <t>社会や企業、組織などでの機械学習の利用状況を一つ挙げてください。その際、どんな場面で、どんな技術が、どんな使われ方をされ、そしてなぜ機械学習を使っているのか、それらについても簡単に表を作成して教えてください。</t>
  </si>
  <si>
    <t>長い文章では、一目でわかりにくいため、表にして見やすくなるようにした。</t>
  </si>
  <si>
    <t>24238352@edu.cc.saga-u.ac.jp</t>
  </si>
  <si>
    <t xml:space="preserve">従来のプログラミングはルールベースのシステムであり、消費税の計算や〇〇ならば△△などルールを明確かつ完全に定義できるタスクでは非常に強力である。しかし、そのルールが複雑になったり多くなりすぎると対応できなくなる。それに対し機械学習では、開発者が大量のデータをアルゴリズムに与えることで、アルゴリズム自身がデータからパターンやルールを自動的に学習する。このことから従来のプログラミングではできない過去の情報からの予測・推論などが可能である。さらに、機械学習の中でも特に"ディープラーニング"は膨大なデータから本質的な特徴を抽出・学習することでより幅広いタスクに対応できる。
反対にプログラミングでは明確なルールを与えれば良く、機械学習ではより本質的な特徴を理解するために膨大かつ高品質なデータを与える必要がある。その面では、プログラミングよりもコストがかかるのは当然であり、データが偏るとモデルもその偏りを学習する可能性がある。
</t>
  </si>
  <si>
    <t>使用した生成AI・・・Gemini
"ソフトウェアでの実装手段として、プログラミングと機械学習の違いについて実現できることの違いなど例を含めて教えてください。"</t>
  </si>
  <si>
    <t>使用例・・・金融機関におけるクレジットカードなどにおける不正取引の検知
利用されている場面
→利用するユーザーの過去のデータから正常な取引パターンを学習し、通常とは異なる場所や時間、行動パターンをその場で検知し、詐欺を防ぐ。
利用する理由
→詐欺の手口は時代が進むにつれ数多くあるかつ複雑なため、単純なルールでは詐欺を検出しきれなくなった。また、機械学習ではデータより微妙な異常パターンを自動で識別できるため。</t>
  </si>
  <si>
    <t>利用した生成AI・・Gemini
"現在、社会や組織での機械学習の使用例をその理由とともに教えてください。"</t>
  </si>
  <si>
    <t>特になし。</t>
  </si>
  <si>
    <t>24238492@edu.cc.saga-u.ac.jp</t>
  </si>
  <si>
    <t>プログラミングは人間が機械にルールを教える方法で、機械学習はコンピュータがルールを覚える方法
機械学習によって今まで扱えなかったような膨大で曖昧な情報を処理することができる</t>
  </si>
  <si>
    <t>通信会社 Verizon のコールセンターで使われている。顧客からの問い合わせ対応や、サービス解約の予測という場面で、自然言語処理や予測モデルの技術が使われている。
これらの技術は通話内容を自動で分類し、振り分け。さらに、解約しそうな顧客を特定するなどの使い方がされている。
問い合わせ件数が膨大で、人手では対応しきれないため使われている。</t>
  </si>
  <si>
    <t>24238455@edu.cc.saga-u.ac.jp</t>
  </si>
  <si>
    <t>村岡 凜太朗</t>
  </si>
  <si>
    <t>プログラミングと機械学習は、どちらもソフトウェアを作る方法ですが、考え方が少し違います。プログラミングでは、人間があらかじめ「こう動いてほしい」というルールを決めて書きます。つまり、人がコンピュータにやり方を教える方法です。一方、機械学習では、人がルールを書くのではなく、たくさんのデータを使ってコンピュータが自分でルールを見つけます。たとえば、スパムメールを見分けるとき、プログラミングでは「お金」「当選」などの言葉があればスパムと決めるように書きますが、機械学習では多くのメールを見せて、どんな特徴がスパムかをコンピュータに学ばせます。この方法が生まれたのは、人間がルールをはっきり決められない問題が増えたからです。たとえば、画像の中の猫を見分けたり、声から言葉を理解したりすることは、ルールを言葉で書くのがとても難しいです。そのため、今では「はっきりしたルールで動くこと」はプログラミングが得意で、「ルールをはっきり書けないがデータがあること」は機械学習が得意というふうに使い分けられています。</t>
  </si>
  <si>
    <t>ソフトウェアでの実装手段としてプログラミングと機械学習の違いについての述べてください。</t>
  </si>
  <si>
    <t>機械学習（AI）は、実社会でさまざまな場面で使われています。その一つが、**製造業の「予知保全」**です。予知保全とは、機械が壊れる前に兆候を見つけて、早めにメンテナンスを行う仕組みです。工場では機械が止まると大きな損失になるため、とても重要です。この仕組みでは、機械に取り付けたセンサーで「温度」「振動」「音」などのデータを集め、機械学習で「正常」と「故障の前ぶれ」の違いを学習させます。AIは過去のデータをもとに「この機械は近いうちに壊れるかもしれない」と予測できます。機械学習を使う理由は、人間があらかじめルールを作るのが難しいからです。機械の故障にはさまざまな要因があり、データも複雑です。AIにデータを学ばせることで、複雑なパターンを正確に見つけられ、故障の予測や保守の効率化につながります。</t>
  </si>
  <si>
    <t xml:space="preserve">実世界 (社会や企業・組織など) での機械学習(AI)の利用状況1つを調査。どんな場面で、どんな技術が、どんな使われ方をしていますか？
</t>
  </si>
  <si>
    <t>環境構築に少し苦戦した</t>
  </si>
  <si>
    <t>24238178@edu.cc.saga-u.ac.jp</t>
  </si>
  <si>
    <t>プログラミングは人間が手順を決めて書くため、特徴としては動作が明確でわかりやすい、曖昧な判断が苦手などが挙げられる。機械学習は人間がルールを直接書かずにデータから学ばせるため、特徴として複雑で曖昧な問題に強いが、内部のルールが非常に複雑になり人間が理解できない状態（ブラックボックス）になりやすいことなどが挙げられる。また、機械学習が登場した背景として、従来のプログラミングでは画像認識や音声認識、翻訳などの複雑でかつ曖昧な問題の手順を書くことに限界があった。こうした問題を解決するために問題の手順を人間ではなく機械に学ばせるという考え（機械学習）が登場した。</t>
  </si>
  <si>
    <t>ユニクロでは需要予測や商品企画において機械学習が利用されており、ユニクロが保有する購買データや天候などの外部データをAIによる画像認識技術と紐づけることによりどの商品がどの地域、どのタイミングで需要が高まるかを予測することが可能になった。機械学習の導入の理由としては効率化やコストの削減、リアルタイムのデータを分析することによる高速なトレンド変化への対応、ユニクロがこれまでに集めた大量のデータを活用することによって他社との差別化を図り、競争優位性を獲得することなどが考えられる。</t>
  </si>
  <si>
    <t>環境構築を可能であれば動画にしてほしい</t>
  </si>
  <si>
    <t>24238351@edu.cc.saga-u.ac.jp</t>
  </si>
  <si>
    <t>プログラミングは決められた手順を正確に実行させることを目的に人間が理解できる言語でコードを書き、コンピュータに対して何をどうするかを命令する作業のことで、計算やデータ処理、制御などルールが明確な処理の自動化ができる。プログラミングにはルールが明確な問題に強いという特長がある。機械学習は未知のデータに対して予測や分類をすることを目的にコンピュータにデータのパターンを学ばせる技術のことで画像認識や音声認識、予測などができる。機械学習にはルールが複雑で曖昧な問題に強いという特長がある。このようにプログラミングは人間が細かいルールを決めているのに対し、機械学習はコンピュータが大量のデータから自動でルールを見つけて学ぶという違いがある。</t>
  </si>
  <si>
    <t>プログラミングと機械学習の違いについて教えて
プログラミングと機械学習のできることの違いについて教えて</t>
  </si>
  <si>
    <t>クレジットカードの不正取引を検知する場面で機械学習が使われている。リアルタイムで取引履歴を分析し、異常検知モデルやランダムフォレストを用いて怪しい取引を自動的に見つける仕組みが使われている。不正パターンは複雑で変化が速くいが、機械学習であれば新しいパターンも学習可能であるため機械学習が使われている。</t>
  </si>
  <si>
    <t>社会の中での機械学習の使われている場面と使われ方についていくつか例を挙げてほしい
金融についてどのような技術が使われているかを教えて</t>
  </si>
  <si>
    <t>オンライン上で話している人の声が聞こえにくいときがあった。
はじめの環境作りの部分でエラーが出たりして、ひとりでは難しかった。</t>
  </si>
  <si>
    <t>24238107@edu.cc.saga-u.ac.jp</t>
  </si>
  <si>
    <t>プログラミングではあらかじめ決められたプログラミングコードに沿って行動するため範囲外のことには対応できない。
機械学習では、柔軟な対応が可能だが、どうしてそうなったなどの理由がわからないことがある。</t>
  </si>
  <si>
    <t>プログラミングと機械学習の特徴について簡単にまとめて</t>
  </si>
  <si>
    <t>スマホに使われている顔認証では、機械学習が用いられている。</t>
  </si>
  <si>
    <t>機械学習の身近な活用例を1つ</t>
  </si>
  <si>
    <t>23238054@edu.cc.saga-u.ac.jp</t>
  </si>
  <si>
    <t>プログラミングは人がコンピューターにアルゴリズムを書くことであるのに対し、機械学習はコンピューター自身が多くのデータを学習することで機能を汎化し、未知の事象に対応することである。この違いにより、機械学習はプログラミングでは実現が難しいアルゴリズムをコンピューター自身がデータを学習することである程度可能になった。</t>
  </si>
  <si>
    <t>場面：病院でのがん検診（例：乳がん、肺がん）
技術：畳み込みニューラルネットワーク（CNN）
使われ方：医療用画像（X線、CT、MRIなど）をAIが解析し、腫瘍の有無や形状を自動で検出。
医師の診断を補助し、見落としを防ぐ。
例：Googleの「DeepMind」は眼底画像から糖尿病性網膜症を検出。</t>
  </si>
  <si>
    <t>機械学習の利用状況の例をどんな場面で、どんな技術が、どんな使われ方をしているのかを具体的に教えてください。</t>
  </si>
  <si>
    <t>Lobeのインストール方法の説明が分かりにくかったです。当日同じグループにコンピューターに強い人がいたので何とかなりましたが、そうでないグループは他のグループの人に聞いて回ったり、昼休みを返上して作業をしたりしていたので、もう少し具体的な説明が必要だと思いました。</t>
  </si>
  <si>
    <t>24238200@edu.cc.saga-u.ac.jp</t>
  </si>
  <si>
    <t>プログラミングは人がルールを書くのに対し、機械学習はデータからルールを学ぶ。機械学習が出てきたのは、人がルールを書けない問題を解決するためである。機械学習は、経験に基づいて学ぶため、プログラミングによって解決するのが難しい問題にも対応できる。</t>
  </si>
  <si>
    <t>ソフトウェアでの実装手段として、プログラミングと機械学習の違いについて述べて。なぜ機械学習という手法が出てきたのか、実現できる事の違いなどに触れて。</t>
  </si>
  <si>
    <t>実世界で使われている機械学習の1つに、レコメンドシステムがある。ユーザーの好みを予測しておすすめをする際に機械学習が使われている。これは、人それぞれ好みが異なるため、ルールを人が設計できないためである。AmazonやNetflixでは深層学習が主に使われている。</t>
  </si>
  <si>
    <t>実世界 (社会や企業・組織など) で利用されている機械学習(AI)をいくつか挙げて。
顧客分析・レコメンド（推薦システム）について、なぜ機械学習が使われているのか教えて。
どんな技術が使われてる？
AmazonやNetflixは実際にどんな技術を使ってる？</t>
  </si>
  <si>
    <t>1回の質問に知りたい要素をまとめるのではなく、1つずつ質問した。
前の質問に対しての回答に関する質問をした。</t>
  </si>
  <si>
    <t>演習が難しかったです。</t>
  </si>
  <si>
    <t>24238414@edu.cc.saga-u.ac.jp</t>
  </si>
  <si>
    <t>プログラミングはルールベースであるのに対し、機械学習はデータベースである。そのため、プログラミングは答えの決まっているものや毎回決まった動きをするものに適していて、機械学習は大量のデータを利用した判別や予測を行うのに適している。
また、機械学習が生まれた背景にはプログラミングだけでは厳しい複雑さやデータ量であったことがあげられる。しかし、この機械学習も万能ではなく大量のデータの中から適したものを学習させる必要があったり、常に最新のデータを活用しなければ時代に置いて行かれるという短所も存在する。</t>
  </si>
  <si>
    <t>医療においては医師の画像診断の補助を行っている。医師だけでは気づけない変化を検出する他に、変化が激しく明確なルールのない病気や病原細胞のデータから病気らしさを学習し医療をサポートしている。他にも商業にも活用されており、売り上げの予測や、客の好みや行動をデータから予測するのに活用されている。
他にも、交通や製造業、金融、セキュリティ、農業などでも利用されており、それらには共通して明示的なルール化が困難、多変量な関係性の処理が必要、大量のデータが存在していて学習可能、精度や効率の向上が求められるという点がある。</t>
  </si>
  <si>
    <t>(1)の会話に続けて「機械学習の実例は何がある？」「それぞれなぜ機械学習を利用したの？」</t>
  </si>
  <si>
    <t>24238183@edu.cc.saga-u.ac.jp</t>
  </si>
  <si>
    <t>プログラミングは人間が直接コンピュータに命令を書き込むことで、決まった動作をコンピュータが出力する。
機械学習はコンピュータにデータを学習させ、それらデータを基にコンピュータが予測をして結果を出力する。</t>
  </si>
  <si>
    <t>プログラミングと機械学習の違いを簡単に教えて</t>
  </si>
  <si>
    <t>顔認証機能について、スマートフォンのロック解除などで使われている。大量の顔画像のデータを学習して顔の特徴のモデルを作り、ユーザーの顔とモデルを照合して「本人かどうか」を判断する。顔の表情や光の当たり方などの顔の状況が毎回違うため、ルールベースでの対応が難しいが、機械学習ならば、多様な顔のパターンを学習することで柔軟に対応が可能。</t>
  </si>
  <si>
    <t>現代社会で機械学習はどのように使われているのか、その例を1つ提示し、簡単に説明して</t>
  </si>
  <si>
    <t>24238346@edu.cc.saga-u.ac.jp</t>
  </si>
  <si>
    <t>ソフトウェアの実装には、主にプログラミングと機械学習の二つの方法がある。プログラミングは、人間があらかじめルールや手順を決めて動かす方法で、計算や制御など明確な処理に向いている。一方、機械学習は大量のデータを使ってコンピュータ自身にルールを学ばせる方法で、画像認識や音声認識など複雑であいまいな問題に強い。近年では、両方を組み合わせて使うケースも増えており、たとえば機械学習で得た結果をプログラムで自動処理するなど、互いを補い合う形で実装されている。このように、目的に応じて二つの手法を使い分けることで、より柔軟で賢いソフトウェアが実現している。
ただし、機械学習は与えるデータの量や質に大きく左右され、誤ったデータを学ぶと正しい判断ができないという課題もある。また、具体例をだすと、自動車運転ではプログラムで車の制御を行い、機械学習で歩行者や標識を認識するように両者が組み合わされている。</t>
  </si>
  <si>
    <t>ソフトウェアでの実装手段として、プログラミングと機械学習の違いについて教えてください。具体例を入れてわかりやすくおしえてほしいです。例えばなぜ機械学習という手法ができたのかがあげられます。</t>
  </si>
  <si>
    <t>プログラミングは、人間があらかじめ手順や条件を具体的に指示して動かす方法であるのに対し、機械学習はデータをもとにコンピュータが自ら規則を学び、判断や予測を行う方法である。
例えば、自動車の自動運転では、プログラムが車の制御を行い、機械学習がカメラ映像から歩行者や信号を認識するなど、それぞれの役割を持って組み合わされている。
機械学習という手法が生まれたのは、すべての状況を人間が手動でプログラムすることが難しく、コンピュータ自身が経験から学ぶ必要があったためである。</t>
  </si>
  <si>
    <t>金融関係の企業ではクレジットカードの不正利用検知に使われる。場面としてはクレジットカードやデビットカードの取引監視である。技術は教師あり学習（決済履歴から「正常」か「不正」か学習)と異常検知アルゴリズム（通常と違う取引パターンを検出）が用いられている。使われ方は顧客の過去の利用履歴や場所、金額を基にモデルが「不自然さ」を判定することがあげられる。例えば、普段日本で使っている人が急に海外で高額決済をすると即アラートなどがある。なぜ機械学習が使われているのかというと取引件数が膨大で人間が全部見るのは不可能であり、新しい不正手口にもデータから対応できるからである。この仕組みにより、不正利用の検知精度が向上し、人とAIが協力してより安全な決済システムの実現が進められている。また、今後はリアルタイム分析の精度向上やより安全なキャッシュレス社会の実現に向けて活用が進むと考えられている。</t>
  </si>
  <si>
    <t>機械学習の実世界での利用状況について、金融関係の企業などでどんな場面で、どんな技術が、どんな使われ方をしているか、なぜ機械学習を使ったのかを踏まえて教えてほしいです。他にもなにか利用状況についてあったら教えてください。</t>
  </si>
  <si>
    <t>3人でグループを作って取り組むのはいいなと思った。わからないことがあったら、TAさんに相談しようと思ったが、TAさんが誰なのかわかりづらく、人数も少なく感じた。</t>
  </si>
  <si>
    <t>24238513@edu.cc.saga-u.ac.jp</t>
  </si>
  <si>
    <t>プログラミングは、人間がルールや手順を明示的に書き、その通りにコンピュータを動かす方法。
機械学習は、大量のデータからコンピュータが自らルールを学び、判断や予測を行う方法。</t>
  </si>
  <si>
    <t>コンビニで商品の仕入れ量を決めるときに、 機械学習において過去の販売データや天気などを使った予測モデルの技術が使われます。そこで AIが「明日はおにぎりが何個売れるか」などを予測し、発注量を自動提案します。
理由として、 人間では難しい大量データの分析を行い、売れ残りを減らして効率的な運営をするため。</t>
  </si>
  <si>
    <t>遠隔授業でやるのであれば、大学にわざわざ来る必要はないと感じました。</t>
  </si>
  <si>
    <t>23238911@edu.cc.saga-u.ac.jp</t>
  </si>
  <si>
    <t>従来のプログラミングは、人間が明確なルールや手順を論理的に記述することで、コンピュータに特定の処理を実行させる方法である。たとえば、四則演算やデータの並べ替え、条件分岐など、「こうすれば正しい結果が得られる」というアルゴリズムを人間が考え、それをコードとして実装する。一方、機械学習は、コンピュータに大量のデータを与え、その中からパターンや関係性を自動的に学習させる手法である。人間がルールを直接プログラムするのではなく、コンピュータ自身が経験から最適なルールを導き出す。例えば、画像認識や音声認識、自然言語処理などの分野では、ルールを手作業で定義することが極めて困難である。そこで、データをもとに自動的に判断モデルを作る機械学習が有効となる。まとめて、プログラミングは人間がルールを教える手法であり、機械学習はコンピュータがルールを見つける手法である。</t>
  </si>
  <si>
    <t>機械学習(AI)は需要予測、在庫管理や異常検知などの場面で活用されている。機械学習の技術は例としてクラスタリングで、似た特徴を持つ商品や店舗をグループ分ける。企業ではAIを使って在庫の無駄を減らし、コストを削減することが一つの使い方である。また、機械学習を使う理由としては、AIは大量のデータからパターンを学ぶことができるため、人間では考えきれない複雑な関係を見つけられる。そのため、企業は機械学習を使って、より正確でスピーディーな判断を行い、経営の安定化を図っている。</t>
  </si>
  <si>
    <t>実世界での機械学習（AI）の利用例を1つ挙げて説明してください。どんな場面で、どんな技術が、どのように使われているのか、またなぜ機械学習が使われているのかを詳しく述べてください。</t>
  </si>
  <si>
    <t>「わかりやすく」や「詳しく」のほかに、「高校生にもわかるように、専門用語を簡単に説明しながら、'数字'字程度のレポート形式でまとめてください。」</t>
  </si>
  <si>
    <t>24238054@edu.cc.saga-u.ac.jp</t>
  </si>
  <si>
    <t>プログラミングは、人間がルールを全て決めてコンピュータに教える手法で、はっきりしたルールに対して正確な処理ができる。
一方機械学習は、ルールを人間が書かずにコンピュータ自身がデータから学ぶ手法で、明確なルールがない問題に強いという長所がある。</t>
  </si>
  <si>
    <t>プログラミングと機械学習の違いを実現できることの違いを使って分かりやすく教えて</t>
  </si>
  <si>
    <t>車の自動運転技術は、車が周囲を認識しながら自動運転する際に機械学習が使われている。そこには画像認識、強化学習、経路計画などの技術が使われている。歩行者や信号、他の車をリアルタイムで認識したり、人間の運転データをもとに最適な操作を選んだりするといった使われ方がされている。自動運転の目的は「人間のドライバーのように周囲を理解し安全な判断で運転する」といったもので、人間がすべてのルールを書くことができないため、機械学習が使われている。</t>
  </si>
  <si>
    <t>実際に機械学習が使われている例を挙げて。また、それがどんな場面でどんな技術がどんな使われているか教えて。なぜ機械学習を使ったのか教えて。</t>
  </si>
  <si>
    <t>調べている内容や求めている情報に対して、知りたいことや条件に誤りや記入漏れがないpronptになっているかに注意して作成をおこなった。</t>
  </si>
  <si>
    <t>機械学習の画像認識の演習がとても分かりやすかった。一方プログラミングがどこでどんな操作をしているのかを理解するのが難しかった。</t>
  </si>
  <si>
    <t>24238305@edu.cc.saga-u.ac.jp</t>
  </si>
  <si>
    <t>プログラミングには結果を導くための手順やルールが決まっているが、機械学習は決まった規則がないものを、膨大なデータの中から結果を導く、という点に大きな違いがある。規則のある単純作業はプログラミング、複雑な規則や規則の無いものには機械学習を用いるとよい。</t>
  </si>
  <si>
    <t>自動運転の車が例として挙げられる。自動運転に必要な要素として、認識、判断、制御の３つがあり、このうち認識と判断に利用されている。しかし、まだ自動運転を実現するために必要なデータの大幅な不足、万が一事故を起こした際の責任の問題など様々な問題を抱えている。</t>
  </si>
  <si>
    <t>現在、機械学習が利用されている施設や物を1つに絞って教えて</t>
  </si>
  <si>
    <t>できるだけヒントとなる単語を多用して、詳しい条件も設定するように心がけた。</t>
  </si>
  <si>
    <t>24238114@edu.cc.saga-u.ac.jp</t>
  </si>
  <si>
    <t>上村 悠斗</t>
  </si>
  <si>
    <t>プログラミングは論理が明確で、動作の再現性や説明性が高い一方で柔軟性に欠けてしまう。そこで、複雑なパターンや環境に適応可能な機械学習が編み出された。しかし、機械学習にもコストが大きく、説明可能性が低いという欠点がある。</t>
  </si>
  <si>
    <t>クレジットカードの利用状況を過去の取引データと比べ、不正利用が行われてうなうじゃを検出するといった使われ方をしている。</t>
  </si>
  <si>
    <t>24238158@edu.cc.saga-u.ac.jp</t>
  </si>
  <si>
    <t>プログラミングは人間がルールを厳密に定め、コンピュータがそれを実行することで高速かつ正確な計算結果が得られるという1950年ごろから始まった技術であり、プログラムによって人間のように思考できる機械（人工知能）を作りたいという考えのもと1980年ごろに生まれたのが機械学習である。
当初は人間がルールを定めようとしていたが、人間が定義するには膨大という点やあいまいさや例外に弱い点から失敗に終ったが、機械自身に大量のデータからルールを導かせればよいのではという発想により機械学習という考え方が生まれた。当時はマシンパワーが十分でなかったことやデータ量不足のため実用的なモデルは作れなかったが、2010年代に入るとインターネットによる膨大なデータやマシンの進化により、部分的に人間に匹敵する能力を持つモデルを作れるようになったことで研究が盛んになった。
以上のことから、プログラミングは数値計算やミスの検出、検索などのルールが明確に定義できる処理に強く、実装者がルールを明快に説明できるという点が魅力であるが、あらかじめ想定してある入力にしか対応できないため未知の入力などでエラーが起きやすく、変更があった際にはコードを修正する必要がある。一方機械学習の場合、自らルールを導くため人間側の手間が少なく、未知の入力に対しても推測し対応することができるが、仕様上正確とは言えず出力結果の根拠も不明瞭なことが多い。
プログラミングと機械学習はどちらかが完全に優れているという対立関係ではなく、補完しあう共存関係にある。例えば、音声認識においてはマイクから音声を取得しノイズを除去し扱いやすいデータに加工するような手順が明確な仕事はプログラミングが対応し、音声を言葉として認識し推定するようなあいまいさのある仕事は機械学習が対応するといった関係である。</t>
  </si>
  <si>
    <t>プログラミングと機械学習の違いについて、歴史的にどのような経緯で生まれたのかを踏まえて詳細に教えて
具体的に実現できることの違いについて5つ教えて
プログラミングと機械学習が共存しているような実用例について5つ教えて</t>
  </si>
  <si>
    <t>塾や学校などの教育現場での利用例として、個別最適化学習がある。AI導入以前、教師一人が見ることのできる生徒の数には限りがあるため、決められたカリキュラムを一斉に行い、生徒個人の学習進捗はテストの成績や教師の経験によってはかるところが大きかった。そこで、AIを導入することにより、デジタル教材やオンライン学習で取得した生徒一人一人の詳細な学習データを分析し、リアルタイムでフィードバックを作成することで、一人一人にあった学習方法や課題を提案することができるようになった。AIは学習中のデータを分析しどんな学習が適しているか発案し、教師が生徒個人のバックグラウンドなどのAIが持たない情報をもとに選択することでより良い教育が可能となっている。</t>
  </si>
  <si>
    <t>実社会で機械学習(AI)はどのように利用されているか具体例を挙げて教えて
教育現場での機械学習(AI)の利用状況について具体的な場面を5つ挙げてどんな使われ方をしているか教えて
個別最適化学習について、なぜAIが使われるようになったのかをAI使用以前と以後で比較しながら具体的に教えて
AI導入後の教師に求められる役割について教えて</t>
  </si>
  <si>
    <t>最初は範囲が広くなるように質問をし、気になったものについて段階的に質問して幅を狭めていった</t>
  </si>
  <si>
    <t>ツールを使ったモデル作成は自分で用意した画像を分類させることができて面白かった。与えられたコードを実行する演習は出来上がったモデルがどう使えるのかわからず理解するのが難しかった。</t>
  </si>
  <si>
    <t>24238150@edu.cc.saga-u.ac.jp</t>
  </si>
  <si>
    <t>ソフトウェアをプログラミングで実装する場合、人間が明確にルールを設定し、特定の入力に対して特定の出力を必ず出す。
機械学習はデータからルールが設定される。過去のデータからパターンを見つけ、予測から結果を出す。</t>
  </si>
  <si>
    <t>製造業での異常検知システムとして使われている。正常に動いている時のデータを学習し、異常な行動をしていないか検知している。人では判断しづらい些細な異常を検知するために機械学習を使っている。</t>
  </si>
  <si>
    <t>実世界 (社会や企業・組織など) での機械学習(AI)の利用状況1つを調査。どんな場面で、どんな技術が、どんな使われ方をしているのか? なぜ、機械学習を使ったのか。それぞれリストアップして述べてください</t>
  </si>
  <si>
    <t>24238465@edu.cc.saga-u.ac.jp</t>
  </si>
  <si>
    <t>プログラミングとは，人間がコンピュータに対して具体的なルールや手順(アルゴリズム)を与えることで，意図した処理を実行させる手段である．入力が同じであれば出力も常に同じになるという決定的な処理が特徴である．一方，機械学習は明確な手順をあらかじめ与えるのではなく，大量のデータをもとにコンピュータが自らパターンを学習し，判断や予測を行う技術である．
両者の大きな違いは，ルールを誰が決定するかという点にある．プログラミングでは人間が事前にルールを定義するため，処理内容が明確で再現性が高い．これに対し，機械学習ではコンピュータがデータからルールを見出すため，出力は確率的な性質を持ち，同じ入力に対しても完全に一致する内容の出力が得られるとは限らない．
また，精度を向上させる方法にも違いがある．プログラミングではコードやアルゴリズムの改善が中心であるのに対し，機械学習ではデータの量や質，モデル構造の改善が重要となる．
さらに，適応分野に対しても違いがみられる．プログラミングは計算処理や制御装置といった，明確な条件と手順で対応できる課題に適している．一方，機械学習では画像処理や音声認識など，人間でも明確なルール化が難しい課題に対して有効な手段とされている．
ソフトウェア開発では両者を組み合わせて活用する場面も多く，機械学習で得た判断結果をプログラムで制御に反映させるといった応用例がある．このようにプログラミングと機械学習は異なるアプローチを持ちながらも，相互に補完し合える技術として期待できる．</t>
  </si>
  <si>
    <t>・プログラミングと機械学習についてそれぞれ具体的に教えてください．また，ソフトウェアでの実装手段として，プログラミングと機械学習のアプローチの違いについて3点ほど挙げてください．（選定理由：質問を２段階に分けて整理した．最初にそれぞれについての基本的な理解を深め，次にその応用的な視点に踏み込めるような構成にした．）
・挙げてくれたプログラミングと機械学習の違いについて例を交えてより詳しい内容を説明してください．（選定理由：前回の回答の内容を踏まえた質問をした．「例を交えて」と記載することによって具体的でイメージしやすいような回答を引き出そうとした．）</t>
  </si>
  <si>
    <t>実社会では，画像データを学習させ，以上や特定のパターンを自動で識別するといった画像認識・自動化の技術が活用されている．
この技術は製造業の外観検査や医療の画像認識，自動運転，農業管理など幅広い分野で活用されている．主な技術はディープラーニングの一種であるCNNで，特徴を自動で抽出し，対象物の分類や異常検出を行う．物体検出モデルを使えば，リアルタイムで何がどこにあるのかを判断できる．利用方法は，カメラで画像を取得し，AIで解析・判定をし，その結果をもとに自動仕分けや警告，制御などを行う．活用理由としては，人間よりも速く・正確に判定できること，24時間連続稼働がが能なこと，コストが削減できて効率的であることが挙げられる．このような特徴から，画像認識・自動化は生産性の向上とコスト削減を実現する重要な技術として期待でき，今後より活用されていくだろう．</t>
  </si>
  <si>
    <t>・社会や企業・組織などで機械学習はどのような使われ方をしているのか例を5点ほど挙げてください．
・画像認識・自動化について以下の点について詳しく説明してください．
　　・利用場面
　　・利用している技術
　　・利用方法(どのような使われ方をしているのか)
　　・利用している理由</t>
  </si>
  <si>
    <t>一つ目は最初にアイディアをいくつか挙げてもらえるようなプロンプトにした．二つ目のプロンプトは説明してもらいたい項目が明確に伝わるように詳しく記載した．</t>
  </si>
  <si>
    <t>事前に行う環境設定の資料がわかりにくかった．
Lobeを使った演習は今まで行ったことがない内容だったので新鮮で面白かった．</t>
  </si>
  <si>
    <t>22238381@edu.cc.saga-u.ac.jp</t>
  </si>
  <si>
    <t>当初での情報処理問題は、それ自体の内容が明確であり容積も小さい数値計算・会計処理などがメインであり、正確なその仕様を明文化可能であり検証も容易であった「手続き型/構造化プログラミング」が選択されてきた
しかし1990年代以後になると、ルールの明示化が困難なタスクを扱う必要が出始め、GPUなどの計算資源も潤沢となり始めたため、学習により継続的改善が可能で、データによる関数近似が可能な機械学習が選択されていった</t>
  </si>
  <si>
    <t>ソフトウェアへの実装手段としてのプログラミングと機械学習の違いについて、それぞれが選択されてきた歴史的経緯やそれぞれでの違いを踏まえつつ、箇条書きで記述せよ</t>
  </si>
  <si>
    <t>Gmailの迷惑メールの対策として、メール受信時に機械学習モデルによって送信元IPや本文/ヘッダの特徴などを学習し、ルールベース検知で補完して迷惑メールを自動判定することにより、リアルタイム保護を行う</t>
  </si>
  <si>
    <t>実社会においてAIなどの機械学習が利用されている事例を、使われている場面や使われ方を同時に調べつつ、何か一つ挙げよ</t>
  </si>
  <si>
    <t>"どういう点"が欲しいのかを明確に投じ、出力形式も絞った</t>
  </si>
  <si>
    <t>24238031@edu.cc.saga-u.ac.jp</t>
  </si>
  <si>
    <t xml:space="preserve">ソフトウェア開発において、プログラミングと機械学習は異なるアプローチを持つ技術である。プログラミングは、開発者が明確なルールをコードとして記述する手法であり、計算処理や業務ロジックなど、ルールが定義しやすい問題に適している。一方、機械学習は、大量のデータからコンピュータが自らパターンを学習する手法であり、画像認識や自然言語処理など、ルールが複雑または曖昧な問題に強みを持つ。
機械学習が登場した背景には、従来のプログラミングでは対応が困難だった課題の存在がある。例えば、スパムメールの判定や顔認識などは、例外が多く、明示的なルール化が難しい。こうした問題に対し、機械学習は「学習による最適化」という新たな解決策を提供した。
近年では、生成AIのように、機械学習を応用した技術が登場し、自然な対話や文章生成など、従来の手法では不可能だった領域にも対応可能となっている。
</t>
  </si>
  <si>
    <t xml:space="preserve">ソフトウェア開発におけるプログラミングと機械学習の違いについて説明してください。なぜ機械学習という手法が登場したのか、従来のプログラミングでは難しかったことが何か、具体例を交えて教えてください。 </t>
  </si>
  <si>
    <t xml:space="preserve">実社会における機械学習の活用例として、Amazonの需要予測システムが挙げられます。Amazonでは、世界中の倉庫に商品を効率よく配置し、迅速な配送を実現するために、機械学習を用いて「どの商品が、いつ、どこで、どれだけ売れるか」を高精度に予測しています。この予測には、過去の販売履歴、季節性、地域ごとの購買傾向、キャンペーン情報、さらには天候データなど、膨大かつ多様なデータが活用されます。技術的には、時系列予測モデル（たとえばDeepAR）やニューラルネットワーク、さらには強化学習などが組み合わされており、これらが複雑なパターンや非線形な関係を捉えることを可能にしています。従来の統計モデルではこうした複雑性に対応しきれず、予測精度に限界がありましたが、機械学習はデータから自動的に学習し、変化に柔軟に対応できるため、より正確な予測が可能となります。その結果、在庫の過不足を減らし、コスト削減と顧客満足度の向上を同時に実現しており、まさに機械学習が実務において大きな価値を発揮している好例といえます。
</t>
  </si>
  <si>
    <t xml:space="preserve">実社会や企業で使われている機械学習の具体的な事例を1つ教えてください。どんな場面で、どんな技術が使われていて、なぜ機械学習が選ばれたのかを説明してください。
</t>
  </si>
  <si>
    <t>24238001@edu.cc.saga-u.ac.jp</t>
  </si>
  <si>
    <t>プログラミングにおいては人間がコードを用いて手順をすべて明示するが、機械学習においては人間があえて手順を細かく指定せず、データを与えて学習させることで、コンピュータ自身にルールやパターンを見つけさせる。また、プログラミングは事前に人の手でアルゴリズムも条件も定義し、コンピュータにはその通りに動作するため、想定外の入力や環境変化に弱い。一方機械学習においては、人間はあくまで正解やサンプルを与える教師としての役割のみを果たし、コンピュータは過去の膨大なデータに基づき判断基準を形成するため、環境が違う未知の状況であっても柔軟に対応できる強みを持つ。かつてのプログラミングの世界では人間がすべてのコードを書いていたが、画像認識や自然言語処理のように条件が曖昧かつ膨大な問題ではすべての要素をルール化することは不可能に近い。そのため人の手によるコーディングではコンピュータが事象に対応できず、ルール外のケースに出会った場合誤作動やエラーを起こす可能性があるため、データと計算資源の進歩もあり機械学習を用いた実装手段が登場・普及した。つまり機械学習はプログラミングではカバーできない領域を補うため登場したのであり、これらは相互補完的なものである。</t>
  </si>
  <si>
    <t>・ソフトウェアでの実装手段として、プログラミングと機械学習の違いについて3つ教えてください。
・機械学習においては、なぜ人間は手順やルールを細かく教えないのですか？
・では、プログラミングで対応できない事象が増えたから機械学習によるソフトウェアの実装が起きたのですか？
・「今でもプログラミングの方が優れている領域」と「機械学習が圧倒的に強い領域」を比較してください。プログラミング初学者の大学生にも分かるように、端的に教えてください。</t>
  </si>
  <si>
    <t>講義中にPyTorchを用いて機械学習の演習を行いましたが、PyTorchは具体的にどのような仕組みでディープラーニングを行っているのでしょうか？AIを搭載しているのですか？</t>
  </si>
  <si>
    <t>音楽業界では、機械学習は音楽制作やリスナー体験の最適化などに用いられている。まず音楽制作についてはAIによる作曲・編曲、音声処理・復元などに活用されている。具体的には、RNNやTransformerなどで音楽の流れを学習し、次に来る音を予測して作曲したり、本物そっくりの音を生成するためにGANを用いたりしている。また、CNNを用いてボーカルと伴奏、音楽本来の音とノイズの音源分離を行い、音源修復に活用したりしている。次に、リスナー体験の最適化については、おすすめ機能やプレイリストの自動生成などに活用されている。ストリーミングサービスでは大量の曲が取り扱われており、人間が独力で曲を探すのは、楽曲情報を知らなければ至難の業である。したがって協調フィルタリングや協調フィルタリングやコンテンツベースフィルタリングを用いて特徴を分析した曲に似た曲を推薦したり、CNNで音声を解析したりという方法で、機械学習が活用されている。このように、音楽業界では製作者側の負担軽減や新しい表現の開拓だけでなく、音楽を享受する側がより多くの好きな音楽に出会えるようにするためにも機械学習が用いられている。</t>
  </si>
  <si>
    <t>・音楽業界では機械学習はどのように用いられていますか？具体例を2つ挙げてください。
・どちらにも興味があります。ですので、それぞれの項目について、なぜ機械学習が用いられるようになったのかと、具体的にどのような技術が用いられているのかを大学生にも分かるように整理して教えてください。
・では、機械学習のおかげで製作者側の負担を軽減でき、また音楽を享受する側の人々がより多くの好きな音楽に出会えることを手助けすることができている、ということですか？</t>
  </si>
  <si>
    <t>複数の項目を対照的に取り扱う構成にするために、初めに2つ以上の項目の列挙を求めた。説明を求める際には、「大学生にも分かるように」という内容をプロンプトに入れ、解説レベルを指定した。また、全てをAIに任せるのではなく、自身の意思や推量を打ち込み、私自身の考えと照らし合わせながらプロンプトを作成した。</t>
  </si>
  <si>
    <t>情報系のコースでない人たちが、「そもそも環境構築の時点で何から始めればよいのか分からないし、Pythonコードが何を示しているのかもさっぱり分からない」と頭を抱えていました。この演習ではAIの使用が許可されていましたが、AI・インターネット上の情報が正しいとは限らないため、的確な理解のためにもPythonコードを用いた演習の際、先生からの詳しい解説を頂ければと思います。</t>
  </si>
  <si>
    <t>24238387@edu.cc.saga-u.ac.jp</t>
  </si>
  <si>
    <t>プログラミングとは、人間がタスクの仕様を定義し、それに基づいてコンピュータに指示を与える方法であり、アルゴリズムは固定的かつ容易に説明できるため演繹的なアプローチといえる。一方、機械学習は、コンピュータ自身が大量のデータからパターンを学習し、アルゴリズムを自動的に構築する手法である。目的は未知のデータへの汎化であり、アルゴリズムはデータに依存し、時間とともに変化するため、帰納的なアプローチといえる。</t>
  </si>
  <si>
    <t>ソフトウェアでの実装手段として、プログラミングと機械学習の違いについての述べてください。例えば、なぜ機械学習という手法が出てきたのか? 例えば、実現できる事の違い、など。 上の文章に対して、作った以下の文章の添削をお願いします。 プログラミングとは、人がタスクの仕様を定義して、コンピュータに指示を与える方法で、アルゴリズムは固定され容易に説明できるので演繹的である。対して、機械学習とは、ソフトウェアがプログラムを書き、目的は汎化しアルゴリズムはデータに依存し時間とともに変わるので帰納的であるという違いがある。</t>
  </si>
  <si>
    <t>実世界では、機械学習は商品の売上予測に広く活用されている。例えば、小売業では過去の販売データ、季節性、価格変動、プロモーションの有無、天候、地域ごとの購買傾向など、複雑で多様な要因が売上に影響を与える。これらの要因を人手で分析するのは困難であるため、機械学習モデルを用いて、売上に影響するパターンをデータから自動的に学習させる。売上予測の精度は、平均絶対誤差や平均二乗誤差などの指標を用いて測定される。これにより、モデルがどれだけ実際の売上に近い予測をしているかを定量的に評価できる。機械学習を導入することで、在庫の最適化、過剰在庫や欠品の防止、マーケティング戦略の改善などが可能となり、企業の収益性向上に貢献している。従来のルールベースの予測手法では対応しきれなかった非線形な関係や複雑な相互作用を捉えられる点が、機械学習を採用する主な理由である。</t>
  </si>
  <si>
    <t>実世界 (社会や企業・組織など) での機械学習(AI)の利用状況1つを調査。どんな場面で、どんな技術が、どんな使われ方をしているのか? なぜ、機械学習を使ったのか? という文章に対して作った以下の文章の添削をお願いします。その際に、詳細な原因、測定方法、解決案を入れてください。 機械学習は、商品がどれくらい売れるかという予測に役立っている。</t>
  </si>
  <si>
    <t>与えられた問題を入力する前に自分であらかた形を作っておくことで、自分の意見の入った内容にしている点。また、出てきた文章をそのままレポートに記すのではなく、自分で文章の齟齬や内容の正確さを確認してから提出している点。</t>
  </si>
  <si>
    <t>誰がTAさんか分からず声をかけづらかったので、腕章や名札などの分かりやすい目印があると嬉しいです。
また、TAさんはとても優しかったのですが、優しすぎて私たちがやるべきことを代わりにやってくれていたので、自分でできるように教えていただけると幸いです。</t>
  </si>
  <si>
    <t>23238308@edu.cc.saga-u.ac.jp</t>
  </si>
  <si>
    <t>プログラミングは、人間がルールや手順を明示的に記述して、コンピュータに処理をさせるものであり、計算、データの並べ替え、検索などの明確なルールがある処理や高速・正確な繰り返し処理が実現できる。
機械学習は、データからパターンやルールを自動的に学習し、未知のデータに対して予測や判断を行うものであり、大量のデータを使って、コンピュータが自分でルールを見つけ、パターン認識・予測・分類・異常検知などが実現できる。
従来のプログラミングでは手書き文字の認識や音声認識、パターンの多い複雑な提案や自動運転などは実現できなかった。「ルールが書けない問題」に対して、データから学ぶ機械学習が登場した。</t>
  </si>
  <si>
    <t>プログラミングと機械学習の違いについて、なぜ機械学習という手法が出てきたのか　や、実現できる事の違いを踏まえて教えて</t>
  </si>
  <si>
    <t>医療・ヘルスケアの場面で使われている。
ディープラーニングで画像を診断したり、予測モデルで疾患予測・早期診断をしたり、回帰分析で個別化医療を実現したりすることが可能になった。
医師や看護師の不足、医療費の高騰、膨大な医療データの活用の困難、診断ミス見落としなどの課題解決のために使われるようになった。
機械学習では大量のデータからパターンを自動で学習すること、人間では気づきにくい異常や傾向を検出できること、精度、効率を向上させることができるため選ばれた。</t>
  </si>
  <si>
    <t>実世界 (社会や企業・組織など) での機械学習(AI)の利用状況をいくつか教えて
医療・ヘルスケアでどんな技術がどんな使われ方をしているか、また、なぜ機械学習を使ったのか教えて</t>
  </si>
  <si>
    <t>聞きたいことを具体的に全て聞く</t>
  </si>
  <si>
    <t>24238462@edu.cc.saga-u.ac.jp</t>
  </si>
  <si>
    <t>プログラミングは命令通りにしか動かず明確なルールのあるものを得意とし、機械学習はデータからパターンを学びルールを自動で見つけることができる。よってプログラミングは数学の計算や会計ソフトを、そして機械学習は顔認識や翻訳などを実行することができるという違いがある。</t>
  </si>
  <si>
    <t>ビジネスマーケティングとして、通販サイトなどでユーザーの閲覧の傾向を学習することでおすすめを表示するという使われ方がされている。</t>
  </si>
  <si>
    <t>講義も演習もちょうどよい難易度だと感じました。</t>
  </si>
  <si>
    <t>24238175@edu.cc.saga-u.ac.jp</t>
  </si>
  <si>
    <t>プログラミングと機械学習の違いを3つの観点で比較しました。
1つ目は問題解決の方法です。プログラミングは問題解決のために人が解決の手順をコードにして記述します。例えばテストの点数が80点以上だったら合格とするなどを記述します。対して、機械学習は大量のデータからパターンを学習してルールを取得します。例えば猫の画像を識別するためにたくさんの猫の写真データを読み込ませてそこからGPUなどを使った処理で写真の中にある同じ特徴の関数などを見つけ出してそれをルールとして取得します。 
2つ目は入力と出力の関係です。プログラミングは人間が手順を決めるのでデータを入力して中で処理して結果を出力するという流れが完全に決まっています。例えば計算をする時に2+8=10など必ず同じ結果になります。対して、機械学習は入力に対して出力は確率的で事前に用意されたデータによって変わります。例えばAI実習のときのLobe.aiのキリンや象を識別する機械学習ではデータを学習させた後に実際に象の写真を見せるとキリンと表示されたり象と表示されたりする時があり、その都度キリンか象かの判断が確立で返されていて変わっていました。
3つ目は必要なリソースです。プログラミングは開発者の人間的な論理的思考と実行環境と少量のデータです。例えば売上の集計のプログラムを組むときに人間が手順を考え、パソコン上のエディタなどでコードを書き、商品の売価や売上個数などの少量のデータを入れると計算できます。対して、機械学習はモデル設計とGPUなどの計算資源、大量の写真などのデータが必要になります。例えば猫の写真を識別する時にモデル設計をした後に大量の猫の写真のデータと高性能なGPUを使って計算します。</t>
  </si>
  <si>
    <t>ソフトウェアでの実装手段として、プログラミングと機械学習の違いを分かりやすく3つの項目で教えてください。</t>
  </si>
  <si>
    <t>AIの利用状況の1つとしてNetflixやAmazonでのコンテンツや商品推薦についてを調査しました。これはユーザーが動画や買いたい物を探す場面で協調フィルタリングというユーザーの行動から好みの物を探す技術やディープラーニングという大量のデータからパターンや特徴を自律的に学習する技術を使い、過去の視聴履歴や買い物履歴、検索履歴を分析して映画や商品を予測して表示する使われ方をしています。また、なぜ機械学習を使ったのかについてデータ量が膨大になるため人間がプログラミングによりルールを作れないことや商品や映画の検索はデータが毎日蓄積されるためより高精度にユーザの嗜好にそう物が表示されやすくなるためです。</t>
  </si>
  <si>
    <t>現在の世界で機械学習の利用状況について教えてください。その際にどのような場面で、どんな技術が、どのような使われ方をしたのか、なぜ機械学習という手法を使ったのか別の方法ではだめだったのかについて可能な限り具体的に記述して下さい。また、5つ程度教えて下さい</t>
  </si>
  <si>
    <t>機械学習を使った理由を記述してもらう時に別の方法についてのPromptを入れることによってプログラミングなどの方法はなぜ使われないのかを記述してもらうように工夫しました。</t>
  </si>
  <si>
    <t>環境構築の時になぜそのコードをアナコンダプロンプトに打つのかが分かりにくかったです。</t>
  </si>
  <si>
    <t>24238113@edu.cc.saga-u.ac.jp</t>
  </si>
  <si>
    <t>ソフトウェアの実装手段には大きく分けて「プログラミングによる手続き的な実装」と「機械学習によるデータ駆動型の実装」がある。
従来のプログラミングでは開発者がルールや条件を明示的に記述し、コンピュータがそれに従って処理を行う方法であった。一方、機械学習ではルールを人が直接書くのではなく、大量のデータを与えてモデルがデータから関数近似や分類境界を構築していく。
機械学習という手法が登場した背景には、「人間が明示的にルールを書けない問題」が増えたことがある。例えば、画像の中に写っているものを識別したり、人の話し声を文字に起こしたりするような課題は、膨大であいまいな条件が関係しており、手作業でルールを書くのは現実的ではない。こうした「正解はあるが、ルールを定義しにくい問題」に対して、機械学習が有効となった。
実現できることの違いとしては、プログラミングは論理的・数値的な処理（計算、条件分岐、制御など）が得意であり、確実な結果が必要な分野に向いている。一方で機械学習は曖昧なデータや非線形な関係を扱うことが得意であり、画像認識,音声認識,自然言語処理などの分野で広く活用されている。つまり、プログラミングは「人間がルールを与える」方法であり、機械学習は「データからルールを見つけ出す」方法である。両者は目的や問題の性質に応じて使い分けられている。</t>
  </si>
  <si>
    <t>①ソフトウェアでの実装手段として、プログラミングと機械学習の違いについての述べてください。例えば、なぜ機械学習という手法が出てきたのか? 例えば、実現できる事の違い、など。という課題が出された.。これに対する回答を試しに出力せよ。
②（文章をこちらで修正,加筆した文章を別のAIに貼り付けた上で）←の文章は果たして学術的に正しいのか。もし誤っている点があれば明示せよ。</t>
  </si>
  <si>
    <t xml:space="preserve">実世界での機械学習の利用例として、自動車の運転支援システム（自動運転技術）がある。現在、多くの自動車メーカーやIT企業が、車に搭載されたカメラやセンサーからのデータをAIで分析し、AIが周囲の状況を部分的に判断し、運転支援を行う技術が実用化されている。たとえば、前の車との距離を測ってブレーキをかけたり、信号や歩行者を認識して減速したりする機能がそれにあたる。
このような技術では、画像認識や**ディープラーニング（深層学習）**という機械学習の方法が使われている。AIモデルは大量の道路画像や運転データを学習し、「これは歩行者」「これは車」といった特徴を自動で見分けられるようになる。
機械学習を用いる理由は、主に４つ挙げられる。
第一に明示的なルール設定が難しい事象があることである。現実の問題の多くは条件が複雑で、明確なルールをプログラムで定義することが難しいという背景がある。例えば自動運転技術において、道路状況や天候、車や人の動きは毎回異なるため、すべての状況をあらかじめ全てプログラムさせるのはあまり現実的ではない。AIに膨大なデータからパターンを学ばせる方が現実的である。結果として、より安全で効率的な運転支援が可能になっている。
第二に現代社会ではセンサーやインターネットを通じて膨大なデータが蓄積されており、そのデータを活用するために機械学習が有効である。人間が手作業で分析できない規模の情報を処理し、そこから新たな傾向やパターンを見つけ出すことができる。
第三に機械学習は一度作ったモデルに新しいデータを学習させることで、継続的に精度を高めることができるという利点がある。新しいデータを用いて再学習することで、モデルの精度が向上するという点は、固定的なルールベースのプログラムとは大きく異なる。また、機械学習は複雑で非線形な関係を数値的に表現できるため、人間の直感では捉えられない要因間の関係を解析することが可能である。
最後に、機械学習は自律的な意思決定を行うシステムの基盤にもなっている。自動運転車やロボットのように、環境の変化に応じて最適な行動を判断するには、データから学ぶ能力が不可欠である。このように、機械学習は人間の経験や勘に依存しすぎず、データに基づいて柔軟に対応できる、現実の複雑な状況に柔軟に対応できる点で重要な技術となっている。
</t>
  </si>
  <si>
    <t>①実世界 (社会や企業・組織など) での機械学習(AI)の利用状況1つを調査。どんな場面で、どんな技術が、どんな使われ方をしているのか? なぜ、機械学習を使ったのか?大学生にもわかるような文章で試しに回答してみよ。
②↑の文章のソースがあればURL等を明示せよ
③機械学習を用いる理由は明示されたもの以外にもあるだろ。それらにも言及せよ。
④さっきまでとは別のAIに質問。（③で生成された文章をこちらで修正,加筆した文章を貼り付けた上で）←この文章で学術的,日本語的に謝っているところがあれば明示せよ。</t>
  </si>
  <si>
    <t>２つのAI（chatGPTとcopilot)を使用した。
ソースを上げさせた。</t>
  </si>
  <si>
    <t>とても面白かったです！一番最初の環境構築を家でやるときにかなり手間取ってしまったので解説動画等あると少しうれしかったです。（自分でインターネットで情報をあさりまくってやったのでそっちの方がためになった気はしますが、、、）</t>
  </si>
  <si>
    <t>24238019@edu.cc.saga-u.ac.jp</t>
  </si>
  <si>
    <t xml:space="preserve">プログラミングは、人間がルールや手順を明確に記述するため、処理の正確性や再現性が非常に高いという強みがあります。入力と出力の関係が完全に定義できる問題に対しては、効率的かつ信頼性の高い解法を提供できます。また、アルゴリズムの動作が透明であり、なぜその結果になるのかを人間が理解しやすい点も大きな利点です。
一方で、複雑で曖昧な問題に対しては限界があります。例えば「猫と犬を区別する」ようなタスクでは、人間が特徴をすべてルール化するのはほぼ不可能です。また、環境やデータが変化するたびにルールを修正する必要があり、柔軟性に欠けるという弱点があります。
機械学習は、大量のデータからパターンを自動的に学習できるため、人間がルールを定義できない複雑な問題にも対応できます。画像認識や音声認識、需要予測など、従来のプログラミングでは困難だった分野で大きな成果を上げています。また、未知のデータに対してもある程度の予測や推論が可能で、環境の変化に柔軟に適応できる点も強みです。
ただし、学習結果は「なぜその判断に至ったのか」が人間にとって理解しにくい場合が多く、いわゆるブラックボックス性が問題になります。また、学習に必要な大量のデータや計算資源が不可欠であり、データの偏りや質の低さがそのまま結果に反映されるリスクもあります。さらに、確率的な推論に基づくため、必ずしも100%正しい結果を保証できないという性質も持っています。
</t>
  </si>
  <si>
    <t>プログラミングと機械学習の違いについてそれぞれのメリットとデメリットをまとめて文章にして</t>
  </si>
  <si>
    <t xml:space="preserve">旭化成では、新素材や化学製品の研究開発において マテリアルズ・インフォマティクス（MI） を積極的に導入しています。従来、材料開発は研究者が膨大な配合の組み合わせを試行錯誤しながら最適なレシピを探す必要があり、時間とコストが大きな課題でした。そこで同社は、過去の実験データや文献情報を機械学習モデルに学習させ、物性や性能を予測できる仕組みを構築しました。これにより、数万通りに及ぶ配合候補の中から有望な組み合わせを短時間で絞り込み、研究者は効率的に実験を進められるようになっています。
この取り組みの背景には、「人間の経験や勘だけでは探索しきれない広大な材料空間を、データ駆動で効率的に探索する」という目的があります。機械学習を活用することで、従来数か月かかっていた開発プロセスを大幅に短縮し、より高性能な素材を迅速に市場へ投入できる体制を整えています。
</t>
  </si>
  <si>
    <t>特に化学系で例があったら文章にしてまとめて</t>
  </si>
  <si>
    <t>３人班で話し合えたのは良かったが、積極的な人が頑張って他が頑張らん状況ができてたのは良くなかった</t>
  </si>
  <si>
    <t>24238222@edu.cc.saga-u.ac.jp</t>
  </si>
  <si>
    <t>プログラミングとは、コンピュータにしてほしいことを順番に人が指示する作業のことであり、指示がなければ何もできない。私達がプログラミング言語を使って、命令を書き、その命令に従い、コンピュータが動く。人間がすべての手順や条件を明示的にコードで記述し、入力に対して決められた処理を順番に実行する。既知の状況に強く、「もし〇〇なら△△する」といった条件分岐が中心である。会計ソフト、予約管理、データベース操作、ゲーム開発、アプリの開発などがある。機械学習では、過去のデータをコンピュータに膨大な量のデータを読み込ませアルゴリズムがルールを発見し、分析をさせる仕組みである。新しい入力に対しては学習したパターンを使って予測や分類を行うため、未知の状況に柔軟である。機械に学習能力を持たせることにより、自ら判断をすることが可能になった。精度はデータ量を質に依存。結果は確率的で、必ずしも100%正確ではない。顔認識、音声認識、売上予測などがある。</t>
  </si>
  <si>
    <t>プログラミングとは何かを教えてください。
機械学習とは何かを教えてください。</t>
  </si>
  <si>
    <t>会社名ローソン(コンビニエンスストア)でレジレス店舗(レジレスゴー)という場所で、入店時に専用のスマートフォンアプリ、または顔認証と手のひら静脈認証で本人確認を行い、その後AIカメラが来店客が手に取った商品の種類の数を特定する技術が使われている。来店客が商品を持って店舗から出ると専用アプリに電子レシートが送信されて決済が完了する仕組みである。なぜ機械学習を使ったかというと、人件費を大幅に削減することが出来る。また、レジ待ちが少なくなるためである。</t>
  </si>
  <si>
    <t>今回は、プログラミングと機械学習の違いを自分自身で詳しく調べる機会をいただき、誠にありがとうございました。初めて学ぶ内容が多くとても楽しく学習を進めることが出来ました。難しい言葉もありましたが、何度も読み返したり何度も調べることにより、少しずつ理解を深めることが出来ました。来年度の授業に向けては、他の学生との意見交換の時間をもう少し多くの時間を取っていただくと、お互いの理解度の確認や新たな気づきが生まれるのではないかと思います。来年度の授業がさらに充実したものになることを願っております。</t>
  </si>
  <si>
    <t>24238333@edu.cc.saga-u.ac.jp</t>
  </si>
  <si>
    <t>　プログラミングは人間がルールや手順等を定めてその結果の出力を得るため、コンピュータは受動的に処理を実行するのに対し、機械学習は人間が入力と出力の例（データ）を与えてコンピュータが能動的に学習するという違いがある。
　具体的な例として、ゲーム開発におけるレイトレーシングを実装した際に発生するノイズの除去のアルゴリズムの違いについて説明する。
プログラミングを用いてデノイズ処理を作成する場合、ゲーム開発者が隣接ピクセルの色・深度・法線を比較して、類似しているピクセルだけを平均化「Bilateral Filter（バイラテラルフィルタ）」したり、時間的に連続したフレームの情報を利用して平均化「Temporal Accumulation（時間的蓄積）」したりしなければならない。
それぞれの作業を人間が手作業でしないといけないため複雑なシーンでの処理が難しい。
それに対して機械学習を用いたデノイズ処理（NVIDIAの「Ray Reconstruction」など）の場合、「高品質な画像」と「ノイズ入り画像」のペアを大量に学習させて、ノイズをどう取り除けばいいかをAIが自動で学ぶというアプローチを取る。
これがより高度（重く、良質なデータで学習）なニューラルネットワークのとき、手作業では不可能なほど複雑な光や素材のパターンを再現でき、ゲームのグラフィックスがさらに向上する。
　機械学習を用いたデノイズ処理は、伝統的なプログラミングでは実現できなかったような高度なデノイズを可能とし、ゲームのグラフィックスが向上するだけでなく、開発者の負担を大幅に軽減し、開発コストを抑えるといったことにも寄与している。</t>
  </si>
  <si>
    <t>①プログラミングと機械学習の違いについて。できることの違いについて教えて。特に、ゲーム開発におけるレイトレーシングに伴うノイズの処理についてNVIDIAのRay Reconstructionは機械学習を用いたアルゴリズムだと思うが、ゲーム開発者が1からプログラミングをして手作業でデノイズ処理を作成する場合との違い。
②ブラックボックス化の何が問題か。バグ修正がしにくいこととか？</t>
  </si>
  <si>
    <t>機械学習はクレジットカード決済・取引での不正支払いを防止するために使われている。教師あり学習で過去のデータを正負とラベル付けして学習し、取引金額・時間帯・場所・端末情報から不自然さを検知する。不正の手口は常に進化しているため、固定ルールでは対応できないが、機械学習なら新しいパターンを自動的に学習・更新できる。実際には、オンライン決済時に即時判定において機械学習モデルが「この取引は不正の確率が高い」と判断したら、一時保留・確認を行う。</t>
  </si>
  <si>
    <t>①実世界 (社会や企業・組織など) での機械学習(AI)の利用状況1つを調査。どんな場面で、どんな技術が、どんな使われ方をしているのか? なぜ、機械学習を使ったのか?
②クレジットカード決済・取引での不正支払いを防止するために機械学習がどのような使われ方をしているか。</t>
  </si>
  <si>
    <t>回答が何個もあるような質問をできるだけ避け、自分が何となく想像しているような答えが返ってくるように質問した。（例：質問の後に。自分はこう思うがどうか）など。そうすれば、自分が望んだ論点で会話できると考えた。</t>
  </si>
  <si>
    <t>私がその例ですがゲームやChat GPTなどより身近で多くの人が興味を持っていそうな分野と関連付けて話すと意欲的に話を聴く人が多くなると思いました。文章量からもわかると思いますが私は、ゲームの最適化に興味があるのでそれに関連するAIなどの話が出てきたら一瞬で目を覚まし、夢中になって話を聴きます。ただし、みんながそうだというわけではないのでなかなか難しいところですね。</t>
  </si>
  <si>
    <t>24238069@edu.cc.saga-u.ac.jp</t>
  </si>
  <si>
    <t>プログラミングは、人間があらかじめ「こうなったらこうする」というルール（手順）を明確に書くことで、コンピュータを動かす。機械学習は「ルールを人間が書く」代わりに、「データからルールを自動的に学ばせる」方法をとる。</t>
  </si>
  <si>
    <t>コンビニエンスストアでは、毎日どの商品をどれだけ仕入れるかを判断する必要がある。近年では、この予測に機械学習（AI）が活用されている。AIは過去の販売データ、気温、天気、時間帯などの情報を学習し、どの条件で何が売れるかを自動的に予測する。たとえば、暑い日は飲料やアイスを多めに、雨の日は温かい食品を多く発注するなど、店舗ごとに最適な提案を行う。これにより、品切れ防止や食品ロスの削減が実現している。人間では処理しきれない大量のデータを分析し、複雑な要因の中からパターンを見つけ出せる点が、機械学習を利用する大きな理由である。このようにAIは、効率的で環境にも配慮した店舗運営に貢献している。</t>
  </si>
  <si>
    <t>24238058@edu.cc.saga-u.ac.jp</t>
  </si>
  <si>
    <t>まずプログラミングは人間のプログラマーがコードを書くのに対し、機械学習はデータからソフトウェアがコードを書く。プログラミングは明確な手順があり、必然性からアルゴリズムを定義している。また、人間のプログラマーがコードを書くので新しい条件などがあったらその都度ロジックを修正、追加する必要がある。それに対し機械学習はアルゴリズムはデータに依存し、時間とともに変わる。人間が作る明確な手順がなく、多くの事象からアルゴリズムを定義している。新しいデータが与えられた時、そのモデルを使って予測、判断を行う。なので汎用性が高い。</t>
  </si>
  <si>
    <t>プログラミングと機械学習の違いを色んな観点から教えてください。その上でなぜ機械学習というものが出てきて、どのようなものに使われているかなども記述してください</t>
  </si>
  <si>
    <t>YouTubeなどのレコメンド。今までの視聴した動画から視聴者のおすすめをYouTubeというアプリを開いてすぐの場面で使われる。技術面ではディープラーニングで膨大なユーザー行動、動画情報を入力して好みを学習している。今までの視聴履歴、視聴時間などからデータを収集して人の好みを反映する特徴量としている。これはユーザーの興味にあった動画を出したりユーザーの滞在時間を最大にすると言った目的がある。ユーザーの好みは人それぞれで気分によっても変わるなど非常に複雑である。汎用性の高い機械学習を使っているのである。</t>
  </si>
  <si>
    <t>実世界でどのようなことに機械学習が使われているかを教えてください。そしてその機械学習がどんな場面、どんな技術、どんな使われ方、なぜその使われ方をしているのかも踏まえて教えてください。その上で例をひとつに絞り、なぜ機械学習なのか、プログラミングではダメな理由などを踏まえて説明してください。</t>
  </si>
  <si>
    <t>疑問に思った部分をすぐ生成AIなどにきくようにした。</t>
  </si>
  <si>
    <t>画像認識などの正確性を上げるために何をしたら良いか考えるのが難しかった。AIと人は違うので人の脳でAIについて考えるのがそもそも難しく感じた。</t>
  </si>
  <si>
    <t>23238500@edu.cc.saga-u.ac.jp</t>
  </si>
  <si>
    <t xml:space="preserve">プログラミングは人間がルールを作る手法であり、機械学習は機械がルールを見つける手法である。プログラミングは計算や管理などの明確なルールがある問題が得意であり、機械学習は画像や音声などの曖昧であったり、複雑な問題が得意である。
</t>
  </si>
  <si>
    <t>ソフトウェアでの実装手段について、プログラミングと機械学習の違いを開設して。また、それぞれの得意な問題も解説して。</t>
  </si>
  <si>
    <t>質問等ありません。二日間にわたる講義、まことにありがとうございました。</t>
  </si>
  <si>
    <t>例：スーパーマーケットやコンビニエンスストアなどの小売業における「需要予測システム」
天候や曜日、キャンペーン、季節などによって商品の売れ行きが大きく変動するため、適切な発注量を予測することが非常に重要となる。ここで、機械学習を活用した需要予測システムが利用されている。
実際に、ニューラルネットワーク：多数の要因（気温、曜日、イベント情報など）を同時に学習し、複雑なパターンを自動で見つける。といった技術が在庫管理システムや発注システムと連携して使われている。</t>
  </si>
  <si>
    <t>自分自身も、自身の周りも、演習内容はわかりやすく理解できていたつもりだが、やはり、環境構築の最初の段階で間に合っていなかったりした人が多い印象であった。</t>
  </si>
  <si>
    <t>24238453@edu.cc.saga-u.ac.jp</t>
  </si>
  <si>
    <t>プログラミングによるソフトウェア開発においては、入力に対する多段階の処理、出力までの因果関係を人間が定義する。この定義はプログラムコードとして明示される。対して、機械学習によるソフトフェア開発では、データを統計的に学習した結果のパラメータが入出力間を接続している。よって入出力間に存在するのは明示的な因果関係ではなく、因果関係に模倣した非明示の意味的重みの分布である。</t>
  </si>
  <si>
    <t>ソフトウェア開発において、アルゴリズムに基づいたプログラミングの行う方法と機械学習を利用する場合でどう異なるか述べよ。特に、ソフトウェアの処理内部における因果関係の接続について構造的に述べよ。</t>
  </si>
  <si>
    <t>空撮、ドローン映像などから構造物の危険個所や損耗の自動検出を行う。これにより、長大な土木構造物においても点検業務の工数が大きく減じる。</t>
  </si>
  <si>
    <t>実社会での機械学習の利用例を、土木分野で説明せよ。</t>
  </si>
  <si>
    <t>分野を狭めずに解答を求めると、広く浅い一般論が応答すると予測した。よって多少の実務経験と知識のある土木分野に回答を限定した。</t>
  </si>
  <si>
    <t>講義内容への満足感は高く、特に不満は感じていない。強いて言うなら教室の人口密度が高い。</t>
  </si>
  <si>
    <t>24238260@edu.cc.saga-u.ac.jp</t>
  </si>
  <si>
    <t>プログラミングは，人間が作った明確なルールをコンピュータに教え，その指示を忠実にコンピュータに実行させる方法であり，その歴史はコンピュータの誕生とほとんど同じ．当初は、物理的な配線やスイッチの切り替えでコンピュータを動かしていた．そして間もなく，人間が扱いやすい形でコンピュータに指示を出すために，FORTRANやCOBOLなどの「プログラミング言語」が開発された．その後にＣ言語のような汎用的な言語や，オブジェクト指向という考え方が生まれ，より複雑でスケールの大きいソフトウェア開発が可能になった．またPCの普及とともに，誰もがプログラミングに触れることが出来るようになり，多くのWebサイト・Webサービス，スマートフォンアプリ，業務システム，OSが開発されるようになった．
機械学習は，大量のデータを元にコンピュータにルールやパターンを自ら学ばせる方法である．「コンピュータは自ら学習出来るのではないか」という考えは古くからあったが，1950年代当時のコンピュータの性能では複雑な計算が出来ず，研究を進めることが出来ずにいた．しかし，インターネットの普及でビッグデータを扱うことが出来るようになり，コンピュータの計算能力も飛躍的に向上した．そして，「ディープラーニング（深層学習）」という技術が登場し，主に画像認識などの分野で驚異的な性能を発揮したことで，一気に注目が集まり，ほかの分野でも幅広く実用化が進んだ．画像認識や音声認識，自然言語処理，株価や需要の予測などの技術の実現できるようになった．</t>
  </si>
  <si>
    <t>ソフトウェアでの実装手段として、プログラミングと機械学習の違いについて考えたい．
この分野について私は初心者である．
それぞれの成り立ちや，それらの技術によって可能となること，実現出来ることなどを教えて欲しい．</t>
  </si>
  <si>
    <t>「Amazonのレコメンデーション機能」
＜使用技術＞：協調フィルタリング
＜場面＞：ユーザーがログインし，「お客様へのおすすめ」としてパーソナライズされた商品一覧が表示される．閲覧中の商品に基づき，「この商品を買った人はこんな商品も見ています」「よく一緒に購入されている商品」というような形で関連商品が提示される．特定のキーワードで検索した際に，「Amazonおすすめ」ラベルが付与され，商品が上位に表示される．商品をカートに入れる時や購入完了画面で関連商品が提案される．過去の購買・閲覧履歴に基づき，おすすめ商品を案内するメールが定期的に配信される．
＜使われ方＞
データ収集を行い，収集したデータを機械学習モデルが分析し，商品間の関連性やユーザーの潜在的な好みのパターンを学習する．ユーザーがサイトを訪れ，特定の商品を閲覧するなどのアクションを起こすと，システムは学習済みモデルを使って瞬時に計算を行う．そして，そのユーザーにとって購買の可能性が最も高いと予測される商品を「おすすめ」としてページに表示する．
＜機械学習が利用される理由＞
人間には出来ない規模と複雑性への対応や，高度なパーソナライゼーションの実現，ビジネス成果への直接的な貢献．</t>
  </si>
  <si>
    <t>社会や企業などの組織などでの機械学習（AI）の利用状況を一つ挙げ，機械学習のどの技術が，どの場面で，どのような使われ方をしているのか，またそもそも，機械学習がなぜそこで利用されているのか，について調べたい．</t>
  </si>
  <si>
    <t>私は常日頃から生成AIを利用しているが，今回も，
・現段階の自分の知識レベル
・こちらが今必要としている情報
・今何を話題としているのか
・参照すべき情報
などを確実に，そして明確にAIに伝えるように心がけた．</t>
  </si>
  <si>
    <t>＜困った点＞
・自分のPCで環境設定が出来なかった
→出来れば自分のPCで演習をしたいので，もう少しTAの方の人数を増やすなりして，もう少し手厚く演習のサポートをして欲しい
＜難しかった点＞
・もちろん知識が無いので当たり前かもしれないが，AIの専門的な話がとても難しかった
→しかし，そういった実務で普段からその分野に触れている方から専門的なお話を聞ける機会は大変貴重なので，そのインパクトはぜひキープして欲しい</t>
  </si>
  <si>
    <t>24238109@edu.cc.saga-u.ac.jp</t>
  </si>
  <si>
    <t>　プログラミングは手作業によりコードとして書き下す手法であるのに対し、機械学習はその代わりに大量のサンプルデータをコンピュータに読み込ませ、そのデータに潜むパターンやルールを自ら学習させる手法となっている。
　プログラミングではコードにルールをすべて記述する必要があるため出力が予測可能である一方で、画像処理のようなパターンの複雑なタスクに対しては記述するべきルールが膨大になったり未知のパターンに対応することが難しくなるといった欠点がある。
　機械学習はコンピュータがそのルールを自ら学習するため、プログラミングが苦手な複雑なタスクへの対応が得意になる。しかし人間がルールを記述しないため、コンピュータがなぜその判断を下したのか、といったことが不明瞭になるといった短所がある。
　以上のことから、プログラミングは予測可能な出力を行うため計算をはじめとした正確な予測が可能なタスクに対して用いられているのに対し、機械学習は画像認識などの条件分岐のできない予測が困難なタスクに対して用いられているといえる。</t>
  </si>
  <si>
    <t>ソフトウェアでの実装手段として、プログラミングと機械学習の違いについて表なども用いてわかりやすく詳細に説明してください。</t>
  </si>
  <si>
    <t>ヤマト運輸では業務効率化のために機械学習が用いられている。例として、主に医薬品を扱うアルフレッサとの業務提携の際に導入された配送業務量予測および適正配車のシステムが挙げられる。これはアルフレッサに蓄積された「販売」「物流」「商品」「需要トレンド」といったビッグデータをAIによって分析し、顧客ごとの配送業務量の予測および自動的な配車計画の作成を行うといったものである。これによって配送生産性は向上し、走行距離の低減による環境負荷の低減も見込まれた。他にもAIを用いて車両や利用拠点の最適な配置を抽出するといった複数のAIを主に業務効率化のために用いられている。
以上のことから、ヤマト運輸は膨大な数の顧客に対し最適なルートでの配送を行い、コスト削減およびサービス品質の向上のためにさまざまな機械学習(AI)モデルをシステムに導入し、利用しているといえる。</t>
  </si>
  <si>
    <t>社会や企業といった実世界の内部において機械学習が用いられている例を、実際の組織名を明示して詳細に教えてください。
先ほどのヤマト運輸の例について、どんな場面で、どんな技術が、どんな使われ方をしているのか、なぜ機械学習を使ったのかといった点について詳細に説明してください。それについて説明したWEBページがあるならば、URLも載せてください。</t>
  </si>
  <si>
    <t>設問4では、具体的な企業の絞り込みと詳細な調査のためにPromptを２回に分けて入力した。工夫した点として、「明示して」「詳細に」という文言を意識してつけ、自身の欲しい情報が得られるようにし、より理解を深めやすいようにした。また、生成された情報がすべて正しいとは限られないためURLを提示するよう２度目のPromptに記載して審議を確認しやすいようにした。</t>
  </si>
  <si>
    <t>AI実習の講義内容については満足できるものでした。Lobeというソフトウェアやnotebookなどを用いて機械学習を能動的に体験したりと非常に有意義なものとなりました。２,３人で話し合って演習を進めるのもちょうど良いと感じました</t>
  </si>
  <si>
    <t>24238464@edu.cc.saga-u.ac.jp</t>
  </si>
  <si>
    <t>プログラミングは人間が明確な手順や条件を決めて振る舞いを決めるのに対して、機械学習はデータから振る舞いを学習させ、明示的な手順ではなく、統計的モデルで判断する手法である。そのため、プログラミングでは税金の計算など手順が明確なものに対して向いており、機械学習は画像認識や需要予測などに向いている。</t>
  </si>
  <si>
    <t>ソフトウェアでの実装手段として、プログラミングと機械学習の違いについての述べてください。例えば、なぜ機械学習という手法が出てきたのか? 例えば、実現できる事の違い、など。
そのように考える理由を詳細な根拠を示した上で教えてください。</t>
  </si>
  <si>
    <t>根拠のない不確定な情報を提示しないように最後の文を追加した。</t>
  </si>
  <si>
    <t>製造業において、正常時のデータをモデル化してそこからのずれを「異常」と判断する異常検知、故障がいつ起こるか、あるいは特定の部品がいつ寿命に近づくかを予測するモデルを作り、メンテナンス計画の作成の支援といった使われ方をしている。理由としては、故障パターンが複雑で人間が見つけにくいため、計画外の停止を抑制しコストを削減するため、などが挙げられる。</t>
  </si>
  <si>
    <t>Id</t>
  </si>
  <si>
    <t>ソフトウェアでの実装手段として、プログラミングと機械学習の違いについての述べてください。例えば、なぜ機械学習という手法が出てきたのか? 例えば、実現できる事の違い、など。生成AIを使用した場合は、その結果としてのレポートはここになります。</t>
  </si>
  <si>
    <t>プログラミングと機械学習の違いの具体例出して
読みやすいように修正して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</si>
</sst>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worksheet" Target="/xl/worksheets/sheet2.xml" Id="R8a7d530cbd2b4d4e" /><Relationship Type="http://schemas.openxmlformats.org/officeDocument/2006/relationships/worksheet" Target="/xl/worksheets/sheet3.xml" Id="R9d722427f82b4c7d" /><Relationship Type="http://schemas.openxmlformats.org/officeDocument/2006/relationships/worksheet" Target="/xl/worksheets/sheet4.xml" Id="Rd26f7717825a4b1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9135-2F38-4B07-9099-FD1EA07FCC55}">
  <dimension ref="A1:L531"/>
  <sheetViews>
    <sheetView tabSelected="1" workbookViewId="0">
      <selection activeCell="L1" sqref="L1"/>
    </sheetView>
  </sheetViews>
  <sheetFormatPr defaultRowHeight="13.2" x14ac:dyDescent="0.2"/>
  <sheetData>
    <row r="1" spans="1:12" x14ac:dyDescent="0.2">
      <c r="A1" t="s">
        <v>3259</v>
      </c>
      <c r="B1" t="s">
        <v>0</v>
      </c>
      <c r="C1" t="s">
        <v>1</v>
      </c>
      <c r="D1" t="s">
        <v>2</v>
      </c>
      <c r="E1" t="s">
        <v>3</v>
      </c>
      <c r="F1" t="s">
        <v>3260</v>
      </c>
      <c r="G1" t="s">
        <v>4</v>
      </c>
      <c r="H1" t="s">
        <v>5</v>
      </c>
      <c r="I1" t="s">
        <v>994</v>
      </c>
      <c r="J1" t="s">
        <v>6</v>
      </c>
      <c r="K1" t="s">
        <v>7</v>
      </c>
      <c r="L1" t="s">
        <v>8</v>
      </c>
    </row>
    <row r="2" spans="1:12" x14ac:dyDescent="0.2">
      <c r="A2">
        <v>1</v>
      </c>
      <c r="B2">
        <v>45929.924421296302</v>
      </c>
      <c r="C2">
        <v>45929.990416666697</v>
      </c>
      <c r="D2" t="s">
        <v>9</v>
      </c>
      <c r="E2" t="s">
        <v>9</v>
      </c>
      <c r="F2" t="s">
        <v>10</v>
      </c>
      <c r="G2" t="s">
        <v>11</v>
      </c>
      <c r="I2" t="s">
        <v>12</v>
      </c>
      <c r="J2" t="s">
        <v>13</v>
      </c>
      <c r="K2" t="s">
        <v>14</v>
      </c>
      <c r="L2" t="s">
        <v>15</v>
      </c>
    </row>
    <row r="3" spans="1:12" x14ac:dyDescent="0.2">
      <c r="A3">
        <v>2</v>
      </c>
      <c r="B3">
        <v>45930.011898148099</v>
      </c>
      <c r="C3">
        <v>45930.013518518499</v>
      </c>
      <c r="D3" t="s">
        <v>16</v>
      </c>
      <c r="E3" t="s">
        <v>16</v>
      </c>
      <c r="F3" t="s">
        <v>17</v>
      </c>
      <c r="G3" t="s">
        <v>18</v>
      </c>
      <c r="I3" t="s">
        <v>19</v>
      </c>
      <c r="J3" t="s">
        <v>20</v>
      </c>
      <c r="L3" t="s">
        <v>21</v>
      </c>
    </row>
    <row r="4" spans="1:12" x14ac:dyDescent="0.2">
      <c r="A4">
        <v>3</v>
      </c>
      <c r="B4">
        <v>45930.019074074102</v>
      </c>
      <c r="C4">
        <v>45930.019479166702</v>
      </c>
      <c r="D4" t="s">
        <v>22</v>
      </c>
      <c r="E4" t="s">
        <v>22</v>
      </c>
      <c r="F4" t="s">
        <v>23</v>
      </c>
      <c r="G4" t="s">
        <v>24</v>
      </c>
      <c r="I4" t="s">
        <v>25</v>
      </c>
      <c r="J4" t="s">
        <v>26</v>
      </c>
      <c r="K4" t="s">
        <v>27</v>
      </c>
      <c r="L4" t="s">
        <v>28</v>
      </c>
    </row>
    <row r="5" spans="1:12" x14ac:dyDescent="0.2">
      <c r="A5">
        <v>4</v>
      </c>
      <c r="B5">
        <v>45930.4746759259</v>
      </c>
      <c r="C5">
        <v>45930.4840625</v>
      </c>
      <c r="D5" t="s">
        <v>29</v>
      </c>
      <c r="E5" t="s">
        <v>29</v>
      </c>
      <c r="F5" t="s">
        <v>30</v>
      </c>
      <c r="G5" t="s">
        <v>31</v>
      </c>
      <c r="I5" t="s">
        <v>32</v>
      </c>
      <c r="J5" t="s">
        <v>33</v>
      </c>
      <c r="K5" t="s">
        <v>34</v>
      </c>
      <c r="L5" t="s">
        <v>35</v>
      </c>
    </row>
    <row r="6" spans="1:12" x14ac:dyDescent="0.2">
      <c r="A6">
        <v>5</v>
      </c>
      <c r="B6">
        <v>45930.477222222202</v>
      </c>
      <c r="C6">
        <v>45930.484629629602</v>
      </c>
      <c r="D6" t="s">
        <v>36</v>
      </c>
      <c r="E6" t="s">
        <v>36</v>
      </c>
      <c r="F6" t="s">
        <v>37</v>
      </c>
      <c r="H6" t="s">
        <v>38</v>
      </c>
      <c r="I6" t="s">
        <v>39</v>
      </c>
      <c r="L6" t="s">
        <v>40</v>
      </c>
    </row>
    <row r="7" spans="1:12" x14ac:dyDescent="0.2">
      <c r="A7">
        <v>6</v>
      </c>
      <c r="B7">
        <v>45930.477118055598</v>
      </c>
      <c r="C7">
        <v>45930.486157407402</v>
      </c>
      <c r="D7" t="s">
        <v>41</v>
      </c>
      <c r="E7" t="s">
        <v>41</v>
      </c>
      <c r="F7" t="s">
        <v>42</v>
      </c>
      <c r="G7" t="s">
        <v>43</v>
      </c>
      <c r="I7" t="s">
        <v>44</v>
      </c>
      <c r="J7" t="s">
        <v>45</v>
      </c>
      <c r="L7" t="s">
        <v>46</v>
      </c>
    </row>
    <row r="8" spans="1:12" x14ac:dyDescent="0.2">
      <c r="A8">
        <v>7</v>
      </c>
      <c r="B8">
        <v>45930.470752314803</v>
      </c>
      <c r="C8">
        <v>45930.486909722204</v>
      </c>
      <c r="D8" t="s">
        <v>47</v>
      </c>
      <c r="E8" t="s">
        <v>47</v>
      </c>
      <c r="F8" t="s">
        <v>48</v>
      </c>
      <c r="G8" t="s">
        <v>49</v>
      </c>
      <c r="I8" t="s">
        <v>50</v>
      </c>
      <c r="J8" t="s">
        <v>51</v>
      </c>
      <c r="K8" t="s">
        <v>52</v>
      </c>
      <c r="L8" t="s">
        <v>53</v>
      </c>
    </row>
    <row r="9" spans="1:12" x14ac:dyDescent="0.2">
      <c r="A9">
        <v>8</v>
      </c>
      <c r="B9">
        <v>45930.477268518502</v>
      </c>
      <c r="C9">
        <v>45930.486990740697</v>
      </c>
      <c r="D9" t="s">
        <v>54</v>
      </c>
      <c r="E9" t="s">
        <v>54</v>
      </c>
      <c r="F9" t="s">
        <v>55</v>
      </c>
      <c r="G9" t="s">
        <v>56</v>
      </c>
      <c r="I9" t="s">
        <v>57</v>
      </c>
      <c r="J9" t="s">
        <v>58</v>
      </c>
      <c r="K9" t="s">
        <v>59</v>
      </c>
      <c r="L9" t="s">
        <v>60</v>
      </c>
    </row>
    <row r="10" spans="1:12" x14ac:dyDescent="0.2">
      <c r="A10">
        <v>9</v>
      </c>
      <c r="B10">
        <v>45930.472615740699</v>
      </c>
      <c r="C10">
        <v>45930.487002314803</v>
      </c>
      <c r="D10" t="s">
        <v>61</v>
      </c>
      <c r="E10" t="s">
        <v>61</v>
      </c>
      <c r="F10" t="s">
        <v>62</v>
      </c>
      <c r="G10" t="s">
        <v>63</v>
      </c>
      <c r="I10" t="s">
        <v>64</v>
      </c>
      <c r="J10" t="s">
        <v>65</v>
      </c>
      <c r="K10" t="s">
        <v>66</v>
      </c>
      <c r="L10" t="s">
        <v>67</v>
      </c>
    </row>
    <row r="11" spans="1:12" x14ac:dyDescent="0.2">
      <c r="A11">
        <v>10</v>
      </c>
      <c r="B11">
        <v>45930.483796296299</v>
      </c>
      <c r="C11">
        <v>45930.488738425898</v>
      </c>
      <c r="D11" t="s">
        <v>68</v>
      </c>
      <c r="E11" t="s">
        <v>68</v>
      </c>
      <c r="F11" t="s">
        <v>69</v>
      </c>
      <c r="G11" t="s">
        <v>70</v>
      </c>
      <c r="I11" t="s">
        <v>71</v>
      </c>
      <c r="J11" t="s">
        <v>72</v>
      </c>
      <c r="K11" t="s">
        <v>73</v>
      </c>
      <c r="L11" t="s">
        <v>74</v>
      </c>
    </row>
    <row r="12" spans="1:12" x14ac:dyDescent="0.2">
      <c r="A12">
        <v>11</v>
      </c>
      <c r="B12">
        <v>45930.441261574102</v>
      </c>
      <c r="C12">
        <v>45930.493136574099</v>
      </c>
      <c r="D12" t="s">
        <v>75</v>
      </c>
      <c r="E12" t="s">
        <v>75</v>
      </c>
      <c r="F12" t="s">
        <v>76</v>
      </c>
      <c r="G12" t="s">
        <v>77</v>
      </c>
      <c r="I12" t="s">
        <v>78</v>
      </c>
      <c r="J12" t="s">
        <v>79</v>
      </c>
      <c r="K12" t="s">
        <v>80</v>
      </c>
      <c r="L12" t="s">
        <v>81</v>
      </c>
    </row>
    <row r="13" spans="1:12" x14ac:dyDescent="0.2">
      <c r="A13">
        <v>12</v>
      </c>
      <c r="B13">
        <v>45930.484479166698</v>
      </c>
      <c r="C13">
        <v>45930.493969907402</v>
      </c>
      <c r="D13" t="s">
        <v>82</v>
      </c>
      <c r="E13" t="s">
        <v>82</v>
      </c>
      <c r="F13" t="s">
        <v>83</v>
      </c>
      <c r="G13" t="s">
        <v>84</v>
      </c>
      <c r="H13" t="s">
        <v>85</v>
      </c>
      <c r="I13" t="s">
        <v>86</v>
      </c>
      <c r="J13" t="s">
        <v>84</v>
      </c>
      <c r="K13" t="s">
        <v>87</v>
      </c>
      <c r="L13" t="s">
        <v>88</v>
      </c>
    </row>
    <row r="14" spans="1:12" x14ac:dyDescent="0.2">
      <c r="A14">
        <v>13</v>
      </c>
      <c r="B14">
        <v>45930.481608796297</v>
      </c>
      <c r="C14">
        <v>45930.494062500002</v>
      </c>
      <c r="D14" t="s">
        <v>89</v>
      </c>
      <c r="E14" t="s">
        <v>89</v>
      </c>
      <c r="F14" t="s">
        <v>90</v>
      </c>
      <c r="G14" t="s">
        <v>91</v>
      </c>
      <c r="H14" t="s">
        <v>92</v>
      </c>
      <c r="I14" t="s">
        <v>93</v>
      </c>
      <c r="J14" t="s">
        <v>94</v>
      </c>
      <c r="K14" t="s">
        <v>95</v>
      </c>
      <c r="L14" t="s">
        <v>96</v>
      </c>
    </row>
    <row r="15" spans="1:12" x14ac:dyDescent="0.2">
      <c r="A15">
        <v>14</v>
      </c>
      <c r="B15">
        <v>45930.478773148097</v>
      </c>
      <c r="C15">
        <v>45930.494513888902</v>
      </c>
      <c r="D15" t="s">
        <v>97</v>
      </c>
      <c r="E15" t="s">
        <v>97</v>
      </c>
      <c r="F15" t="s">
        <v>98</v>
      </c>
      <c r="G15" t="s">
        <v>99</v>
      </c>
      <c r="I15" t="s">
        <v>100</v>
      </c>
      <c r="J15" t="s">
        <v>101</v>
      </c>
      <c r="K15" t="s">
        <v>102</v>
      </c>
      <c r="L15" t="s">
        <v>103</v>
      </c>
    </row>
    <row r="16" spans="1:12" x14ac:dyDescent="0.2">
      <c r="A16">
        <v>15</v>
      </c>
      <c r="B16">
        <v>45930.4534837963</v>
      </c>
      <c r="C16">
        <v>45930.495069444398</v>
      </c>
      <c r="D16" t="s">
        <v>104</v>
      </c>
      <c r="E16" t="s">
        <v>104</v>
      </c>
      <c r="F16" t="s">
        <v>105</v>
      </c>
      <c r="G16" t="s">
        <v>106</v>
      </c>
      <c r="H16" t="s">
        <v>107</v>
      </c>
      <c r="I16" t="s">
        <v>108</v>
      </c>
      <c r="J16" t="s">
        <v>109</v>
      </c>
      <c r="K16" t="s">
        <v>110</v>
      </c>
      <c r="L16" t="s">
        <v>111</v>
      </c>
    </row>
    <row r="17" spans="1:12" x14ac:dyDescent="0.2">
      <c r="A17">
        <v>16</v>
      </c>
      <c r="B17">
        <v>45930.480972222198</v>
      </c>
      <c r="C17">
        <v>45930.495555555601</v>
      </c>
      <c r="D17" t="s">
        <v>112</v>
      </c>
      <c r="E17" t="s">
        <v>112</v>
      </c>
      <c r="F17" t="s">
        <v>113</v>
      </c>
      <c r="G17" t="s">
        <v>114</v>
      </c>
      <c r="I17" t="s">
        <v>115</v>
      </c>
      <c r="J17" t="s">
        <v>116</v>
      </c>
      <c r="K17" t="s">
        <v>117</v>
      </c>
      <c r="L17" t="s">
        <v>118</v>
      </c>
    </row>
    <row r="18" spans="1:12" x14ac:dyDescent="0.2">
      <c r="A18">
        <v>17</v>
      </c>
      <c r="B18">
        <v>45930.473969907398</v>
      </c>
      <c r="C18">
        <v>45930.496203703697</v>
      </c>
      <c r="D18" t="s">
        <v>119</v>
      </c>
      <c r="E18" t="s">
        <v>119</v>
      </c>
      <c r="F18" t="s">
        <v>120</v>
      </c>
      <c r="G18" t="s">
        <v>121</v>
      </c>
      <c r="I18" t="s">
        <v>122</v>
      </c>
      <c r="J18" t="s">
        <v>123</v>
      </c>
      <c r="K18" t="s">
        <v>124</v>
      </c>
      <c r="L18" t="s">
        <v>125</v>
      </c>
    </row>
    <row r="19" spans="1:12" x14ac:dyDescent="0.2">
      <c r="A19">
        <v>18</v>
      </c>
      <c r="B19">
        <v>45930.489884259303</v>
      </c>
      <c r="C19">
        <v>45930.496469907397</v>
      </c>
      <c r="D19" t="s">
        <v>126</v>
      </c>
      <c r="E19" t="s">
        <v>126</v>
      </c>
      <c r="F19" t="s">
        <v>127</v>
      </c>
      <c r="G19" t="s">
        <v>106</v>
      </c>
      <c r="I19" t="s">
        <v>128</v>
      </c>
      <c r="J19" t="s">
        <v>129</v>
      </c>
      <c r="K19" t="s">
        <v>130</v>
      </c>
      <c r="L19" t="s">
        <v>131</v>
      </c>
    </row>
    <row r="20" spans="1:12" x14ac:dyDescent="0.2">
      <c r="A20">
        <v>19</v>
      </c>
      <c r="B20">
        <v>45930.461550925902</v>
      </c>
      <c r="C20">
        <v>45930.499444444402</v>
      </c>
      <c r="D20" t="s">
        <v>132</v>
      </c>
      <c r="E20" t="s">
        <v>132</v>
      </c>
      <c r="F20" t="s">
        <v>133</v>
      </c>
      <c r="G20" t="s">
        <v>134</v>
      </c>
      <c r="I20" t="s">
        <v>135</v>
      </c>
      <c r="J20" t="s">
        <v>136</v>
      </c>
      <c r="K20" t="s">
        <v>137</v>
      </c>
    </row>
    <row r="21" spans="1:12" x14ac:dyDescent="0.2">
      <c r="A21">
        <v>20</v>
      </c>
      <c r="B21">
        <v>45930.476909722202</v>
      </c>
      <c r="C21">
        <v>45930.500069444402</v>
      </c>
      <c r="D21" t="s">
        <v>138</v>
      </c>
      <c r="E21" t="s">
        <v>138</v>
      </c>
      <c r="F21" t="s">
        <v>139</v>
      </c>
      <c r="I21" t="s">
        <v>140</v>
      </c>
      <c r="L21" t="s">
        <v>141</v>
      </c>
    </row>
    <row r="22" spans="1:12" x14ac:dyDescent="0.2">
      <c r="A22">
        <v>21</v>
      </c>
      <c r="B22">
        <v>45930.486527777801</v>
      </c>
      <c r="C22">
        <v>45930.508229166699</v>
      </c>
      <c r="D22" t="s">
        <v>142</v>
      </c>
      <c r="E22" t="s">
        <v>142</v>
      </c>
      <c r="F22" t="s">
        <v>143</v>
      </c>
      <c r="G22" t="s">
        <v>144</v>
      </c>
      <c r="I22" t="s">
        <v>145</v>
      </c>
      <c r="J22" t="s">
        <v>146</v>
      </c>
      <c r="K22" t="s">
        <v>147</v>
      </c>
    </row>
    <row r="23" spans="1:12" x14ac:dyDescent="0.2">
      <c r="A23">
        <v>22</v>
      </c>
      <c r="B23">
        <v>45930.477291666699</v>
      </c>
      <c r="C23">
        <v>45930.519074074102</v>
      </c>
      <c r="D23" t="s">
        <v>148</v>
      </c>
      <c r="E23" t="s">
        <v>148</v>
      </c>
      <c r="F23" t="s">
        <v>149</v>
      </c>
      <c r="G23" t="s">
        <v>150</v>
      </c>
      <c r="I23" t="s">
        <v>151</v>
      </c>
      <c r="J23" t="s">
        <v>152</v>
      </c>
      <c r="L23" t="s">
        <v>153</v>
      </c>
    </row>
    <row r="24" spans="1:12" x14ac:dyDescent="0.2">
      <c r="A24">
        <v>23</v>
      </c>
      <c r="B24">
        <v>45930.439305555599</v>
      </c>
      <c r="C24">
        <v>45930.520879629599</v>
      </c>
      <c r="D24" t="s">
        <v>154</v>
      </c>
      <c r="E24" t="s">
        <v>154</v>
      </c>
      <c r="F24" t="s">
        <v>155</v>
      </c>
      <c r="G24" t="s">
        <v>156</v>
      </c>
      <c r="I24" t="s">
        <v>157</v>
      </c>
      <c r="L24" t="s">
        <v>158</v>
      </c>
    </row>
    <row r="25" spans="1:12" x14ac:dyDescent="0.2">
      <c r="A25">
        <v>24</v>
      </c>
      <c r="B25">
        <v>45930.477395833303</v>
      </c>
      <c r="C25">
        <v>45930.527916666702</v>
      </c>
      <c r="D25" t="s">
        <v>159</v>
      </c>
      <c r="E25" t="s">
        <v>159</v>
      </c>
      <c r="F25" t="s">
        <v>160</v>
      </c>
      <c r="G25" t="s">
        <v>161</v>
      </c>
      <c r="I25" t="s">
        <v>162</v>
      </c>
      <c r="J25" t="s">
        <v>163</v>
      </c>
      <c r="K25" t="s">
        <v>164</v>
      </c>
      <c r="L25" t="s">
        <v>165</v>
      </c>
    </row>
    <row r="26" spans="1:12" x14ac:dyDescent="0.2">
      <c r="A26">
        <v>25</v>
      </c>
      <c r="B26">
        <v>45930.518726851798</v>
      </c>
      <c r="C26">
        <v>45930.529826388898</v>
      </c>
      <c r="D26" t="s">
        <v>166</v>
      </c>
      <c r="E26" t="s">
        <v>166</v>
      </c>
      <c r="F26" t="s">
        <v>167</v>
      </c>
      <c r="G26" t="s">
        <v>168</v>
      </c>
      <c r="I26" t="s">
        <v>169</v>
      </c>
      <c r="J26" t="s">
        <v>170</v>
      </c>
      <c r="K26" t="s">
        <v>171</v>
      </c>
      <c r="L26" t="s">
        <v>172</v>
      </c>
    </row>
    <row r="27" spans="1:12" x14ac:dyDescent="0.2">
      <c r="A27">
        <v>26</v>
      </c>
      <c r="B27">
        <v>45930.479791666701</v>
      </c>
      <c r="C27">
        <v>45930.538009259297</v>
      </c>
      <c r="D27" t="s">
        <v>173</v>
      </c>
      <c r="E27" t="s">
        <v>173</v>
      </c>
      <c r="F27" t="s">
        <v>174</v>
      </c>
      <c r="G27" t="s">
        <v>175</v>
      </c>
      <c r="I27" t="s">
        <v>176</v>
      </c>
      <c r="J27" t="s">
        <v>177</v>
      </c>
      <c r="K27" t="s">
        <v>178</v>
      </c>
    </row>
    <row r="28" spans="1:12" x14ac:dyDescent="0.2">
      <c r="A28">
        <v>27</v>
      </c>
      <c r="B28">
        <v>45930.528749999998</v>
      </c>
      <c r="C28">
        <v>45930.539398148103</v>
      </c>
      <c r="D28" t="s">
        <v>179</v>
      </c>
      <c r="E28" t="s">
        <v>179</v>
      </c>
      <c r="F28" t="s">
        <v>180</v>
      </c>
      <c r="I28" t="s">
        <v>181</v>
      </c>
      <c r="L28" t="s">
        <v>182</v>
      </c>
    </row>
    <row r="29" spans="1:12" x14ac:dyDescent="0.2">
      <c r="A29">
        <v>28</v>
      </c>
      <c r="B29">
        <v>45930.537048611099</v>
      </c>
      <c r="C29">
        <v>45930.539930555598</v>
      </c>
      <c r="D29" t="s">
        <v>183</v>
      </c>
      <c r="E29" t="s">
        <v>183</v>
      </c>
      <c r="F29" t="s">
        <v>184</v>
      </c>
      <c r="G29" t="s">
        <v>185</v>
      </c>
      <c r="I29" t="s">
        <v>186</v>
      </c>
      <c r="J29" t="s">
        <v>187</v>
      </c>
      <c r="K29" t="s">
        <v>188</v>
      </c>
    </row>
    <row r="30" spans="1:12" x14ac:dyDescent="0.2">
      <c r="A30">
        <v>29</v>
      </c>
      <c r="B30">
        <v>45930.539618055598</v>
      </c>
      <c r="C30">
        <v>45930.540092592601</v>
      </c>
      <c r="D30" t="s">
        <v>189</v>
      </c>
      <c r="E30" t="s">
        <v>189</v>
      </c>
      <c r="F30" t="s">
        <v>190</v>
      </c>
      <c r="G30" t="s">
        <v>191</v>
      </c>
      <c r="I30" t="s">
        <v>192</v>
      </c>
      <c r="J30" t="s">
        <v>193</v>
      </c>
      <c r="K30" t="s">
        <v>194</v>
      </c>
    </row>
    <row r="31" spans="1:12" x14ac:dyDescent="0.2">
      <c r="A31">
        <v>30</v>
      </c>
      <c r="B31">
        <v>45930.439259259299</v>
      </c>
      <c r="C31">
        <v>45930.543124999997</v>
      </c>
      <c r="D31" t="s">
        <v>195</v>
      </c>
      <c r="E31" t="s">
        <v>195</v>
      </c>
      <c r="F31" t="s">
        <v>196</v>
      </c>
      <c r="G31" t="s">
        <v>197</v>
      </c>
      <c r="H31" t="s">
        <v>198</v>
      </c>
      <c r="I31" t="s">
        <v>199</v>
      </c>
      <c r="J31" t="s">
        <v>200</v>
      </c>
      <c r="K31" t="s">
        <v>201</v>
      </c>
      <c r="L31" t="s">
        <v>202</v>
      </c>
    </row>
    <row r="32" spans="1:12" x14ac:dyDescent="0.2">
      <c r="A32">
        <v>31</v>
      </c>
      <c r="B32">
        <v>45930.5395601852</v>
      </c>
      <c r="C32">
        <v>45930.543159722198</v>
      </c>
      <c r="D32" t="s">
        <v>203</v>
      </c>
      <c r="E32" t="s">
        <v>203</v>
      </c>
      <c r="F32" t="s">
        <v>204</v>
      </c>
      <c r="I32" t="s">
        <v>205</v>
      </c>
      <c r="J32" t="s">
        <v>206</v>
      </c>
      <c r="L32" t="s">
        <v>207</v>
      </c>
    </row>
    <row r="33" spans="1:12" x14ac:dyDescent="0.2">
      <c r="A33">
        <v>32</v>
      </c>
      <c r="B33">
        <v>45930.4391666667</v>
      </c>
      <c r="C33">
        <v>45930.5479976852</v>
      </c>
      <c r="D33" t="s">
        <v>208</v>
      </c>
      <c r="E33" t="s">
        <v>208</v>
      </c>
      <c r="F33" t="s">
        <v>209</v>
      </c>
      <c r="I33" t="s">
        <v>210</v>
      </c>
      <c r="J33" t="s">
        <v>211</v>
      </c>
      <c r="L33" t="s">
        <v>212</v>
      </c>
    </row>
    <row r="34" spans="1:12" x14ac:dyDescent="0.2">
      <c r="A34">
        <v>33</v>
      </c>
      <c r="B34">
        <v>45930.528402777803</v>
      </c>
      <c r="C34">
        <v>45930.548240740703</v>
      </c>
      <c r="D34" t="s">
        <v>213</v>
      </c>
      <c r="E34" t="s">
        <v>213</v>
      </c>
      <c r="F34" t="s">
        <v>214</v>
      </c>
      <c r="I34" t="s">
        <v>215</v>
      </c>
      <c r="L34" t="s">
        <v>216</v>
      </c>
    </row>
    <row r="35" spans="1:12" x14ac:dyDescent="0.2">
      <c r="A35">
        <v>34</v>
      </c>
      <c r="B35">
        <v>45930.541678240697</v>
      </c>
      <c r="C35">
        <v>45930.5484490741</v>
      </c>
      <c r="D35" t="s">
        <v>217</v>
      </c>
      <c r="E35" t="s">
        <v>218</v>
      </c>
      <c r="F35" t="s">
        <v>219</v>
      </c>
      <c r="G35" t="s">
        <v>220</v>
      </c>
      <c r="I35" t="s">
        <v>221</v>
      </c>
      <c r="J35" t="s">
        <v>222</v>
      </c>
      <c r="L35" t="s">
        <v>223</v>
      </c>
    </row>
    <row r="36" spans="1:12" x14ac:dyDescent="0.2">
      <c r="A36">
        <v>35</v>
      </c>
      <c r="B36">
        <v>45930.480937499997</v>
      </c>
      <c r="C36">
        <v>45930.548738425903</v>
      </c>
      <c r="D36" t="s">
        <v>224</v>
      </c>
      <c r="E36" t="s">
        <v>224</v>
      </c>
      <c r="F36" t="s">
        <v>225</v>
      </c>
      <c r="G36" t="s">
        <v>226</v>
      </c>
      <c r="I36" t="s">
        <v>227</v>
      </c>
      <c r="J36" t="s">
        <v>228</v>
      </c>
      <c r="K36" t="s">
        <v>229</v>
      </c>
      <c r="L36" t="s">
        <v>230</v>
      </c>
    </row>
    <row r="37" spans="1:12" x14ac:dyDescent="0.2">
      <c r="A37">
        <v>36</v>
      </c>
      <c r="B37">
        <v>45930.487280092602</v>
      </c>
      <c r="C37">
        <v>45930.549745370401</v>
      </c>
      <c r="D37" t="s">
        <v>231</v>
      </c>
      <c r="E37" t="s">
        <v>231</v>
      </c>
      <c r="F37" t="s">
        <v>232</v>
      </c>
      <c r="G37" t="s">
        <v>233</v>
      </c>
      <c r="I37" t="s">
        <v>234</v>
      </c>
      <c r="J37" t="s">
        <v>235</v>
      </c>
      <c r="L37" t="s">
        <v>236</v>
      </c>
    </row>
    <row r="38" spans="1:12" x14ac:dyDescent="0.2">
      <c r="A38">
        <v>37</v>
      </c>
      <c r="B38">
        <v>45930.478981481501</v>
      </c>
      <c r="C38">
        <v>45930.550057870401</v>
      </c>
      <c r="D38" t="s">
        <v>237</v>
      </c>
      <c r="E38" t="s">
        <v>237</v>
      </c>
      <c r="F38" t="s">
        <v>238</v>
      </c>
      <c r="G38" t="s">
        <v>239</v>
      </c>
      <c r="I38" t="s">
        <v>240</v>
      </c>
      <c r="J38" t="s">
        <v>241</v>
      </c>
      <c r="K38" t="s">
        <v>242</v>
      </c>
      <c r="L38" t="s">
        <v>243</v>
      </c>
    </row>
    <row r="39" spans="1:12" x14ac:dyDescent="0.2">
      <c r="A39">
        <v>38</v>
      </c>
      <c r="B39">
        <v>45930.475046296298</v>
      </c>
      <c r="C39">
        <v>45930.551145833299</v>
      </c>
      <c r="D39" t="s">
        <v>244</v>
      </c>
      <c r="E39" t="s">
        <v>244</v>
      </c>
      <c r="F39" t="s">
        <v>245</v>
      </c>
      <c r="G39" t="s">
        <v>246</v>
      </c>
      <c r="I39" t="s">
        <v>247</v>
      </c>
      <c r="J39" t="s">
        <v>248</v>
      </c>
      <c r="K39" t="s">
        <v>249</v>
      </c>
      <c r="L39" t="s">
        <v>250</v>
      </c>
    </row>
    <row r="40" spans="1:12" x14ac:dyDescent="0.2">
      <c r="A40">
        <v>39</v>
      </c>
      <c r="B40">
        <v>45930.480243055601</v>
      </c>
      <c r="C40">
        <v>45930.551226851901</v>
      </c>
      <c r="D40" t="s">
        <v>251</v>
      </c>
      <c r="E40" t="s">
        <v>251</v>
      </c>
      <c r="F40" t="s">
        <v>252</v>
      </c>
      <c r="G40" t="s">
        <v>253</v>
      </c>
      <c r="I40" t="s">
        <v>254</v>
      </c>
      <c r="J40" t="s">
        <v>255</v>
      </c>
      <c r="K40" t="s">
        <v>256</v>
      </c>
      <c r="L40" t="s">
        <v>257</v>
      </c>
    </row>
    <row r="41" spans="1:12" x14ac:dyDescent="0.2">
      <c r="A41">
        <v>40</v>
      </c>
      <c r="B41">
        <v>45930.480150463001</v>
      </c>
      <c r="C41">
        <v>45930.551643518498</v>
      </c>
      <c r="D41" t="s">
        <v>258</v>
      </c>
      <c r="E41" t="s">
        <v>258</v>
      </c>
      <c r="F41" t="s">
        <v>259</v>
      </c>
      <c r="G41" t="s">
        <v>260</v>
      </c>
      <c r="I41" t="s">
        <v>261</v>
      </c>
      <c r="J41" t="s">
        <v>262</v>
      </c>
      <c r="K41" t="s">
        <v>263</v>
      </c>
      <c r="L41" t="s">
        <v>264</v>
      </c>
    </row>
    <row r="42" spans="1:12" x14ac:dyDescent="0.2">
      <c r="A42">
        <v>41</v>
      </c>
      <c r="B42">
        <v>45930.530590277798</v>
      </c>
      <c r="C42">
        <v>45930.552627314799</v>
      </c>
      <c r="D42" t="s">
        <v>265</v>
      </c>
      <c r="E42" t="s">
        <v>265</v>
      </c>
      <c r="F42" t="s">
        <v>266</v>
      </c>
      <c r="G42" t="s">
        <v>267</v>
      </c>
      <c r="I42" t="s">
        <v>268</v>
      </c>
      <c r="L42" t="s">
        <v>269</v>
      </c>
    </row>
    <row r="43" spans="1:12" x14ac:dyDescent="0.2">
      <c r="A43">
        <v>42</v>
      </c>
      <c r="B43">
        <v>45930.492615740703</v>
      </c>
      <c r="C43">
        <v>45930.553726851896</v>
      </c>
      <c r="D43" t="s">
        <v>270</v>
      </c>
      <c r="E43" t="s">
        <v>270</v>
      </c>
      <c r="F43" t="s">
        <v>271</v>
      </c>
      <c r="G43" t="s">
        <v>272</v>
      </c>
      <c r="I43" t="s">
        <v>273</v>
      </c>
      <c r="L43" t="s">
        <v>274</v>
      </c>
    </row>
    <row r="44" spans="1:12" x14ac:dyDescent="0.2">
      <c r="A44">
        <v>43</v>
      </c>
      <c r="B44">
        <v>45930.439537036997</v>
      </c>
      <c r="C44">
        <v>45930.554456018501</v>
      </c>
      <c r="D44" t="s">
        <v>275</v>
      </c>
      <c r="E44" t="s">
        <v>275</v>
      </c>
      <c r="F44" t="s">
        <v>276</v>
      </c>
      <c r="G44" t="s">
        <v>277</v>
      </c>
      <c r="I44" t="s">
        <v>278</v>
      </c>
      <c r="J44" t="s">
        <v>279</v>
      </c>
      <c r="K44" t="s">
        <v>280</v>
      </c>
      <c r="L44" t="s">
        <v>281</v>
      </c>
    </row>
    <row r="45" spans="1:12" x14ac:dyDescent="0.2">
      <c r="A45">
        <v>44</v>
      </c>
      <c r="B45">
        <v>45930.545243055603</v>
      </c>
      <c r="C45">
        <v>45930.554942129602</v>
      </c>
      <c r="D45" t="s">
        <v>282</v>
      </c>
      <c r="E45" t="s">
        <v>282</v>
      </c>
      <c r="F45" t="s">
        <v>283</v>
      </c>
      <c r="I45" t="s">
        <v>284</v>
      </c>
    </row>
    <row r="46" spans="1:12" x14ac:dyDescent="0.2">
      <c r="A46">
        <v>45</v>
      </c>
      <c r="B46">
        <v>45930.477453703701</v>
      </c>
      <c r="C46">
        <v>45930.5554050926</v>
      </c>
      <c r="D46" t="s">
        <v>285</v>
      </c>
      <c r="E46" t="s">
        <v>285</v>
      </c>
      <c r="F46" t="s">
        <v>286</v>
      </c>
      <c r="I46" t="s">
        <v>287</v>
      </c>
    </row>
    <row r="47" spans="1:12" x14ac:dyDescent="0.2">
      <c r="A47">
        <v>46</v>
      </c>
      <c r="B47">
        <v>45930.484305555598</v>
      </c>
      <c r="C47">
        <v>45930.5559490741</v>
      </c>
      <c r="D47" t="s">
        <v>288</v>
      </c>
      <c r="E47" t="s">
        <v>288</v>
      </c>
      <c r="F47" t="s">
        <v>289</v>
      </c>
      <c r="G47" t="s">
        <v>290</v>
      </c>
      <c r="I47" t="s">
        <v>291</v>
      </c>
      <c r="J47" t="s">
        <v>292</v>
      </c>
      <c r="K47" t="s">
        <v>293</v>
      </c>
      <c r="L47" t="s">
        <v>294</v>
      </c>
    </row>
    <row r="48" spans="1:12" x14ac:dyDescent="0.2">
      <c r="A48">
        <v>47</v>
      </c>
      <c r="B48">
        <v>45930.552986111099</v>
      </c>
      <c r="C48">
        <v>45930.556087962999</v>
      </c>
      <c r="D48" t="s">
        <v>295</v>
      </c>
      <c r="E48" t="s">
        <v>295</v>
      </c>
      <c r="F48" t="s">
        <v>296</v>
      </c>
      <c r="G48" t="s">
        <v>297</v>
      </c>
      <c r="I48" t="s">
        <v>298</v>
      </c>
      <c r="J48" t="s">
        <v>299</v>
      </c>
      <c r="K48" t="s">
        <v>300</v>
      </c>
      <c r="L48" t="s">
        <v>301</v>
      </c>
    </row>
    <row r="49" spans="1:12" x14ac:dyDescent="0.2">
      <c r="A49">
        <v>48</v>
      </c>
      <c r="B49">
        <v>45930.487002314803</v>
      </c>
      <c r="C49">
        <v>45930.556284722203</v>
      </c>
      <c r="D49" t="s">
        <v>302</v>
      </c>
      <c r="E49" t="s">
        <v>302</v>
      </c>
      <c r="F49" t="s">
        <v>303</v>
      </c>
      <c r="G49" t="s">
        <v>304</v>
      </c>
      <c r="I49" t="s">
        <v>305</v>
      </c>
      <c r="J49" t="s">
        <v>306</v>
      </c>
      <c r="K49" t="s">
        <v>307</v>
      </c>
    </row>
    <row r="50" spans="1:12" x14ac:dyDescent="0.2">
      <c r="A50">
        <v>49</v>
      </c>
      <c r="B50">
        <v>45930.550532407397</v>
      </c>
      <c r="C50">
        <v>45930.557118055556</v>
      </c>
      <c r="D50" t="s">
        <v>308</v>
      </c>
      <c r="E50" t="s">
        <v>308</v>
      </c>
      <c r="F50" t="s">
        <v>309</v>
      </c>
      <c r="G50" t="s">
        <v>310</v>
      </c>
      <c r="H50" t="s">
        <v>311</v>
      </c>
      <c r="I50" t="s">
        <v>312</v>
      </c>
      <c r="J50" t="s">
        <v>313</v>
      </c>
      <c r="L50" t="s">
        <v>314</v>
      </c>
    </row>
    <row r="51" spans="1:12" x14ac:dyDescent="0.2">
      <c r="A51">
        <v>50</v>
      </c>
      <c r="B51">
        <v>45930.540844907402</v>
      </c>
      <c r="C51">
        <v>45930.559502314798</v>
      </c>
      <c r="D51" t="s">
        <v>315</v>
      </c>
      <c r="E51" t="s">
        <v>315</v>
      </c>
      <c r="F51" t="s">
        <v>316</v>
      </c>
      <c r="G51" t="s">
        <v>317</v>
      </c>
      <c r="I51" t="s">
        <v>318</v>
      </c>
      <c r="J51" t="s">
        <v>319</v>
      </c>
      <c r="K51" t="s">
        <v>320</v>
      </c>
    </row>
    <row r="52" spans="1:12" x14ac:dyDescent="0.2">
      <c r="A52">
        <v>51</v>
      </c>
      <c r="B52">
        <v>45930.543831018498</v>
      </c>
      <c r="C52">
        <v>45930.559664351902</v>
      </c>
      <c r="D52" t="s">
        <v>321</v>
      </c>
      <c r="E52" t="s">
        <v>321</v>
      </c>
      <c r="F52" t="s">
        <v>322</v>
      </c>
      <c r="G52" t="s">
        <v>323</v>
      </c>
      <c r="H52" t="s">
        <v>324</v>
      </c>
      <c r="I52" t="s">
        <v>325</v>
      </c>
      <c r="J52" t="s">
        <v>323</v>
      </c>
      <c r="K52" t="s">
        <v>326</v>
      </c>
      <c r="L52" t="s">
        <v>327</v>
      </c>
    </row>
    <row r="53" spans="1:12" x14ac:dyDescent="0.2">
      <c r="A53">
        <v>52</v>
      </c>
      <c r="B53">
        <v>45930.544606481497</v>
      </c>
      <c r="C53">
        <v>45930.5598032407</v>
      </c>
      <c r="D53" t="s">
        <v>328</v>
      </c>
      <c r="E53" t="s">
        <v>328</v>
      </c>
      <c r="F53" t="s">
        <v>329</v>
      </c>
      <c r="G53" t="s">
        <v>330</v>
      </c>
      <c r="I53" t="s">
        <v>331</v>
      </c>
      <c r="J53" t="s">
        <v>332</v>
      </c>
      <c r="K53" t="s">
        <v>333</v>
      </c>
      <c r="L53" t="s">
        <v>334</v>
      </c>
    </row>
    <row r="54" spans="1:12" x14ac:dyDescent="0.2">
      <c r="A54">
        <v>53</v>
      </c>
      <c r="B54">
        <v>45930.453113425901</v>
      </c>
      <c r="C54">
        <v>45930.560243055603</v>
      </c>
      <c r="D54" t="s">
        <v>335</v>
      </c>
      <c r="E54" t="s">
        <v>335</v>
      </c>
      <c r="F54" t="s">
        <v>336</v>
      </c>
      <c r="I54" t="s">
        <v>337</v>
      </c>
    </row>
    <row r="55" spans="1:12" x14ac:dyDescent="0.2">
      <c r="A55">
        <v>54</v>
      </c>
      <c r="B55">
        <v>45930.485335648104</v>
      </c>
      <c r="C55">
        <v>45930.560763888898</v>
      </c>
      <c r="D55" t="s">
        <v>338</v>
      </c>
      <c r="E55" t="s">
        <v>338</v>
      </c>
      <c r="F55" t="s">
        <v>339</v>
      </c>
      <c r="G55" t="s">
        <v>3261</v>
      </c>
      <c r="I55" t="s">
        <v>340</v>
      </c>
      <c r="J55" t="s">
        <v>341</v>
      </c>
      <c r="L55" t="s">
        <v>342</v>
      </c>
    </row>
    <row r="56" spans="1:12" x14ac:dyDescent="0.2">
      <c r="A56">
        <v>55</v>
      </c>
      <c r="B56">
        <v>45930.548159722202</v>
      </c>
      <c r="C56">
        <v>45930.560983796298</v>
      </c>
      <c r="D56" t="s">
        <v>343</v>
      </c>
      <c r="E56" t="s">
        <v>343</v>
      </c>
      <c r="F56" t="s">
        <v>344</v>
      </c>
      <c r="G56" t="s">
        <v>345</v>
      </c>
      <c r="H56" t="s">
        <v>346</v>
      </c>
      <c r="I56" t="s">
        <v>347</v>
      </c>
      <c r="J56" t="s">
        <v>348</v>
      </c>
      <c r="L56" t="s">
        <v>349</v>
      </c>
    </row>
    <row r="57" spans="1:12" x14ac:dyDescent="0.2">
      <c r="A57">
        <v>56</v>
      </c>
      <c r="B57">
        <v>45930.483645833301</v>
      </c>
      <c r="C57">
        <v>45930.5612847222</v>
      </c>
      <c r="D57" t="s">
        <v>350</v>
      </c>
      <c r="E57" t="s">
        <v>350</v>
      </c>
      <c r="F57" t="s">
        <v>351</v>
      </c>
      <c r="G57" t="s">
        <v>352</v>
      </c>
      <c r="I57" t="s">
        <v>353</v>
      </c>
      <c r="J57" t="s">
        <v>354</v>
      </c>
      <c r="K57" t="s">
        <v>355</v>
      </c>
    </row>
    <row r="58" spans="1:12" x14ac:dyDescent="0.2">
      <c r="A58">
        <v>57</v>
      </c>
      <c r="B58">
        <v>45930.439976851798</v>
      </c>
      <c r="C58">
        <v>45930.561296296299</v>
      </c>
      <c r="D58" t="s">
        <v>356</v>
      </c>
      <c r="E58" t="s">
        <v>356</v>
      </c>
      <c r="F58" t="s">
        <v>357</v>
      </c>
      <c r="G58" t="s">
        <v>358</v>
      </c>
      <c r="I58" t="s">
        <v>359</v>
      </c>
      <c r="J58" t="s">
        <v>360</v>
      </c>
      <c r="K58" t="s">
        <v>361</v>
      </c>
      <c r="L58" t="s">
        <v>362</v>
      </c>
    </row>
    <row r="59" spans="1:12" x14ac:dyDescent="0.2">
      <c r="A59">
        <v>58</v>
      </c>
      <c r="B59">
        <v>45930.490937499999</v>
      </c>
      <c r="C59">
        <v>45930.561504629601</v>
      </c>
      <c r="D59" t="s">
        <v>363</v>
      </c>
      <c r="E59" t="s">
        <v>363</v>
      </c>
      <c r="F59" t="s">
        <v>364</v>
      </c>
      <c r="G59" t="s">
        <v>365</v>
      </c>
      <c r="I59" t="s">
        <v>366</v>
      </c>
      <c r="J59" t="s">
        <v>367</v>
      </c>
      <c r="K59" t="s">
        <v>368</v>
      </c>
      <c r="L59" t="s">
        <v>369</v>
      </c>
    </row>
    <row r="60" spans="1:12" x14ac:dyDescent="0.2">
      <c r="A60">
        <v>59</v>
      </c>
      <c r="B60">
        <v>45930.492418981499</v>
      </c>
      <c r="C60">
        <v>45930.561712962997</v>
      </c>
      <c r="D60" t="s">
        <v>370</v>
      </c>
      <c r="E60" t="s">
        <v>370</v>
      </c>
      <c r="F60" t="s">
        <v>371</v>
      </c>
      <c r="G60" t="s">
        <v>372</v>
      </c>
      <c r="I60" t="s">
        <v>373</v>
      </c>
      <c r="J60" t="s">
        <v>374</v>
      </c>
      <c r="L60" t="s">
        <v>375</v>
      </c>
    </row>
    <row r="61" spans="1:12" x14ac:dyDescent="0.2">
      <c r="A61">
        <v>60</v>
      </c>
      <c r="B61">
        <v>45930.447141203702</v>
      </c>
      <c r="C61">
        <v>45930.5624074074</v>
      </c>
      <c r="D61" t="s">
        <v>376</v>
      </c>
      <c r="E61" t="s">
        <v>376</v>
      </c>
      <c r="F61" t="s">
        <v>377</v>
      </c>
      <c r="G61" t="s">
        <v>378</v>
      </c>
      <c r="H61" t="s">
        <v>379</v>
      </c>
      <c r="I61" t="s">
        <v>380</v>
      </c>
      <c r="L61" t="s">
        <v>381</v>
      </c>
    </row>
    <row r="62" spans="1:12" x14ac:dyDescent="0.2">
      <c r="A62">
        <v>61</v>
      </c>
      <c r="B62">
        <v>45930.483437499999</v>
      </c>
      <c r="C62">
        <v>45930.562847222202</v>
      </c>
      <c r="D62" t="s">
        <v>382</v>
      </c>
      <c r="E62" t="s">
        <v>382</v>
      </c>
      <c r="F62" t="s">
        <v>383</v>
      </c>
      <c r="G62" t="s">
        <v>384</v>
      </c>
      <c r="I62" t="s">
        <v>385</v>
      </c>
      <c r="J62" t="s">
        <v>386</v>
      </c>
      <c r="K62" t="s">
        <v>387</v>
      </c>
      <c r="L62" t="s">
        <v>388</v>
      </c>
    </row>
    <row r="63" spans="1:12" x14ac:dyDescent="0.2">
      <c r="A63">
        <v>62</v>
      </c>
      <c r="B63">
        <v>45930.547893518502</v>
      </c>
      <c r="C63">
        <v>45930.564502314803</v>
      </c>
      <c r="D63" t="s">
        <v>389</v>
      </c>
      <c r="E63" t="s">
        <v>389</v>
      </c>
      <c r="F63" t="s">
        <v>390</v>
      </c>
      <c r="G63" t="s">
        <v>391</v>
      </c>
      <c r="I63" t="s">
        <v>392</v>
      </c>
      <c r="J63" t="s">
        <v>170</v>
      </c>
      <c r="K63" t="s">
        <v>393</v>
      </c>
      <c r="L63" t="s">
        <v>394</v>
      </c>
    </row>
    <row r="64" spans="1:12" x14ac:dyDescent="0.2">
      <c r="A64">
        <v>63</v>
      </c>
      <c r="B64">
        <v>45930.552071759303</v>
      </c>
      <c r="C64">
        <v>45930.564525463</v>
      </c>
      <c r="D64" t="s">
        <v>395</v>
      </c>
      <c r="E64" t="s">
        <v>395</v>
      </c>
      <c r="F64" t="s">
        <v>396</v>
      </c>
      <c r="G64" t="s">
        <v>397</v>
      </c>
      <c r="I64" t="s">
        <v>398</v>
      </c>
      <c r="J64" t="s">
        <v>399</v>
      </c>
      <c r="K64" t="s">
        <v>400</v>
      </c>
      <c r="L64" t="s">
        <v>401</v>
      </c>
    </row>
    <row r="65" spans="1:12" x14ac:dyDescent="0.2">
      <c r="A65">
        <v>64</v>
      </c>
      <c r="B65">
        <v>45930.5444907407</v>
      </c>
      <c r="C65">
        <v>45930.565266203703</v>
      </c>
      <c r="D65" t="s">
        <v>402</v>
      </c>
      <c r="E65" t="s">
        <v>402</v>
      </c>
      <c r="F65" t="s">
        <v>403</v>
      </c>
      <c r="G65" t="s">
        <v>404</v>
      </c>
      <c r="I65" t="s">
        <v>405</v>
      </c>
      <c r="J65" t="s">
        <v>406</v>
      </c>
      <c r="K65" t="s">
        <v>407</v>
      </c>
    </row>
    <row r="66" spans="1:12" x14ac:dyDescent="0.2">
      <c r="A66">
        <v>65</v>
      </c>
      <c r="B66">
        <v>45930.478263888901</v>
      </c>
      <c r="C66">
        <v>45930.565439814804</v>
      </c>
      <c r="D66" t="s">
        <v>408</v>
      </c>
      <c r="E66" t="s">
        <v>408</v>
      </c>
      <c r="F66" t="s">
        <v>409</v>
      </c>
      <c r="G66" t="s">
        <v>410</v>
      </c>
      <c r="H66" t="s">
        <v>411</v>
      </c>
      <c r="I66" t="s">
        <v>412</v>
      </c>
      <c r="J66" t="s">
        <v>413</v>
      </c>
      <c r="K66" t="s">
        <v>414</v>
      </c>
      <c r="L66" t="s">
        <v>415</v>
      </c>
    </row>
    <row r="67" spans="1:12" x14ac:dyDescent="0.2">
      <c r="A67">
        <v>66</v>
      </c>
      <c r="B67">
        <v>45930.5464699074</v>
      </c>
      <c r="C67">
        <v>45930.566516203697</v>
      </c>
      <c r="D67" t="s">
        <v>416</v>
      </c>
      <c r="E67" t="s">
        <v>416</v>
      </c>
      <c r="F67" t="s">
        <v>417</v>
      </c>
      <c r="G67" t="s">
        <v>418</v>
      </c>
      <c r="I67" t="s">
        <v>419</v>
      </c>
      <c r="J67" t="s">
        <v>420</v>
      </c>
      <c r="L67" t="s">
        <v>421</v>
      </c>
    </row>
    <row r="68" spans="1:12" x14ac:dyDescent="0.2">
      <c r="A68">
        <v>67</v>
      </c>
      <c r="B68">
        <v>45930.550509259301</v>
      </c>
      <c r="C68">
        <v>45930.566550925898</v>
      </c>
      <c r="D68" t="s">
        <v>422</v>
      </c>
      <c r="E68" t="s">
        <v>422</v>
      </c>
      <c r="F68" t="s">
        <v>423</v>
      </c>
      <c r="G68" t="s">
        <v>424</v>
      </c>
      <c r="H68" t="s">
        <v>425</v>
      </c>
      <c r="I68" t="s">
        <v>426</v>
      </c>
      <c r="J68" t="s">
        <v>427</v>
      </c>
      <c r="K68" t="s">
        <v>428</v>
      </c>
      <c r="L68" t="s">
        <v>429</v>
      </c>
    </row>
    <row r="69" spans="1:12" x14ac:dyDescent="0.2">
      <c r="A69">
        <v>68</v>
      </c>
      <c r="B69">
        <v>45930.547743055598</v>
      </c>
      <c r="C69">
        <v>45930.566689814797</v>
      </c>
      <c r="D69" t="s">
        <v>430</v>
      </c>
      <c r="E69" t="s">
        <v>430</v>
      </c>
      <c r="F69" t="s">
        <v>431</v>
      </c>
      <c r="G69" t="s">
        <v>432</v>
      </c>
      <c r="H69" t="s">
        <v>433</v>
      </c>
      <c r="I69" t="s">
        <v>434</v>
      </c>
      <c r="J69" t="s">
        <v>435</v>
      </c>
      <c r="K69" t="s">
        <v>436</v>
      </c>
      <c r="L69" t="s">
        <v>437</v>
      </c>
    </row>
    <row r="70" spans="1:12" x14ac:dyDescent="0.2">
      <c r="A70">
        <v>69</v>
      </c>
      <c r="B70">
        <v>45930.542997685203</v>
      </c>
      <c r="C70">
        <v>45930.566689814797</v>
      </c>
      <c r="D70" t="s">
        <v>438</v>
      </c>
      <c r="E70" t="s">
        <v>438</v>
      </c>
      <c r="F70" t="s">
        <v>439</v>
      </c>
      <c r="G70" t="s">
        <v>440</v>
      </c>
      <c r="I70" t="s">
        <v>441</v>
      </c>
      <c r="J70" t="s">
        <v>442</v>
      </c>
      <c r="K70" t="s">
        <v>443</v>
      </c>
      <c r="L70" t="s">
        <v>444</v>
      </c>
    </row>
    <row r="71" spans="1:12" x14ac:dyDescent="0.2">
      <c r="A71">
        <v>70</v>
      </c>
      <c r="B71">
        <v>45930.543402777803</v>
      </c>
      <c r="C71">
        <v>45930.566736111097</v>
      </c>
      <c r="D71" t="s">
        <v>445</v>
      </c>
      <c r="E71" t="s">
        <v>445</v>
      </c>
      <c r="F71" t="s">
        <v>446</v>
      </c>
      <c r="G71" t="s">
        <v>447</v>
      </c>
      <c r="I71" t="s">
        <v>448</v>
      </c>
      <c r="J71" t="s">
        <v>449</v>
      </c>
      <c r="K71" t="s">
        <v>450</v>
      </c>
      <c r="L71" t="s">
        <v>451</v>
      </c>
    </row>
    <row r="72" spans="1:12" x14ac:dyDescent="0.2">
      <c r="A72">
        <v>71</v>
      </c>
      <c r="B72">
        <v>45930.567094907397</v>
      </c>
      <c r="C72">
        <v>45930.567129629599</v>
      </c>
      <c r="D72" t="s">
        <v>452</v>
      </c>
      <c r="E72" t="s">
        <v>452</v>
      </c>
      <c r="F72" t="s">
        <v>453</v>
      </c>
      <c r="I72" t="s">
        <v>454</v>
      </c>
      <c r="L72" t="s">
        <v>455</v>
      </c>
    </row>
    <row r="73" spans="1:12" x14ac:dyDescent="0.2">
      <c r="A73">
        <v>72</v>
      </c>
      <c r="B73">
        <v>45930.547083333302</v>
      </c>
      <c r="C73">
        <v>45930.568414351903</v>
      </c>
      <c r="D73" t="s">
        <v>456</v>
      </c>
      <c r="E73" t="s">
        <v>456</v>
      </c>
      <c r="F73" t="s">
        <v>457</v>
      </c>
      <c r="G73" t="s">
        <v>458</v>
      </c>
      <c r="I73" t="s">
        <v>459</v>
      </c>
      <c r="J73" t="s">
        <v>460</v>
      </c>
      <c r="K73" t="s">
        <v>461</v>
      </c>
      <c r="L73" t="s">
        <v>462</v>
      </c>
    </row>
    <row r="74" spans="1:12" x14ac:dyDescent="0.2">
      <c r="A74">
        <v>73</v>
      </c>
      <c r="B74">
        <v>45930.544236111098</v>
      </c>
      <c r="C74">
        <v>45930.568796296298</v>
      </c>
      <c r="D74" t="s">
        <v>463</v>
      </c>
      <c r="E74" t="s">
        <v>463</v>
      </c>
      <c r="F74" t="s">
        <v>464</v>
      </c>
      <c r="G74" t="s">
        <v>465</v>
      </c>
      <c r="H74" t="s">
        <v>466</v>
      </c>
      <c r="I74" t="s">
        <v>467</v>
      </c>
      <c r="J74" t="s">
        <v>468</v>
      </c>
      <c r="K74" t="s">
        <v>469</v>
      </c>
      <c r="L74" t="s">
        <v>470</v>
      </c>
    </row>
    <row r="75" spans="1:12" x14ac:dyDescent="0.2">
      <c r="A75">
        <v>74</v>
      </c>
      <c r="B75">
        <v>45930.546678240702</v>
      </c>
      <c r="C75">
        <v>45930.569317129601</v>
      </c>
      <c r="D75" t="s">
        <v>471</v>
      </c>
      <c r="E75" t="s">
        <v>471</v>
      </c>
      <c r="F75" t="s">
        <v>472</v>
      </c>
      <c r="G75" t="s">
        <v>473</v>
      </c>
      <c r="I75" t="s">
        <v>474</v>
      </c>
      <c r="J75" t="s">
        <v>475</v>
      </c>
      <c r="K75" t="s">
        <v>476</v>
      </c>
      <c r="L75" t="s">
        <v>477</v>
      </c>
    </row>
    <row r="76" spans="1:12" x14ac:dyDescent="0.2">
      <c r="A76">
        <v>75</v>
      </c>
      <c r="B76">
        <v>45930.439108796301</v>
      </c>
      <c r="C76">
        <v>45930.569733796299</v>
      </c>
      <c r="D76" t="s">
        <v>478</v>
      </c>
      <c r="E76" t="s">
        <v>478</v>
      </c>
      <c r="F76" t="s">
        <v>479</v>
      </c>
      <c r="G76" t="s">
        <v>480</v>
      </c>
      <c r="I76" t="s">
        <v>481</v>
      </c>
      <c r="J76" t="s">
        <v>482</v>
      </c>
      <c r="K76" t="s">
        <v>483</v>
      </c>
      <c r="L76" t="s">
        <v>484</v>
      </c>
    </row>
    <row r="77" spans="1:12" x14ac:dyDescent="0.2">
      <c r="A77">
        <v>76</v>
      </c>
      <c r="B77">
        <v>45930.477314814802</v>
      </c>
      <c r="C77">
        <v>45930.5700462963</v>
      </c>
      <c r="D77" t="s">
        <v>485</v>
      </c>
      <c r="E77" t="s">
        <v>485</v>
      </c>
      <c r="F77" t="s">
        <v>486</v>
      </c>
      <c r="G77" t="s">
        <v>487</v>
      </c>
      <c r="I77" t="s">
        <v>488</v>
      </c>
      <c r="J77" t="s">
        <v>489</v>
      </c>
      <c r="K77" t="s">
        <v>490</v>
      </c>
    </row>
    <row r="78" spans="1:12" x14ac:dyDescent="0.2">
      <c r="A78">
        <v>77</v>
      </c>
      <c r="B78">
        <v>45930.544479166703</v>
      </c>
      <c r="C78">
        <v>45930.570138888899</v>
      </c>
      <c r="D78" t="s">
        <v>491</v>
      </c>
      <c r="E78" t="s">
        <v>491</v>
      </c>
      <c r="F78" t="s">
        <v>492</v>
      </c>
      <c r="G78" t="s">
        <v>493</v>
      </c>
      <c r="I78" t="s">
        <v>494</v>
      </c>
      <c r="J78" t="s">
        <v>495</v>
      </c>
      <c r="K78" t="s">
        <v>496</v>
      </c>
      <c r="L78" t="s">
        <v>497</v>
      </c>
    </row>
    <row r="79" spans="1:12" x14ac:dyDescent="0.2">
      <c r="A79">
        <v>78</v>
      </c>
      <c r="B79">
        <v>45930.550289351799</v>
      </c>
      <c r="C79">
        <v>45930.570821759298</v>
      </c>
      <c r="D79" t="s">
        <v>498</v>
      </c>
      <c r="E79" t="s">
        <v>498</v>
      </c>
      <c r="F79" t="s">
        <v>499</v>
      </c>
      <c r="G79" t="s">
        <v>500</v>
      </c>
      <c r="I79" t="s">
        <v>501</v>
      </c>
      <c r="J79" t="s">
        <v>502</v>
      </c>
      <c r="K79" t="s">
        <v>503</v>
      </c>
    </row>
    <row r="80" spans="1:12" x14ac:dyDescent="0.2">
      <c r="A80">
        <v>79</v>
      </c>
      <c r="B80">
        <v>45930.546770833302</v>
      </c>
      <c r="C80">
        <v>45930.5710763889</v>
      </c>
      <c r="D80" t="s">
        <v>504</v>
      </c>
      <c r="E80" t="s">
        <v>504</v>
      </c>
      <c r="F80" t="s">
        <v>505</v>
      </c>
      <c r="G80" t="s">
        <v>506</v>
      </c>
      <c r="I80" t="s">
        <v>507</v>
      </c>
      <c r="L80" t="s">
        <v>508</v>
      </c>
    </row>
    <row r="81" spans="1:12" x14ac:dyDescent="0.2">
      <c r="A81">
        <v>80</v>
      </c>
      <c r="B81">
        <v>45930.560289351903</v>
      </c>
      <c r="C81">
        <v>45930.571307870399</v>
      </c>
      <c r="D81" t="s">
        <v>509</v>
      </c>
      <c r="E81" t="s">
        <v>509</v>
      </c>
      <c r="F81" t="s">
        <v>510</v>
      </c>
      <c r="G81" t="s">
        <v>511</v>
      </c>
      <c r="I81" t="s">
        <v>512</v>
      </c>
      <c r="J81" t="s">
        <v>513</v>
      </c>
      <c r="K81" t="s">
        <v>514</v>
      </c>
      <c r="L81" t="s">
        <v>515</v>
      </c>
    </row>
    <row r="82" spans="1:12" x14ac:dyDescent="0.2">
      <c r="A82">
        <v>81</v>
      </c>
      <c r="B82">
        <v>45930.550856481503</v>
      </c>
      <c r="C82">
        <v>45930.571956018503</v>
      </c>
      <c r="D82" t="s">
        <v>516</v>
      </c>
      <c r="E82" t="s">
        <v>516</v>
      </c>
      <c r="F82" t="s">
        <v>517</v>
      </c>
      <c r="G82" t="s">
        <v>518</v>
      </c>
      <c r="I82" t="s">
        <v>519</v>
      </c>
      <c r="J82" t="s">
        <v>520</v>
      </c>
      <c r="K82" t="s">
        <v>521</v>
      </c>
      <c r="L82" t="s">
        <v>522</v>
      </c>
    </row>
    <row r="83" spans="1:12" x14ac:dyDescent="0.2">
      <c r="A83">
        <v>82</v>
      </c>
      <c r="B83">
        <v>45930.573171296302</v>
      </c>
      <c r="C83">
        <v>45930.573206018496</v>
      </c>
      <c r="D83" t="s">
        <v>523</v>
      </c>
      <c r="E83" t="s">
        <v>523</v>
      </c>
      <c r="F83" t="s">
        <v>524</v>
      </c>
      <c r="G83" t="s">
        <v>525</v>
      </c>
      <c r="I83" t="s">
        <v>526</v>
      </c>
      <c r="J83" t="s">
        <v>525</v>
      </c>
      <c r="K83" t="s">
        <v>527</v>
      </c>
      <c r="L83" t="s">
        <v>528</v>
      </c>
    </row>
    <row r="84" spans="1:12" x14ac:dyDescent="0.2">
      <c r="A84">
        <v>83</v>
      </c>
      <c r="B84">
        <v>45930.562280092599</v>
      </c>
      <c r="C84">
        <v>45930.573807870402</v>
      </c>
      <c r="D84" t="s">
        <v>529</v>
      </c>
      <c r="E84" t="s">
        <v>529</v>
      </c>
      <c r="F84" t="s">
        <v>530</v>
      </c>
      <c r="G84" t="s">
        <v>531</v>
      </c>
      <c r="I84" t="s">
        <v>532</v>
      </c>
      <c r="J84" t="s">
        <v>533</v>
      </c>
      <c r="K84" t="s">
        <v>534</v>
      </c>
      <c r="L84" t="s">
        <v>535</v>
      </c>
    </row>
    <row r="85" spans="1:12" x14ac:dyDescent="0.2">
      <c r="A85">
        <v>84</v>
      </c>
      <c r="B85">
        <v>45930.458842592598</v>
      </c>
      <c r="C85">
        <v>45930.573923611097</v>
      </c>
      <c r="D85" t="s">
        <v>536</v>
      </c>
      <c r="E85" t="s">
        <v>536</v>
      </c>
      <c r="F85" t="s">
        <v>537</v>
      </c>
      <c r="G85" t="s">
        <v>538</v>
      </c>
      <c r="H85" t="s">
        <v>539</v>
      </c>
      <c r="I85" t="s">
        <v>540</v>
      </c>
      <c r="J85" t="s">
        <v>541</v>
      </c>
      <c r="K85" t="s">
        <v>542</v>
      </c>
      <c r="L85" t="s">
        <v>543</v>
      </c>
    </row>
    <row r="86" spans="1:12" x14ac:dyDescent="0.2">
      <c r="A86">
        <v>85</v>
      </c>
      <c r="B86">
        <v>45930.492222222201</v>
      </c>
      <c r="C86">
        <v>45930.573981481502</v>
      </c>
      <c r="D86" t="s">
        <v>544</v>
      </c>
      <c r="E86" t="s">
        <v>544</v>
      </c>
      <c r="F86" t="s">
        <v>545</v>
      </c>
      <c r="G86" t="s">
        <v>546</v>
      </c>
      <c r="H86" t="s">
        <v>547</v>
      </c>
      <c r="I86" t="s">
        <v>548</v>
      </c>
      <c r="J86" t="s">
        <v>549</v>
      </c>
      <c r="K86" t="s">
        <v>550</v>
      </c>
      <c r="L86" t="s">
        <v>551</v>
      </c>
    </row>
    <row r="87" spans="1:12" x14ac:dyDescent="0.2">
      <c r="A87">
        <v>86</v>
      </c>
      <c r="B87">
        <v>45930.539745370399</v>
      </c>
      <c r="C87">
        <v>45930.574444444399</v>
      </c>
      <c r="D87" t="s">
        <v>552</v>
      </c>
      <c r="E87" t="s">
        <v>552</v>
      </c>
      <c r="F87" t="s">
        <v>553</v>
      </c>
      <c r="G87" t="s">
        <v>554</v>
      </c>
      <c r="I87" t="s">
        <v>555</v>
      </c>
      <c r="J87" t="s">
        <v>556</v>
      </c>
      <c r="K87" t="s">
        <v>557</v>
      </c>
      <c r="L87" t="s">
        <v>558</v>
      </c>
    </row>
    <row r="88" spans="1:12" x14ac:dyDescent="0.2">
      <c r="A88">
        <v>87</v>
      </c>
      <c r="B88">
        <v>45930.548020833303</v>
      </c>
      <c r="C88">
        <v>45930.575439814798</v>
      </c>
      <c r="D88" t="s">
        <v>559</v>
      </c>
      <c r="E88" t="s">
        <v>559</v>
      </c>
      <c r="F88" t="s">
        <v>560</v>
      </c>
      <c r="G88" t="s">
        <v>561</v>
      </c>
      <c r="I88" t="s">
        <v>562</v>
      </c>
      <c r="J88" t="s">
        <v>563</v>
      </c>
      <c r="K88" t="s">
        <v>564</v>
      </c>
      <c r="L88" t="s">
        <v>565</v>
      </c>
    </row>
    <row r="89" spans="1:12" x14ac:dyDescent="0.2">
      <c r="A89">
        <v>88</v>
      </c>
      <c r="B89">
        <v>45930.541412036997</v>
      </c>
      <c r="C89">
        <v>45930.575763888897</v>
      </c>
      <c r="D89" t="s">
        <v>566</v>
      </c>
      <c r="E89" t="s">
        <v>566</v>
      </c>
      <c r="F89" t="s">
        <v>567</v>
      </c>
      <c r="G89" t="s">
        <v>568</v>
      </c>
      <c r="I89" t="s">
        <v>569</v>
      </c>
      <c r="J89" t="s">
        <v>570</v>
      </c>
      <c r="K89" t="s">
        <v>571</v>
      </c>
      <c r="L89" t="s">
        <v>572</v>
      </c>
    </row>
    <row r="90" spans="1:12" x14ac:dyDescent="0.2">
      <c r="A90">
        <v>89</v>
      </c>
      <c r="B90">
        <v>45930.439212963</v>
      </c>
      <c r="C90">
        <v>45930.575821759303</v>
      </c>
      <c r="D90" t="s">
        <v>573</v>
      </c>
      <c r="E90" t="s">
        <v>573</v>
      </c>
      <c r="F90" t="s">
        <v>574</v>
      </c>
      <c r="G90" t="s">
        <v>575</v>
      </c>
      <c r="I90" t="s">
        <v>576</v>
      </c>
      <c r="L90" t="s">
        <v>577</v>
      </c>
    </row>
    <row r="91" spans="1:12" x14ac:dyDescent="0.2">
      <c r="A91">
        <v>90</v>
      </c>
      <c r="B91">
        <v>45930.549270833297</v>
      </c>
      <c r="C91">
        <v>45930.575960648101</v>
      </c>
      <c r="D91" t="s">
        <v>578</v>
      </c>
      <c r="E91" t="s">
        <v>578</v>
      </c>
      <c r="F91" t="s">
        <v>579</v>
      </c>
      <c r="G91" t="s">
        <v>580</v>
      </c>
      <c r="I91" t="s">
        <v>581</v>
      </c>
      <c r="J91" t="s">
        <v>582</v>
      </c>
      <c r="K91" t="s">
        <v>583</v>
      </c>
      <c r="L91" t="s">
        <v>584</v>
      </c>
    </row>
    <row r="92" spans="1:12" x14ac:dyDescent="0.2">
      <c r="A92">
        <v>91</v>
      </c>
      <c r="B92">
        <v>45930.5373958333</v>
      </c>
      <c r="C92">
        <v>45930.5761458333</v>
      </c>
      <c r="D92" t="s">
        <v>585</v>
      </c>
      <c r="E92" t="s">
        <v>585</v>
      </c>
      <c r="F92" t="s">
        <v>586</v>
      </c>
      <c r="G92" t="s">
        <v>106</v>
      </c>
      <c r="I92" t="s">
        <v>587</v>
      </c>
      <c r="J92" t="s">
        <v>588</v>
      </c>
      <c r="K92" t="s">
        <v>589</v>
      </c>
      <c r="L92" t="s">
        <v>590</v>
      </c>
    </row>
    <row r="93" spans="1:12" x14ac:dyDescent="0.2">
      <c r="A93">
        <v>92</v>
      </c>
      <c r="B93">
        <v>45930.557997685202</v>
      </c>
      <c r="C93">
        <v>45930.576307870397</v>
      </c>
      <c r="D93" t="s">
        <v>591</v>
      </c>
      <c r="E93" t="s">
        <v>591</v>
      </c>
      <c r="F93" t="s">
        <v>592</v>
      </c>
      <c r="G93" t="s">
        <v>593</v>
      </c>
      <c r="I93" t="s">
        <v>594</v>
      </c>
      <c r="J93" t="s">
        <v>595</v>
      </c>
      <c r="L93" t="s">
        <v>596</v>
      </c>
    </row>
    <row r="94" spans="1:12" x14ac:dyDescent="0.2">
      <c r="A94">
        <v>93</v>
      </c>
      <c r="B94">
        <v>45930.572002314802</v>
      </c>
      <c r="C94">
        <v>45930.576666666697</v>
      </c>
      <c r="D94" t="s">
        <v>597</v>
      </c>
      <c r="E94" t="s">
        <v>597</v>
      </c>
      <c r="F94" t="s">
        <v>598</v>
      </c>
      <c r="G94" t="s">
        <v>599</v>
      </c>
      <c r="H94" t="s">
        <v>600</v>
      </c>
      <c r="I94" t="s">
        <v>601</v>
      </c>
      <c r="J94" t="s">
        <v>602</v>
      </c>
      <c r="K94" t="s">
        <v>603</v>
      </c>
      <c r="L94" t="s">
        <v>604</v>
      </c>
    </row>
    <row r="95" spans="1:12" x14ac:dyDescent="0.2">
      <c r="A95">
        <v>94</v>
      </c>
      <c r="B95">
        <v>45930.5633564815</v>
      </c>
      <c r="C95">
        <v>45930.577094907399</v>
      </c>
      <c r="D95" t="s">
        <v>605</v>
      </c>
      <c r="E95" t="s">
        <v>605</v>
      </c>
      <c r="F95" t="s">
        <v>606</v>
      </c>
      <c r="I95" t="s">
        <v>607</v>
      </c>
      <c r="L95" t="s">
        <v>608</v>
      </c>
    </row>
    <row r="96" spans="1:12" x14ac:dyDescent="0.2">
      <c r="A96">
        <v>95</v>
      </c>
      <c r="B96">
        <v>45930.549895833297</v>
      </c>
      <c r="C96">
        <v>45930.5772222222</v>
      </c>
      <c r="D96" t="s">
        <v>609</v>
      </c>
      <c r="E96" t="s">
        <v>609</v>
      </c>
      <c r="F96" t="s">
        <v>610</v>
      </c>
      <c r="G96" t="s">
        <v>611</v>
      </c>
      <c r="I96" t="s">
        <v>612</v>
      </c>
      <c r="J96" t="s">
        <v>613</v>
      </c>
      <c r="L96" t="s">
        <v>614</v>
      </c>
    </row>
    <row r="97" spans="1:12" x14ac:dyDescent="0.2">
      <c r="A97">
        <v>96</v>
      </c>
      <c r="B97">
        <v>45930.551666666703</v>
      </c>
      <c r="C97">
        <v>45930.577835648102</v>
      </c>
      <c r="D97" t="s">
        <v>615</v>
      </c>
      <c r="E97" t="s">
        <v>615</v>
      </c>
      <c r="F97" t="s">
        <v>616</v>
      </c>
      <c r="G97" t="s">
        <v>617</v>
      </c>
      <c r="I97" t="s">
        <v>618</v>
      </c>
      <c r="J97" t="s">
        <v>619</v>
      </c>
      <c r="K97" t="s">
        <v>620</v>
      </c>
      <c r="L97" t="s">
        <v>621</v>
      </c>
    </row>
    <row r="98" spans="1:12" x14ac:dyDescent="0.2">
      <c r="A98">
        <v>97</v>
      </c>
      <c r="B98">
        <v>45930.538263888899</v>
      </c>
      <c r="C98">
        <v>45930.5782638889</v>
      </c>
      <c r="D98" t="s">
        <v>622</v>
      </c>
      <c r="E98" t="s">
        <v>622</v>
      </c>
      <c r="F98" t="s">
        <v>623</v>
      </c>
      <c r="G98" t="s">
        <v>624</v>
      </c>
      <c r="I98" t="s">
        <v>625</v>
      </c>
      <c r="J98" t="s">
        <v>626</v>
      </c>
      <c r="K98" t="s">
        <v>627</v>
      </c>
      <c r="L98" t="s">
        <v>628</v>
      </c>
    </row>
    <row r="99" spans="1:12" x14ac:dyDescent="0.2">
      <c r="A99">
        <v>98</v>
      </c>
      <c r="B99">
        <v>45930.5480439815</v>
      </c>
      <c r="C99">
        <v>45930.578645833302</v>
      </c>
      <c r="D99" t="s">
        <v>629</v>
      </c>
      <c r="E99" t="s">
        <v>629</v>
      </c>
      <c r="F99" t="s">
        <v>630</v>
      </c>
      <c r="G99" t="s">
        <v>631</v>
      </c>
      <c r="H99" t="s">
        <v>632</v>
      </c>
      <c r="I99" t="s">
        <v>633</v>
      </c>
      <c r="J99" t="s">
        <v>634</v>
      </c>
      <c r="K99" t="s">
        <v>635</v>
      </c>
      <c r="L99" t="s">
        <v>636</v>
      </c>
    </row>
    <row r="100" spans="1:12" x14ac:dyDescent="0.2">
      <c r="A100">
        <v>99</v>
      </c>
      <c r="B100">
        <v>45930.570254629602</v>
      </c>
      <c r="C100">
        <v>45930.578738425902</v>
      </c>
      <c r="D100" t="s">
        <v>637</v>
      </c>
      <c r="E100" t="s">
        <v>637</v>
      </c>
      <c r="F100" t="s">
        <v>638</v>
      </c>
      <c r="G100" t="s">
        <v>639</v>
      </c>
      <c r="I100" t="s">
        <v>640</v>
      </c>
      <c r="J100" t="s">
        <v>641</v>
      </c>
      <c r="K100" t="s">
        <v>642</v>
      </c>
      <c r="L100" t="s">
        <v>643</v>
      </c>
    </row>
    <row r="101" spans="1:12" x14ac:dyDescent="0.2">
      <c r="A101">
        <v>100</v>
      </c>
      <c r="B101">
        <v>45930.565439814804</v>
      </c>
      <c r="C101">
        <v>45930.578900462999</v>
      </c>
      <c r="D101" t="s">
        <v>644</v>
      </c>
      <c r="E101" t="s">
        <v>644</v>
      </c>
      <c r="F101" t="s">
        <v>645</v>
      </c>
      <c r="G101" t="s">
        <v>646</v>
      </c>
      <c r="I101" t="s">
        <v>647</v>
      </c>
      <c r="J101" t="s">
        <v>648</v>
      </c>
      <c r="K101" t="s">
        <v>649</v>
      </c>
      <c r="L101" t="s">
        <v>650</v>
      </c>
    </row>
    <row r="102" spans="1:12" x14ac:dyDescent="0.2">
      <c r="A102">
        <v>101</v>
      </c>
      <c r="B102">
        <v>45930.477581018502</v>
      </c>
      <c r="C102">
        <v>45930.578912037003</v>
      </c>
      <c r="D102" t="s">
        <v>651</v>
      </c>
      <c r="E102" t="s">
        <v>651</v>
      </c>
      <c r="F102" t="s">
        <v>652</v>
      </c>
      <c r="G102" t="s">
        <v>653</v>
      </c>
      <c r="I102" t="s">
        <v>654</v>
      </c>
      <c r="J102" t="s">
        <v>655</v>
      </c>
      <c r="K102" t="s">
        <v>656</v>
      </c>
      <c r="L102" t="s">
        <v>657</v>
      </c>
    </row>
    <row r="103" spans="1:12" x14ac:dyDescent="0.2">
      <c r="A103">
        <v>102</v>
      </c>
      <c r="B103">
        <v>45930.546342592599</v>
      </c>
      <c r="C103">
        <v>45930.578969907401</v>
      </c>
      <c r="D103" t="s">
        <v>658</v>
      </c>
      <c r="E103" t="s">
        <v>658</v>
      </c>
      <c r="F103" t="s">
        <v>659</v>
      </c>
      <c r="G103" t="s">
        <v>660</v>
      </c>
      <c r="I103" t="s">
        <v>661</v>
      </c>
      <c r="J103" t="s">
        <v>662</v>
      </c>
      <c r="K103" t="s">
        <v>663</v>
      </c>
      <c r="L103" t="s">
        <v>664</v>
      </c>
    </row>
    <row r="104" spans="1:12" x14ac:dyDescent="0.2">
      <c r="A104">
        <v>103</v>
      </c>
      <c r="B104">
        <v>45930.468680555598</v>
      </c>
      <c r="C104">
        <v>45930.579131944403</v>
      </c>
      <c r="D104" t="s">
        <v>665</v>
      </c>
      <c r="E104" t="s">
        <v>665</v>
      </c>
      <c r="F104" t="s">
        <v>666</v>
      </c>
      <c r="G104" t="s">
        <v>667</v>
      </c>
      <c r="I104" t="s">
        <v>668</v>
      </c>
      <c r="J104" t="s">
        <v>669</v>
      </c>
    </row>
    <row r="105" spans="1:12" x14ac:dyDescent="0.2">
      <c r="A105">
        <v>104</v>
      </c>
      <c r="B105">
        <v>45930.578113425901</v>
      </c>
      <c r="C105">
        <v>45930.579270833303</v>
      </c>
      <c r="D105" t="s">
        <v>670</v>
      </c>
      <c r="E105" t="s">
        <v>670</v>
      </c>
      <c r="F105" t="s">
        <v>671</v>
      </c>
      <c r="G105" t="s">
        <v>91</v>
      </c>
      <c r="I105" t="s">
        <v>672</v>
      </c>
      <c r="J105" t="s">
        <v>673</v>
      </c>
      <c r="K105" t="s">
        <v>674</v>
      </c>
      <c r="L105" t="s">
        <v>675</v>
      </c>
    </row>
    <row r="106" spans="1:12" x14ac:dyDescent="0.2">
      <c r="A106">
        <v>105</v>
      </c>
      <c r="B106">
        <v>45930.552592592598</v>
      </c>
      <c r="C106">
        <v>45930.579375000001</v>
      </c>
      <c r="D106" t="s">
        <v>676</v>
      </c>
      <c r="E106" t="s">
        <v>676</v>
      </c>
      <c r="F106" t="s">
        <v>677</v>
      </c>
      <c r="G106" t="s">
        <v>678</v>
      </c>
      <c r="I106" t="s">
        <v>679</v>
      </c>
      <c r="J106" t="s">
        <v>680</v>
      </c>
      <c r="K106" t="s">
        <v>681</v>
      </c>
      <c r="L106" t="s">
        <v>682</v>
      </c>
    </row>
    <row r="107" spans="1:12" x14ac:dyDescent="0.2">
      <c r="A107">
        <v>106</v>
      </c>
      <c r="B107">
        <v>45930.545289351903</v>
      </c>
      <c r="C107">
        <v>45930.579722222203</v>
      </c>
      <c r="D107" t="s">
        <v>683</v>
      </c>
      <c r="E107" t="s">
        <v>683</v>
      </c>
      <c r="F107" t="s">
        <v>684</v>
      </c>
      <c r="G107" t="s">
        <v>685</v>
      </c>
      <c r="I107" t="s">
        <v>686</v>
      </c>
      <c r="J107" t="s">
        <v>687</v>
      </c>
      <c r="K107" t="s">
        <v>688</v>
      </c>
      <c r="L107" t="s">
        <v>689</v>
      </c>
    </row>
    <row r="108" spans="1:12" x14ac:dyDescent="0.2">
      <c r="A108">
        <v>107</v>
      </c>
      <c r="B108">
        <v>45930.548923611103</v>
      </c>
      <c r="C108">
        <v>45930.580046296302</v>
      </c>
      <c r="D108" t="s">
        <v>690</v>
      </c>
      <c r="E108" t="s">
        <v>690</v>
      </c>
      <c r="F108" t="s">
        <v>691</v>
      </c>
      <c r="G108" t="s">
        <v>692</v>
      </c>
      <c r="I108" t="s">
        <v>693</v>
      </c>
      <c r="J108" t="s">
        <v>694</v>
      </c>
    </row>
    <row r="109" spans="1:12" x14ac:dyDescent="0.2">
      <c r="A109">
        <v>108</v>
      </c>
      <c r="B109">
        <v>45930.5398726852</v>
      </c>
      <c r="C109">
        <v>45930.580474536997</v>
      </c>
      <c r="D109" t="s">
        <v>695</v>
      </c>
      <c r="E109" t="s">
        <v>695</v>
      </c>
      <c r="F109" t="s">
        <v>696</v>
      </c>
      <c r="G109" t="s">
        <v>697</v>
      </c>
      <c r="I109" t="s">
        <v>698</v>
      </c>
      <c r="J109" t="s">
        <v>699</v>
      </c>
      <c r="K109" t="s">
        <v>700</v>
      </c>
      <c r="L109" t="s">
        <v>701</v>
      </c>
    </row>
    <row r="110" spans="1:12" x14ac:dyDescent="0.2">
      <c r="A110">
        <v>109</v>
      </c>
      <c r="B110">
        <v>45930.556296296301</v>
      </c>
      <c r="C110">
        <v>45930.580590277801</v>
      </c>
      <c r="D110" t="s">
        <v>702</v>
      </c>
      <c r="E110" t="s">
        <v>702</v>
      </c>
      <c r="F110" t="s">
        <v>703</v>
      </c>
      <c r="G110" t="s">
        <v>704</v>
      </c>
      <c r="I110" t="s">
        <v>705</v>
      </c>
      <c r="J110" t="s">
        <v>706</v>
      </c>
    </row>
    <row r="111" spans="1:12" x14ac:dyDescent="0.2">
      <c r="A111">
        <v>110</v>
      </c>
      <c r="B111">
        <v>45930.549861111103</v>
      </c>
      <c r="C111">
        <v>45930.580636574101</v>
      </c>
      <c r="D111" t="s">
        <v>707</v>
      </c>
      <c r="E111" t="s">
        <v>707</v>
      </c>
      <c r="F111" t="s">
        <v>708</v>
      </c>
      <c r="G111" t="s">
        <v>709</v>
      </c>
      <c r="I111" t="s">
        <v>710</v>
      </c>
      <c r="J111" t="s">
        <v>711</v>
      </c>
      <c r="K111" t="s">
        <v>712</v>
      </c>
      <c r="L111" t="s">
        <v>713</v>
      </c>
    </row>
    <row r="112" spans="1:12" x14ac:dyDescent="0.2">
      <c r="A112">
        <v>111</v>
      </c>
      <c r="B112">
        <v>45930.465972222199</v>
      </c>
      <c r="C112">
        <v>45930.580810185202</v>
      </c>
      <c r="D112" t="s">
        <v>714</v>
      </c>
      <c r="E112" t="s">
        <v>714</v>
      </c>
      <c r="F112" t="s">
        <v>715</v>
      </c>
      <c r="G112" t="s">
        <v>716</v>
      </c>
      <c r="I112" t="s">
        <v>717</v>
      </c>
      <c r="J112" t="s">
        <v>718</v>
      </c>
      <c r="K112" t="s">
        <v>719</v>
      </c>
      <c r="L112" t="s">
        <v>720</v>
      </c>
    </row>
    <row r="113" spans="1:12" x14ac:dyDescent="0.2">
      <c r="A113">
        <v>112</v>
      </c>
      <c r="B113">
        <v>45930.546446759297</v>
      </c>
      <c r="C113">
        <v>45930.5808217593</v>
      </c>
      <c r="D113" t="s">
        <v>721</v>
      </c>
      <c r="E113" t="s">
        <v>721</v>
      </c>
      <c r="F113" t="s">
        <v>722</v>
      </c>
      <c r="I113" t="s">
        <v>723</v>
      </c>
      <c r="L113" t="s">
        <v>724</v>
      </c>
    </row>
    <row r="114" spans="1:12" x14ac:dyDescent="0.2">
      <c r="A114">
        <v>113</v>
      </c>
      <c r="B114">
        <v>45930.581400463001</v>
      </c>
      <c r="C114">
        <v>45930.581597222197</v>
      </c>
      <c r="D114" t="s">
        <v>725</v>
      </c>
      <c r="E114" t="s">
        <v>725</v>
      </c>
      <c r="F114" t="s">
        <v>726</v>
      </c>
      <c r="G114" t="s">
        <v>727</v>
      </c>
      <c r="H114" t="s">
        <v>728</v>
      </c>
      <c r="I114" t="s">
        <v>729</v>
      </c>
      <c r="J114" t="s">
        <v>730</v>
      </c>
      <c r="K114" t="s">
        <v>731</v>
      </c>
      <c r="L114" t="s">
        <v>732</v>
      </c>
    </row>
    <row r="115" spans="1:12" x14ac:dyDescent="0.2">
      <c r="A115">
        <v>114</v>
      </c>
      <c r="B115">
        <v>45930.566168981502</v>
      </c>
      <c r="C115">
        <v>45930.581689814797</v>
      </c>
      <c r="D115" t="s">
        <v>733</v>
      </c>
      <c r="E115" t="s">
        <v>733</v>
      </c>
      <c r="F115" t="s">
        <v>734</v>
      </c>
      <c r="I115" t="s">
        <v>735</v>
      </c>
      <c r="J115" t="s">
        <v>736</v>
      </c>
      <c r="K115" t="s">
        <v>737</v>
      </c>
      <c r="L115" t="s">
        <v>738</v>
      </c>
    </row>
    <row r="116" spans="1:12" x14ac:dyDescent="0.2">
      <c r="A116">
        <v>115</v>
      </c>
      <c r="B116">
        <v>45930.548391203702</v>
      </c>
      <c r="C116">
        <v>45930.581736111097</v>
      </c>
      <c r="D116" t="s">
        <v>739</v>
      </c>
      <c r="E116" t="s">
        <v>739</v>
      </c>
      <c r="F116" t="s">
        <v>740</v>
      </c>
      <c r="G116" t="s">
        <v>741</v>
      </c>
      <c r="I116" t="s">
        <v>742</v>
      </c>
      <c r="J116" t="s">
        <v>170</v>
      </c>
      <c r="L116" t="s">
        <v>743</v>
      </c>
    </row>
    <row r="117" spans="1:12" x14ac:dyDescent="0.2">
      <c r="A117">
        <v>116</v>
      </c>
      <c r="B117">
        <v>45930.563726851797</v>
      </c>
      <c r="C117">
        <v>45930.581817129598</v>
      </c>
      <c r="D117" t="s">
        <v>744</v>
      </c>
      <c r="E117" t="s">
        <v>744</v>
      </c>
      <c r="F117" t="s">
        <v>745</v>
      </c>
      <c r="G117" t="s">
        <v>746</v>
      </c>
      <c r="I117" t="s">
        <v>747</v>
      </c>
      <c r="J117" t="s">
        <v>170</v>
      </c>
      <c r="K117" t="s">
        <v>748</v>
      </c>
      <c r="L117" t="s">
        <v>749</v>
      </c>
    </row>
    <row r="118" spans="1:12" x14ac:dyDescent="0.2">
      <c r="A118">
        <v>117</v>
      </c>
      <c r="B118">
        <v>45930.551805555602</v>
      </c>
      <c r="C118">
        <v>45930.581956018497</v>
      </c>
      <c r="D118" t="s">
        <v>750</v>
      </c>
      <c r="E118" t="s">
        <v>750</v>
      </c>
      <c r="F118" t="s">
        <v>751</v>
      </c>
      <c r="G118" t="s">
        <v>752</v>
      </c>
      <c r="I118" t="s">
        <v>753</v>
      </c>
      <c r="J118" t="s">
        <v>754</v>
      </c>
      <c r="K118" t="s">
        <v>755</v>
      </c>
    </row>
    <row r="119" spans="1:12" x14ac:dyDescent="0.2">
      <c r="A119">
        <v>118</v>
      </c>
      <c r="B119">
        <v>45930.542152777802</v>
      </c>
      <c r="C119">
        <v>45930.582442129598</v>
      </c>
      <c r="D119" t="s">
        <v>756</v>
      </c>
      <c r="E119" t="s">
        <v>756</v>
      </c>
      <c r="F119" t="s">
        <v>757</v>
      </c>
      <c r="G119" t="s">
        <v>758</v>
      </c>
      <c r="I119" t="s">
        <v>759</v>
      </c>
      <c r="J119" t="s">
        <v>760</v>
      </c>
      <c r="K119" t="s">
        <v>761</v>
      </c>
      <c r="L119" t="s">
        <v>762</v>
      </c>
    </row>
    <row r="120" spans="1:12" x14ac:dyDescent="0.2">
      <c r="A120">
        <v>119</v>
      </c>
      <c r="B120">
        <v>45930.544166666703</v>
      </c>
      <c r="C120">
        <v>45930.582442129598</v>
      </c>
      <c r="D120" t="s">
        <v>763</v>
      </c>
      <c r="E120" t="s">
        <v>763</v>
      </c>
      <c r="F120" t="s">
        <v>764</v>
      </c>
      <c r="G120" t="s">
        <v>765</v>
      </c>
      <c r="I120" t="s">
        <v>766</v>
      </c>
      <c r="J120" t="s">
        <v>767</v>
      </c>
      <c r="K120" t="s">
        <v>768</v>
      </c>
      <c r="L120" t="s">
        <v>769</v>
      </c>
    </row>
    <row r="121" spans="1:12" x14ac:dyDescent="0.2">
      <c r="A121">
        <v>120</v>
      </c>
      <c r="B121">
        <v>45930.582430555602</v>
      </c>
      <c r="C121">
        <v>45930.582488425898</v>
      </c>
      <c r="D121" t="s">
        <v>770</v>
      </c>
      <c r="E121" t="s">
        <v>770</v>
      </c>
      <c r="F121" t="s">
        <v>771</v>
      </c>
      <c r="G121" t="s">
        <v>772</v>
      </c>
      <c r="I121" t="s">
        <v>773</v>
      </c>
      <c r="L121" t="s">
        <v>198</v>
      </c>
    </row>
    <row r="122" spans="1:12" x14ac:dyDescent="0.2">
      <c r="A122">
        <v>121</v>
      </c>
      <c r="B122">
        <v>45930.544571759303</v>
      </c>
      <c r="C122">
        <v>45930.582696759302</v>
      </c>
      <c r="D122" t="s">
        <v>774</v>
      </c>
      <c r="E122" t="s">
        <v>774</v>
      </c>
      <c r="F122" t="s">
        <v>775</v>
      </c>
      <c r="G122" t="s">
        <v>776</v>
      </c>
      <c r="I122" t="s">
        <v>777</v>
      </c>
      <c r="J122" t="s">
        <v>778</v>
      </c>
      <c r="K122" t="s">
        <v>779</v>
      </c>
      <c r="L122" t="s">
        <v>780</v>
      </c>
    </row>
    <row r="123" spans="1:12" x14ac:dyDescent="0.2">
      <c r="A123">
        <v>122</v>
      </c>
      <c r="B123">
        <v>45930.541701388902</v>
      </c>
      <c r="C123">
        <v>45930.582858796297</v>
      </c>
      <c r="D123" t="s">
        <v>781</v>
      </c>
      <c r="E123" t="s">
        <v>781</v>
      </c>
      <c r="F123" t="s">
        <v>782</v>
      </c>
      <c r="G123" t="s">
        <v>783</v>
      </c>
      <c r="I123" t="s">
        <v>784</v>
      </c>
      <c r="J123" t="s">
        <v>785</v>
      </c>
      <c r="K123" t="s">
        <v>786</v>
      </c>
      <c r="L123" t="s">
        <v>787</v>
      </c>
    </row>
    <row r="124" spans="1:12" x14ac:dyDescent="0.2">
      <c r="A124">
        <v>123</v>
      </c>
      <c r="B124">
        <v>45930.550856481503</v>
      </c>
      <c r="C124">
        <v>45930.583356481497</v>
      </c>
      <c r="D124" t="s">
        <v>788</v>
      </c>
      <c r="E124" t="s">
        <v>788</v>
      </c>
      <c r="F124" t="s">
        <v>789</v>
      </c>
      <c r="G124" t="s">
        <v>790</v>
      </c>
      <c r="I124" t="s">
        <v>791</v>
      </c>
      <c r="J124" t="s">
        <v>792</v>
      </c>
      <c r="K124" t="s">
        <v>793</v>
      </c>
      <c r="L124" t="s">
        <v>794</v>
      </c>
    </row>
    <row r="125" spans="1:12" x14ac:dyDescent="0.2">
      <c r="A125">
        <v>124</v>
      </c>
      <c r="B125">
        <v>45930.477523148104</v>
      </c>
      <c r="C125">
        <v>45930.583483796298</v>
      </c>
      <c r="D125" t="s">
        <v>795</v>
      </c>
      <c r="E125" t="s">
        <v>795</v>
      </c>
      <c r="F125" t="s">
        <v>796</v>
      </c>
      <c r="G125" t="s">
        <v>797</v>
      </c>
      <c r="H125" t="s">
        <v>798</v>
      </c>
      <c r="I125" t="s">
        <v>799</v>
      </c>
      <c r="J125" t="s">
        <v>800</v>
      </c>
      <c r="K125" t="s">
        <v>801</v>
      </c>
      <c r="L125" t="s">
        <v>802</v>
      </c>
    </row>
    <row r="126" spans="1:12" x14ac:dyDescent="0.2">
      <c r="A126">
        <v>125</v>
      </c>
      <c r="B126">
        <v>45930.545555555596</v>
      </c>
      <c r="C126">
        <v>45930.583657407398</v>
      </c>
      <c r="D126" t="s">
        <v>803</v>
      </c>
      <c r="E126" t="s">
        <v>803</v>
      </c>
      <c r="F126" t="s">
        <v>804</v>
      </c>
      <c r="G126" t="s">
        <v>805</v>
      </c>
      <c r="I126" t="s">
        <v>806</v>
      </c>
      <c r="J126" t="s">
        <v>807</v>
      </c>
      <c r="K126" t="s">
        <v>808</v>
      </c>
      <c r="L126" t="s">
        <v>809</v>
      </c>
    </row>
    <row r="127" spans="1:12" x14ac:dyDescent="0.2">
      <c r="A127">
        <v>126</v>
      </c>
      <c r="B127">
        <v>45930.572141203702</v>
      </c>
      <c r="C127">
        <v>45930.583703703698</v>
      </c>
      <c r="D127" t="s">
        <v>810</v>
      </c>
      <c r="E127" t="s">
        <v>810</v>
      </c>
      <c r="F127" t="s">
        <v>811</v>
      </c>
      <c r="G127" t="s">
        <v>812</v>
      </c>
      <c r="I127" t="s">
        <v>813</v>
      </c>
      <c r="J127" t="s">
        <v>814</v>
      </c>
      <c r="K127" t="s">
        <v>815</v>
      </c>
      <c r="L127" t="s">
        <v>816</v>
      </c>
    </row>
    <row r="128" spans="1:12" x14ac:dyDescent="0.2">
      <c r="A128">
        <v>127</v>
      </c>
      <c r="B128">
        <v>45930.474722222199</v>
      </c>
      <c r="C128">
        <v>45930.583946759303</v>
      </c>
      <c r="D128" t="s">
        <v>817</v>
      </c>
      <c r="E128" t="s">
        <v>817</v>
      </c>
      <c r="F128" t="s">
        <v>818</v>
      </c>
      <c r="G128" t="s">
        <v>819</v>
      </c>
      <c r="I128" t="s">
        <v>820</v>
      </c>
      <c r="J128" t="s">
        <v>821</v>
      </c>
      <c r="K128" t="s">
        <v>822</v>
      </c>
      <c r="L128" t="s">
        <v>823</v>
      </c>
    </row>
    <row r="129" spans="1:12" x14ac:dyDescent="0.2">
      <c r="A129">
        <v>128</v>
      </c>
      <c r="B129">
        <v>45930.554375</v>
      </c>
      <c r="C129">
        <v>45930.584224537</v>
      </c>
      <c r="D129" t="s">
        <v>824</v>
      </c>
      <c r="E129" t="s">
        <v>824</v>
      </c>
      <c r="F129" t="s">
        <v>825</v>
      </c>
      <c r="G129" t="s">
        <v>826</v>
      </c>
      <c r="I129" t="s">
        <v>827</v>
      </c>
      <c r="L129" t="s">
        <v>828</v>
      </c>
    </row>
    <row r="130" spans="1:12" x14ac:dyDescent="0.2">
      <c r="A130">
        <v>129</v>
      </c>
      <c r="B130">
        <v>45930.540555555599</v>
      </c>
      <c r="C130">
        <v>45930.5842708333</v>
      </c>
      <c r="D130" t="s">
        <v>829</v>
      </c>
      <c r="E130" t="s">
        <v>829</v>
      </c>
      <c r="F130" t="s">
        <v>830</v>
      </c>
      <c r="G130" t="s">
        <v>831</v>
      </c>
      <c r="H130" t="s">
        <v>832</v>
      </c>
      <c r="I130" t="s">
        <v>833</v>
      </c>
      <c r="L130" t="s">
        <v>834</v>
      </c>
    </row>
    <row r="131" spans="1:12" x14ac:dyDescent="0.2">
      <c r="A131">
        <v>130</v>
      </c>
      <c r="B131">
        <v>45930.544120370403</v>
      </c>
      <c r="C131">
        <v>45930.584571759297</v>
      </c>
      <c r="D131" t="s">
        <v>835</v>
      </c>
      <c r="E131" t="s">
        <v>835</v>
      </c>
      <c r="F131" t="s">
        <v>836</v>
      </c>
      <c r="G131" t="s">
        <v>837</v>
      </c>
      <c r="H131" t="s">
        <v>341</v>
      </c>
      <c r="I131" t="s">
        <v>838</v>
      </c>
      <c r="J131" t="s">
        <v>839</v>
      </c>
      <c r="K131" t="s">
        <v>840</v>
      </c>
      <c r="L131" t="s">
        <v>841</v>
      </c>
    </row>
    <row r="132" spans="1:12" x14ac:dyDescent="0.2">
      <c r="A132">
        <v>131</v>
      </c>
      <c r="B132">
        <v>45930.584803240701</v>
      </c>
      <c r="C132">
        <v>45930.584849537001</v>
      </c>
      <c r="D132" t="s">
        <v>842</v>
      </c>
      <c r="E132" t="s">
        <v>842</v>
      </c>
      <c r="F132" t="s">
        <v>843</v>
      </c>
      <c r="I132" t="s">
        <v>844</v>
      </c>
      <c r="L132" t="s">
        <v>845</v>
      </c>
    </row>
    <row r="133" spans="1:12" x14ac:dyDescent="0.2">
      <c r="A133">
        <v>132</v>
      </c>
      <c r="B133">
        <v>45930.440497685202</v>
      </c>
      <c r="C133">
        <v>45930.584942129601</v>
      </c>
      <c r="D133" t="s">
        <v>846</v>
      </c>
      <c r="E133" t="s">
        <v>846</v>
      </c>
      <c r="F133" t="s">
        <v>847</v>
      </c>
      <c r="G133" t="s">
        <v>848</v>
      </c>
      <c r="I133" t="s">
        <v>849</v>
      </c>
      <c r="J133" t="s">
        <v>850</v>
      </c>
      <c r="L133" t="s">
        <v>851</v>
      </c>
    </row>
    <row r="134" spans="1:12" x14ac:dyDescent="0.2">
      <c r="A134">
        <v>133</v>
      </c>
      <c r="B134">
        <v>45930.570625</v>
      </c>
      <c r="C134">
        <v>45930.584999999999</v>
      </c>
      <c r="D134" t="s">
        <v>852</v>
      </c>
      <c r="E134" t="s">
        <v>852</v>
      </c>
      <c r="F134" t="s">
        <v>853</v>
      </c>
      <c r="G134" t="s">
        <v>854</v>
      </c>
      <c r="I134" t="s">
        <v>855</v>
      </c>
      <c r="J134" t="s">
        <v>856</v>
      </c>
      <c r="K134" t="s">
        <v>857</v>
      </c>
      <c r="L134" t="s">
        <v>858</v>
      </c>
    </row>
    <row r="135" spans="1:12" x14ac:dyDescent="0.2">
      <c r="A135">
        <v>134</v>
      </c>
      <c r="B135">
        <v>45930.489108796297</v>
      </c>
      <c r="C135">
        <v>45930.585324074098</v>
      </c>
      <c r="D135" t="s">
        <v>859</v>
      </c>
      <c r="E135" t="s">
        <v>859</v>
      </c>
      <c r="F135" t="s">
        <v>860</v>
      </c>
      <c r="G135" t="s">
        <v>861</v>
      </c>
      <c r="H135" t="s">
        <v>862</v>
      </c>
      <c r="I135" t="s">
        <v>863</v>
      </c>
      <c r="J135" t="s">
        <v>864</v>
      </c>
      <c r="K135" t="s">
        <v>865</v>
      </c>
      <c r="L135" t="s">
        <v>866</v>
      </c>
    </row>
    <row r="136" spans="1:12" x14ac:dyDescent="0.2">
      <c r="A136">
        <v>135</v>
      </c>
      <c r="B136">
        <v>45930.581909722197</v>
      </c>
      <c r="C136">
        <v>45930.585659722201</v>
      </c>
      <c r="D136" t="s">
        <v>867</v>
      </c>
      <c r="E136" t="s">
        <v>867</v>
      </c>
      <c r="F136" t="s">
        <v>868</v>
      </c>
      <c r="G136" t="s">
        <v>869</v>
      </c>
      <c r="I136" t="s">
        <v>870</v>
      </c>
      <c r="J136" t="s">
        <v>871</v>
      </c>
      <c r="K136" t="s">
        <v>872</v>
      </c>
      <c r="L136" t="s">
        <v>873</v>
      </c>
    </row>
    <row r="137" spans="1:12" x14ac:dyDescent="0.2">
      <c r="A137">
        <v>136</v>
      </c>
      <c r="B137">
        <v>45930.572465277801</v>
      </c>
      <c r="C137">
        <v>45930.585659722201</v>
      </c>
      <c r="D137" t="s">
        <v>874</v>
      </c>
      <c r="E137" t="s">
        <v>874</v>
      </c>
      <c r="F137" t="s">
        <v>875</v>
      </c>
      <c r="G137" t="s">
        <v>876</v>
      </c>
      <c r="I137" t="s">
        <v>877</v>
      </c>
      <c r="J137" t="s">
        <v>878</v>
      </c>
      <c r="K137" t="s">
        <v>879</v>
      </c>
    </row>
    <row r="138" spans="1:12" x14ac:dyDescent="0.2">
      <c r="A138">
        <v>137</v>
      </c>
      <c r="B138">
        <v>45930.567094907397</v>
      </c>
      <c r="C138">
        <v>45930.586354166699</v>
      </c>
      <c r="D138" t="s">
        <v>880</v>
      </c>
      <c r="E138" t="s">
        <v>880</v>
      </c>
      <c r="F138" t="s">
        <v>881</v>
      </c>
      <c r="I138" t="s">
        <v>882</v>
      </c>
    </row>
    <row r="139" spans="1:12" x14ac:dyDescent="0.2">
      <c r="A139">
        <v>138</v>
      </c>
      <c r="B139">
        <v>45930.546226851897</v>
      </c>
      <c r="C139">
        <v>45930.586678240703</v>
      </c>
      <c r="D139" t="s">
        <v>883</v>
      </c>
      <c r="E139" t="s">
        <v>883</v>
      </c>
      <c r="F139" t="s">
        <v>884</v>
      </c>
      <c r="G139" t="s">
        <v>885</v>
      </c>
      <c r="I139" t="s">
        <v>886</v>
      </c>
      <c r="J139" t="s">
        <v>887</v>
      </c>
      <c r="L139" t="s">
        <v>888</v>
      </c>
    </row>
    <row r="140" spans="1:12" x14ac:dyDescent="0.2">
      <c r="A140">
        <v>139</v>
      </c>
      <c r="B140">
        <v>45930.487002314803</v>
      </c>
      <c r="C140">
        <v>45930.586851851796</v>
      </c>
      <c r="D140" t="s">
        <v>889</v>
      </c>
      <c r="E140" t="s">
        <v>890</v>
      </c>
      <c r="F140" t="s">
        <v>891</v>
      </c>
      <c r="G140" t="s">
        <v>892</v>
      </c>
      <c r="I140" t="s">
        <v>893</v>
      </c>
      <c r="J140" t="s">
        <v>894</v>
      </c>
      <c r="K140" t="s">
        <v>895</v>
      </c>
      <c r="L140" t="s">
        <v>896</v>
      </c>
    </row>
    <row r="141" spans="1:12" x14ac:dyDescent="0.2">
      <c r="A141">
        <v>140</v>
      </c>
      <c r="B141">
        <v>45930.4660069444</v>
      </c>
      <c r="C141">
        <v>45930.586898148104</v>
      </c>
      <c r="D141" t="s">
        <v>897</v>
      </c>
      <c r="E141" t="s">
        <v>897</v>
      </c>
      <c r="F141" t="s">
        <v>898</v>
      </c>
      <c r="G141" t="s">
        <v>899</v>
      </c>
      <c r="H141" t="s">
        <v>900</v>
      </c>
      <c r="I141" t="s">
        <v>901</v>
      </c>
      <c r="J141" t="s">
        <v>902</v>
      </c>
      <c r="K141" t="s">
        <v>903</v>
      </c>
      <c r="L141" t="s">
        <v>904</v>
      </c>
    </row>
    <row r="142" spans="1:12" x14ac:dyDescent="0.2">
      <c r="A142">
        <v>141</v>
      </c>
      <c r="B142">
        <v>45930.573402777802</v>
      </c>
      <c r="C142">
        <v>45930.587164351797</v>
      </c>
      <c r="D142" t="s">
        <v>905</v>
      </c>
      <c r="E142" t="s">
        <v>905</v>
      </c>
      <c r="F142" t="s">
        <v>906</v>
      </c>
      <c r="G142" t="s">
        <v>907</v>
      </c>
      <c r="I142" t="s">
        <v>908</v>
      </c>
      <c r="J142" t="s">
        <v>909</v>
      </c>
      <c r="L142" t="s">
        <v>910</v>
      </c>
    </row>
    <row r="143" spans="1:12" x14ac:dyDescent="0.2">
      <c r="A143">
        <v>142</v>
      </c>
      <c r="B143">
        <v>45930.587210648097</v>
      </c>
      <c r="C143">
        <v>45930.587256944404</v>
      </c>
      <c r="D143" t="s">
        <v>911</v>
      </c>
      <c r="E143" t="s">
        <v>911</v>
      </c>
      <c r="F143" t="s">
        <v>912</v>
      </c>
      <c r="G143" t="s">
        <v>913</v>
      </c>
      <c r="I143" t="s">
        <v>914</v>
      </c>
      <c r="J143" t="s">
        <v>915</v>
      </c>
      <c r="K143" t="s">
        <v>916</v>
      </c>
      <c r="L143" t="s">
        <v>917</v>
      </c>
    </row>
    <row r="144" spans="1:12" x14ac:dyDescent="0.2">
      <c r="A144">
        <v>143</v>
      </c>
      <c r="B144">
        <v>45930.569780092599</v>
      </c>
      <c r="C144">
        <v>45930.587349537003</v>
      </c>
      <c r="D144" t="s">
        <v>918</v>
      </c>
      <c r="E144" t="s">
        <v>918</v>
      </c>
      <c r="F144" t="s">
        <v>919</v>
      </c>
      <c r="G144" t="s">
        <v>920</v>
      </c>
      <c r="I144" t="s">
        <v>921</v>
      </c>
      <c r="J144" t="s">
        <v>922</v>
      </c>
      <c r="K144" t="s">
        <v>923</v>
      </c>
      <c r="L144" t="s">
        <v>924</v>
      </c>
    </row>
    <row r="145" spans="1:12" x14ac:dyDescent="0.2">
      <c r="A145">
        <v>144</v>
      </c>
      <c r="B145">
        <v>45930.5688310185</v>
      </c>
      <c r="C145">
        <v>45930.587627314802</v>
      </c>
      <c r="D145" t="s">
        <v>925</v>
      </c>
      <c r="E145" t="s">
        <v>925</v>
      </c>
      <c r="F145" t="s">
        <v>926</v>
      </c>
      <c r="G145" t="s">
        <v>927</v>
      </c>
      <c r="I145" t="s">
        <v>928</v>
      </c>
      <c r="J145" t="s">
        <v>929</v>
      </c>
      <c r="K145" t="s">
        <v>930</v>
      </c>
      <c r="L145" t="s">
        <v>931</v>
      </c>
    </row>
    <row r="146" spans="1:12" x14ac:dyDescent="0.2">
      <c r="A146">
        <v>145</v>
      </c>
      <c r="B146">
        <v>45930.569965277798</v>
      </c>
      <c r="C146">
        <v>45930.587719907402</v>
      </c>
      <c r="D146" t="s">
        <v>932</v>
      </c>
      <c r="E146" t="s">
        <v>932</v>
      </c>
      <c r="F146" t="s">
        <v>933</v>
      </c>
      <c r="I146" t="s">
        <v>934</v>
      </c>
    </row>
    <row r="147" spans="1:12" x14ac:dyDescent="0.2">
      <c r="A147">
        <v>146</v>
      </c>
      <c r="B147">
        <v>45930.559374999997</v>
      </c>
      <c r="C147">
        <v>45930.587800925903</v>
      </c>
      <c r="D147" t="s">
        <v>935</v>
      </c>
      <c r="E147" t="s">
        <v>935</v>
      </c>
      <c r="F147" t="s">
        <v>936</v>
      </c>
      <c r="G147" t="s">
        <v>937</v>
      </c>
      <c r="H147" t="s">
        <v>938</v>
      </c>
      <c r="I147" t="s">
        <v>939</v>
      </c>
      <c r="J147" t="s">
        <v>940</v>
      </c>
      <c r="K147" t="s">
        <v>941</v>
      </c>
      <c r="L147" t="s">
        <v>942</v>
      </c>
    </row>
    <row r="148" spans="1:12" x14ac:dyDescent="0.2">
      <c r="A148">
        <v>147</v>
      </c>
      <c r="B148">
        <v>45930.568611111099</v>
      </c>
      <c r="C148">
        <v>45930.587847222203</v>
      </c>
      <c r="D148" t="s">
        <v>943</v>
      </c>
      <c r="E148" t="s">
        <v>943</v>
      </c>
      <c r="F148" t="s">
        <v>944</v>
      </c>
      <c r="G148" t="s">
        <v>945</v>
      </c>
      <c r="I148" t="s">
        <v>946</v>
      </c>
      <c r="L148" t="s">
        <v>346</v>
      </c>
    </row>
    <row r="149" spans="1:12" x14ac:dyDescent="0.2">
      <c r="A149">
        <v>148</v>
      </c>
      <c r="B149">
        <v>45930.55</v>
      </c>
      <c r="C149">
        <v>45930.587858796302</v>
      </c>
      <c r="D149" t="s">
        <v>947</v>
      </c>
      <c r="E149" t="s">
        <v>947</v>
      </c>
      <c r="F149" t="s">
        <v>948</v>
      </c>
      <c r="G149" t="s">
        <v>949</v>
      </c>
      <c r="I149" t="s">
        <v>950</v>
      </c>
      <c r="J149" t="s">
        <v>951</v>
      </c>
      <c r="L149" t="s">
        <v>952</v>
      </c>
    </row>
    <row r="150" spans="1:12" x14ac:dyDescent="0.2">
      <c r="A150">
        <v>149</v>
      </c>
      <c r="B150">
        <v>45930.543935185196</v>
      </c>
      <c r="C150">
        <v>45930.588194444397</v>
      </c>
      <c r="D150" t="s">
        <v>953</v>
      </c>
      <c r="E150" t="s">
        <v>953</v>
      </c>
      <c r="F150" t="s">
        <v>954</v>
      </c>
      <c r="G150" t="s">
        <v>955</v>
      </c>
      <c r="I150" t="s">
        <v>956</v>
      </c>
      <c r="J150" t="s">
        <v>957</v>
      </c>
      <c r="K150" t="s">
        <v>958</v>
      </c>
      <c r="L150" t="s">
        <v>959</v>
      </c>
    </row>
    <row r="151" spans="1:12" x14ac:dyDescent="0.2">
      <c r="A151">
        <v>150</v>
      </c>
      <c r="B151">
        <v>45930.588310185201</v>
      </c>
      <c r="C151">
        <v>45930.588356481501</v>
      </c>
      <c r="D151" t="s">
        <v>960</v>
      </c>
      <c r="E151" t="s">
        <v>960</v>
      </c>
      <c r="F151" t="s">
        <v>961</v>
      </c>
      <c r="G151" t="s">
        <v>106</v>
      </c>
      <c r="I151" t="s">
        <v>962</v>
      </c>
      <c r="J151" t="s">
        <v>963</v>
      </c>
      <c r="L151" t="s">
        <v>964</v>
      </c>
    </row>
    <row r="152" spans="1:12" x14ac:dyDescent="0.2">
      <c r="A152">
        <v>151</v>
      </c>
      <c r="B152">
        <v>45930.589756944399</v>
      </c>
      <c r="C152">
        <v>45930.590011574102</v>
      </c>
      <c r="D152" t="s">
        <v>965</v>
      </c>
      <c r="E152" t="s">
        <v>965</v>
      </c>
      <c r="F152" t="s">
        <v>966</v>
      </c>
      <c r="G152" t="s">
        <v>967</v>
      </c>
      <c r="H152" t="s">
        <v>341</v>
      </c>
      <c r="I152" t="s">
        <v>968</v>
      </c>
      <c r="J152" t="s">
        <v>969</v>
      </c>
      <c r="K152" t="s">
        <v>970</v>
      </c>
      <c r="L152" t="s">
        <v>971</v>
      </c>
    </row>
    <row r="153" spans="1:12" x14ac:dyDescent="0.2">
      <c r="A153">
        <v>152</v>
      </c>
      <c r="B153">
        <v>45930.570439814801</v>
      </c>
      <c r="C153">
        <v>45930.590312499997</v>
      </c>
      <c r="D153" t="s">
        <v>972</v>
      </c>
      <c r="E153" t="s">
        <v>973</v>
      </c>
      <c r="F153" t="s">
        <v>974</v>
      </c>
      <c r="I153" t="s">
        <v>975</v>
      </c>
    </row>
    <row r="154" spans="1:12" x14ac:dyDescent="0.2">
      <c r="A154">
        <v>153</v>
      </c>
      <c r="B154">
        <v>45930.492974537003</v>
      </c>
      <c r="C154">
        <v>45930.590659722198</v>
      </c>
      <c r="D154" t="s">
        <v>976</v>
      </c>
      <c r="E154" t="s">
        <v>976</v>
      </c>
      <c r="F154" t="s">
        <v>977</v>
      </c>
      <c r="G154" t="s">
        <v>978</v>
      </c>
      <c r="I154" t="s">
        <v>979</v>
      </c>
      <c r="J154" t="s">
        <v>980</v>
      </c>
      <c r="K154" t="s">
        <v>981</v>
      </c>
      <c r="L154" t="s">
        <v>982</v>
      </c>
    </row>
    <row r="155" spans="1:12" x14ac:dyDescent="0.2">
      <c r="A155">
        <v>154</v>
      </c>
      <c r="B155">
        <v>45930.562974537002</v>
      </c>
      <c r="C155">
        <v>45930.590740740699</v>
      </c>
      <c r="D155" t="s">
        <v>983</v>
      </c>
      <c r="E155" t="s">
        <v>983</v>
      </c>
      <c r="F155" t="s">
        <v>984</v>
      </c>
      <c r="G155" t="s">
        <v>985</v>
      </c>
      <c r="I155" t="s">
        <v>986</v>
      </c>
      <c r="J155" t="s">
        <v>987</v>
      </c>
      <c r="K155" t="s">
        <v>988</v>
      </c>
      <c r="L155" t="s">
        <v>989</v>
      </c>
    </row>
    <row r="156" spans="1:12" x14ac:dyDescent="0.2">
      <c r="A156">
        <v>155</v>
      </c>
      <c r="B156">
        <v>45930.579629629603</v>
      </c>
      <c r="C156">
        <v>45930.590821759302</v>
      </c>
      <c r="D156" t="s">
        <v>990</v>
      </c>
      <c r="E156" t="s">
        <v>990</v>
      </c>
      <c r="F156" t="s">
        <v>991</v>
      </c>
      <c r="G156" t="s">
        <v>992</v>
      </c>
      <c r="I156" t="s">
        <v>993</v>
      </c>
      <c r="J156" t="s">
        <v>994</v>
      </c>
      <c r="L156" t="s">
        <v>995</v>
      </c>
    </row>
    <row r="157" spans="1:12" x14ac:dyDescent="0.2">
      <c r="A157">
        <v>156</v>
      </c>
      <c r="B157">
        <v>45930.588865740698</v>
      </c>
      <c r="C157">
        <v>45930.590891203698</v>
      </c>
      <c r="D157" t="s">
        <v>996</v>
      </c>
      <c r="E157" t="s">
        <v>996</v>
      </c>
      <c r="F157" t="s">
        <v>113</v>
      </c>
      <c r="G157" t="s">
        <v>114</v>
      </c>
      <c r="I157" t="s">
        <v>115</v>
      </c>
      <c r="J157" t="s">
        <v>116</v>
      </c>
      <c r="K157" t="s">
        <v>117</v>
      </c>
      <c r="L157" t="s">
        <v>118</v>
      </c>
    </row>
    <row r="158" spans="1:12" x14ac:dyDescent="0.2">
      <c r="A158">
        <v>157</v>
      </c>
      <c r="B158">
        <v>45930.491875</v>
      </c>
      <c r="C158">
        <v>45930.591759259303</v>
      </c>
      <c r="D158" t="s">
        <v>997</v>
      </c>
      <c r="E158" t="s">
        <v>997</v>
      </c>
      <c r="F158" t="s">
        <v>998</v>
      </c>
      <c r="G158" t="s">
        <v>999</v>
      </c>
      <c r="H158" t="s">
        <v>1000</v>
      </c>
      <c r="I158" t="s">
        <v>1001</v>
      </c>
      <c r="J158" t="s">
        <v>1002</v>
      </c>
      <c r="K158" t="s">
        <v>1003</v>
      </c>
      <c r="L158" t="s">
        <v>1004</v>
      </c>
    </row>
    <row r="159" spans="1:12" x14ac:dyDescent="0.2">
      <c r="A159">
        <v>158</v>
      </c>
      <c r="B159">
        <v>45930.563449074099</v>
      </c>
      <c r="C159">
        <v>45930.591793981497</v>
      </c>
      <c r="D159" t="s">
        <v>1005</v>
      </c>
      <c r="E159" t="s">
        <v>1005</v>
      </c>
      <c r="F159" t="s">
        <v>1006</v>
      </c>
      <c r="G159" t="s">
        <v>1007</v>
      </c>
      <c r="I159" t="s">
        <v>1008</v>
      </c>
      <c r="J159" t="s">
        <v>1009</v>
      </c>
      <c r="K159" t="s">
        <v>1010</v>
      </c>
      <c r="L159" t="s">
        <v>1011</v>
      </c>
    </row>
    <row r="160" spans="1:12" x14ac:dyDescent="0.2">
      <c r="A160">
        <v>159</v>
      </c>
      <c r="B160">
        <v>45930.582499999997</v>
      </c>
      <c r="C160">
        <v>45930.592025462996</v>
      </c>
      <c r="D160" t="s">
        <v>1012</v>
      </c>
      <c r="E160" t="s">
        <v>1012</v>
      </c>
      <c r="F160" t="s">
        <v>1013</v>
      </c>
      <c r="G160" t="s">
        <v>1014</v>
      </c>
      <c r="H160" t="s">
        <v>1015</v>
      </c>
      <c r="I160" t="s">
        <v>1016</v>
      </c>
      <c r="J160" t="s">
        <v>1017</v>
      </c>
      <c r="K160" t="s">
        <v>1018</v>
      </c>
      <c r="L160" t="s">
        <v>1019</v>
      </c>
    </row>
    <row r="161" spans="1:12" x14ac:dyDescent="0.2">
      <c r="A161">
        <v>160</v>
      </c>
      <c r="B161">
        <v>45930.569733796299</v>
      </c>
      <c r="C161">
        <v>45930.592233796298</v>
      </c>
      <c r="D161" t="s">
        <v>1020</v>
      </c>
      <c r="E161" t="s">
        <v>1021</v>
      </c>
      <c r="F161" t="s">
        <v>1022</v>
      </c>
      <c r="I161" t="s">
        <v>1023</v>
      </c>
    </row>
    <row r="162" spans="1:12" x14ac:dyDescent="0.2">
      <c r="A162">
        <v>161</v>
      </c>
      <c r="B162">
        <v>45930.5445833333</v>
      </c>
      <c r="C162">
        <v>45930.5922685185</v>
      </c>
      <c r="D162" t="s">
        <v>1024</v>
      </c>
      <c r="E162" t="s">
        <v>1024</v>
      </c>
      <c r="F162" t="s">
        <v>1025</v>
      </c>
      <c r="G162" t="s">
        <v>1026</v>
      </c>
      <c r="I162" t="s">
        <v>1027</v>
      </c>
      <c r="J162" t="s">
        <v>1028</v>
      </c>
      <c r="K162" t="s">
        <v>1029</v>
      </c>
      <c r="L162" t="s">
        <v>1030</v>
      </c>
    </row>
    <row r="163" spans="1:12" x14ac:dyDescent="0.2">
      <c r="A163">
        <v>162</v>
      </c>
      <c r="B163">
        <v>45930.5769097222</v>
      </c>
      <c r="C163">
        <v>45930.592314814799</v>
      </c>
      <c r="D163" t="s">
        <v>1031</v>
      </c>
      <c r="E163" t="s">
        <v>1031</v>
      </c>
      <c r="F163" t="s">
        <v>1032</v>
      </c>
      <c r="I163" t="s">
        <v>1033</v>
      </c>
      <c r="L163" t="s">
        <v>798</v>
      </c>
    </row>
    <row r="164" spans="1:12" x14ac:dyDescent="0.2">
      <c r="A164">
        <v>163</v>
      </c>
      <c r="B164">
        <v>45930.538171296299</v>
      </c>
      <c r="C164">
        <v>45930.593460648102</v>
      </c>
      <c r="D164" t="s">
        <v>1034</v>
      </c>
      <c r="E164" t="s">
        <v>1034</v>
      </c>
      <c r="F164" t="s">
        <v>1035</v>
      </c>
      <c r="G164" t="s">
        <v>1036</v>
      </c>
      <c r="I164" t="s">
        <v>1037</v>
      </c>
      <c r="J164" t="s">
        <v>1038</v>
      </c>
      <c r="K164" t="s">
        <v>1039</v>
      </c>
      <c r="L164" t="s">
        <v>1040</v>
      </c>
    </row>
    <row r="165" spans="1:12" x14ac:dyDescent="0.2">
      <c r="A165">
        <v>164</v>
      </c>
      <c r="B165">
        <v>45930.582592592596</v>
      </c>
      <c r="C165">
        <v>45930.593773148103</v>
      </c>
      <c r="D165" t="s">
        <v>1041</v>
      </c>
      <c r="E165" t="s">
        <v>1041</v>
      </c>
      <c r="F165" t="s">
        <v>1042</v>
      </c>
      <c r="G165" t="s">
        <v>920</v>
      </c>
      <c r="I165" t="s">
        <v>1043</v>
      </c>
      <c r="J165" t="s">
        <v>922</v>
      </c>
      <c r="K165" t="s">
        <v>1044</v>
      </c>
      <c r="L165" t="s">
        <v>1045</v>
      </c>
    </row>
    <row r="166" spans="1:12" x14ac:dyDescent="0.2">
      <c r="A166">
        <v>165</v>
      </c>
      <c r="B166">
        <v>45930.544224537</v>
      </c>
      <c r="C166">
        <v>45930.594085648103</v>
      </c>
      <c r="D166" t="s">
        <v>1046</v>
      </c>
      <c r="E166" t="s">
        <v>1046</v>
      </c>
      <c r="F166" t="s">
        <v>1047</v>
      </c>
      <c r="G166" t="s">
        <v>1048</v>
      </c>
      <c r="H166" t="s">
        <v>1049</v>
      </c>
      <c r="I166" t="s">
        <v>1050</v>
      </c>
      <c r="J166" t="s">
        <v>1051</v>
      </c>
      <c r="K166" t="s">
        <v>1052</v>
      </c>
    </row>
    <row r="167" spans="1:12" x14ac:dyDescent="0.2">
      <c r="A167">
        <v>166</v>
      </c>
      <c r="B167">
        <v>45930.592407407399</v>
      </c>
      <c r="C167">
        <v>45930.595578703702</v>
      </c>
      <c r="D167" t="s">
        <v>1053</v>
      </c>
      <c r="E167" t="s">
        <v>1053</v>
      </c>
      <c r="F167" t="s">
        <v>1054</v>
      </c>
      <c r="G167" t="s">
        <v>1055</v>
      </c>
      <c r="I167" t="s">
        <v>1056</v>
      </c>
      <c r="J167" t="s">
        <v>730</v>
      </c>
      <c r="K167" t="s">
        <v>1057</v>
      </c>
    </row>
    <row r="168" spans="1:12" x14ac:dyDescent="0.2">
      <c r="A168">
        <v>167</v>
      </c>
      <c r="B168">
        <v>45930.548506944397</v>
      </c>
      <c r="C168">
        <v>45930.595613425903</v>
      </c>
      <c r="D168" t="s">
        <v>1058</v>
      </c>
      <c r="E168" t="s">
        <v>1058</v>
      </c>
      <c r="F168" t="s">
        <v>1059</v>
      </c>
      <c r="G168" t="s">
        <v>1060</v>
      </c>
      <c r="I168" t="s">
        <v>1061</v>
      </c>
      <c r="J168" t="s">
        <v>1062</v>
      </c>
      <c r="L168" t="s">
        <v>1063</v>
      </c>
    </row>
    <row r="169" spans="1:12" x14ac:dyDescent="0.2">
      <c r="A169">
        <v>168</v>
      </c>
      <c r="B169">
        <v>45930.596388888902</v>
      </c>
      <c r="C169">
        <v>45930.596574074101</v>
      </c>
      <c r="D169" t="s">
        <v>1064</v>
      </c>
      <c r="E169" t="s">
        <v>1064</v>
      </c>
      <c r="F169" t="s">
        <v>1065</v>
      </c>
      <c r="G169" t="s">
        <v>1066</v>
      </c>
      <c r="I169" t="s">
        <v>1067</v>
      </c>
      <c r="J169" t="s">
        <v>1068</v>
      </c>
    </row>
    <row r="170" spans="1:12" x14ac:dyDescent="0.2">
      <c r="A170">
        <v>169</v>
      </c>
      <c r="B170">
        <v>45930.566585648099</v>
      </c>
      <c r="C170">
        <v>45930.596585648098</v>
      </c>
      <c r="D170" t="s">
        <v>1069</v>
      </c>
      <c r="E170" t="s">
        <v>1069</v>
      </c>
      <c r="F170" t="s">
        <v>1070</v>
      </c>
      <c r="I170" t="s">
        <v>1071</v>
      </c>
      <c r="J170" t="s">
        <v>1072</v>
      </c>
      <c r="K170" t="s">
        <v>1073</v>
      </c>
    </row>
    <row r="171" spans="1:12" x14ac:dyDescent="0.2">
      <c r="A171">
        <v>170</v>
      </c>
      <c r="B171">
        <v>45930.546493055597</v>
      </c>
      <c r="C171">
        <v>45930.596701388902</v>
      </c>
      <c r="D171" t="s">
        <v>1074</v>
      </c>
      <c r="E171" t="s">
        <v>1074</v>
      </c>
      <c r="F171" t="s">
        <v>1075</v>
      </c>
      <c r="G171" t="s">
        <v>1076</v>
      </c>
      <c r="H171" t="s">
        <v>1077</v>
      </c>
      <c r="I171" t="s">
        <v>1078</v>
      </c>
      <c r="J171" t="s">
        <v>1079</v>
      </c>
      <c r="K171" t="s">
        <v>1080</v>
      </c>
      <c r="L171" t="s">
        <v>1081</v>
      </c>
    </row>
    <row r="172" spans="1:12" x14ac:dyDescent="0.2">
      <c r="A172">
        <v>171</v>
      </c>
      <c r="B172">
        <v>45930.577349537001</v>
      </c>
      <c r="C172">
        <v>45930.596898148098</v>
      </c>
      <c r="D172" t="s">
        <v>1082</v>
      </c>
      <c r="E172" t="s">
        <v>1082</v>
      </c>
      <c r="F172" t="s">
        <v>1083</v>
      </c>
      <c r="G172" t="s">
        <v>1084</v>
      </c>
      <c r="H172" t="s">
        <v>1085</v>
      </c>
      <c r="I172" t="s">
        <v>1086</v>
      </c>
      <c r="J172" t="s">
        <v>1087</v>
      </c>
      <c r="K172" t="s">
        <v>1088</v>
      </c>
      <c r="L172" t="s">
        <v>1089</v>
      </c>
    </row>
    <row r="173" spans="1:12" x14ac:dyDescent="0.2">
      <c r="A173">
        <v>172</v>
      </c>
      <c r="B173">
        <v>45930.582418981503</v>
      </c>
      <c r="C173">
        <v>45930.597245370402</v>
      </c>
      <c r="D173" t="s">
        <v>1090</v>
      </c>
      <c r="E173" t="s">
        <v>1090</v>
      </c>
      <c r="F173" t="s">
        <v>1091</v>
      </c>
      <c r="G173" t="s">
        <v>1092</v>
      </c>
      <c r="I173" t="s">
        <v>1093</v>
      </c>
      <c r="J173" t="s">
        <v>1094</v>
      </c>
      <c r="K173" t="s">
        <v>1095</v>
      </c>
      <c r="L173" t="s">
        <v>1096</v>
      </c>
    </row>
    <row r="174" spans="1:12" x14ac:dyDescent="0.2">
      <c r="A174">
        <v>173</v>
      </c>
      <c r="B174">
        <v>45930.534826388903</v>
      </c>
      <c r="C174">
        <v>45930.597291666701</v>
      </c>
      <c r="D174" t="s">
        <v>1097</v>
      </c>
      <c r="E174" t="s">
        <v>1097</v>
      </c>
      <c r="F174" t="s">
        <v>1098</v>
      </c>
      <c r="G174" t="s">
        <v>1099</v>
      </c>
      <c r="I174" t="s">
        <v>1100</v>
      </c>
      <c r="J174" t="s">
        <v>1101</v>
      </c>
    </row>
    <row r="175" spans="1:12" x14ac:dyDescent="0.2">
      <c r="A175">
        <v>174</v>
      </c>
      <c r="B175">
        <v>45930.596967592603</v>
      </c>
      <c r="C175">
        <v>45930.597442129598</v>
      </c>
      <c r="D175" t="s">
        <v>1102</v>
      </c>
      <c r="E175" t="s">
        <v>1102</v>
      </c>
      <c r="F175" t="s">
        <v>1103</v>
      </c>
      <c r="I175" t="s">
        <v>1104</v>
      </c>
    </row>
    <row r="176" spans="1:12" x14ac:dyDescent="0.2">
      <c r="A176">
        <v>175</v>
      </c>
      <c r="B176">
        <v>45930.571307870399</v>
      </c>
      <c r="C176">
        <v>45930.597939814797</v>
      </c>
      <c r="D176" t="s">
        <v>1105</v>
      </c>
      <c r="E176" t="s">
        <v>1105</v>
      </c>
      <c r="F176" t="s">
        <v>1106</v>
      </c>
      <c r="G176" t="s">
        <v>1107</v>
      </c>
      <c r="I176" t="s">
        <v>1108</v>
      </c>
      <c r="J176" t="s">
        <v>1109</v>
      </c>
      <c r="L176" t="s">
        <v>1110</v>
      </c>
    </row>
    <row r="177" spans="1:12" x14ac:dyDescent="0.2">
      <c r="A177">
        <v>176</v>
      </c>
      <c r="B177">
        <v>45930.545474537001</v>
      </c>
      <c r="C177">
        <v>45930.597997685203</v>
      </c>
      <c r="D177" t="s">
        <v>1111</v>
      </c>
      <c r="E177" t="s">
        <v>1111</v>
      </c>
      <c r="F177" t="s">
        <v>1112</v>
      </c>
      <c r="G177" t="s">
        <v>1113</v>
      </c>
      <c r="I177" t="s">
        <v>1114</v>
      </c>
      <c r="J177" t="s">
        <v>1115</v>
      </c>
      <c r="K177" t="s">
        <v>1116</v>
      </c>
      <c r="L177" t="s">
        <v>1117</v>
      </c>
    </row>
    <row r="178" spans="1:12" x14ac:dyDescent="0.2">
      <c r="A178">
        <v>177</v>
      </c>
      <c r="B178">
        <v>45930.576932870397</v>
      </c>
      <c r="C178">
        <v>45930.598414351902</v>
      </c>
      <c r="D178" t="s">
        <v>1118</v>
      </c>
      <c r="E178" t="s">
        <v>1118</v>
      </c>
      <c r="F178" t="s">
        <v>1119</v>
      </c>
      <c r="I178" t="s">
        <v>1120</v>
      </c>
      <c r="L178" t="s">
        <v>1121</v>
      </c>
    </row>
    <row r="179" spans="1:12" x14ac:dyDescent="0.2">
      <c r="A179">
        <v>178</v>
      </c>
      <c r="B179">
        <v>45930.543414351901</v>
      </c>
      <c r="C179">
        <v>45930.598495370403</v>
      </c>
      <c r="D179" t="s">
        <v>1122</v>
      </c>
      <c r="E179" t="s">
        <v>1122</v>
      </c>
      <c r="F179" t="s">
        <v>1123</v>
      </c>
      <c r="G179" t="s">
        <v>1124</v>
      </c>
      <c r="I179" t="s">
        <v>1125</v>
      </c>
      <c r="L179" t="s">
        <v>1126</v>
      </c>
    </row>
    <row r="180" spans="1:12" x14ac:dyDescent="0.2">
      <c r="A180">
        <v>179</v>
      </c>
      <c r="B180">
        <v>45930.545763888898</v>
      </c>
      <c r="C180">
        <v>45930.598518518498</v>
      </c>
      <c r="D180" t="s">
        <v>1127</v>
      </c>
      <c r="E180" t="s">
        <v>1127</v>
      </c>
      <c r="F180" t="s">
        <v>1128</v>
      </c>
      <c r="G180" t="s">
        <v>1129</v>
      </c>
      <c r="I180" t="s">
        <v>1130</v>
      </c>
      <c r="L180" t="s">
        <v>1131</v>
      </c>
    </row>
    <row r="181" spans="1:12" x14ac:dyDescent="0.2">
      <c r="A181">
        <v>180</v>
      </c>
      <c r="B181">
        <v>45930.543009259301</v>
      </c>
      <c r="C181">
        <v>45930.600497685198</v>
      </c>
      <c r="D181" t="s">
        <v>1132</v>
      </c>
      <c r="E181" t="s">
        <v>1132</v>
      </c>
      <c r="F181" t="s">
        <v>1133</v>
      </c>
      <c r="G181" t="s">
        <v>1134</v>
      </c>
      <c r="H181" t="s">
        <v>1135</v>
      </c>
      <c r="I181" t="s">
        <v>1136</v>
      </c>
      <c r="J181" t="s">
        <v>1137</v>
      </c>
      <c r="K181" t="s">
        <v>1138</v>
      </c>
      <c r="L181" t="s">
        <v>1139</v>
      </c>
    </row>
    <row r="182" spans="1:12" x14ac:dyDescent="0.2">
      <c r="A182">
        <v>181</v>
      </c>
      <c r="B182">
        <v>45930.600787037001</v>
      </c>
      <c r="C182">
        <v>45930.600856481498</v>
      </c>
      <c r="D182" t="s">
        <v>1140</v>
      </c>
      <c r="E182" t="s">
        <v>1140</v>
      </c>
      <c r="F182" t="s">
        <v>1141</v>
      </c>
      <c r="H182" t="s">
        <v>1142</v>
      </c>
      <c r="I182" t="s">
        <v>1143</v>
      </c>
      <c r="L182" t="s">
        <v>1144</v>
      </c>
    </row>
    <row r="183" spans="1:12" x14ac:dyDescent="0.2">
      <c r="A183">
        <v>182</v>
      </c>
      <c r="B183">
        <v>45930.5453935185</v>
      </c>
      <c r="C183">
        <v>45930.601087962998</v>
      </c>
      <c r="D183" t="s">
        <v>1145</v>
      </c>
      <c r="E183" t="s">
        <v>1145</v>
      </c>
      <c r="F183" t="s">
        <v>1146</v>
      </c>
      <c r="G183" t="s">
        <v>1147</v>
      </c>
      <c r="I183" t="s">
        <v>1148</v>
      </c>
      <c r="J183" t="s">
        <v>1149</v>
      </c>
      <c r="K183" t="s">
        <v>1150</v>
      </c>
      <c r="L183" t="s">
        <v>1151</v>
      </c>
    </row>
    <row r="184" spans="1:12" x14ac:dyDescent="0.2">
      <c r="A184">
        <v>183</v>
      </c>
      <c r="B184">
        <v>45930.573564814797</v>
      </c>
      <c r="C184">
        <v>45930.601192129601</v>
      </c>
      <c r="D184" t="s">
        <v>1152</v>
      </c>
      <c r="E184" t="s">
        <v>1152</v>
      </c>
      <c r="F184" t="s">
        <v>1153</v>
      </c>
      <c r="G184" t="s">
        <v>1154</v>
      </c>
      <c r="I184" t="s">
        <v>1155</v>
      </c>
      <c r="J184" t="s">
        <v>1156</v>
      </c>
    </row>
    <row r="185" spans="1:12" x14ac:dyDescent="0.2">
      <c r="A185">
        <v>184</v>
      </c>
      <c r="B185">
        <v>45930.480578703697</v>
      </c>
      <c r="C185">
        <v>45930.601504629602</v>
      </c>
      <c r="D185" t="s">
        <v>1157</v>
      </c>
      <c r="E185" t="s">
        <v>1157</v>
      </c>
      <c r="F185" t="s">
        <v>1158</v>
      </c>
      <c r="G185" t="s">
        <v>1159</v>
      </c>
      <c r="H185" t="s">
        <v>1160</v>
      </c>
      <c r="I185" t="s">
        <v>1161</v>
      </c>
      <c r="J185" t="s">
        <v>1162</v>
      </c>
      <c r="K185" t="s">
        <v>1163</v>
      </c>
      <c r="L185" t="s">
        <v>1164</v>
      </c>
    </row>
    <row r="186" spans="1:12" x14ac:dyDescent="0.2">
      <c r="A186">
        <v>185</v>
      </c>
      <c r="B186">
        <v>45930.439282407402</v>
      </c>
      <c r="C186">
        <v>45930.6023726852</v>
      </c>
      <c r="D186" t="s">
        <v>1165</v>
      </c>
      <c r="E186" t="s">
        <v>1165</v>
      </c>
      <c r="F186" t="s">
        <v>1166</v>
      </c>
      <c r="I186" t="s">
        <v>1167</v>
      </c>
      <c r="L186" t="s">
        <v>1168</v>
      </c>
    </row>
    <row r="187" spans="1:12" x14ac:dyDescent="0.2">
      <c r="A187">
        <v>186</v>
      </c>
      <c r="B187">
        <v>45930.5679282407</v>
      </c>
      <c r="C187">
        <v>45930.6024189815</v>
      </c>
      <c r="D187" t="s">
        <v>1169</v>
      </c>
      <c r="E187" t="s">
        <v>1169</v>
      </c>
      <c r="F187" t="s">
        <v>1170</v>
      </c>
      <c r="G187" t="s">
        <v>1171</v>
      </c>
      <c r="I187" t="s">
        <v>1172</v>
      </c>
      <c r="J187" t="s">
        <v>1173</v>
      </c>
      <c r="L187" t="s">
        <v>1174</v>
      </c>
    </row>
    <row r="188" spans="1:12" x14ac:dyDescent="0.2">
      <c r="A188">
        <v>187</v>
      </c>
      <c r="B188">
        <v>45930.439675925903</v>
      </c>
      <c r="C188">
        <v>45930.602800925903</v>
      </c>
      <c r="D188" t="s">
        <v>1175</v>
      </c>
      <c r="E188" t="s">
        <v>1175</v>
      </c>
      <c r="F188" t="s">
        <v>1176</v>
      </c>
      <c r="G188" t="s">
        <v>1177</v>
      </c>
      <c r="H188" t="s">
        <v>1178</v>
      </c>
      <c r="I188" t="s">
        <v>1179</v>
      </c>
      <c r="J188" t="s">
        <v>1180</v>
      </c>
      <c r="K188" t="s">
        <v>1181</v>
      </c>
      <c r="L188" t="s">
        <v>1182</v>
      </c>
    </row>
    <row r="189" spans="1:12" x14ac:dyDescent="0.2">
      <c r="A189">
        <v>188</v>
      </c>
      <c r="B189">
        <v>45930.560405092598</v>
      </c>
      <c r="C189">
        <v>45930.603101851797</v>
      </c>
      <c r="D189" t="s">
        <v>1183</v>
      </c>
      <c r="E189" t="s">
        <v>1183</v>
      </c>
      <c r="F189" t="s">
        <v>1184</v>
      </c>
      <c r="G189" t="s">
        <v>1185</v>
      </c>
      <c r="I189" t="s">
        <v>1186</v>
      </c>
      <c r="J189" t="s">
        <v>1187</v>
      </c>
      <c r="K189" t="s">
        <v>1188</v>
      </c>
      <c r="L189" t="s">
        <v>1189</v>
      </c>
    </row>
    <row r="190" spans="1:12" x14ac:dyDescent="0.2">
      <c r="A190">
        <v>189</v>
      </c>
      <c r="B190">
        <v>45930.594502314802</v>
      </c>
      <c r="C190">
        <v>45930.603113425903</v>
      </c>
      <c r="D190" t="s">
        <v>1190</v>
      </c>
      <c r="E190" t="s">
        <v>1190</v>
      </c>
      <c r="F190" t="s">
        <v>1191</v>
      </c>
      <c r="G190" t="s">
        <v>746</v>
      </c>
      <c r="I190" t="s">
        <v>1192</v>
      </c>
      <c r="J190" t="s">
        <v>170</v>
      </c>
    </row>
    <row r="191" spans="1:12" x14ac:dyDescent="0.2">
      <c r="A191">
        <v>190</v>
      </c>
      <c r="B191">
        <v>45930.480995370403</v>
      </c>
      <c r="C191">
        <v>45930.603206018503</v>
      </c>
      <c r="D191" t="s">
        <v>1193</v>
      </c>
      <c r="E191" t="s">
        <v>1193</v>
      </c>
      <c r="F191" t="s">
        <v>1194</v>
      </c>
      <c r="G191" t="s">
        <v>1195</v>
      </c>
      <c r="I191" t="s">
        <v>1196</v>
      </c>
      <c r="L191" t="s">
        <v>1197</v>
      </c>
    </row>
    <row r="192" spans="1:12" x14ac:dyDescent="0.2">
      <c r="A192">
        <v>191</v>
      </c>
      <c r="B192">
        <v>45930.572418981501</v>
      </c>
      <c r="C192">
        <v>45930.603773148097</v>
      </c>
      <c r="D192" t="s">
        <v>1198</v>
      </c>
      <c r="E192" t="s">
        <v>1198</v>
      </c>
      <c r="F192" t="s">
        <v>1199</v>
      </c>
      <c r="G192" t="s">
        <v>1200</v>
      </c>
      <c r="I192" t="s">
        <v>1201</v>
      </c>
      <c r="J192" t="s">
        <v>1202</v>
      </c>
    </row>
    <row r="193" spans="1:12" x14ac:dyDescent="0.2">
      <c r="A193">
        <v>192</v>
      </c>
      <c r="B193">
        <v>45930.477893518502</v>
      </c>
      <c r="C193">
        <v>45930.604120370401</v>
      </c>
      <c r="D193" t="s">
        <v>1203</v>
      </c>
      <c r="E193" t="s">
        <v>1203</v>
      </c>
      <c r="F193" t="s">
        <v>1204</v>
      </c>
      <c r="G193" t="s">
        <v>1205</v>
      </c>
      <c r="H193" t="s">
        <v>1206</v>
      </c>
      <c r="I193" t="s">
        <v>1207</v>
      </c>
      <c r="J193" t="s">
        <v>1208</v>
      </c>
      <c r="K193" t="s">
        <v>1209</v>
      </c>
      <c r="L193" t="s">
        <v>1210</v>
      </c>
    </row>
    <row r="194" spans="1:12" x14ac:dyDescent="0.2">
      <c r="A194">
        <v>193</v>
      </c>
      <c r="B194">
        <v>45930.550983796304</v>
      </c>
      <c r="C194">
        <v>45930.605162036998</v>
      </c>
      <c r="D194" t="s">
        <v>1211</v>
      </c>
      <c r="E194" t="s">
        <v>1211</v>
      </c>
      <c r="F194" t="s">
        <v>1212</v>
      </c>
      <c r="G194" t="s">
        <v>1213</v>
      </c>
      <c r="I194" t="s">
        <v>1214</v>
      </c>
      <c r="J194" t="s">
        <v>1215</v>
      </c>
      <c r="K194" t="s">
        <v>1216</v>
      </c>
      <c r="L194" t="s">
        <v>1217</v>
      </c>
    </row>
    <row r="195" spans="1:12" x14ac:dyDescent="0.2">
      <c r="A195">
        <v>194</v>
      </c>
      <c r="B195">
        <v>45930.588784722197</v>
      </c>
      <c r="C195">
        <v>45930.605405092603</v>
      </c>
      <c r="D195" t="s">
        <v>1218</v>
      </c>
      <c r="E195" t="s">
        <v>1218</v>
      </c>
      <c r="F195" t="s">
        <v>1219</v>
      </c>
      <c r="I195" t="s">
        <v>1220</v>
      </c>
      <c r="L195" t="s">
        <v>1221</v>
      </c>
    </row>
    <row r="196" spans="1:12" x14ac:dyDescent="0.2">
      <c r="A196">
        <v>195</v>
      </c>
      <c r="B196">
        <v>45930.542673611097</v>
      </c>
      <c r="C196">
        <v>45930.605763888903</v>
      </c>
      <c r="D196" t="s">
        <v>1222</v>
      </c>
      <c r="E196" t="s">
        <v>1222</v>
      </c>
      <c r="F196" t="s">
        <v>1223</v>
      </c>
      <c r="I196" t="s">
        <v>1224</v>
      </c>
      <c r="L196" t="s">
        <v>798</v>
      </c>
    </row>
    <row r="197" spans="1:12" x14ac:dyDescent="0.2">
      <c r="A197">
        <v>196</v>
      </c>
      <c r="B197">
        <v>45930.582326388903</v>
      </c>
      <c r="C197">
        <v>45930.607476851903</v>
      </c>
      <c r="D197" t="s">
        <v>1225</v>
      </c>
      <c r="E197" t="s">
        <v>1225</v>
      </c>
      <c r="F197" t="s">
        <v>1226</v>
      </c>
      <c r="I197" t="s">
        <v>1227</v>
      </c>
      <c r="L197" t="s">
        <v>1228</v>
      </c>
    </row>
    <row r="198" spans="1:12" x14ac:dyDescent="0.2">
      <c r="A198">
        <v>197</v>
      </c>
      <c r="B198">
        <v>45930.595810185201</v>
      </c>
      <c r="C198">
        <v>45930.607511574097</v>
      </c>
      <c r="D198" t="s">
        <v>1229</v>
      </c>
      <c r="E198" t="s">
        <v>1229</v>
      </c>
      <c r="F198" t="s">
        <v>1230</v>
      </c>
      <c r="G198" t="s">
        <v>1231</v>
      </c>
      <c r="H198" t="s">
        <v>341</v>
      </c>
      <c r="I198" t="s">
        <v>1232</v>
      </c>
      <c r="J198" t="s">
        <v>1233</v>
      </c>
      <c r="K198" t="s">
        <v>1234</v>
      </c>
      <c r="L198" t="s">
        <v>341</v>
      </c>
    </row>
    <row r="199" spans="1:12" x14ac:dyDescent="0.2">
      <c r="A199">
        <v>198</v>
      </c>
      <c r="B199">
        <v>45930.598414351902</v>
      </c>
      <c r="C199">
        <v>45930.608321759297</v>
      </c>
      <c r="D199" t="s">
        <v>1235</v>
      </c>
      <c r="E199" t="s">
        <v>1235</v>
      </c>
      <c r="F199" t="s">
        <v>1236</v>
      </c>
      <c r="G199" t="s">
        <v>1237</v>
      </c>
      <c r="I199" t="s">
        <v>1238</v>
      </c>
      <c r="J199" t="s">
        <v>1239</v>
      </c>
      <c r="K199" t="s">
        <v>1240</v>
      </c>
      <c r="L199" t="s">
        <v>1241</v>
      </c>
    </row>
    <row r="200" spans="1:12" x14ac:dyDescent="0.2">
      <c r="A200">
        <v>199</v>
      </c>
      <c r="B200">
        <v>45930.5773148148</v>
      </c>
      <c r="C200">
        <v>45930.609166666698</v>
      </c>
      <c r="D200" t="s">
        <v>1242</v>
      </c>
      <c r="E200" t="s">
        <v>1242</v>
      </c>
      <c r="F200" t="s">
        <v>1243</v>
      </c>
      <c r="G200" t="s">
        <v>1244</v>
      </c>
      <c r="I200" t="s">
        <v>1245</v>
      </c>
      <c r="J200" t="s">
        <v>1246</v>
      </c>
      <c r="K200" t="s">
        <v>1247</v>
      </c>
      <c r="L200" t="s">
        <v>1248</v>
      </c>
    </row>
    <row r="201" spans="1:12" x14ac:dyDescent="0.2">
      <c r="A201">
        <v>200</v>
      </c>
      <c r="B201">
        <v>45930.5874189815</v>
      </c>
      <c r="C201">
        <v>45930.609490740702</v>
      </c>
      <c r="D201" t="s">
        <v>1249</v>
      </c>
      <c r="E201" t="s">
        <v>1249</v>
      </c>
      <c r="F201" t="s">
        <v>1250</v>
      </c>
      <c r="I201" t="s">
        <v>1251</v>
      </c>
      <c r="L201" t="s">
        <v>1252</v>
      </c>
    </row>
    <row r="202" spans="1:12" x14ac:dyDescent="0.2">
      <c r="A202">
        <v>201</v>
      </c>
      <c r="B202">
        <v>45930.485821759299</v>
      </c>
      <c r="C202">
        <v>45930.610381944403</v>
      </c>
      <c r="D202" t="s">
        <v>1253</v>
      </c>
      <c r="E202" t="s">
        <v>1253</v>
      </c>
      <c r="F202" t="s">
        <v>1254</v>
      </c>
      <c r="G202" t="s">
        <v>1255</v>
      </c>
      <c r="I202" t="s">
        <v>1256</v>
      </c>
      <c r="J202" t="s">
        <v>1257</v>
      </c>
      <c r="K202" t="s">
        <v>1258</v>
      </c>
      <c r="L202" t="s">
        <v>1259</v>
      </c>
    </row>
    <row r="203" spans="1:12" x14ac:dyDescent="0.2">
      <c r="A203">
        <v>202</v>
      </c>
      <c r="B203">
        <v>45930.569212962997</v>
      </c>
      <c r="C203">
        <v>45930.610462962999</v>
      </c>
      <c r="D203" t="s">
        <v>1260</v>
      </c>
      <c r="E203" t="s">
        <v>1260</v>
      </c>
      <c r="F203" t="s">
        <v>1261</v>
      </c>
      <c r="G203" t="s">
        <v>1262</v>
      </c>
      <c r="I203" t="s">
        <v>1263</v>
      </c>
      <c r="J203" t="s">
        <v>1264</v>
      </c>
      <c r="L203" t="s">
        <v>1265</v>
      </c>
    </row>
    <row r="204" spans="1:12" x14ac:dyDescent="0.2">
      <c r="A204">
        <v>203</v>
      </c>
      <c r="B204">
        <v>45930.546747685199</v>
      </c>
      <c r="C204">
        <v>45930.610844907402</v>
      </c>
      <c r="D204" t="s">
        <v>1266</v>
      </c>
      <c r="E204" t="s">
        <v>1266</v>
      </c>
      <c r="F204" t="s">
        <v>1267</v>
      </c>
      <c r="G204" t="s">
        <v>1268</v>
      </c>
      <c r="H204" t="s">
        <v>1269</v>
      </c>
      <c r="I204" t="s">
        <v>1270</v>
      </c>
      <c r="J204" t="s">
        <v>1271</v>
      </c>
      <c r="K204" t="s">
        <v>1272</v>
      </c>
      <c r="L204" t="s">
        <v>1273</v>
      </c>
    </row>
    <row r="205" spans="1:12" x14ac:dyDescent="0.2">
      <c r="A205">
        <v>204</v>
      </c>
      <c r="B205">
        <v>45930.575474537</v>
      </c>
      <c r="C205">
        <v>45930.611006944397</v>
      </c>
      <c r="D205" t="s">
        <v>1274</v>
      </c>
      <c r="E205" t="s">
        <v>1274</v>
      </c>
      <c r="F205" t="s">
        <v>1275</v>
      </c>
      <c r="G205" t="s">
        <v>1276</v>
      </c>
      <c r="I205" t="s">
        <v>1277</v>
      </c>
      <c r="J205" t="s">
        <v>1278</v>
      </c>
      <c r="K205" t="s">
        <v>1279</v>
      </c>
    </row>
    <row r="206" spans="1:12" x14ac:dyDescent="0.2">
      <c r="A206">
        <v>205</v>
      </c>
      <c r="B206">
        <v>45930.477766203701</v>
      </c>
      <c r="C206">
        <v>45930.611469907402</v>
      </c>
      <c r="D206" t="s">
        <v>1280</v>
      </c>
      <c r="E206" t="s">
        <v>1280</v>
      </c>
      <c r="F206" t="s">
        <v>1281</v>
      </c>
      <c r="G206" t="s">
        <v>1282</v>
      </c>
      <c r="I206" t="s">
        <v>1283</v>
      </c>
      <c r="J206" t="s">
        <v>1284</v>
      </c>
      <c r="K206" t="s">
        <v>1285</v>
      </c>
      <c r="L206" t="s">
        <v>1286</v>
      </c>
    </row>
    <row r="207" spans="1:12" x14ac:dyDescent="0.2">
      <c r="A207">
        <v>206</v>
      </c>
      <c r="B207">
        <v>45930.601909722202</v>
      </c>
      <c r="C207">
        <v>45930.611724536997</v>
      </c>
      <c r="D207" t="s">
        <v>1287</v>
      </c>
      <c r="E207" t="s">
        <v>1287</v>
      </c>
      <c r="F207" t="s">
        <v>1288</v>
      </c>
      <c r="G207" t="s">
        <v>1289</v>
      </c>
      <c r="H207" t="s">
        <v>1290</v>
      </c>
      <c r="I207" t="s">
        <v>1291</v>
      </c>
      <c r="L207" t="s">
        <v>1292</v>
      </c>
    </row>
    <row r="208" spans="1:12" x14ac:dyDescent="0.2">
      <c r="A208">
        <v>207</v>
      </c>
      <c r="B208">
        <v>45930.4900694444</v>
      </c>
      <c r="C208">
        <v>45930.612094907403</v>
      </c>
      <c r="D208" t="s">
        <v>1293</v>
      </c>
      <c r="E208" t="s">
        <v>1293</v>
      </c>
      <c r="F208" t="s">
        <v>1294</v>
      </c>
      <c r="I208" t="s">
        <v>1295</v>
      </c>
      <c r="J208" t="s">
        <v>1296</v>
      </c>
      <c r="K208" t="s">
        <v>1297</v>
      </c>
    </row>
    <row r="209" spans="1:12" x14ac:dyDescent="0.2">
      <c r="A209">
        <v>208</v>
      </c>
      <c r="B209">
        <v>45930.6000810185</v>
      </c>
      <c r="C209">
        <v>45930.612222222197</v>
      </c>
      <c r="D209" t="s">
        <v>1298</v>
      </c>
      <c r="E209" t="s">
        <v>1298</v>
      </c>
      <c r="F209" t="s">
        <v>1299</v>
      </c>
      <c r="G209" t="s">
        <v>1300</v>
      </c>
      <c r="I209" t="s">
        <v>1301</v>
      </c>
      <c r="J209" t="s">
        <v>1302</v>
      </c>
      <c r="L209" t="s">
        <v>1303</v>
      </c>
    </row>
    <row r="210" spans="1:12" x14ac:dyDescent="0.2">
      <c r="A210">
        <v>209</v>
      </c>
      <c r="B210">
        <v>45930.542974536998</v>
      </c>
      <c r="C210">
        <v>45930.612453703703</v>
      </c>
      <c r="D210" t="s">
        <v>1304</v>
      </c>
      <c r="E210" t="s">
        <v>1304</v>
      </c>
      <c r="F210" t="s">
        <v>1305</v>
      </c>
      <c r="I210" t="s">
        <v>1306</v>
      </c>
      <c r="L210" t="s">
        <v>1307</v>
      </c>
    </row>
    <row r="211" spans="1:12" x14ac:dyDescent="0.2">
      <c r="A211">
        <v>210</v>
      </c>
      <c r="B211">
        <v>45930.595925925903</v>
      </c>
      <c r="C211">
        <v>45930.614247685196</v>
      </c>
      <c r="D211" t="s">
        <v>1308</v>
      </c>
      <c r="E211" t="s">
        <v>1308</v>
      </c>
      <c r="F211" t="s">
        <v>1309</v>
      </c>
      <c r="G211" t="s">
        <v>1310</v>
      </c>
      <c r="H211" t="s">
        <v>1311</v>
      </c>
      <c r="I211" t="s">
        <v>1312</v>
      </c>
      <c r="J211" t="s">
        <v>1313</v>
      </c>
      <c r="K211" t="s">
        <v>1314</v>
      </c>
      <c r="L211" t="s">
        <v>1315</v>
      </c>
    </row>
    <row r="212" spans="1:12" x14ac:dyDescent="0.2">
      <c r="A212">
        <v>211</v>
      </c>
      <c r="B212">
        <v>45930.575983796298</v>
      </c>
      <c r="C212">
        <v>45930.614722222199</v>
      </c>
      <c r="D212" t="s">
        <v>1316</v>
      </c>
      <c r="E212" t="s">
        <v>1316</v>
      </c>
      <c r="F212" t="s">
        <v>1317</v>
      </c>
      <c r="G212" t="s">
        <v>1318</v>
      </c>
      <c r="I212" t="s">
        <v>1319</v>
      </c>
      <c r="J212" t="s">
        <v>1320</v>
      </c>
      <c r="L212" t="s">
        <v>1248</v>
      </c>
    </row>
    <row r="213" spans="1:12" x14ac:dyDescent="0.2">
      <c r="A213">
        <v>212</v>
      </c>
      <c r="B213">
        <v>45930.574444444399</v>
      </c>
      <c r="C213">
        <v>45930.614849537</v>
      </c>
      <c r="D213" t="s">
        <v>1321</v>
      </c>
      <c r="E213" t="s">
        <v>1321</v>
      </c>
      <c r="F213" t="s">
        <v>1322</v>
      </c>
      <c r="G213" t="s">
        <v>1318</v>
      </c>
      <c r="I213" t="s">
        <v>1323</v>
      </c>
      <c r="J213" t="s">
        <v>1324</v>
      </c>
      <c r="K213" t="s">
        <v>1325</v>
      </c>
      <c r="L213" t="s">
        <v>1326</v>
      </c>
    </row>
    <row r="214" spans="1:12" x14ac:dyDescent="0.2">
      <c r="A214">
        <v>213</v>
      </c>
      <c r="B214">
        <v>45930.6148958333</v>
      </c>
      <c r="C214">
        <v>45930.6149421296</v>
      </c>
      <c r="D214" t="s">
        <v>1327</v>
      </c>
      <c r="E214" t="s">
        <v>1327</v>
      </c>
      <c r="F214" t="s">
        <v>1328</v>
      </c>
      <c r="G214" t="s">
        <v>1329</v>
      </c>
      <c r="I214" t="s">
        <v>1330</v>
      </c>
      <c r="J214" t="s">
        <v>1331</v>
      </c>
      <c r="K214" t="s">
        <v>1332</v>
      </c>
      <c r="L214" t="s">
        <v>1333</v>
      </c>
    </row>
    <row r="215" spans="1:12" x14ac:dyDescent="0.2">
      <c r="A215">
        <v>214</v>
      </c>
      <c r="B215">
        <v>45930.582002314797</v>
      </c>
      <c r="C215">
        <v>45930.616759259297</v>
      </c>
      <c r="D215" t="s">
        <v>1334</v>
      </c>
      <c r="E215" t="s">
        <v>1334</v>
      </c>
      <c r="F215" t="s">
        <v>1335</v>
      </c>
      <c r="G215" t="s">
        <v>1336</v>
      </c>
      <c r="H215" t="s">
        <v>1337</v>
      </c>
      <c r="I215" t="s">
        <v>1338</v>
      </c>
      <c r="J215" t="s">
        <v>1339</v>
      </c>
      <c r="K215" t="s">
        <v>1340</v>
      </c>
      <c r="L215" t="s">
        <v>1341</v>
      </c>
    </row>
    <row r="216" spans="1:12" x14ac:dyDescent="0.2">
      <c r="A216">
        <v>215</v>
      </c>
      <c r="B216">
        <v>45930.483506944402</v>
      </c>
      <c r="C216">
        <v>45930.616898148102</v>
      </c>
      <c r="D216" t="s">
        <v>1342</v>
      </c>
      <c r="E216" t="s">
        <v>1343</v>
      </c>
      <c r="F216" t="s">
        <v>1344</v>
      </c>
      <c r="G216" t="s">
        <v>1345</v>
      </c>
      <c r="H216" t="s">
        <v>341</v>
      </c>
      <c r="I216" t="s">
        <v>1346</v>
      </c>
      <c r="J216" t="s">
        <v>1347</v>
      </c>
      <c r="K216" t="s">
        <v>1348</v>
      </c>
      <c r="L216" t="s">
        <v>1349</v>
      </c>
    </row>
    <row r="217" spans="1:12" x14ac:dyDescent="0.2">
      <c r="A217">
        <v>216</v>
      </c>
      <c r="B217">
        <v>45930.590300925898</v>
      </c>
      <c r="C217">
        <v>45930.617557870399</v>
      </c>
      <c r="D217" t="s">
        <v>1350</v>
      </c>
      <c r="E217" t="s">
        <v>1350</v>
      </c>
      <c r="F217" t="s">
        <v>1351</v>
      </c>
      <c r="I217" t="s">
        <v>1352</v>
      </c>
      <c r="J217" t="s">
        <v>1353</v>
      </c>
    </row>
    <row r="218" spans="1:12" x14ac:dyDescent="0.2">
      <c r="A218">
        <v>217</v>
      </c>
      <c r="B218">
        <v>45930.566851851901</v>
      </c>
      <c r="C218">
        <v>45930.617812500001</v>
      </c>
      <c r="D218" t="s">
        <v>1354</v>
      </c>
      <c r="E218" t="s">
        <v>1354</v>
      </c>
      <c r="F218" t="s">
        <v>1355</v>
      </c>
      <c r="G218" t="s">
        <v>1356</v>
      </c>
      <c r="I218" t="s">
        <v>1357</v>
      </c>
      <c r="J218" t="s">
        <v>1358</v>
      </c>
      <c r="K218" t="s">
        <v>1359</v>
      </c>
    </row>
    <row r="219" spans="1:12" x14ac:dyDescent="0.2">
      <c r="A219">
        <v>218</v>
      </c>
      <c r="B219">
        <v>45930.605509259301</v>
      </c>
      <c r="C219">
        <v>45930.618125000001</v>
      </c>
      <c r="D219" t="s">
        <v>1360</v>
      </c>
      <c r="E219" t="s">
        <v>1360</v>
      </c>
      <c r="F219" t="s">
        <v>1361</v>
      </c>
      <c r="G219" t="s">
        <v>1362</v>
      </c>
      <c r="I219" t="s">
        <v>1363</v>
      </c>
      <c r="J219" t="s">
        <v>1364</v>
      </c>
      <c r="K219" t="s">
        <v>1365</v>
      </c>
      <c r="L219" t="s">
        <v>1366</v>
      </c>
    </row>
    <row r="220" spans="1:12" x14ac:dyDescent="0.2">
      <c r="A220">
        <v>219</v>
      </c>
      <c r="B220">
        <v>45930.560532407399</v>
      </c>
      <c r="C220">
        <v>45930.619189814803</v>
      </c>
      <c r="D220" t="s">
        <v>1367</v>
      </c>
      <c r="E220" t="s">
        <v>1367</v>
      </c>
      <c r="F220" t="s">
        <v>1368</v>
      </c>
      <c r="G220" t="s">
        <v>1369</v>
      </c>
      <c r="H220" t="s">
        <v>1370</v>
      </c>
      <c r="I220" t="s">
        <v>1371</v>
      </c>
      <c r="J220" t="s">
        <v>1372</v>
      </c>
      <c r="K220" t="s">
        <v>1373</v>
      </c>
      <c r="L220" t="s">
        <v>1374</v>
      </c>
    </row>
    <row r="221" spans="1:12" x14ac:dyDescent="0.2">
      <c r="A221">
        <v>220</v>
      </c>
      <c r="B221">
        <v>45930.602071759298</v>
      </c>
      <c r="C221">
        <v>45930.619594907403</v>
      </c>
      <c r="D221" t="s">
        <v>1375</v>
      </c>
      <c r="E221" t="s">
        <v>1375</v>
      </c>
      <c r="F221" t="s">
        <v>1376</v>
      </c>
      <c r="G221" t="s">
        <v>1377</v>
      </c>
      <c r="I221" t="s">
        <v>1378</v>
      </c>
      <c r="J221" t="s">
        <v>1379</v>
      </c>
      <c r="K221" t="s">
        <v>1380</v>
      </c>
      <c r="L221" t="s">
        <v>1381</v>
      </c>
    </row>
    <row r="222" spans="1:12" x14ac:dyDescent="0.2">
      <c r="A222">
        <v>221</v>
      </c>
      <c r="B222">
        <v>45930.577569444402</v>
      </c>
      <c r="C222">
        <v>45930.620358796303</v>
      </c>
      <c r="D222" t="s">
        <v>1382</v>
      </c>
      <c r="E222" t="s">
        <v>1382</v>
      </c>
      <c r="F222" t="s">
        <v>1383</v>
      </c>
      <c r="G222" t="s">
        <v>1384</v>
      </c>
      <c r="I222" t="s">
        <v>1385</v>
      </c>
      <c r="J222" t="s">
        <v>1386</v>
      </c>
      <c r="K222" t="s">
        <v>1387</v>
      </c>
      <c r="L222" t="s">
        <v>1388</v>
      </c>
    </row>
    <row r="223" spans="1:12" x14ac:dyDescent="0.2">
      <c r="A223">
        <v>222</v>
      </c>
      <c r="B223">
        <v>45930.603125000001</v>
      </c>
      <c r="C223">
        <v>45930.620381944398</v>
      </c>
      <c r="D223" t="s">
        <v>1389</v>
      </c>
      <c r="E223" t="s">
        <v>1389</v>
      </c>
      <c r="F223" t="s">
        <v>1390</v>
      </c>
      <c r="G223" t="s">
        <v>1391</v>
      </c>
      <c r="I223" t="s">
        <v>1392</v>
      </c>
      <c r="K223" t="s">
        <v>1393</v>
      </c>
      <c r="L223" t="s">
        <v>1394</v>
      </c>
    </row>
    <row r="224" spans="1:12" x14ac:dyDescent="0.2">
      <c r="A224">
        <v>223</v>
      </c>
      <c r="B224">
        <v>45930.603599536997</v>
      </c>
      <c r="C224">
        <v>45930.622083333299</v>
      </c>
      <c r="D224" t="s">
        <v>1395</v>
      </c>
      <c r="E224" t="s">
        <v>1395</v>
      </c>
      <c r="F224" t="s">
        <v>1396</v>
      </c>
      <c r="G224" t="s">
        <v>1397</v>
      </c>
      <c r="I224" t="s">
        <v>1398</v>
      </c>
      <c r="J224" t="s">
        <v>1399</v>
      </c>
      <c r="K224" t="s">
        <v>1400</v>
      </c>
      <c r="L224" t="s">
        <v>1401</v>
      </c>
    </row>
    <row r="225" spans="1:12" x14ac:dyDescent="0.2">
      <c r="A225">
        <v>224</v>
      </c>
      <c r="B225">
        <v>45930.560601851903</v>
      </c>
      <c r="C225">
        <v>45930.622129629599</v>
      </c>
      <c r="D225" t="s">
        <v>1402</v>
      </c>
      <c r="E225" t="s">
        <v>1402</v>
      </c>
      <c r="F225" t="s">
        <v>1403</v>
      </c>
      <c r="G225" t="s">
        <v>1404</v>
      </c>
      <c r="I225" t="s">
        <v>1405</v>
      </c>
      <c r="J225" t="s">
        <v>1406</v>
      </c>
      <c r="K225" t="s">
        <v>1407</v>
      </c>
      <c r="L225" t="s">
        <v>1248</v>
      </c>
    </row>
    <row r="226" spans="1:12" x14ac:dyDescent="0.2">
      <c r="A226">
        <v>225</v>
      </c>
      <c r="B226">
        <v>45930.560289351903</v>
      </c>
      <c r="C226">
        <v>45930.622222222199</v>
      </c>
      <c r="D226" t="s">
        <v>1408</v>
      </c>
      <c r="E226" t="s">
        <v>1408</v>
      </c>
      <c r="F226" t="s">
        <v>1409</v>
      </c>
      <c r="G226" t="s">
        <v>1410</v>
      </c>
      <c r="I226" t="s">
        <v>1411</v>
      </c>
      <c r="J226" t="s">
        <v>1412</v>
      </c>
      <c r="L226" t="s">
        <v>1413</v>
      </c>
    </row>
    <row r="227" spans="1:12" x14ac:dyDescent="0.2">
      <c r="A227">
        <v>226</v>
      </c>
      <c r="B227">
        <v>45930.625231481499</v>
      </c>
      <c r="C227">
        <v>45930.625277777799</v>
      </c>
      <c r="D227" t="s">
        <v>1414</v>
      </c>
      <c r="E227" t="s">
        <v>1414</v>
      </c>
      <c r="F227" t="s">
        <v>1415</v>
      </c>
      <c r="G227" t="s">
        <v>1416</v>
      </c>
      <c r="I227" t="s">
        <v>1417</v>
      </c>
      <c r="J227" t="s">
        <v>1418</v>
      </c>
      <c r="K227" t="s">
        <v>1419</v>
      </c>
      <c r="L227" t="s">
        <v>1420</v>
      </c>
    </row>
    <row r="228" spans="1:12" x14ac:dyDescent="0.2">
      <c r="A228">
        <v>227</v>
      </c>
      <c r="B228">
        <v>45930.476331018501</v>
      </c>
      <c r="C228">
        <v>45930.625682870399</v>
      </c>
      <c r="D228" t="s">
        <v>1421</v>
      </c>
      <c r="E228" t="s">
        <v>1421</v>
      </c>
      <c r="F228" t="s">
        <v>1422</v>
      </c>
      <c r="G228" t="s">
        <v>1423</v>
      </c>
      <c r="H228" t="s">
        <v>1424</v>
      </c>
      <c r="I228" t="s">
        <v>1425</v>
      </c>
      <c r="J228" t="s">
        <v>1426</v>
      </c>
      <c r="K228" t="s">
        <v>1427</v>
      </c>
      <c r="L228" t="s">
        <v>1428</v>
      </c>
    </row>
    <row r="229" spans="1:12" x14ac:dyDescent="0.2">
      <c r="A229">
        <v>228</v>
      </c>
      <c r="B229">
        <v>45930.474143518499</v>
      </c>
      <c r="C229">
        <v>45930.626863425903</v>
      </c>
      <c r="D229" t="s">
        <v>1429</v>
      </c>
      <c r="E229" t="s">
        <v>1429</v>
      </c>
      <c r="F229" t="s">
        <v>1430</v>
      </c>
      <c r="G229" t="s">
        <v>1431</v>
      </c>
      <c r="I229" t="s">
        <v>1432</v>
      </c>
      <c r="J229" t="s">
        <v>1433</v>
      </c>
    </row>
    <row r="230" spans="1:12" x14ac:dyDescent="0.2">
      <c r="A230">
        <v>229</v>
      </c>
      <c r="B230">
        <v>45930.601620370398</v>
      </c>
      <c r="C230">
        <v>45930.627407407403</v>
      </c>
      <c r="D230" t="s">
        <v>1434</v>
      </c>
      <c r="E230" t="s">
        <v>1434</v>
      </c>
      <c r="F230" t="s">
        <v>1435</v>
      </c>
      <c r="G230" t="s">
        <v>1436</v>
      </c>
      <c r="I230" t="s">
        <v>1437</v>
      </c>
      <c r="J230" t="s">
        <v>1438</v>
      </c>
      <c r="K230" t="s">
        <v>1439</v>
      </c>
      <c r="L230" t="s">
        <v>1440</v>
      </c>
    </row>
    <row r="231" spans="1:12" x14ac:dyDescent="0.2">
      <c r="A231">
        <v>230</v>
      </c>
      <c r="B231">
        <v>45930.622777777797</v>
      </c>
      <c r="C231">
        <v>45930.627939814804</v>
      </c>
      <c r="D231" t="s">
        <v>1441</v>
      </c>
      <c r="E231" t="s">
        <v>1441</v>
      </c>
      <c r="F231" t="s">
        <v>1442</v>
      </c>
      <c r="G231" t="s">
        <v>1443</v>
      </c>
      <c r="I231" t="s">
        <v>1444</v>
      </c>
      <c r="J231" t="s">
        <v>1445</v>
      </c>
      <c r="L231" t="s">
        <v>1446</v>
      </c>
    </row>
    <row r="232" spans="1:12" x14ac:dyDescent="0.2">
      <c r="A232">
        <v>231</v>
      </c>
      <c r="B232">
        <v>45930.597997685203</v>
      </c>
      <c r="C232">
        <v>45930.628287036998</v>
      </c>
      <c r="D232" t="s">
        <v>1447</v>
      </c>
      <c r="E232" t="s">
        <v>1447</v>
      </c>
      <c r="F232" t="s">
        <v>1448</v>
      </c>
      <c r="G232" t="s">
        <v>1449</v>
      </c>
      <c r="I232" t="s">
        <v>1450</v>
      </c>
      <c r="J232" t="s">
        <v>1451</v>
      </c>
      <c r="K232" t="s">
        <v>1452</v>
      </c>
    </row>
    <row r="233" spans="1:12" x14ac:dyDescent="0.2">
      <c r="A233">
        <v>232</v>
      </c>
      <c r="B233">
        <v>45930.5883217593</v>
      </c>
      <c r="C233">
        <v>45930.628981481503</v>
      </c>
      <c r="D233" t="s">
        <v>1453</v>
      </c>
      <c r="E233" t="s">
        <v>1453</v>
      </c>
      <c r="F233" t="s">
        <v>1454</v>
      </c>
      <c r="G233" t="s">
        <v>1455</v>
      </c>
      <c r="H233" t="s">
        <v>1456</v>
      </c>
      <c r="I233" t="s">
        <v>1457</v>
      </c>
      <c r="J233" t="s">
        <v>1458</v>
      </c>
      <c r="K233" t="s">
        <v>1459</v>
      </c>
      <c r="L233" t="s">
        <v>1460</v>
      </c>
    </row>
    <row r="234" spans="1:12" x14ac:dyDescent="0.2">
      <c r="A234">
        <v>233</v>
      </c>
      <c r="B234">
        <v>45930.576805555596</v>
      </c>
      <c r="C234">
        <v>45930.629421296297</v>
      </c>
      <c r="D234" t="s">
        <v>1461</v>
      </c>
      <c r="E234" t="s">
        <v>1461</v>
      </c>
      <c r="F234" t="s">
        <v>1462</v>
      </c>
      <c r="G234" t="s">
        <v>1463</v>
      </c>
      <c r="I234" t="s">
        <v>1464</v>
      </c>
      <c r="J234" t="s">
        <v>1465</v>
      </c>
      <c r="K234" t="s">
        <v>1466</v>
      </c>
      <c r="L234" t="s">
        <v>1004</v>
      </c>
    </row>
    <row r="235" spans="1:12" x14ac:dyDescent="0.2">
      <c r="A235">
        <v>234</v>
      </c>
      <c r="B235">
        <v>45930.603078703702</v>
      </c>
      <c r="C235">
        <v>45930.630405092597</v>
      </c>
      <c r="D235" t="s">
        <v>1467</v>
      </c>
      <c r="E235" t="s">
        <v>1467</v>
      </c>
      <c r="F235" t="s">
        <v>1468</v>
      </c>
      <c r="G235" t="s">
        <v>1469</v>
      </c>
      <c r="I235" t="s">
        <v>1470</v>
      </c>
      <c r="J235" t="s">
        <v>1471</v>
      </c>
      <c r="L235" t="s">
        <v>1472</v>
      </c>
    </row>
    <row r="236" spans="1:12" x14ac:dyDescent="0.2">
      <c r="A236">
        <v>235</v>
      </c>
      <c r="B236">
        <v>45930.543460648099</v>
      </c>
      <c r="C236">
        <v>45930.630821759303</v>
      </c>
      <c r="D236" t="s">
        <v>1473</v>
      </c>
      <c r="E236" t="s">
        <v>1473</v>
      </c>
      <c r="F236" t="s">
        <v>1474</v>
      </c>
      <c r="G236" t="s">
        <v>1475</v>
      </c>
      <c r="I236" t="s">
        <v>1476</v>
      </c>
      <c r="J236" t="s">
        <v>1477</v>
      </c>
      <c r="K236" t="s">
        <v>1478</v>
      </c>
      <c r="L236" t="s">
        <v>1479</v>
      </c>
    </row>
    <row r="237" spans="1:12" x14ac:dyDescent="0.2">
      <c r="A237">
        <v>236</v>
      </c>
      <c r="B237">
        <v>45930.533935185202</v>
      </c>
      <c r="C237">
        <v>45930.632025462997</v>
      </c>
      <c r="D237" t="s">
        <v>1480</v>
      </c>
      <c r="E237" t="s">
        <v>1480</v>
      </c>
      <c r="F237" t="s">
        <v>1481</v>
      </c>
      <c r="G237" t="s">
        <v>1482</v>
      </c>
      <c r="I237" t="s">
        <v>1483</v>
      </c>
      <c r="J237" t="s">
        <v>1484</v>
      </c>
      <c r="K237" t="s">
        <v>1485</v>
      </c>
      <c r="L237" t="s">
        <v>1486</v>
      </c>
    </row>
    <row r="238" spans="1:12" x14ac:dyDescent="0.2">
      <c r="A238">
        <v>237</v>
      </c>
      <c r="B238">
        <v>45930.544016203698</v>
      </c>
      <c r="C238">
        <v>45930.632280092599</v>
      </c>
      <c r="D238" t="s">
        <v>1487</v>
      </c>
      <c r="E238" t="s">
        <v>1487</v>
      </c>
      <c r="F238" t="s">
        <v>1488</v>
      </c>
      <c r="G238" t="s">
        <v>1489</v>
      </c>
      <c r="I238" t="s">
        <v>1490</v>
      </c>
      <c r="J238" t="s">
        <v>1491</v>
      </c>
      <c r="K238" t="s">
        <v>1492</v>
      </c>
      <c r="L238" t="s">
        <v>1493</v>
      </c>
    </row>
    <row r="239" spans="1:12" x14ac:dyDescent="0.2">
      <c r="A239">
        <v>238</v>
      </c>
      <c r="B239">
        <v>45930.592361111099</v>
      </c>
      <c r="C239">
        <v>45930.632731481499</v>
      </c>
      <c r="D239" t="s">
        <v>1494</v>
      </c>
      <c r="E239" t="s">
        <v>1494</v>
      </c>
      <c r="F239" t="s">
        <v>1495</v>
      </c>
      <c r="G239" t="s">
        <v>1496</v>
      </c>
      <c r="I239" t="s">
        <v>1497</v>
      </c>
      <c r="J239" t="s">
        <v>1498</v>
      </c>
      <c r="K239" t="s">
        <v>1499</v>
      </c>
    </row>
    <row r="240" spans="1:12" x14ac:dyDescent="0.2">
      <c r="A240">
        <v>239</v>
      </c>
      <c r="B240">
        <v>45930.591874999998</v>
      </c>
      <c r="C240">
        <v>45930.633495370399</v>
      </c>
      <c r="D240" t="s">
        <v>1500</v>
      </c>
      <c r="E240" t="s">
        <v>1500</v>
      </c>
      <c r="F240" t="s">
        <v>1501</v>
      </c>
      <c r="G240" t="s">
        <v>1502</v>
      </c>
      <c r="I240" t="s">
        <v>1503</v>
      </c>
      <c r="J240" t="s">
        <v>1504</v>
      </c>
      <c r="K240" t="s">
        <v>1505</v>
      </c>
    </row>
    <row r="241" spans="1:12" x14ac:dyDescent="0.2">
      <c r="A241">
        <v>240</v>
      </c>
      <c r="B241">
        <v>45930.439259259299</v>
      </c>
      <c r="C241">
        <v>45930.633796296301</v>
      </c>
      <c r="D241" t="s">
        <v>1506</v>
      </c>
      <c r="E241" t="s">
        <v>1506</v>
      </c>
      <c r="F241" t="s">
        <v>1507</v>
      </c>
      <c r="G241" t="s">
        <v>1508</v>
      </c>
      <c r="I241" t="s">
        <v>1509</v>
      </c>
      <c r="J241" t="s">
        <v>1510</v>
      </c>
      <c r="K241" t="s">
        <v>1511</v>
      </c>
      <c r="L241" t="s">
        <v>1512</v>
      </c>
    </row>
    <row r="242" spans="1:12" x14ac:dyDescent="0.2">
      <c r="A242">
        <v>241</v>
      </c>
      <c r="B242">
        <v>45930.4360185185</v>
      </c>
      <c r="C242">
        <v>45930.634016203701</v>
      </c>
      <c r="D242" t="s">
        <v>1513</v>
      </c>
      <c r="E242" t="s">
        <v>1514</v>
      </c>
      <c r="F242" t="s">
        <v>1515</v>
      </c>
      <c r="G242" t="s">
        <v>1516</v>
      </c>
      <c r="I242" t="s">
        <v>1517</v>
      </c>
      <c r="J242" t="s">
        <v>1518</v>
      </c>
      <c r="K242" t="s">
        <v>1519</v>
      </c>
      <c r="L242" t="s">
        <v>1520</v>
      </c>
    </row>
    <row r="243" spans="1:12" x14ac:dyDescent="0.2">
      <c r="A243">
        <v>242</v>
      </c>
      <c r="B243">
        <v>45930.545081018499</v>
      </c>
      <c r="C243">
        <v>45930.634675925903</v>
      </c>
      <c r="D243" t="s">
        <v>1521</v>
      </c>
      <c r="E243" t="s">
        <v>1521</v>
      </c>
      <c r="F243" t="s">
        <v>1522</v>
      </c>
      <c r="G243" t="s">
        <v>1523</v>
      </c>
      <c r="I243" t="s">
        <v>1524</v>
      </c>
      <c r="L243" t="s">
        <v>1525</v>
      </c>
    </row>
    <row r="244" spans="1:12" x14ac:dyDescent="0.2">
      <c r="A244">
        <v>243</v>
      </c>
      <c r="B244">
        <v>45930.635729166701</v>
      </c>
      <c r="C244">
        <v>45930.635752314804</v>
      </c>
      <c r="D244" t="s">
        <v>1526</v>
      </c>
      <c r="E244" t="s">
        <v>1526</v>
      </c>
      <c r="F244" t="s">
        <v>1527</v>
      </c>
      <c r="G244" t="s">
        <v>1528</v>
      </c>
      <c r="I244" t="s">
        <v>1529</v>
      </c>
      <c r="J244" t="s">
        <v>1530</v>
      </c>
      <c r="K244" t="s">
        <v>1531</v>
      </c>
      <c r="L244" t="s">
        <v>1532</v>
      </c>
    </row>
    <row r="245" spans="1:12" x14ac:dyDescent="0.2">
      <c r="A245">
        <v>244</v>
      </c>
      <c r="B245">
        <v>45930.478217592601</v>
      </c>
      <c r="C245">
        <v>45930.637430555602</v>
      </c>
      <c r="D245" t="s">
        <v>1533</v>
      </c>
      <c r="E245" t="s">
        <v>1533</v>
      </c>
      <c r="F245" t="s">
        <v>1534</v>
      </c>
      <c r="G245" t="s">
        <v>1535</v>
      </c>
      <c r="I245" t="s">
        <v>1536</v>
      </c>
      <c r="J245" t="s">
        <v>1537</v>
      </c>
      <c r="K245" t="s">
        <v>1538</v>
      </c>
      <c r="L245" t="s">
        <v>1539</v>
      </c>
    </row>
    <row r="246" spans="1:12" x14ac:dyDescent="0.2">
      <c r="A246">
        <v>245</v>
      </c>
      <c r="B246">
        <v>45930.585972222201</v>
      </c>
      <c r="C246">
        <v>45930.638032407398</v>
      </c>
      <c r="D246" t="s">
        <v>1540</v>
      </c>
      <c r="E246" t="s">
        <v>1540</v>
      </c>
      <c r="F246" t="s">
        <v>1541</v>
      </c>
      <c r="G246" t="s">
        <v>1542</v>
      </c>
      <c r="I246" t="s">
        <v>1543</v>
      </c>
      <c r="J246" t="s">
        <v>1544</v>
      </c>
      <c r="K246" t="s">
        <v>1545</v>
      </c>
      <c r="L246" t="s">
        <v>1546</v>
      </c>
    </row>
    <row r="247" spans="1:12" x14ac:dyDescent="0.2">
      <c r="A247">
        <v>246</v>
      </c>
      <c r="B247">
        <v>45930.544074074103</v>
      </c>
      <c r="C247">
        <v>45930.638888888898</v>
      </c>
      <c r="D247" t="s">
        <v>1547</v>
      </c>
      <c r="E247" t="s">
        <v>1547</v>
      </c>
      <c r="F247" t="s">
        <v>1548</v>
      </c>
      <c r="G247" t="s">
        <v>1549</v>
      </c>
      <c r="H247" t="s">
        <v>1015</v>
      </c>
      <c r="I247" t="s">
        <v>1550</v>
      </c>
      <c r="J247" t="s">
        <v>1551</v>
      </c>
      <c r="K247" t="s">
        <v>1552</v>
      </c>
      <c r="L247" t="s">
        <v>1553</v>
      </c>
    </row>
    <row r="248" spans="1:12" x14ac:dyDescent="0.2">
      <c r="A248">
        <v>247</v>
      </c>
      <c r="B248">
        <v>45930.628009259301</v>
      </c>
      <c r="C248">
        <v>45930.639675925901</v>
      </c>
      <c r="D248" t="s">
        <v>1554</v>
      </c>
      <c r="E248" t="s">
        <v>1554</v>
      </c>
      <c r="F248" t="s">
        <v>1555</v>
      </c>
      <c r="G248" t="s">
        <v>1556</v>
      </c>
      <c r="I248" t="s">
        <v>1557</v>
      </c>
      <c r="J248" t="s">
        <v>1558</v>
      </c>
      <c r="K248" t="s">
        <v>1559</v>
      </c>
      <c r="L248" t="s">
        <v>1560</v>
      </c>
    </row>
    <row r="249" spans="1:12" x14ac:dyDescent="0.2">
      <c r="A249">
        <v>248</v>
      </c>
      <c r="B249">
        <v>45930.6028703704</v>
      </c>
      <c r="C249">
        <v>45930.642326388901</v>
      </c>
      <c r="D249" t="s">
        <v>1561</v>
      </c>
      <c r="E249" t="s">
        <v>1561</v>
      </c>
      <c r="F249" t="s">
        <v>1562</v>
      </c>
      <c r="G249" t="s">
        <v>1563</v>
      </c>
      <c r="I249" t="s">
        <v>1564</v>
      </c>
      <c r="J249" t="s">
        <v>1565</v>
      </c>
      <c r="L249" t="s">
        <v>1566</v>
      </c>
    </row>
    <row r="250" spans="1:12" x14ac:dyDescent="0.2">
      <c r="A250">
        <v>249</v>
      </c>
      <c r="B250">
        <v>45930.4773263889</v>
      </c>
      <c r="C250">
        <v>45930.644525463002</v>
      </c>
      <c r="D250" t="s">
        <v>1567</v>
      </c>
      <c r="E250" t="s">
        <v>1567</v>
      </c>
      <c r="F250" t="s">
        <v>1568</v>
      </c>
      <c r="I250" t="s">
        <v>1569</v>
      </c>
      <c r="L250" t="s">
        <v>198</v>
      </c>
    </row>
    <row r="251" spans="1:12" x14ac:dyDescent="0.2">
      <c r="A251">
        <v>250</v>
      </c>
      <c r="B251">
        <v>45930.542638888903</v>
      </c>
      <c r="C251">
        <v>45930.644594907397</v>
      </c>
      <c r="D251" t="s">
        <v>1570</v>
      </c>
      <c r="E251" t="s">
        <v>1570</v>
      </c>
      <c r="F251" t="s">
        <v>1571</v>
      </c>
      <c r="G251" t="s">
        <v>1572</v>
      </c>
      <c r="I251" t="s">
        <v>1573</v>
      </c>
      <c r="J251" t="s">
        <v>1574</v>
      </c>
    </row>
    <row r="252" spans="1:12" x14ac:dyDescent="0.2">
      <c r="A252">
        <v>251</v>
      </c>
      <c r="B252">
        <v>45930.601840277799</v>
      </c>
      <c r="C252">
        <v>45930.645682870403</v>
      </c>
      <c r="D252" t="s">
        <v>1575</v>
      </c>
      <c r="E252" t="s">
        <v>1575</v>
      </c>
      <c r="F252" t="s">
        <v>1576</v>
      </c>
      <c r="G252" t="s">
        <v>1577</v>
      </c>
      <c r="I252" t="s">
        <v>1578</v>
      </c>
      <c r="L252" t="s">
        <v>1579</v>
      </c>
    </row>
    <row r="253" spans="1:12" x14ac:dyDescent="0.2">
      <c r="A253">
        <v>252</v>
      </c>
      <c r="B253">
        <v>45930.440775463001</v>
      </c>
      <c r="C253">
        <v>45930.646377314799</v>
      </c>
      <c r="D253" t="s">
        <v>1580</v>
      </c>
      <c r="E253" t="s">
        <v>1580</v>
      </c>
      <c r="F253" t="s">
        <v>1581</v>
      </c>
      <c r="I253" t="s">
        <v>1582</v>
      </c>
      <c r="J253" t="s">
        <v>1583</v>
      </c>
      <c r="K253" t="s">
        <v>1584</v>
      </c>
      <c r="L253" t="s">
        <v>1585</v>
      </c>
    </row>
    <row r="254" spans="1:12" x14ac:dyDescent="0.2">
      <c r="A254">
        <v>253</v>
      </c>
      <c r="B254">
        <v>45930.462326388901</v>
      </c>
      <c r="C254">
        <v>45930.646747685198</v>
      </c>
      <c r="D254" t="s">
        <v>1586</v>
      </c>
      <c r="E254" t="s">
        <v>1586</v>
      </c>
      <c r="F254" t="s">
        <v>1587</v>
      </c>
      <c r="G254" t="s">
        <v>1588</v>
      </c>
      <c r="I254" t="s">
        <v>1589</v>
      </c>
      <c r="J254" t="s">
        <v>1590</v>
      </c>
      <c r="K254" t="s">
        <v>1591</v>
      </c>
      <c r="L254" t="s">
        <v>1592</v>
      </c>
    </row>
    <row r="255" spans="1:12" x14ac:dyDescent="0.2">
      <c r="A255">
        <v>254</v>
      </c>
      <c r="B255">
        <v>45930.535555555602</v>
      </c>
      <c r="C255">
        <v>45930.648715277799</v>
      </c>
      <c r="D255" t="s">
        <v>1593</v>
      </c>
      <c r="E255" t="s">
        <v>1593</v>
      </c>
      <c r="F255" t="s">
        <v>1594</v>
      </c>
      <c r="G255" t="s">
        <v>1595</v>
      </c>
      <c r="H255" t="s">
        <v>1015</v>
      </c>
      <c r="I255" t="s">
        <v>1596</v>
      </c>
      <c r="J255" t="s">
        <v>1597</v>
      </c>
      <c r="K255" t="s">
        <v>1598</v>
      </c>
      <c r="L255" t="s">
        <v>1599</v>
      </c>
    </row>
    <row r="256" spans="1:12" x14ac:dyDescent="0.2">
      <c r="A256">
        <v>255</v>
      </c>
      <c r="B256">
        <v>45930.601944444403</v>
      </c>
      <c r="C256">
        <v>45930.6500115741</v>
      </c>
      <c r="D256" t="s">
        <v>1600</v>
      </c>
      <c r="E256" t="s">
        <v>1600</v>
      </c>
      <c r="F256" t="s">
        <v>1601</v>
      </c>
      <c r="G256" t="s">
        <v>1602</v>
      </c>
      <c r="I256" t="s">
        <v>1603</v>
      </c>
      <c r="J256" t="s">
        <v>1604</v>
      </c>
      <c r="K256" t="s">
        <v>1605</v>
      </c>
      <c r="L256" t="s">
        <v>1606</v>
      </c>
    </row>
    <row r="257" spans="1:12" x14ac:dyDescent="0.2">
      <c r="A257">
        <v>256</v>
      </c>
      <c r="B257">
        <v>45930.616944444402</v>
      </c>
      <c r="C257">
        <v>45930.650671296302</v>
      </c>
      <c r="D257" t="s">
        <v>1607</v>
      </c>
      <c r="E257" t="s">
        <v>1607</v>
      </c>
      <c r="F257" t="s">
        <v>1608</v>
      </c>
      <c r="G257" t="s">
        <v>1609</v>
      </c>
      <c r="H257" t="s">
        <v>341</v>
      </c>
      <c r="I257" t="s">
        <v>1610</v>
      </c>
      <c r="J257" t="s">
        <v>1611</v>
      </c>
      <c r="K257" t="s">
        <v>1612</v>
      </c>
      <c r="L257" t="s">
        <v>1613</v>
      </c>
    </row>
    <row r="258" spans="1:12" x14ac:dyDescent="0.2">
      <c r="A258">
        <v>257</v>
      </c>
      <c r="B258">
        <v>45930.591759259303</v>
      </c>
      <c r="C258">
        <v>45930.653298611098</v>
      </c>
      <c r="D258" t="s">
        <v>1614</v>
      </c>
      <c r="E258" t="s">
        <v>1614</v>
      </c>
      <c r="F258" t="s">
        <v>1615</v>
      </c>
      <c r="I258" t="s">
        <v>1616</v>
      </c>
      <c r="J258" t="s">
        <v>1617</v>
      </c>
      <c r="K258" t="s">
        <v>1618</v>
      </c>
      <c r="L258" t="s">
        <v>1619</v>
      </c>
    </row>
    <row r="259" spans="1:12" x14ac:dyDescent="0.2">
      <c r="A259">
        <v>258</v>
      </c>
      <c r="B259">
        <v>45930.544432870403</v>
      </c>
      <c r="C259">
        <v>45930.653599537</v>
      </c>
      <c r="D259" t="s">
        <v>1620</v>
      </c>
      <c r="E259" t="s">
        <v>1620</v>
      </c>
      <c r="F259" t="s">
        <v>1621</v>
      </c>
      <c r="G259" t="s">
        <v>1622</v>
      </c>
      <c r="I259" t="s">
        <v>1623</v>
      </c>
      <c r="J259" t="s">
        <v>1624</v>
      </c>
      <c r="K259" t="s">
        <v>1625</v>
      </c>
      <c r="L259" t="s">
        <v>1626</v>
      </c>
    </row>
    <row r="260" spans="1:12" x14ac:dyDescent="0.2">
      <c r="A260">
        <v>259</v>
      </c>
      <c r="B260">
        <v>45930.578831018502</v>
      </c>
      <c r="C260">
        <v>45930.653796296298</v>
      </c>
      <c r="D260" t="s">
        <v>1627</v>
      </c>
      <c r="E260" t="s">
        <v>1627</v>
      </c>
      <c r="F260" t="s">
        <v>1628</v>
      </c>
      <c r="G260" t="s">
        <v>1629</v>
      </c>
      <c r="H260" t="s">
        <v>1630</v>
      </c>
      <c r="I260" t="s">
        <v>1631</v>
      </c>
      <c r="J260" t="s">
        <v>1632</v>
      </c>
      <c r="K260" t="s">
        <v>1633</v>
      </c>
      <c r="L260" t="s">
        <v>1634</v>
      </c>
    </row>
    <row r="261" spans="1:12" x14ac:dyDescent="0.2">
      <c r="A261">
        <v>260</v>
      </c>
      <c r="B261">
        <v>45930.599479166704</v>
      </c>
      <c r="C261">
        <v>45930.653877314799</v>
      </c>
      <c r="D261" t="s">
        <v>1635</v>
      </c>
      <c r="E261" t="s">
        <v>1635</v>
      </c>
      <c r="F261" t="s">
        <v>1636</v>
      </c>
      <c r="G261" t="s">
        <v>1637</v>
      </c>
      <c r="I261" t="s">
        <v>1638</v>
      </c>
      <c r="J261" t="s">
        <v>1639</v>
      </c>
      <c r="K261" t="s">
        <v>1640</v>
      </c>
      <c r="L261" t="s">
        <v>1641</v>
      </c>
    </row>
    <row r="262" spans="1:12" x14ac:dyDescent="0.2">
      <c r="A262">
        <v>261</v>
      </c>
      <c r="B262">
        <v>45930.6022337963</v>
      </c>
      <c r="C262">
        <v>45930.653877314799</v>
      </c>
      <c r="D262" t="s">
        <v>1642</v>
      </c>
      <c r="E262" t="s">
        <v>1642</v>
      </c>
      <c r="F262" t="s">
        <v>1643</v>
      </c>
      <c r="G262" t="s">
        <v>1644</v>
      </c>
      <c r="I262" t="s">
        <v>1645</v>
      </c>
      <c r="J262" t="s">
        <v>1646</v>
      </c>
      <c r="K262" t="s">
        <v>1647</v>
      </c>
      <c r="L262" t="s">
        <v>1648</v>
      </c>
    </row>
    <row r="263" spans="1:12" x14ac:dyDescent="0.2">
      <c r="A263">
        <v>262</v>
      </c>
      <c r="B263">
        <v>45930.584687499999</v>
      </c>
      <c r="C263">
        <v>45930.653946759303</v>
      </c>
      <c r="D263" t="s">
        <v>1649</v>
      </c>
      <c r="E263" t="s">
        <v>1649</v>
      </c>
      <c r="F263" t="s">
        <v>1650</v>
      </c>
      <c r="G263" t="s">
        <v>1651</v>
      </c>
      <c r="I263" t="s">
        <v>1652</v>
      </c>
      <c r="J263" t="s">
        <v>1653</v>
      </c>
      <c r="L263" t="s">
        <v>1654</v>
      </c>
    </row>
    <row r="264" spans="1:12" x14ac:dyDescent="0.2">
      <c r="A264">
        <v>263</v>
      </c>
      <c r="B264">
        <v>45930.489664351902</v>
      </c>
      <c r="C264">
        <v>45930.653993055603</v>
      </c>
      <c r="D264" t="s">
        <v>1655</v>
      </c>
      <c r="E264" t="s">
        <v>1655</v>
      </c>
      <c r="F264" t="s">
        <v>1656</v>
      </c>
      <c r="G264" t="s">
        <v>1657</v>
      </c>
      <c r="I264" t="s">
        <v>1658</v>
      </c>
      <c r="J264" t="s">
        <v>170</v>
      </c>
      <c r="K264" t="s">
        <v>1659</v>
      </c>
      <c r="L264" t="s">
        <v>1660</v>
      </c>
    </row>
    <row r="265" spans="1:12" x14ac:dyDescent="0.2">
      <c r="A265">
        <v>264</v>
      </c>
      <c r="B265">
        <v>45930.599398148101</v>
      </c>
      <c r="C265">
        <v>45930.6540046296</v>
      </c>
      <c r="D265" t="s">
        <v>1661</v>
      </c>
      <c r="E265" t="s">
        <v>1661</v>
      </c>
      <c r="F265" t="s">
        <v>1662</v>
      </c>
      <c r="I265" t="s">
        <v>1663</v>
      </c>
      <c r="L265" t="s">
        <v>1664</v>
      </c>
    </row>
    <row r="266" spans="1:12" x14ac:dyDescent="0.2">
      <c r="A266">
        <v>265</v>
      </c>
      <c r="B266">
        <v>45930.433043981502</v>
      </c>
      <c r="C266">
        <v>45930.6542708333</v>
      </c>
      <c r="D266" t="s">
        <v>1665</v>
      </c>
      <c r="E266" t="s">
        <v>1665</v>
      </c>
      <c r="F266" t="s">
        <v>1666</v>
      </c>
      <c r="G266" t="s">
        <v>1667</v>
      </c>
      <c r="I266" t="s">
        <v>1668</v>
      </c>
      <c r="J266" t="s">
        <v>1669</v>
      </c>
      <c r="K266" t="s">
        <v>1670</v>
      </c>
      <c r="L266" t="s">
        <v>1671</v>
      </c>
    </row>
    <row r="267" spans="1:12" x14ac:dyDescent="0.2">
      <c r="A267">
        <v>266</v>
      </c>
      <c r="B267">
        <v>45930.591388888897</v>
      </c>
      <c r="C267">
        <v>45930.654421296298</v>
      </c>
      <c r="D267" t="s">
        <v>1672</v>
      </c>
      <c r="E267" t="s">
        <v>1672</v>
      </c>
      <c r="F267" t="s">
        <v>1673</v>
      </c>
      <c r="G267" t="s">
        <v>1674</v>
      </c>
      <c r="I267" t="s">
        <v>1675</v>
      </c>
      <c r="J267" t="s">
        <v>1676</v>
      </c>
      <c r="K267" t="s">
        <v>1677</v>
      </c>
      <c r="L267" t="s">
        <v>1678</v>
      </c>
    </row>
    <row r="268" spans="1:12" x14ac:dyDescent="0.2">
      <c r="A268">
        <v>267</v>
      </c>
      <c r="B268">
        <v>45930.599120370403</v>
      </c>
      <c r="C268">
        <v>45930.654664351903</v>
      </c>
      <c r="D268" t="s">
        <v>1679</v>
      </c>
      <c r="E268" t="s">
        <v>1679</v>
      </c>
      <c r="F268" t="s">
        <v>1680</v>
      </c>
      <c r="G268" t="s">
        <v>1681</v>
      </c>
      <c r="H268" t="s">
        <v>1682</v>
      </c>
      <c r="I268" t="s">
        <v>1683</v>
      </c>
      <c r="J268" t="s">
        <v>1684</v>
      </c>
      <c r="K268" t="s">
        <v>1685</v>
      </c>
      <c r="L268" t="s">
        <v>1686</v>
      </c>
    </row>
    <row r="269" spans="1:12" x14ac:dyDescent="0.2">
      <c r="A269">
        <v>268</v>
      </c>
      <c r="B269">
        <v>45930.569259259297</v>
      </c>
      <c r="C269">
        <v>45930.655243055597</v>
      </c>
      <c r="D269" t="s">
        <v>1687</v>
      </c>
      <c r="E269" t="s">
        <v>1687</v>
      </c>
      <c r="F269" t="s">
        <v>1688</v>
      </c>
      <c r="G269" t="s">
        <v>1689</v>
      </c>
      <c r="I269" t="s">
        <v>1690</v>
      </c>
      <c r="J269" t="s">
        <v>1691</v>
      </c>
      <c r="K269" t="s">
        <v>1692</v>
      </c>
      <c r="L269" t="s">
        <v>1693</v>
      </c>
    </row>
    <row r="270" spans="1:12" x14ac:dyDescent="0.2">
      <c r="A270">
        <v>269</v>
      </c>
      <c r="B270">
        <v>45930.6144907407</v>
      </c>
      <c r="C270">
        <v>45930.655509259297</v>
      </c>
      <c r="D270" t="s">
        <v>1694</v>
      </c>
      <c r="E270" t="s">
        <v>1694</v>
      </c>
      <c r="F270" t="s">
        <v>1695</v>
      </c>
      <c r="G270" t="s">
        <v>1696</v>
      </c>
      <c r="H270" t="s">
        <v>1697</v>
      </c>
      <c r="I270" t="s">
        <v>1698</v>
      </c>
      <c r="J270" t="s">
        <v>1699</v>
      </c>
      <c r="K270" t="s">
        <v>1700</v>
      </c>
      <c r="L270" t="s">
        <v>1701</v>
      </c>
    </row>
    <row r="271" spans="1:12" x14ac:dyDescent="0.2">
      <c r="A271">
        <v>270</v>
      </c>
      <c r="B271">
        <v>45930.632118055597</v>
      </c>
      <c r="C271">
        <v>45930.655856481499</v>
      </c>
      <c r="D271" t="s">
        <v>1702</v>
      </c>
      <c r="E271" t="s">
        <v>1702</v>
      </c>
      <c r="F271" t="s">
        <v>1703</v>
      </c>
      <c r="G271" t="s">
        <v>1704</v>
      </c>
      <c r="I271" t="s">
        <v>1705</v>
      </c>
      <c r="J271" t="s">
        <v>1706</v>
      </c>
      <c r="K271" t="s">
        <v>1707</v>
      </c>
      <c r="L271" t="s">
        <v>1708</v>
      </c>
    </row>
    <row r="272" spans="1:12" x14ac:dyDescent="0.2">
      <c r="A272">
        <v>271</v>
      </c>
      <c r="B272">
        <v>45930.550625000003</v>
      </c>
      <c r="C272">
        <v>45930.658379629604</v>
      </c>
      <c r="D272" t="s">
        <v>1709</v>
      </c>
      <c r="E272" t="s">
        <v>1709</v>
      </c>
      <c r="F272" t="s">
        <v>1710</v>
      </c>
      <c r="G272" t="s">
        <v>1711</v>
      </c>
      <c r="H272" t="s">
        <v>1712</v>
      </c>
      <c r="I272" t="s">
        <v>1713</v>
      </c>
      <c r="J272" t="s">
        <v>1714</v>
      </c>
      <c r="K272" t="s">
        <v>1715</v>
      </c>
      <c r="L272" t="s">
        <v>1716</v>
      </c>
    </row>
    <row r="273" spans="1:12" x14ac:dyDescent="0.2">
      <c r="A273">
        <v>272</v>
      </c>
      <c r="B273">
        <v>45930.622546296298</v>
      </c>
      <c r="C273">
        <v>45930.659687500003</v>
      </c>
      <c r="D273" t="s">
        <v>1717</v>
      </c>
      <c r="E273" t="s">
        <v>1717</v>
      </c>
      <c r="F273" t="s">
        <v>1718</v>
      </c>
      <c r="I273" t="s">
        <v>1719</v>
      </c>
      <c r="J273" t="s">
        <v>1720</v>
      </c>
      <c r="K273" t="s">
        <v>1721</v>
      </c>
      <c r="L273" t="s">
        <v>1722</v>
      </c>
    </row>
    <row r="274" spans="1:12" x14ac:dyDescent="0.2">
      <c r="A274">
        <v>273</v>
      </c>
      <c r="B274">
        <v>45930.616550925901</v>
      </c>
      <c r="C274">
        <v>45930.660300925898</v>
      </c>
      <c r="D274" t="s">
        <v>1723</v>
      </c>
      <c r="E274" t="s">
        <v>1723</v>
      </c>
      <c r="F274" t="s">
        <v>1724</v>
      </c>
      <c r="G274" t="s">
        <v>1725</v>
      </c>
      <c r="I274" t="s">
        <v>1726</v>
      </c>
      <c r="J274" t="s">
        <v>1727</v>
      </c>
      <c r="K274" t="s">
        <v>1728</v>
      </c>
      <c r="L274" t="s">
        <v>1729</v>
      </c>
    </row>
    <row r="275" spans="1:12" x14ac:dyDescent="0.2">
      <c r="A275">
        <v>274</v>
      </c>
      <c r="B275">
        <v>45930.137986111098</v>
      </c>
      <c r="C275">
        <v>45930.660405092603</v>
      </c>
      <c r="D275" t="s">
        <v>1730</v>
      </c>
      <c r="E275" t="s">
        <v>1730</v>
      </c>
      <c r="F275" t="s">
        <v>1731</v>
      </c>
      <c r="H275" t="s">
        <v>1732</v>
      </c>
      <c r="I275" t="s">
        <v>1733</v>
      </c>
      <c r="J275" t="s">
        <v>1734</v>
      </c>
      <c r="K275" t="s">
        <v>1735</v>
      </c>
      <c r="L275" t="s">
        <v>1736</v>
      </c>
    </row>
    <row r="276" spans="1:12" x14ac:dyDescent="0.2">
      <c r="A276">
        <v>275</v>
      </c>
      <c r="B276">
        <v>45930.625057870398</v>
      </c>
      <c r="C276">
        <v>45930.661261574103</v>
      </c>
      <c r="D276" t="s">
        <v>1737</v>
      </c>
      <c r="E276" t="s">
        <v>1737</v>
      </c>
      <c r="F276" t="s">
        <v>1738</v>
      </c>
      <c r="G276" t="s">
        <v>1739</v>
      </c>
      <c r="I276" t="s">
        <v>1740</v>
      </c>
      <c r="J276" t="s">
        <v>1741</v>
      </c>
      <c r="K276" t="s">
        <v>1742</v>
      </c>
      <c r="L276" t="s">
        <v>1743</v>
      </c>
    </row>
    <row r="277" spans="1:12" x14ac:dyDescent="0.2">
      <c r="A277">
        <v>276</v>
      </c>
      <c r="B277">
        <v>45930.638298611098</v>
      </c>
      <c r="C277">
        <v>45930.667013888902</v>
      </c>
      <c r="D277" t="s">
        <v>1744</v>
      </c>
      <c r="E277" t="s">
        <v>1744</v>
      </c>
      <c r="F277" t="s">
        <v>1745</v>
      </c>
      <c r="G277" t="s">
        <v>1746</v>
      </c>
      <c r="H277" t="s">
        <v>1747</v>
      </c>
      <c r="I277" t="s">
        <v>1748</v>
      </c>
      <c r="K277" t="s">
        <v>1749</v>
      </c>
      <c r="L277" t="s">
        <v>1750</v>
      </c>
    </row>
    <row r="278" spans="1:12" x14ac:dyDescent="0.2">
      <c r="A278">
        <v>277</v>
      </c>
      <c r="B278">
        <v>45930.546168981498</v>
      </c>
      <c r="C278">
        <v>45930.684027777803</v>
      </c>
      <c r="D278" t="s">
        <v>1751</v>
      </c>
      <c r="E278" t="s">
        <v>1751</v>
      </c>
      <c r="F278" t="s">
        <v>1752</v>
      </c>
      <c r="G278" t="s">
        <v>1753</v>
      </c>
      <c r="I278" t="s">
        <v>1754</v>
      </c>
      <c r="J278" t="s">
        <v>1755</v>
      </c>
      <c r="K278" t="s">
        <v>1756</v>
      </c>
      <c r="L278" t="s">
        <v>1757</v>
      </c>
    </row>
    <row r="279" spans="1:12" x14ac:dyDescent="0.2">
      <c r="A279">
        <v>278</v>
      </c>
      <c r="B279">
        <v>45930.5960416667</v>
      </c>
      <c r="C279">
        <v>45930.710625</v>
      </c>
      <c r="D279" t="s">
        <v>1758</v>
      </c>
      <c r="E279" t="s">
        <v>1758</v>
      </c>
      <c r="F279" t="s">
        <v>1759</v>
      </c>
      <c r="I279" t="s">
        <v>1760</v>
      </c>
    </row>
    <row r="280" spans="1:12" x14ac:dyDescent="0.2">
      <c r="A280">
        <v>279</v>
      </c>
      <c r="B280">
        <v>45930.679004629601</v>
      </c>
      <c r="C280">
        <v>45930.716446759303</v>
      </c>
      <c r="D280" t="s">
        <v>1761</v>
      </c>
      <c r="E280" t="s">
        <v>1761</v>
      </c>
      <c r="F280" t="s">
        <v>1762</v>
      </c>
      <c r="G280" t="s">
        <v>1763</v>
      </c>
      <c r="H280" t="s">
        <v>1764</v>
      </c>
      <c r="I280" t="s">
        <v>1765</v>
      </c>
      <c r="J280" t="s">
        <v>1766</v>
      </c>
      <c r="K280" t="s">
        <v>1767</v>
      </c>
      <c r="L280" t="s">
        <v>1768</v>
      </c>
    </row>
    <row r="281" spans="1:12" x14ac:dyDescent="0.2">
      <c r="A281">
        <v>280</v>
      </c>
      <c r="B281">
        <v>45930.715659722198</v>
      </c>
      <c r="C281">
        <v>45930.717465277798</v>
      </c>
      <c r="D281" t="s">
        <v>1769</v>
      </c>
      <c r="E281" t="s">
        <v>1769</v>
      </c>
      <c r="F281" t="s">
        <v>1770</v>
      </c>
      <c r="G281" t="s">
        <v>1771</v>
      </c>
      <c r="I281" t="s">
        <v>1772</v>
      </c>
      <c r="J281" t="s">
        <v>1773</v>
      </c>
      <c r="K281" t="s">
        <v>1774</v>
      </c>
    </row>
    <row r="282" spans="1:12" x14ac:dyDescent="0.2">
      <c r="A282">
        <v>281</v>
      </c>
      <c r="B282">
        <v>45930.5787962963</v>
      </c>
      <c r="C282">
        <v>45930.719328703701</v>
      </c>
      <c r="D282" t="s">
        <v>1775</v>
      </c>
      <c r="E282" t="s">
        <v>1775</v>
      </c>
      <c r="F282" t="s">
        <v>1776</v>
      </c>
      <c r="G282" t="s">
        <v>1777</v>
      </c>
      <c r="H282" t="s">
        <v>1778</v>
      </c>
      <c r="I282" t="s">
        <v>1779</v>
      </c>
      <c r="J282" t="s">
        <v>1777</v>
      </c>
      <c r="K282" t="s">
        <v>1780</v>
      </c>
      <c r="L282" t="s">
        <v>1781</v>
      </c>
    </row>
    <row r="283" spans="1:12" x14ac:dyDescent="0.2">
      <c r="A283">
        <v>282</v>
      </c>
      <c r="B283">
        <v>45930.748287037</v>
      </c>
      <c r="C283">
        <v>45930.748414351903</v>
      </c>
      <c r="D283" t="s">
        <v>1782</v>
      </c>
      <c r="E283" t="s">
        <v>1782</v>
      </c>
      <c r="F283" t="s">
        <v>1783</v>
      </c>
      <c r="G283" t="s">
        <v>1784</v>
      </c>
      <c r="I283" t="s">
        <v>1785</v>
      </c>
      <c r="J283" t="s">
        <v>1786</v>
      </c>
      <c r="K283" t="s">
        <v>1787</v>
      </c>
    </row>
    <row r="284" spans="1:12" x14ac:dyDescent="0.2">
      <c r="A284">
        <v>283</v>
      </c>
      <c r="B284">
        <v>45930.610671296301</v>
      </c>
      <c r="C284">
        <v>45930.767349537004</v>
      </c>
      <c r="D284" t="s">
        <v>1788</v>
      </c>
      <c r="E284" t="s">
        <v>1788</v>
      </c>
      <c r="F284" t="s">
        <v>1789</v>
      </c>
      <c r="G284" t="s">
        <v>1790</v>
      </c>
      <c r="I284" t="s">
        <v>1791</v>
      </c>
      <c r="J284" t="s">
        <v>1792</v>
      </c>
      <c r="K284" t="s">
        <v>1793</v>
      </c>
    </row>
    <row r="285" spans="1:12" x14ac:dyDescent="0.2">
      <c r="A285">
        <v>284</v>
      </c>
      <c r="B285">
        <v>45930.478067129603</v>
      </c>
      <c r="C285">
        <v>45930.779212963003</v>
      </c>
      <c r="D285" t="s">
        <v>1794</v>
      </c>
      <c r="E285" t="s">
        <v>1794</v>
      </c>
      <c r="F285" t="s">
        <v>1795</v>
      </c>
      <c r="G285" t="s">
        <v>1796</v>
      </c>
      <c r="H285" t="s">
        <v>1797</v>
      </c>
      <c r="I285" t="s">
        <v>1798</v>
      </c>
      <c r="J285" t="s">
        <v>1799</v>
      </c>
      <c r="K285" t="s">
        <v>1800</v>
      </c>
      <c r="L285" t="s">
        <v>1801</v>
      </c>
    </row>
    <row r="286" spans="1:12" x14ac:dyDescent="0.2">
      <c r="A286">
        <v>285</v>
      </c>
      <c r="B286">
        <v>45930.798645833303</v>
      </c>
      <c r="C286">
        <v>45930.834918981498</v>
      </c>
      <c r="D286" t="s">
        <v>1802</v>
      </c>
      <c r="E286" t="s">
        <v>1802</v>
      </c>
      <c r="F286" t="s">
        <v>1803</v>
      </c>
      <c r="G286" t="s">
        <v>1804</v>
      </c>
      <c r="I286" t="s">
        <v>1805</v>
      </c>
      <c r="J286" t="s">
        <v>1806</v>
      </c>
      <c r="L286" t="s">
        <v>1807</v>
      </c>
    </row>
    <row r="287" spans="1:12" x14ac:dyDescent="0.2">
      <c r="A287">
        <v>286</v>
      </c>
      <c r="B287">
        <v>45930.439189814802</v>
      </c>
      <c r="C287">
        <v>45930.861168981501</v>
      </c>
      <c r="D287" t="s">
        <v>1808</v>
      </c>
      <c r="E287" t="s">
        <v>1808</v>
      </c>
      <c r="F287" t="s">
        <v>1809</v>
      </c>
      <c r="G287" t="s">
        <v>1810</v>
      </c>
      <c r="I287" t="s">
        <v>1811</v>
      </c>
      <c r="J287" t="s">
        <v>1812</v>
      </c>
      <c r="K287" t="s">
        <v>1813</v>
      </c>
      <c r="L287" t="s">
        <v>1814</v>
      </c>
    </row>
    <row r="288" spans="1:12" x14ac:dyDescent="0.2">
      <c r="A288">
        <v>287</v>
      </c>
      <c r="B288">
        <v>45930.814340277801</v>
      </c>
      <c r="C288">
        <v>45930.954907407402</v>
      </c>
      <c r="D288" t="s">
        <v>1815</v>
      </c>
      <c r="E288" t="s">
        <v>1815</v>
      </c>
      <c r="F288" t="s">
        <v>1816</v>
      </c>
      <c r="G288" t="s">
        <v>1817</v>
      </c>
      <c r="I288" t="s">
        <v>1818</v>
      </c>
      <c r="J288" t="s">
        <v>1819</v>
      </c>
      <c r="K288" t="s">
        <v>1820</v>
      </c>
      <c r="L288" t="s">
        <v>1821</v>
      </c>
    </row>
    <row r="289" spans="1:12" x14ac:dyDescent="0.2">
      <c r="A289">
        <v>288</v>
      </c>
      <c r="B289">
        <v>45930.598831018498</v>
      </c>
      <c r="C289">
        <v>45931.005474537</v>
      </c>
      <c r="D289" t="s">
        <v>1822</v>
      </c>
      <c r="E289" t="s">
        <v>1822</v>
      </c>
      <c r="F289" t="s">
        <v>1823</v>
      </c>
      <c r="G289" t="s">
        <v>1824</v>
      </c>
      <c r="I289" t="s">
        <v>1825</v>
      </c>
      <c r="J289" t="s">
        <v>26</v>
      </c>
      <c r="K289" t="s">
        <v>1826</v>
      </c>
      <c r="L289" t="s">
        <v>1827</v>
      </c>
    </row>
    <row r="290" spans="1:12" x14ac:dyDescent="0.2">
      <c r="A290">
        <v>289</v>
      </c>
      <c r="B290">
        <v>45930.4776388889</v>
      </c>
      <c r="C290">
        <v>45931.369398148097</v>
      </c>
      <c r="D290" t="s">
        <v>1828</v>
      </c>
      <c r="E290" t="s">
        <v>1828</v>
      </c>
      <c r="F290" t="s">
        <v>1829</v>
      </c>
      <c r="G290" t="s">
        <v>1830</v>
      </c>
      <c r="I290" t="s">
        <v>1831</v>
      </c>
      <c r="J290" t="s">
        <v>1832</v>
      </c>
      <c r="K290" t="s">
        <v>1833</v>
      </c>
      <c r="L290" t="s">
        <v>1834</v>
      </c>
    </row>
    <row r="291" spans="1:12" x14ac:dyDescent="0.2">
      <c r="A291">
        <v>290</v>
      </c>
      <c r="B291">
        <v>45930.553981481498</v>
      </c>
      <c r="C291">
        <v>45931.3744560185</v>
      </c>
      <c r="D291" t="s">
        <v>1835</v>
      </c>
      <c r="E291" t="s">
        <v>1835</v>
      </c>
      <c r="F291" t="s">
        <v>1836</v>
      </c>
      <c r="G291" t="s">
        <v>91</v>
      </c>
      <c r="I291" t="s">
        <v>1837</v>
      </c>
      <c r="J291" t="s">
        <v>1838</v>
      </c>
      <c r="K291" t="s">
        <v>1839</v>
      </c>
      <c r="L291" t="s">
        <v>1840</v>
      </c>
    </row>
    <row r="292" spans="1:12" x14ac:dyDescent="0.2">
      <c r="A292">
        <v>291</v>
      </c>
      <c r="B292">
        <v>45930.491030092599</v>
      </c>
      <c r="C292">
        <v>45931.374479166698</v>
      </c>
      <c r="D292" t="s">
        <v>1841</v>
      </c>
      <c r="E292" t="s">
        <v>1841</v>
      </c>
      <c r="F292" t="s">
        <v>1842</v>
      </c>
      <c r="G292" t="s">
        <v>1843</v>
      </c>
      <c r="I292" t="s">
        <v>1844</v>
      </c>
      <c r="J292" t="s">
        <v>1845</v>
      </c>
      <c r="K292" t="s">
        <v>1846</v>
      </c>
    </row>
    <row r="293" spans="1:12" x14ac:dyDescent="0.2">
      <c r="A293">
        <v>292</v>
      </c>
      <c r="B293">
        <v>45931.4045833333</v>
      </c>
      <c r="C293">
        <v>45931.416504629597</v>
      </c>
      <c r="D293" t="s">
        <v>1847</v>
      </c>
      <c r="E293" t="s">
        <v>1847</v>
      </c>
      <c r="F293" t="s">
        <v>1848</v>
      </c>
      <c r="I293" t="s">
        <v>1849</v>
      </c>
    </row>
    <row r="294" spans="1:12" x14ac:dyDescent="0.2">
      <c r="A294">
        <v>293</v>
      </c>
      <c r="B294">
        <v>45930.566701388903</v>
      </c>
      <c r="C294">
        <v>45931.471342592602</v>
      </c>
      <c r="D294" t="s">
        <v>1850</v>
      </c>
      <c r="E294" t="s">
        <v>1850</v>
      </c>
      <c r="F294" t="s">
        <v>1851</v>
      </c>
      <c r="G294" t="s">
        <v>1852</v>
      </c>
      <c r="I294" t="s">
        <v>1853</v>
      </c>
      <c r="J294" t="s">
        <v>1854</v>
      </c>
      <c r="K294" t="s">
        <v>1855</v>
      </c>
      <c r="L294" t="s">
        <v>1856</v>
      </c>
    </row>
    <row r="295" spans="1:12" x14ac:dyDescent="0.2">
      <c r="A295">
        <v>294</v>
      </c>
      <c r="B295">
        <v>45931.472141203703</v>
      </c>
      <c r="C295">
        <v>45931.476898148103</v>
      </c>
      <c r="D295" t="s">
        <v>1857</v>
      </c>
      <c r="E295" t="s">
        <v>1857</v>
      </c>
      <c r="F295" t="s">
        <v>1858</v>
      </c>
      <c r="G295" t="s">
        <v>1859</v>
      </c>
      <c r="I295" t="s">
        <v>1860</v>
      </c>
      <c r="J295" t="s">
        <v>1861</v>
      </c>
      <c r="K295" t="s">
        <v>1862</v>
      </c>
      <c r="L295" t="s">
        <v>1863</v>
      </c>
    </row>
    <row r="296" spans="1:12" x14ac:dyDescent="0.2">
      <c r="A296">
        <v>295</v>
      </c>
      <c r="B296">
        <v>45931.456747685203</v>
      </c>
      <c r="C296">
        <v>45931.479178240697</v>
      </c>
      <c r="D296" t="s">
        <v>1864</v>
      </c>
      <c r="E296" t="s">
        <v>1864</v>
      </c>
      <c r="F296" t="s">
        <v>1865</v>
      </c>
      <c r="G296" t="s">
        <v>1866</v>
      </c>
      <c r="I296" t="s">
        <v>1867</v>
      </c>
      <c r="J296" t="s">
        <v>1868</v>
      </c>
      <c r="K296" t="s">
        <v>1869</v>
      </c>
    </row>
    <row r="297" spans="1:12" x14ac:dyDescent="0.2">
      <c r="A297">
        <v>296</v>
      </c>
      <c r="B297">
        <v>45931.453506944403</v>
      </c>
      <c r="C297">
        <v>45931.483819444402</v>
      </c>
      <c r="D297" t="s">
        <v>1870</v>
      </c>
      <c r="E297" t="s">
        <v>1870</v>
      </c>
      <c r="F297" t="s">
        <v>1871</v>
      </c>
      <c r="G297" t="s">
        <v>1872</v>
      </c>
      <c r="H297" t="s">
        <v>1873</v>
      </c>
      <c r="I297" t="s">
        <v>1874</v>
      </c>
      <c r="J297" t="s">
        <v>1875</v>
      </c>
      <c r="L297" t="s">
        <v>1876</v>
      </c>
    </row>
    <row r="298" spans="1:12" x14ac:dyDescent="0.2">
      <c r="A298">
        <v>297</v>
      </c>
      <c r="B298">
        <v>45931.4602199074</v>
      </c>
      <c r="C298">
        <v>45931.485567129603</v>
      </c>
      <c r="D298" t="s">
        <v>1877</v>
      </c>
      <c r="E298" t="s">
        <v>1877</v>
      </c>
      <c r="F298" t="s">
        <v>1878</v>
      </c>
      <c r="G298" t="s">
        <v>1879</v>
      </c>
      <c r="H298" t="s">
        <v>1880</v>
      </c>
      <c r="I298" t="s">
        <v>1881</v>
      </c>
      <c r="J298" t="s">
        <v>1882</v>
      </c>
      <c r="K298" t="s">
        <v>1883</v>
      </c>
      <c r="L298" t="s">
        <v>1884</v>
      </c>
    </row>
    <row r="299" spans="1:12" x14ac:dyDescent="0.2">
      <c r="A299">
        <v>298</v>
      </c>
      <c r="B299">
        <v>45931.472488425898</v>
      </c>
      <c r="C299">
        <v>45931.495567129597</v>
      </c>
      <c r="D299" t="s">
        <v>1885</v>
      </c>
      <c r="E299" t="s">
        <v>1885</v>
      </c>
      <c r="F299" t="s">
        <v>1886</v>
      </c>
      <c r="G299" t="s">
        <v>1887</v>
      </c>
      <c r="I299" t="s">
        <v>1888</v>
      </c>
      <c r="J299" t="s">
        <v>1889</v>
      </c>
      <c r="K299" t="s">
        <v>1890</v>
      </c>
      <c r="L299" t="s">
        <v>1891</v>
      </c>
    </row>
    <row r="300" spans="1:12" x14ac:dyDescent="0.2">
      <c r="A300">
        <v>299</v>
      </c>
      <c r="B300">
        <v>45930.536898148101</v>
      </c>
      <c r="C300">
        <v>45931.498645833301</v>
      </c>
      <c r="D300" t="s">
        <v>1892</v>
      </c>
      <c r="E300" t="s">
        <v>1892</v>
      </c>
      <c r="F300" t="s">
        <v>1893</v>
      </c>
      <c r="G300" t="s">
        <v>1894</v>
      </c>
      <c r="I300" t="s">
        <v>1895</v>
      </c>
      <c r="J300" t="s">
        <v>1896</v>
      </c>
      <c r="K300" t="s">
        <v>1897</v>
      </c>
      <c r="L300" t="s">
        <v>1898</v>
      </c>
    </row>
    <row r="301" spans="1:12" x14ac:dyDescent="0.2">
      <c r="A301">
        <v>300</v>
      </c>
      <c r="B301">
        <v>45931.478125000001</v>
      </c>
      <c r="C301">
        <v>45931.502500000002</v>
      </c>
      <c r="D301" t="s">
        <v>1899</v>
      </c>
      <c r="E301" t="s">
        <v>1900</v>
      </c>
      <c r="F301" t="s">
        <v>1901</v>
      </c>
      <c r="G301" t="s">
        <v>1902</v>
      </c>
      <c r="I301" t="s">
        <v>1903</v>
      </c>
      <c r="J301" t="s">
        <v>1904</v>
      </c>
      <c r="L301" t="s">
        <v>1905</v>
      </c>
    </row>
    <row r="302" spans="1:12" x14ac:dyDescent="0.2">
      <c r="A302">
        <v>301</v>
      </c>
      <c r="B302">
        <v>45931.461562500001</v>
      </c>
      <c r="C302">
        <v>45931.527673611097</v>
      </c>
      <c r="D302" t="s">
        <v>1906</v>
      </c>
      <c r="E302" t="s">
        <v>1906</v>
      </c>
      <c r="F302" t="s">
        <v>1907</v>
      </c>
      <c r="G302" t="s">
        <v>1908</v>
      </c>
      <c r="H302" t="s">
        <v>1909</v>
      </c>
      <c r="I302" t="s">
        <v>1910</v>
      </c>
      <c r="J302" t="s">
        <v>1911</v>
      </c>
      <c r="K302" t="s">
        <v>1912</v>
      </c>
      <c r="L302" t="s">
        <v>1913</v>
      </c>
    </row>
    <row r="303" spans="1:12" x14ac:dyDescent="0.2">
      <c r="A303">
        <v>302</v>
      </c>
      <c r="B303">
        <v>45931.515706018501</v>
      </c>
      <c r="C303">
        <v>45931.530162037001</v>
      </c>
      <c r="D303" t="s">
        <v>1914</v>
      </c>
      <c r="E303" t="s">
        <v>1914</v>
      </c>
      <c r="F303" t="s">
        <v>1915</v>
      </c>
      <c r="I303" t="s">
        <v>1916</v>
      </c>
    </row>
    <row r="304" spans="1:12" x14ac:dyDescent="0.2">
      <c r="A304">
        <v>303</v>
      </c>
      <c r="B304">
        <v>45931.487754629597</v>
      </c>
      <c r="C304">
        <v>45931.534606481502</v>
      </c>
      <c r="D304" t="s">
        <v>1917</v>
      </c>
      <c r="E304" t="s">
        <v>1917</v>
      </c>
      <c r="F304" t="s">
        <v>1918</v>
      </c>
      <c r="G304" t="s">
        <v>1919</v>
      </c>
      <c r="H304" t="s">
        <v>1920</v>
      </c>
      <c r="I304" t="s">
        <v>1921</v>
      </c>
      <c r="J304" t="s">
        <v>1922</v>
      </c>
      <c r="K304" t="s">
        <v>1923</v>
      </c>
      <c r="L304" t="s">
        <v>1924</v>
      </c>
    </row>
    <row r="305" spans="1:12" x14ac:dyDescent="0.2">
      <c r="A305">
        <v>304</v>
      </c>
      <c r="B305">
        <v>45931.556724536997</v>
      </c>
      <c r="C305">
        <v>45931.570914351803</v>
      </c>
      <c r="D305" t="s">
        <v>1925</v>
      </c>
      <c r="E305" t="s">
        <v>1925</v>
      </c>
      <c r="F305" t="s">
        <v>1926</v>
      </c>
      <c r="G305" t="s">
        <v>1927</v>
      </c>
      <c r="I305" t="s">
        <v>1928</v>
      </c>
      <c r="J305" t="s">
        <v>1929</v>
      </c>
      <c r="K305" t="s">
        <v>1930</v>
      </c>
      <c r="L305" t="s">
        <v>1931</v>
      </c>
    </row>
    <row r="306" spans="1:12" x14ac:dyDescent="0.2">
      <c r="A306">
        <v>305</v>
      </c>
      <c r="B306">
        <v>45931.440706018497</v>
      </c>
      <c r="C306">
        <v>45931.6492013889</v>
      </c>
      <c r="D306" t="s">
        <v>1932</v>
      </c>
      <c r="E306" t="s">
        <v>1932</v>
      </c>
      <c r="F306" t="s">
        <v>1933</v>
      </c>
      <c r="G306" t="s">
        <v>1934</v>
      </c>
      <c r="I306" t="s">
        <v>1935</v>
      </c>
      <c r="J306" t="s">
        <v>1936</v>
      </c>
      <c r="K306" t="s">
        <v>1937</v>
      </c>
      <c r="L306" t="s">
        <v>1938</v>
      </c>
    </row>
    <row r="307" spans="1:12" x14ac:dyDescent="0.2">
      <c r="A307">
        <v>306</v>
      </c>
      <c r="B307">
        <v>45930.481736111098</v>
      </c>
      <c r="C307">
        <v>45931.661793981497</v>
      </c>
      <c r="D307" t="s">
        <v>1939</v>
      </c>
      <c r="E307" t="s">
        <v>1939</v>
      </c>
      <c r="F307" t="s">
        <v>1940</v>
      </c>
      <c r="G307" t="s">
        <v>1941</v>
      </c>
      <c r="I307" t="s">
        <v>1942</v>
      </c>
      <c r="J307" t="s">
        <v>1943</v>
      </c>
      <c r="K307" t="s">
        <v>1944</v>
      </c>
    </row>
    <row r="308" spans="1:12" x14ac:dyDescent="0.2">
      <c r="A308">
        <v>307</v>
      </c>
      <c r="B308">
        <v>45930.4397916667</v>
      </c>
      <c r="C308">
        <v>45931.673935185201</v>
      </c>
      <c r="D308" t="s">
        <v>1945</v>
      </c>
      <c r="E308" t="s">
        <v>1945</v>
      </c>
      <c r="F308" t="s">
        <v>1946</v>
      </c>
      <c r="G308" t="s">
        <v>1947</v>
      </c>
      <c r="I308" t="s">
        <v>1948</v>
      </c>
    </row>
    <row r="309" spans="1:12" x14ac:dyDescent="0.2">
      <c r="A309">
        <v>308</v>
      </c>
      <c r="B309">
        <v>45931.658275463</v>
      </c>
      <c r="C309">
        <v>45931.691180555601</v>
      </c>
      <c r="D309" t="s">
        <v>1949</v>
      </c>
      <c r="E309" t="s">
        <v>1949</v>
      </c>
      <c r="F309" t="s">
        <v>1950</v>
      </c>
      <c r="G309" t="s">
        <v>1951</v>
      </c>
      <c r="H309" t="s">
        <v>1952</v>
      </c>
      <c r="I309" t="s">
        <v>1953</v>
      </c>
      <c r="L309" t="s">
        <v>1954</v>
      </c>
    </row>
    <row r="310" spans="1:12" x14ac:dyDescent="0.2">
      <c r="A310">
        <v>309</v>
      </c>
      <c r="B310">
        <v>45931.651678240698</v>
      </c>
      <c r="C310">
        <v>45931.699201388903</v>
      </c>
      <c r="D310" t="s">
        <v>1955</v>
      </c>
      <c r="E310" t="s">
        <v>1955</v>
      </c>
      <c r="F310" t="s">
        <v>1956</v>
      </c>
      <c r="G310" t="s">
        <v>1957</v>
      </c>
      <c r="I310" t="s">
        <v>1958</v>
      </c>
      <c r="J310" t="s">
        <v>1959</v>
      </c>
    </row>
    <row r="311" spans="1:12" x14ac:dyDescent="0.2">
      <c r="A311">
        <v>310</v>
      </c>
      <c r="B311">
        <v>45931.687175925901</v>
      </c>
      <c r="C311">
        <v>45931.713437500002</v>
      </c>
      <c r="D311" t="s">
        <v>1960</v>
      </c>
      <c r="E311" t="s">
        <v>1960</v>
      </c>
      <c r="F311" t="s">
        <v>1961</v>
      </c>
      <c r="G311" t="s">
        <v>1962</v>
      </c>
      <c r="H311" t="s">
        <v>1963</v>
      </c>
      <c r="I311" t="s">
        <v>1964</v>
      </c>
      <c r="J311" t="s">
        <v>1965</v>
      </c>
      <c r="K311" t="s">
        <v>1966</v>
      </c>
    </row>
    <row r="312" spans="1:12" x14ac:dyDescent="0.2">
      <c r="A312">
        <v>311</v>
      </c>
      <c r="B312">
        <v>45931.681226851797</v>
      </c>
      <c r="C312">
        <v>45931.735266203701</v>
      </c>
      <c r="D312" t="s">
        <v>1967</v>
      </c>
      <c r="E312" t="s">
        <v>1967</v>
      </c>
      <c r="F312" t="s">
        <v>1968</v>
      </c>
      <c r="G312" t="s">
        <v>1969</v>
      </c>
      <c r="I312" t="s">
        <v>1970</v>
      </c>
      <c r="J312" t="s">
        <v>1971</v>
      </c>
      <c r="K312" t="s">
        <v>1972</v>
      </c>
      <c r="L312" t="s">
        <v>1973</v>
      </c>
    </row>
    <row r="313" spans="1:12" x14ac:dyDescent="0.2">
      <c r="A313">
        <v>312</v>
      </c>
      <c r="B313">
        <v>45931.667407407404</v>
      </c>
      <c r="C313">
        <v>45931.758101851803</v>
      </c>
      <c r="D313" t="s">
        <v>1974</v>
      </c>
      <c r="E313" t="s">
        <v>1974</v>
      </c>
      <c r="F313" t="s">
        <v>1975</v>
      </c>
      <c r="G313" t="s">
        <v>1976</v>
      </c>
      <c r="I313" t="s">
        <v>1977</v>
      </c>
      <c r="J313" t="s">
        <v>1978</v>
      </c>
    </row>
    <row r="314" spans="1:12" x14ac:dyDescent="0.2">
      <c r="A314">
        <v>313</v>
      </c>
      <c r="B314">
        <v>45931.738738425898</v>
      </c>
      <c r="C314">
        <v>45931.7588888889</v>
      </c>
      <c r="D314" t="s">
        <v>1979</v>
      </c>
      <c r="E314" t="s">
        <v>1979</v>
      </c>
      <c r="F314" t="s">
        <v>1980</v>
      </c>
      <c r="G314" t="s">
        <v>1981</v>
      </c>
      <c r="I314" t="s">
        <v>1982</v>
      </c>
    </row>
    <row r="315" spans="1:12" x14ac:dyDescent="0.2">
      <c r="A315">
        <v>314</v>
      </c>
      <c r="B315">
        <v>45931.930798611102</v>
      </c>
      <c r="C315">
        <v>45931.955775463</v>
      </c>
      <c r="D315" t="s">
        <v>1983</v>
      </c>
      <c r="E315" t="s">
        <v>1983</v>
      </c>
      <c r="F315" t="s">
        <v>1984</v>
      </c>
      <c r="G315" t="s">
        <v>1985</v>
      </c>
      <c r="I315" t="s">
        <v>1986</v>
      </c>
      <c r="J315" t="s">
        <v>1987</v>
      </c>
      <c r="L315" t="s">
        <v>1988</v>
      </c>
    </row>
    <row r="316" spans="1:12" x14ac:dyDescent="0.2">
      <c r="A316">
        <v>315</v>
      </c>
      <c r="B316">
        <v>45932.443923611099</v>
      </c>
      <c r="C316">
        <v>45932.488946759302</v>
      </c>
      <c r="D316" t="s">
        <v>1989</v>
      </c>
      <c r="E316" t="s">
        <v>1989</v>
      </c>
      <c r="F316" t="s">
        <v>1990</v>
      </c>
      <c r="G316" t="s">
        <v>1991</v>
      </c>
      <c r="I316" t="s">
        <v>1992</v>
      </c>
      <c r="J316" t="s">
        <v>1993</v>
      </c>
      <c r="K316" t="s">
        <v>1994</v>
      </c>
      <c r="L316" t="s">
        <v>1520</v>
      </c>
    </row>
    <row r="317" spans="1:12" x14ac:dyDescent="0.2">
      <c r="A317">
        <v>316</v>
      </c>
      <c r="B317">
        <v>45930.439513888901</v>
      </c>
      <c r="C317">
        <v>45932.498414351903</v>
      </c>
      <c r="D317" t="s">
        <v>1995</v>
      </c>
      <c r="E317" t="s">
        <v>1995</v>
      </c>
      <c r="F317" t="s">
        <v>1996</v>
      </c>
      <c r="G317" t="s">
        <v>1997</v>
      </c>
      <c r="I317" t="s">
        <v>1998</v>
      </c>
      <c r="J317" t="s">
        <v>1999</v>
      </c>
      <c r="K317" t="s">
        <v>2000</v>
      </c>
    </row>
    <row r="318" spans="1:12" x14ac:dyDescent="0.2">
      <c r="A318">
        <v>317</v>
      </c>
      <c r="B318">
        <v>45930.589282407404</v>
      </c>
      <c r="C318">
        <v>45932.534421296303</v>
      </c>
      <c r="D318" t="s">
        <v>2001</v>
      </c>
      <c r="E318" t="s">
        <v>2001</v>
      </c>
      <c r="F318" t="s">
        <v>2002</v>
      </c>
      <c r="G318" t="s">
        <v>2003</v>
      </c>
      <c r="I318" t="s">
        <v>2004</v>
      </c>
      <c r="J318" t="s">
        <v>2005</v>
      </c>
      <c r="K318" t="s">
        <v>2006</v>
      </c>
    </row>
    <row r="319" spans="1:12" x14ac:dyDescent="0.2">
      <c r="A319">
        <v>318</v>
      </c>
      <c r="B319">
        <v>45930.585428240702</v>
      </c>
      <c r="C319">
        <v>45932.552766203698</v>
      </c>
      <c r="D319" t="s">
        <v>2007</v>
      </c>
      <c r="E319" t="s">
        <v>2007</v>
      </c>
      <c r="F319" t="s">
        <v>2008</v>
      </c>
      <c r="G319" t="s">
        <v>2009</v>
      </c>
      <c r="I319" t="s">
        <v>2010</v>
      </c>
      <c r="J319" t="s">
        <v>2011</v>
      </c>
      <c r="K319" t="s">
        <v>2012</v>
      </c>
    </row>
    <row r="320" spans="1:12" x14ac:dyDescent="0.2">
      <c r="A320">
        <v>319</v>
      </c>
      <c r="B320">
        <v>45930.601585648103</v>
      </c>
      <c r="C320">
        <v>45932.555208333302</v>
      </c>
      <c r="D320" t="s">
        <v>2013</v>
      </c>
      <c r="E320" t="s">
        <v>2013</v>
      </c>
      <c r="F320" t="s">
        <v>2014</v>
      </c>
      <c r="I320" t="s">
        <v>2015</v>
      </c>
      <c r="L320" t="s">
        <v>2016</v>
      </c>
    </row>
    <row r="321" spans="1:12" x14ac:dyDescent="0.2">
      <c r="A321">
        <v>320</v>
      </c>
      <c r="B321">
        <v>45932.554097222201</v>
      </c>
      <c r="C321">
        <v>45932.572106481501</v>
      </c>
      <c r="D321" t="s">
        <v>2017</v>
      </c>
      <c r="E321" t="s">
        <v>2017</v>
      </c>
      <c r="F321" t="s">
        <v>2018</v>
      </c>
      <c r="I321" t="s">
        <v>2019</v>
      </c>
    </row>
    <row r="322" spans="1:12" x14ac:dyDescent="0.2">
      <c r="A322">
        <v>321</v>
      </c>
      <c r="B322">
        <v>45931.726712962998</v>
      </c>
      <c r="C322">
        <v>45932.590706018498</v>
      </c>
      <c r="D322" t="s">
        <v>2020</v>
      </c>
      <c r="E322" t="s">
        <v>2020</v>
      </c>
      <c r="F322" t="s">
        <v>2021</v>
      </c>
      <c r="G322" t="s">
        <v>2022</v>
      </c>
      <c r="I322" t="s">
        <v>2023</v>
      </c>
      <c r="J322" t="s">
        <v>2024</v>
      </c>
      <c r="K322" t="s">
        <v>2025</v>
      </c>
      <c r="L322" t="s">
        <v>2026</v>
      </c>
    </row>
    <row r="323" spans="1:12" x14ac:dyDescent="0.2">
      <c r="A323">
        <v>322</v>
      </c>
      <c r="B323">
        <v>45932.669606481497</v>
      </c>
      <c r="C323">
        <v>45932.6797337963</v>
      </c>
      <c r="D323" t="s">
        <v>2027</v>
      </c>
      <c r="E323" t="s">
        <v>2027</v>
      </c>
      <c r="F323" t="s">
        <v>2028</v>
      </c>
      <c r="G323" t="s">
        <v>2029</v>
      </c>
      <c r="I323" t="s">
        <v>2030</v>
      </c>
      <c r="J323" t="s">
        <v>2031</v>
      </c>
      <c r="K323" t="s">
        <v>2032</v>
      </c>
      <c r="L323" t="s">
        <v>1004</v>
      </c>
    </row>
    <row r="324" spans="1:12" x14ac:dyDescent="0.2">
      <c r="A324">
        <v>323</v>
      </c>
      <c r="B324">
        <v>45932.380231481497</v>
      </c>
      <c r="C324">
        <v>45932.696712962999</v>
      </c>
      <c r="D324" t="s">
        <v>2033</v>
      </c>
      <c r="E324" t="s">
        <v>2033</v>
      </c>
      <c r="F324" t="s">
        <v>2034</v>
      </c>
      <c r="G324" t="s">
        <v>2035</v>
      </c>
      <c r="H324" t="s">
        <v>2036</v>
      </c>
      <c r="I324" t="s">
        <v>2037</v>
      </c>
      <c r="J324" t="s">
        <v>2038</v>
      </c>
      <c r="K324" t="s">
        <v>2039</v>
      </c>
      <c r="L324" t="s">
        <v>2040</v>
      </c>
    </row>
    <row r="325" spans="1:12" x14ac:dyDescent="0.2">
      <c r="A325">
        <v>324</v>
      </c>
      <c r="B325">
        <v>45932.694710648102</v>
      </c>
      <c r="C325">
        <v>45932.7036226852</v>
      </c>
      <c r="D325" t="s">
        <v>2041</v>
      </c>
      <c r="E325" t="s">
        <v>2042</v>
      </c>
      <c r="F325" t="s">
        <v>2043</v>
      </c>
      <c r="I325" t="s">
        <v>2044</v>
      </c>
      <c r="L325" t="s">
        <v>2045</v>
      </c>
    </row>
    <row r="326" spans="1:12" x14ac:dyDescent="0.2">
      <c r="A326">
        <v>325</v>
      </c>
      <c r="B326">
        <v>45932.7113425926</v>
      </c>
      <c r="C326">
        <v>45932.770995370403</v>
      </c>
      <c r="D326" t="s">
        <v>2046</v>
      </c>
      <c r="E326" t="s">
        <v>2046</v>
      </c>
      <c r="F326" t="s">
        <v>2047</v>
      </c>
      <c r="G326" t="s">
        <v>2048</v>
      </c>
      <c r="H326" t="s">
        <v>2049</v>
      </c>
      <c r="I326" t="s">
        <v>2050</v>
      </c>
      <c r="J326" t="s">
        <v>2051</v>
      </c>
      <c r="K326" t="s">
        <v>2052</v>
      </c>
      <c r="L326" t="s">
        <v>2053</v>
      </c>
    </row>
    <row r="327" spans="1:12" x14ac:dyDescent="0.2">
      <c r="A327">
        <v>326</v>
      </c>
      <c r="B327">
        <v>45932.816608796304</v>
      </c>
      <c r="C327">
        <v>45932.834374999999</v>
      </c>
      <c r="D327" t="s">
        <v>2054</v>
      </c>
      <c r="E327" t="s">
        <v>2054</v>
      </c>
      <c r="F327" t="s">
        <v>2055</v>
      </c>
      <c r="I327" t="s">
        <v>2056</v>
      </c>
      <c r="J327" t="s">
        <v>2057</v>
      </c>
      <c r="K327" t="s">
        <v>2058</v>
      </c>
      <c r="L327" t="s">
        <v>2059</v>
      </c>
    </row>
    <row r="328" spans="1:12" x14ac:dyDescent="0.2">
      <c r="A328">
        <v>327</v>
      </c>
      <c r="B328">
        <v>45932.813703703701</v>
      </c>
      <c r="C328">
        <v>45932.844976851797</v>
      </c>
      <c r="D328" t="s">
        <v>2060</v>
      </c>
      <c r="E328" t="s">
        <v>2060</v>
      </c>
      <c r="F328" t="s">
        <v>2061</v>
      </c>
      <c r="G328" t="s">
        <v>2062</v>
      </c>
      <c r="I328" t="s">
        <v>2063</v>
      </c>
      <c r="J328" t="s">
        <v>2064</v>
      </c>
      <c r="K328" t="s">
        <v>2065</v>
      </c>
      <c r="L328" t="s">
        <v>2066</v>
      </c>
    </row>
    <row r="329" spans="1:12" x14ac:dyDescent="0.2">
      <c r="A329">
        <v>328</v>
      </c>
      <c r="B329">
        <v>45930.889687499999</v>
      </c>
      <c r="C329">
        <v>45932.901643518497</v>
      </c>
      <c r="D329" t="s">
        <v>2067</v>
      </c>
      <c r="E329" t="s">
        <v>2067</v>
      </c>
      <c r="F329" t="s">
        <v>2068</v>
      </c>
      <c r="G329" t="s">
        <v>2069</v>
      </c>
      <c r="I329" t="s">
        <v>2070</v>
      </c>
      <c r="J329" t="s">
        <v>2071</v>
      </c>
      <c r="K329" t="s">
        <v>2072</v>
      </c>
      <c r="L329" t="s">
        <v>2073</v>
      </c>
    </row>
    <row r="330" spans="1:12" x14ac:dyDescent="0.2">
      <c r="A330">
        <v>329</v>
      </c>
      <c r="B330">
        <v>45930.541898148098</v>
      </c>
      <c r="C330">
        <v>45933.018564814804</v>
      </c>
      <c r="D330" t="s">
        <v>2074</v>
      </c>
      <c r="E330" t="s">
        <v>2074</v>
      </c>
      <c r="F330" t="s">
        <v>2075</v>
      </c>
      <c r="G330" t="s">
        <v>2076</v>
      </c>
      <c r="H330" t="s">
        <v>2077</v>
      </c>
      <c r="I330" t="s">
        <v>2078</v>
      </c>
      <c r="J330" t="s">
        <v>2079</v>
      </c>
      <c r="K330" t="s">
        <v>2077</v>
      </c>
      <c r="L330" t="s">
        <v>2080</v>
      </c>
    </row>
    <row r="331" spans="1:12" x14ac:dyDescent="0.2">
      <c r="A331">
        <v>330</v>
      </c>
      <c r="B331">
        <v>45933.2012384259</v>
      </c>
      <c r="C331">
        <v>45933.214606481502</v>
      </c>
      <c r="D331" t="s">
        <v>2081</v>
      </c>
      <c r="E331" t="s">
        <v>2081</v>
      </c>
      <c r="F331" t="s">
        <v>2082</v>
      </c>
      <c r="H331" t="s">
        <v>2083</v>
      </c>
      <c r="I331" t="s">
        <v>2084</v>
      </c>
      <c r="J331" t="s">
        <v>2085</v>
      </c>
      <c r="K331" t="s">
        <v>2086</v>
      </c>
      <c r="L331" t="s">
        <v>2087</v>
      </c>
    </row>
    <row r="332" spans="1:12" x14ac:dyDescent="0.2">
      <c r="A332">
        <v>331</v>
      </c>
      <c r="B332">
        <v>45933.371805555602</v>
      </c>
      <c r="C332">
        <v>45933.382824074099</v>
      </c>
      <c r="D332" t="s">
        <v>2088</v>
      </c>
      <c r="E332" t="s">
        <v>2088</v>
      </c>
      <c r="F332" t="s">
        <v>2089</v>
      </c>
      <c r="G332" t="s">
        <v>2090</v>
      </c>
      <c r="I332" t="s">
        <v>2091</v>
      </c>
      <c r="L332" t="s">
        <v>2092</v>
      </c>
    </row>
    <row r="333" spans="1:12" x14ac:dyDescent="0.2">
      <c r="A333">
        <v>332</v>
      </c>
      <c r="B333">
        <v>45933.392627314803</v>
      </c>
      <c r="C333">
        <v>45933.3991087963</v>
      </c>
      <c r="D333" t="s">
        <v>2093</v>
      </c>
      <c r="E333" t="s">
        <v>2093</v>
      </c>
      <c r="F333" t="s">
        <v>2094</v>
      </c>
      <c r="G333" t="s">
        <v>2095</v>
      </c>
      <c r="H333" t="s">
        <v>2096</v>
      </c>
      <c r="I333" t="s">
        <v>2097</v>
      </c>
      <c r="J333" t="s">
        <v>2098</v>
      </c>
      <c r="K333" t="s">
        <v>2099</v>
      </c>
      <c r="L333" t="s">
        <v>2100</v>
      </c>
    </row>
    <row r="334" spans="1:12" x14ac:dyDescent="0.2">
      <c r="A334">
        <v>333</v>
      </c>
      <c r="B334">
        <v>45933.410439814797</v>
      </c>
      <c r="C334">
        <v>45933.428715277798</v>
      </c>
      <c r="D334" t="s">
        <v>2101</v>
      </c>
      <c r="E334" t="s">
        <v>2101</v>
      </c>
      <c r="F334" t="s">
        <v>2102</v>
      </c>
      <c r="G334" t="s">
        <v>2076</v>
      </c>
      <c r="I334" t="s">
        <v>2103</v>
      </c>
      <c r="J334" t="s">
        <v>2104</v>
      </c>
      <c r="K334" t="s">
        <v>2105</v>
      </c>
    </row>
    <row r="335" spans="1:12" x14ac:dyDescent="0.2">
      <c r="A335">
        <v>334</v>
      </c>
      <c r="B335">
        <v>45933.408171296302</v>
      </c>
      <c r="C335">
        <v>45933.430486111101</v>
      </c>
      <c r="D335" t="s">
        <v>2106</v>
      </c>
      <c r="E335" t="s">
        <v>2106</v>
      </c>
      <c r="F335" t="s">
        <v>2107</v>
      </c>
      <c r="G335" t="s">
        <v>2108</v>
      </c>
      <c r="H335" t="s">
        <v>2109</v>
      </c>
      <c r="I335" t="s">
        <v>2110</v>
      </c>
      <c r="L335" t="s">
        <v>2111</v>
      </c>
    </row>
    <row r="336" spans="1:12" x14ac:dyDescent="0.2">
      <c r="A336">
        <v>335</v>
      </c>
      <c r="B336">
        <v>45933.488854166702</v>
      </c>
      <c r="C336">
        <v>45933.499895833302</v>
      </c>
      <c r="D336" t="s">
        <v>2112</v>
      </c>
      <c r="E336" t="s">
        <v>2112</v>
      </c>
      <c r="F336" t="s">
        <v>2113</v>
      </c>
      <c r="G336" t="s">
        <v>2114</v>
      </c>
      <c r="H336" t="s">
        <v>2115</v>
      </c>
      <c r="I336" t="s">
        <v>2116</v>
      </c>
      <c r="L336" t="s">
        <v>2117</v>
      </c>
    </row>
    <row r="337" spans="1:12" x14ac:dyDescent="0.2">
      <c r="A337">
        <v>336</v>
      </c>
      <c r="B337">
        <v>45933.523599537002</v>
      </c>
      <c r="C337">
        <v>45933.528171296297</v>
      </c>
      <c r="D337" t="s">
        <v>2118</v>
      </c>
      <c r="E337" t="s">
        <v>2118</v>
      </c>
      <c r="F337" t="s">
        <v>2119</v>
      </c>
      <c r="G337" t="s">
        <v>2120</v>
      </c>
      <c r="I337" t="s">
        <v>2121</v>
      </c>
      <c r="J337" t="s">
        <v>2122</v>
      </c>
      <c r="K337" t="s">
        <v>2123</v>
      </c>
      <c r="L337" t="s">
        <v>2124</v>
      </c>
    </row>
    <row r="338" spans="1:12" x14ac:dyDescent="0.2">
      <c r="A338">
        <v>337</v>
      </c>
      <c r="B338">
        <v>45933.510416666701</v>
      </c>
      <c r="C338">
        <v>45933.5374421296</v>
      </c>
      <c r="D338" t="s">
        <v>2125</v>
      </c>
      <c r="E338" t="s">
        <v>2125</v>
      </c>
      <c r="F338" t="s">
        <v>2126</v>
      </c>
      <c r="I338" t="s">
        <v>2127</v>
      </c>
      <c r="J338" t="s">
        <v>2128</v>
      </c>
      <c r="K338" t="s">
        <v>2129</v>
      </c>
      <c r="L338" t="s">
        <v>2130</v>
      </c>
    </row>
    <row r="339" spans="1:12" x14ac:dyDescent="0.2">
      <c r="A339">
        <v>338</v>
      </c>
      <c r="B339">
        <v>45933.5321064815</v>
      </c>
      <c r="C339">
        <v>45933.5377546296</v>
      </c>
      <c r="D339" t="s">
        <v>2131</v>
      </c>
      <c r="E339" t="s">
        <v>2131</v>
      </c>
      <c r="F339" t="s">
        <v>2132</v>
      </c>
      <c r="G339" t="s">
        <v>2133</v>
      </c>
      <c r="I339" t="s">
        <v>2134</v>
      </c>
      <c r="J339" t="s">
        <v>2135</v>
      </c>
      <c r="K339" t="s">
        <v>2136</v>
      </c>
      <c r="L339" t="s">
        <v>2137</v>
      </c>
    </row>
    <row r="340" spans="1:12" x14ac:dyDescent="0.2">
      <c r="A340">
        <v>339</v>
      </c>
      <c r="B340">
        <v>45933.617847222202</v>
      </c>
      <c r="C340">
        <v>45933.624872685199</v>
      </c>
      <c r="D340" t="s">
        <v>2138</v>
      </c>
      <c r="E340" t="s">
        <v>2138</v>
      </c>
      <c r="F340" t="s">
        <v>2139</v>
      </c>
      <c r="G340" t="s">
        <v>2140</v>
      </c>
      <c r="I340" t="s">
        <v>2141</v>
      </c>
      <c r="J340" t="s">
        <v>2142</v>
      </c>
      <c r="L340" t="s">
        <v>2143</v>
      </c>
    </row>
    <row r="341" spans="1:12" x14ac:dyDescent="0.2">
      <c r="A341">
        <v>340</v>
      </c>
      <c r="B341">
        <v>45933.783865740697</v>
      </c>
      <c r="C341">
        <v>45933.794814814799</v>
      </c>
      <c r="D341" t="s">
        <v>2144</v>
      </c>
      <c r="E341" t="s">
        <v>2144</v>
      </c>
      <c r="F341" t="s">
        <v>2145</v>
      </c>
      <c r="I341" t="s">
        <v>2146</v>
      </c>
    </row>
    <row r="342" spans="1:12" x14ac:dyDescent="0.2">
      <c r="A342">
        <v>341</v>
      </c>
      <c r="B342">
        <v>45933.800671296303</v>
      </c>
      <c r="C342">
        <v>45933.822083333303</v>
      </c>
      <c r="D342" t="s">
        <v>2147</v>
      </c>
      <c r="E342" t="s">
        <v>2147</v>
      </c>
      <c r="F342" t="s">
        <v>2148</v>
      </c>
      <c r="G342" t="s">
        <v>2149</v>
      </c>
      <c r="I342" t="s">
        <v>2150</v>
      </c>
      <c r="J342" t="s">
        <v>2151</v>
      </c>
    </row>
    <row r="343" spans="1:12" x14ac:dyDescent="0.2">
      <c r="A343">
        <v>342</v>
      </c>
      <c r="B343">
        <v>45933.885995370401</v>
      </c>
      <c r="C343">
        <v>45933.937881944403</v>
      </c>
      <c r="D343" t="s">
        <v>2152</v>
      </c>
      <c r="E343" t="s">
        <v>2152</v>
      </c>
      <c r="F343" t="s">
        <v>2153</v>
      </c>
      <c r="G343" t="s">
        <v>2154</v>
      </c>
      <c r="I343" t="s">
        <v>2155</v>
      </c>
      <c r="J343" t="s">
        <v>2156</v>
      </c>
      <c r="K343" t="s">
        <v>2157</v>
      </c>
      <c r="L343" t="s">
        <v>2158</v>
      </c>
    </row>
    <row r="344" spans="1:12" x14ac:dyDescent="0.2">
      <c r="A344">
        <v>343</v>
      </c>
      <c r="B344">
        <v>45933.945162037002</v>
      </c>
      <c r="C344">
        <v>45933.972442129598</v>
      </c>
      <c r="D344" t="s">
        <v>2159</v>
      </c>
      <c r="E344" t="s">
        <v>2159</v>
      </c>
      <c r="F344" t="s">
        <v>2160</v>
      </c>
      <c r="G344" t="s">
        <v>2161</v>
      </c>
      <c r="I344" t="s">
        <v>2162</v>
      </c>
      <c r="J344" t="s">
        <v>2163</v>
      </c>
      <c r="K344" t="s">
        <v>2164</v>
      </c>
      <c r="L344" t="s">
        <v>2165</v>
      </c>
    </row>
    <row r="345" spans="1:12" x14ac:dyDescent="0.2">
      <c r="A345">
        <v>344</v>
      </c>
      <c r="B345">
        <v>45934.480358796303</v>
      </c>
      <c r="C345">
        <v>45934.487708333298</v>
      </c>
      <c r="D345" t="s">
        <v>2166</v>
      </c>
      <c r="E345" t="s">
        <v>2166</v>
      </c>
      <c r="F345" t="s">
        <v>2167</v>
      </c>
      <c r="G345" t="s">
        <v>2168</v>
      </c>
      <c r="I345" t="s">
        <v>2169</v>
      </c>
      <c r="J345" t="s">
        <v>2170</v>
      </c>
      <c r="K345" t="s">
        <v>2171</v>
      </c>
    </row>
    <row r="346" spans="1:12" x14ac:dyDescent="0.2">
      <c r="A346">
        <v>345</v>
      </c>
      <c r="B346">
        <v>45934.477627314802</v>
      </c>
      <c r="C346">
        <v>45934.490173611099</v>
      </c>
      <c r="D346" t="s">
        <v>2172</v>
      </c>
      <c r="E346" t="s">
        <v>2172</v>
      </c>
      <c r="F346" t="s">
        <v>2173</v>
      </c>
      <c r="G346" t="s">
        <v>2174</v>
      </c>
      <c r="I346" t="s">
        <v>2175</v>
      </c>
      <c r="J346" t="s">
        <v>2176</v>
      </c>
      <c r="L346" t="s">
        <v>2177</v>
      </c>
    </row>
    <row r="347" spans="1:12" x14ac:dyDescent="0.2">
      <c r="A347">
        <v>346</v>
      </c>
      <c r="B347">
        <v>45934.556446759299</v>
      </c>
      <c r="C347">
        <v>45934.576620370397</v>
      </c>
      <c r="D347" t="s">
        <v>2178</v>
      </c>
      <c r="E347" t="s">
        <v>2178</v>
      </c>
      <c r="F347" t="s">
        <v>2179</v>
      </c>
      <c r="I347" t="s">
        <v>2180</v>
      </c>
    </row>
    <row r="348" spans="1:12" x14ac:dyDescent="0.2">
      <c r="A348">
        <v>347</v>
      </c>
      <c r="B348">
        <v>45934.584166666697</v>
      </c>
      <c r="C348">
        <v>45934.610370370399</v>
      </c>
      <c r="D348" t="s">
        <v>2181</v>
      </c>
      <c r="E348" t="s">
        <v>2181</v>
      </c>
      <c r="F348" t="s">
        <v>2182</v>
      </c>
      <c r="I348" t="s">
        <v>2183</v>
      </c>
      <c r="J348" t="s">
        <v>2184</v>
      </c>
      <c r="K348" t="s">
        <v>2185</v>
      </c>
      <c r="L348" t="s">
        <v>2186</v>
      </c>
    </row>
    <row r="349" spans="1:12" x14ac:dyDescent="0.2">
      <c r="A349">
        <v>348</v>
      </c>
      <c r="B349">
        <v>45934.557245370401</v>
      </c>
      <c r="C349">
        <v>45934.615833333301</v>
      </c>
      <c r="D349" t="s">
        <v>2187</v>
      </c>
      <c r="E349" t="s">
        <v>2187</v>
      </c>
      <c r="F349" t="s">
        <v>2188</v>
      </c>
      <c r="G349" t="s">
        <v>91</v>
      </c>
      <c r="I349" t="s">
        <v>2189</v>
      </c>
      <c r="J349" t="s">
        <v>2190</v>
      </c>
      <c r="K349" t="s">
        <v>2191</v>
      </c>
      <c r="L349" t="s">
        <v>2192</v>
      </c>
    </row>
    <row r="350" spans="1:12" x14ac:dyDescent="0.2">
      <c r="A350">
        <v>349</v>
      </c>
      <c r="B350">
        <v>45934.738379629598</v>
      </c>
      <c r="C350">
        <v>45934.772210648101</v>
      </c>
      <c r="D350" t="s">
        <v>2193</v>
      </c>
      <c r="E350" t="s">
        <v>2193</v>
      </c>
      <c r="F350" t="s">
        <v>2194</v>
      </c>
      <c r="G350" t="s">
        <v>2195</v>
      </c>
      <c r="I350" t="s">
        <v>2196</v>
      </c>
      <c r="J350" t="s">
        <v>2197</v>
      </c>
      <c r="K350" t="s">
        <v>2198</v>
      </c>
    </row>
    <row r="351" spans="1:12" x14ac:dyDescent="0.2">
      <c r="A351">
        <v>350</v>
      </c>
      <c r="B351">
        <v>45934.987696759301</v>
      </c>
      <c r="C351">
        <v>45934.987719907404</v>
      </c>
      <c r="D351" t="s">
        <v>2199</v>
      </c>
      <c r="E351" t="s">
        <v>2199</v>
      </c>
      <c r="F351" t="s">
        <v>2200</v>
      </c>
      <c r="G351" t="s">
        <v>2201</v>
      </c>
      <c r="I351" t="s">
        <v>2202</v>
      </c>
      <c r="J351" t="s">
        <v>2203</v>
      </c>
      <c r="K351" t="s">
        <v>2204</v>
      </c>
      <c r="L351" t="s">
        <v>2205</v>
      </c>
    </row>
    <row r="352" spans="1:12" x14ac:dyDescent="0.2">
      <c r="A352">
        <v>351</v>
      </c>
      <c r="B352">
        <v>45935.430439814802</v>
      </c>
      <c r="C352">
        <v>45935.464004629597</v>
      </c>
      <c r="D352" t="s">
        <v>2206</v>
      </c>
      <c r="E352" t="s">
        <v>2206</v>
      </c>
      <c r="F352" t="s">
        <v>2207</v>
      </c>
      <c r="G352" t="s">
        <v>2208</v>
      </c>
      <c r="I352" t="s">
        <v>2209</v>
      </c>
      <c r="J352" t="s">
        <v>2210</v>
      </c>
      <c r="K352" t="s">
        <v>2211</v>
      </c>
    </row>
    <row r="353" spans="1:12" x14ac:dyDescent="0.2">
      <c r="A353">
        <v>352</v>
      </c>
      <c r="B353">
        <v>45935.559201388904</v>
      </c>
      <c r="C353">
        <v>45935.580081018503</v>
      </c>
      <c r="D353" t="s">
        <v>2212</v>
      </c>
      <c r="E353" t="s">
        <v>2212</v>
      </c>
      <c r="F353" t="s">
        <v>2213</v>
      </c>
      <c r="G353" t="s">
        <v>2214</v>
      </c>
      <c r="H353" t="s">
        <v>2215</v>
      </c>
      <c r="I353" t="s">
        <v>2216</v>
      </c>
      <c r="J353" t="s">
        <v>2217</v>
      </c>
      <c r="K353" t="s">
        <v>2218</v>
      </c>
      <c r="L353" t="s">
        <v>2219</v>
      </c>
    </row>
    <row r="354" spans="1:12" x14ac:dyDescent="0.2">
      <c r="A354">
        <v>353</v>
      </c>
      <c r="B354">
        <v>45935.583159722199</v>
      </c>
      <c r="C354">
        <v>45935.5840046296</v>
      </c>
      <c r="D354" t="s">
        <v>2220</v>
      </c>
      <c r="E354" t="s">
        <v>2220</v>
      </c>
      <c r="F354" t="s">
        <v>2221</v>
      </c>
      <c r="G354" t="s">
        <v>2222</v>
      </c>
      <c r="I354" t="s">
        <v>2223</v>
      </c>
      <c r="J354" t="s">
        <v>2224</v>
      </c>
      <c r="K354" t="s">
        <v>2225</v>
      </c>
      <c r="L354" t="s">
        <v>2226</v>
      </c>
    </row>
    <row r="355" spans="1:12" x14ac:dyDescent="0.2">
      <c r="A355">
        <v>354</v>
      </c>
      <c r="B355">
        <v>45935.634444444397</v>
      </c>
      <c r="C355">
        <v>45935.647546296299</v>
      </c>
      <c r="D355" t="s">
        <v>2227</v>
      </c>
      <c r="E355" t="s">
        <v>2227</v>
      </c>
      <c r="F355" t="s">
        <v>2228</v>
      </c>
      <c r="G355" t="s">
        <v>2229</v>
      </c>
      <c r="I355" t="s">
        <v>2230</v>
      </c>
      <c r="J355" t="s">
        <v>2231</v>
      </c>
      <c r="L355" t="s">
        <v>2232</v>
      </c>
    </row>
    <row r="356" spans="1:12" x14ac:dyDescent="0.2">
      <c r="A356">
        <v>355</v>
      </c>
      <c r="B356">
        <v>45935.663761574098</v>
      </c>
      <c r="C356">
        <v>45935.669618055603</v>
      </c>
      <c r="D356" t="s">
        <v>2233</v>
      </c>
      <c r="E356" t="s">
        <v>2233</v>
      </c>
      <c r="F356" t="s">
        <v>2234</v>
      </c>
      <c r="H356" t="s">
        <v>2235</v>
      </c>
      <c r="I356" t="s">
        <v>2236</v>
      </c>
      <c r="L356" t="s">
        <v>2237</v>
      </c>
    </row>
    <row r="357" spans="1:12" x14ac:dyDescent="0.2">
      <c r="A357">
        <v>356</v>
      </c>
      <c r="B357">
        <v>45935.723981481497</v>
      </c>
      <c r="C357">
        <v>45935.778483796297</v>
      </c>
      <c r="D357" t="s">
        <v>2238</v>
      </c>
      <c r="E357" t="s">
        <v>2238</v>
      </c>
      <c r="F357" t="s">
        <v>2239</v>
      </c>
      <c r="G357" t="s">
        <v>2240</v>
      </c>
      <c r="H357" t="s">
        <v>1424</v>
      </c>
      <c r="I357" t="s">
        <v>2241</v>
      </c>
      <c r="J357" t="s">
        <v>2242</v>
      </c>
      <c r="K357" t="s">
        <v>2243</v>
      </c>
      <c r="L357" t="s">
        <v>2244</v>
      </c>
    </row>
    <row r="358" spans="1:12" x14ac:dyDescent="0.2">
      <c r="A358">
        <v>357</v>
      </c>
      <c r="B358">
        <v>45935.803483796299</v>
      </c>
      <c r="C358">
        <v>45935.849571759303</v>
      </c>
      <c r="D358" t="s">
        <v>2245</v>
      </c>
      <c r="E358" t="s">
        <v>2245</v>
      </c>
      <c r="F358" t="s">
        <v>2246</v>
      </c>
      <c r="I358" t="s">
        <v>2247</v>
      </c>
      <c r="J358" t="s">
        <v>2248</v>
      </c>
      <c r="L358" t="s">
        <v>2249</v>
      </c>
    </row>
    <row r="359" spans="1:12" x14ac:dyDescent="0.2">
      <c r="A359">
        <v>358</v>
      </c>
      <c r="B359">
        <v>45935.827928240702</v>
      </c>
      <c r="C359">
        <v>45935.851631944402</v>
      </c>
      <c r="D359" t="s">
        <v>2250</v>
      </c>
      <c r="E359" t="s">
        <v>2250</v>
      </c>
      <c r="F359" t="s">
        <v>2251</v>
      </c>
      <c r="G359" t="s">
        <v>2252</v>
      </c>
      <c r="H359" t="s">
        <v>2253</v>
      </c>
      <c r="I359" t="s">
        <v>2254</v>
      </c>
      <c r="J359" t="s">
        <v>2255</v>
      </c>
      <c r="K359" t="s">
        <v>2256</v>
      </c>
      <c r="L359" t="s">
        <v>2257</v>
      </c>
    </row>
    <row r="360" spans="1:12" x14ac:dyDescent="0.2">
      <c r="A360">
        <v>359</v>
      </c>
      <c r="B360">
        <v>45935.893657407403</v>
      </c>
      <c r="C360">
        <v>45935.895972222199</v>
      </c>
      <c r="D360" t="s">
        <v>2258</v>
      </c>
      <c r="E360" t="s">
        <v>2258</v>
      </c>
      <c r="F360" t="s">
        <v>2259</v>
      </c>
      <c r="G360" t="s">
        <v>2260</v>
      </c>
      <c r="I360" t="s">
        <v>2261</v>
      </c>
      <c r="J360" t="s">
        <v>2262</v>
      </c>
      <c r="K360" t="s">
        <v>2263</v>
      </c>
    </row>
    <row r="361" spans="1:12" x14ac:dyDescent="0.2">
      <c r="A361">
        <v>360</v>
      </c>
      <c r="B361">
        <v>45935.918865740699</v>
      </c>
      <c r="C361">
        <v>45935.944282407399</v>
      </c>
      <c r="D361" t="s">
        <v>2264</v>
      </c>
      <c r="E361" t="s">
        <v>2264</v>
      </c>
      <c r="F361" t="s">
        <v>2265</v>
      </c>
      <c r="G361" t="s">
        <v>2266</v>
      </c>
      <c r="I361" t="s">
        <v>2267</v>
      </c>
      <c r="J361" t="s">
        <v>2268</v>
      </c>
      <c r="K361" t="s">
        <v>2269</v>
      </c>
      <c r="L361" t="s">
        <v>2270</v>
      </c>
    </row>
    <row r="362" spans="1:12" x14ac:dyDescent="0.2">
      <c r="A362">
        <v>361</v>
      </c>
      <c r="B362">
        <v>45935.940104166701</v>
      </c>
      <c r="C362">
        <v>45935.977557870399</v>
      </c>
      <c r="D362" t="s">
        <v>2271</v>
      </c>
      <c r="E362" t="s">
        <v>2271</v>
      </c>
      <c r="F362" t="s">
        <v>2272</v>
      </c>
      <c r="G362" t="s">
        <v>2273</v>
      </c>
      <c r="I362" t="s">
        <v>2274</v>
      </c>
      <c r="J362" t="s">
        <v>2275</v>
      </c>
      <c r="K362" t="s">
        <v>2276</v>
      </c>
    </row>
    <row r="363" spans="1:12" x14ac:dyDescent="0.2">
      <c r="A363">
        <v>362</v>
      </c>
      <c r="B363">
        <v>45930.480555555601</v>
      </c>
      <c r="C363">
        <v>45935.979131944398</v>
      </c>
      <c r="D363" t="s">
        <v>2277</v>
      </c>
      <c r="E363" t="s">
        <v>2277</v>
      </c>
      <c r="F363" t="s">
        <v>2278</v>
      </c>
      <c r="I363" t="s">
        <v>2279</v>
      </c>
      <c r="L363" t="s">
        <v>2280</v>
      </c>
    </row>
    <row r="364" spans="1:12" x14ac:dyDescent="0.2">
      <c r="A364">
        <v>363</v>
      </c>
      <c r="B364">
        <v>45935.963379629597</v>
      </c>
      <c r="C364">
        <v>45936.046192129601</v>
      </c>
      <c r="D364" t="s">
        <v>2281</v>
      </c>
      <c r="E364" t="s">
        <v>2281</v>
      </c>
      <c r="F364" t="s">
        <v>2282</v>
      </c>
      <c r="G364" t="s">
        <v>2283</v>
      </c>
      <c r="I364" t="s">
        <v>2284</v>
      </c>
      <c r="J364" t="s">
        <v>2285</v>
      </c>
      <c r="K364" t="s">
        <v>2286</v>
      </c>
    </row>
    <row r="365" spans="1:12" x14ac:dyDescent="0.2">
      <c r="A365">
        <v>364</v>
      </c>
      <c r="B365">
        <v>45936.012708333299</v>
      </c>
      <c r="C365">
        <v>45936.0537847222</v>
      </c>
      <c r="D365" t="s">
        <v>2287</v>
      </c>
      <c r="E365" t="s">
        <v>2287</v>
      </c>
      <c r="F365" t="s">
        <v>2288</v>
      </c>
      <c r="G365" t="s">
        <v>2289</v>
      </c>
      <c r="I365" t="s">
        <v>2290</v>
      </c>
      <c r="J365" t="s">
        <v>2291</v>
      </c>
      <c r="K365" t="s">
        <v>2292</v>
      </c>
      <c r="L365" t="s">
        <v>2293</v>
      </c>
    </row>
    <row r="366" spans="1:12" x14ac:dyDescent="0.2">
      <c r="A366">
        <v>365</v>
      </c>
      <c r="B366">
        <v>45936.010821759301</v>
      </c>
      <c r="C366">
        <v>45936.133657407401</v>
      </c>
      <c r="D366" t="s">
        <v>2294</v>
      </c>
      <c r="E366" t="s">
        <v>2294</v>
      </c>
      <c r="F366" t="s">
        <v>2295</v>
      </c>
      <c r="I366" t="s">
        <v>2296</v>
      </c>
      <c r="J366" t="s">
        <v>2297</v>
      </c>
      <c r="K366" t="s">
        <v>2298</v>
      </c>
      <c r="L366" t="s">
        <v>2299</v>
      </c>
    </row>
    <row r="367" spans="1:12" x14ac:dyDescent="0.2">
      <c r="A367">
        <v>366</v>
      </c>
      <c r="B367">
        <v>45936.373229166697</v>
      </c>
      <c r="C367">
        <v>45936.3757175926</v>
      </c>
      <c r="D367" t="s">
        <v>2300</v>
      </c>
      <c r="E367" t="s">
        <v>2300</v>
      </c>
      <c r="F367" t="s">
        <v>2301</v>
      </c>
      <c r="G367" t="s">
        <v>1410</v>
      </c>
      <c r="I367" t="s">
        <v>2302</v>
      </c>
      <c r="J367" t="s">
        <v>2303</v>
      </c>
    </row>
    <row r="368" spans="1:12" x14ac:dyDescent="0.2">
      <c r="A368">
        <v>367</v>
      </c>
      <c r="B368">
        <v>45936.3772453704</v>
      </c>
      <c r="C368">
        <v>45936.386921296304</v>
      </c>
      <c r="D368" t="s">
        <v>2304</v>
      </c>
      <c r="E368" t="s">
        <v>2304</v>
      </c>
      <c r="F368" t="s">
        <v>2305</v>
      </c>
      <c r="G368" t="s">
        <v>91</v>
      </c>
      <c r="I368" t="s">
        <v>2306</v>
      </c>
      <c r="J368" t="s">
        <v>2307</v>
      </c>
      <c r="K368" t="s">
        <v>2308</v>
      </c>
      <c r="L368" t="s">
        <v>2309</v>
      </c>
    </row>
    <row r="369" spans="1:12" x14ac:dyDescent="0.2">
      <c r="A369">
        <v>368</v>
      </c>
      <c r="B369">
        <v>45936.374224537001</v>
      </c>
      <c r="C369">
        <v>45936.395462963003</v>
      </c>
      <c r="D369" t="s">
        <v>2310</v>
      </c>
      <c r="E369" t="s">
        <v>2310</v>
      </c>
      <c r="F369" t="s">
        <v>2311</v>
      </c>
      <c r="G369" t="s">
        <v>2312</v>
      </c>
      <c r="I369" t="s">
        <v>2313</v>
      </c>
      <c r="J369" t="s">
        <v>2314</v>
      </c>
    </row>
    <row r="370" spans="1:12" x14ac:dyDescent="0.2">
      <c r="A370">
        <v>369</v>
      </c>
      <c r="B370">
        <v>45936.413275462997</v>
      </c>
      <c r="C370">
        <v>45936.415150462999</v>
      </c>
      <c r="D370" t="s">
        <v>2315</v>
      </c>
      <c r="E370" t="s">
        <v>2315</v>
      </c>
      <c r="F370" t="s">
        <v>2316</v>
      </c>
      <c r="G370" t="s">
        <v>2317</v>
      </c>
      <c r="I370" t="s">
        <v>2318</v>
      </c>
      <c r="J370" t="s">
        <v>2319</v>
      </c>
      <c r="K370" t="s">
        <v>2320</v>
      </c>
      <c r="L370" t="s">
        <v>1520</v>
      </c>
    </row>
    <row r="371" spans="1:12" x14ac:dyDescent="0.2">
      <c r="A371">
        <v>370</v>
      </c>
      <c r="B371">
        <v>45936.425486111097</v>
      </c>
      <c r="C371">
        <v>45936.425543981502</v>
      </c>
      <c r="D371" t="s">
        <v>2321</v>
      </c>
      <c r="E371" t="s">
        <v>2321</v>
      </c>
      <c r="F371" t="s">
        <v>2322</v>
      </c>
      <c r="G371" t="s">
        <v>2323</v>
      </c>
      <c r="I371" t="s">
        <v>2324</v>
      </c>
      <c r="J371" t="s">
        <v>2325</v>
      </c>
      <c r="L371" t="s">
        <v>2326</v>
      </c>
    </row>
    <row r="372" spans="1:12" x14ac:dyDescent="0.2">
      <c r="A372">
        <v>371</v>
      </c>
      <c r="B372">
        <v>45930.473287036999</v>
      </c>
      <c r="C372">
        <v>45936.444282407399</v>
      </c>
      <c r="D372" t="s">
        <v>2327</v>
      </c>
      <c r="E372" t="s">
        <v>2327</v>
      </c>
      <c r="F372" t="s">
        <v>2328</v>
      </c>
      <c r="G372" t="s">
        <v>2329</v>
      </c>
      <c r="I372" t="s">
        <v>2330</v>
      </c>
      <c r="J372" t="s">
        <v>2329</v>
      </c>
      <c r="K372" t="s">
        <v>2331</v>
      </c>
      <c r="L372" t="s">
        <v>2332</v>
      </c>
    </row>
    <row r="373" spans="1:12" x14ac:dyDescent="0.2">
      <c r="A373">
        <v>372</v>
      </c>
      <c r="B373">
        <v>45936.427743055603</v>
      </c>
      <c r="C373">
        <v>45936.451689814799</v>
      </c>
      <c r="D373" t="s">
        <v>2333</v>
      </c>
      <c r="E373" t="s">
        <v>2333</v>
      </c>
      <c r="F373" t="s">
        <v>2334</v>
      </c>
      <c r="G373" t="s">
        <v>2335</v>
      </c>
      <c r="I373" t="s">
        <v>2336</v>
      </c>
      <c r="J373" t="s">
        <v>2337</v>
      </c>
      <c r="K373" t="s">
        <v>2338</v>
      </c>
      <c r="L373" t="s">
        <v>2339</v>
      </c>
    </row>
    <row r="374" spans="1:12" x14ac:dyDescent="0.2">
      <c r="A374">
        <v>373</v>
      </c>
      <c r="B374">
        <v>45936.445243055598</v>
      </c>
      <c r="C374">
        <v>45936.454236111102</v>
      </c>
      <c r="D374" t="s">
        <v>2340</v>
      </c>
      <c r="E374" t="s">
        <v>2340</v>
      </c>
      <c r="F374" t="s">
        <v>2341</v>
      </c>
      <c r="I374" t="s">
        <v>2342</v>
      </c>
      <c r="J374" t="s">
        <v>2343</v>
      </c>
      <c r="K374" t="s">
        <v>2344</v>
      </c>
    </row>
    <row r="375" spans="1:12" x14ac:dyDescent="0.2">
      <c r="A375">
        <v>374</v>
      </c>
      <c r="B375">
        <v>45936.449039351799</v>
      </c>
      <c r="C375">
        <v>45936.457025463002</v>
      </c>
      <c r="D375" t="s">
        <v>2345</v>
      </c>
      <c r="E375" t="s">
        <v>2345</v>
      </c>
      <c r="F375" t="s">
        <v>2346</v>
      </c>
      <c r="G375" t="s">
        <v>2347</v>
      </c>
      <c r="I375" t="s">
        <v>2348</v>
      </c>
      <c r="J375" t="s">
        <v>2349</v>
      </c>
      <c r="K375" t="s">
        <v>2350</v>
      </c>
      <c r="L375" t="s">
        <v>2351</v>
      </c>
    </row>
    <row r="376" spans="1:12" x14ac:dyDescent="0.2">
      <c r="A376">
        <v>375</v>
      </c>
      <c r="B376">
        <v>45936.4504282407</v>
      </c>
      <c r="C376">
        <v>45936.464965277803</v>
      </c>
      <c r="D376" t="s">
        <v>2352</v>
      </c>
      <c r="E376" t="s">
        <v>2352</v>
      </c>
      <c r="F376" t="s">
        <v>2353</v>
      </c>
      <c r="I376" t="s">
        <v>2354</v>
      </c>
      <c r="L376" t="s">
        <v>2355</v>
      </c>
    </row>
    <row r="377" spans="1:12" x14ac:dyDescent="0.2">
      <c r="A377">
        <v>376</v>
      </c>
      <c r="B377">
        <v>45936.447511574101</v>
      </c>
      <c r="C377">
        <v>45936.4754861111</v>
      </c>
      <c r="D377" t="s">
        <v>2356</v>
      </c>
      <c r="E377" t="s">
        <v>2356</v>
      </c>
      <c r="F377" t="s">
        <v>2357</v>
      </c>
      <c r="G377" t="s">
        <v>2358</v>
      </c>
      <c r="I377" t="s">
        <v>2359</v>
      </c>
      <c r="J377" t="s">
        <v>2360</v>
      </c>
      <c r="K377" t="s">
        <v>2361</v>
      </c>
      <c r="L377" t="s">
        <v>2362</v>
      </c>
    </row>
    <row r="378" spans="1:12" x14ac:dyDescent="0.2">
      <c r="A378">
        <v>377</v>
      </c>
      <c r="B378">
        <v>45936.4856365741</v>
      </c>
      <c r="C378">
        <v>45936.485891203702</v>
      </c>
      <c r="D378" t="s">
        <v>2363</v>
      </c>
      <c r="E378" t="s">
        <v>2363</v>
      </c>
      <c r="F378" t="s">
        <v>2364</v>
      </c>
      <c r="G378" t="s">
        <v>2365</v>
      </c>
      <c r="H378" t="s">
        <v>2366</v>
      </c>
      <c r="I378" t="s">
        <v>2367</v>
      </c>
      <c r="J378" t="s">
        <v>2368</v>
      </c>
      <c r="K378" t="s">
        <v>2369</v>
      </c>
      <c r="L378" t="s">
        <v>2370</v>
      </c>
    </row>
    <row r="379" spans="1:12" x14ac:dyDescent="0.2">
      <c r="A379">
        <v>378</v>
      </c>
      <c r="B379">
        <v>45936.459259259304</v>
      </c>
      <c r="C379">
        <v>45936.4992824074</v>
      </c>
      <c r="D379" t="s">
        <v>2371</v>
      </c>
      <c r="E379" t="s">
        <v>2371</v>
      </c>
      <c r="F379" t="s">
        <v>2372</v>
      </c>
      <c r="G379" t="s">
        <v>2373</v>
      </c>
      <c r="H379" t="s">
        <v>2374</v>
      </c>
      <c r="I379" t="s">
        <v>2375</v>
      </c>
      <c r="J379" t="s">
        <v>2376</v>
      </c>
      <c r="K379" t="s">
        <v>2377</v>
      </c>
      <c r="L379" t="s">
        <v>2378</v>
      </c>
    </row>
    <row r="380" spans="1:12" x14ac:dyDescent="0.2">
      <c r="A380">
        <v>379</v>
      </c>
      <c r="B380">
        <v>45936.512314814798</v>
      </c>
      <c r="C380">
        <v>45936.5281481481</v>
      </c>
      <c r="D380" t="s">
        <v>2379</v>
      </c>
      <c r="E380" t="s">
        <v>2379</v>
      </c>
      <c r="F380" t="s">
        <v>2380</v>
      </c>
      <c r="G380" t="s">
        <v>2381</v>
      </c>
      <c r="I380" t="s">
        <v>2382</v>
      </c>
      <c r="L380" t="s">
        <v>2383</v>
      </c>
    </row>
    <row r="381" spans="1:12" x14ac:dyDescent="0.2">
      <c r="A381">
        <v>380</v>
      </c>
      <c r="B381">
        <v>45936.539745370399</v>
      </c>
      <c r="C381">
        <v>45936.561793981498</v>
      </c>
      <c r="D381" t="s">
        <v>2384</v>
      </c>
      <c r="E381" t="s">
        <v>2384</v>
      </c>
      <c r="F381" t="s">
        <v>2385</v>
      </c>
      <c r="G381" t="s">
        <v>2386</v>
      </c>
      <c r="H381" t="s">
        <v>2387</v>
      </c>
      <c r="I381" t="s">
        <v>2388</v>
      </c>
      <c r="J381" t="s">
        <v>2389</v>
      </c>
      <c r="K381" t="s">
        <v>2390</v>
      </c>
      <c r="L381" t="s">
        <v>2391</v>
      </c>
    </row>
    <row r="382" spans="1:12" x14ac:dyDescent="0.2">
      <c r="A382">
        <v>381</v>
      </c>
      <c r="B382">
        <v>45936.549687500003</v>
      </c>
      <c r="C382">
        <v>45936.563472222202</v>
      </c>
      <c r="D382" t="s">
        <v>2392</v>
      </c>
      <c r="E382" t="s">
        <v>2392</v>
      </c>
      <c r="F382" t="s">
        <v>2393</v>
      </c>
      <c r="G382" t="s">
        <v>2394</v>
      </c>
      <c r="I382" t="s">
        <v>2395</v>
      </c>
      <c r="J382" t="s">
        <v>2396</v>
      </c>
      <c r="L382" t="s">
        <v>2397</v>
      </c>
    </row>
    <row r="383" spans="1:12" x14ac:dyDescent="0.2">
      <c r="A383">
        <v>382</v>
      </c>
      <c r="B383">
        <v>45936.571111111101</v>
      </c>
      <c r="C383">
        <v>45936.576979166697</v>
      </c>
      <c r="D383" t="s">
        <v>2398</v>
      </c>
      <c r="E383" t="s">
        <v>2398</v>
      </c>
      <c r="F383" t="s">
        <v>2399</v>
      </c>
      <c r="I383" t="s">
        <v>2400</v>
      </c>
      <c r="J383" t="s">
        <v>2401</v>
      </c>
      <c r="L383" t="s">
        <v>2402</v>
      </c>
    </row>
    <row r="384" spans="1:12" x14ac:dyDescent="0.2">
      <c r="A384">
        <v>383</v>
      </c>
      <c r="B384">
        <v>45936.541388888902</v>
      </c>
      <c r="C384">
        <v>45936.599710648101</v>
      </c>
      <c r="D384" t="s">
        <v>2403</v>
      </c>
      <c r="E384" t="s">
        <v>2403</v>
      </c>
      <c r="F384" t="s">
        <v>2404</v>
      </c>
      <c r="G384" t="s">
        <v>2405</v>
      </c>
      <c r="H384" t="s">
        <v>2406</v>
      </c>
      <c r="I384" t="s">
        <v>2407</v>
      </c>
      <c r="J384" t="s">
        <v>2408</v>
      </c>
      <c r="K384" t="s">
        <v>2409</v>
      </c>
      <c r="L384" t="s">
        <v>2410</v>
      </c>
    </row>
    <row r="385" spans="1:12" x14ac:dyDescent="0.2">
      <c r="A385">
        <v>384</v>
      </c>
      <c r="B385">
        <v>45936.606435185196</v>
      </c>
      <c r="C385">
        <v>45936.613379629598</v>
      </c>
      <c r="D385" t="s">
        <v>2411</v>
      </c>
      <c r="E385" t="s">
        <v>2411</v>
      </c>
      <c r="F385" t="s">
        <v>2412</v>
      </c>
      <c r="G385" t="s">
        <v>2413</v>
      </c>
      <c r="I385" t="s">
        <v>2414</v>
      </c>
      <c r="J385" t="s">
        <v>2415</v>
      </c>
      <c r="K385" t="s">
        <v>2416</v>
      </c>
      <c r="L385" t="s">
        <v>2417</v>
      </c>
    </row>
    <row r="386" spans="1:12" x14ac:dyDescent="0.2">
      <c r="A386">
        <v>385</v>
      </c>
      <c r="B386">
        <v>45936.612442129597</v>
      </c>
      <c r="C386">
        <v>45936.626956018503</v>
      </c>
      <c r="D386" t="s">
        <v>2418</v>
      </c>
      <c r="E386" t="s">
        <v>2419</v>
      </c>
      <c r="F386" t="s">
        <v>2420</v>
      </c>
      <c r="G386" t="s">
        <v>2421</v>
      </c>
      <c r="I386" t="s">
        <v>2422</v>
      </c>
      <c r="J386" t="s">
        <v>2423</v>
      </c>
    </row>
    <row r="387" spans="1:12" x14ac:dyDescent="0.2">
      <c r="A387">
        <v>386</v>
      </c>
      <c r="B387">
        <v>45936.625578703701</v>
      </c>
      <c r="C387">
        <v>45936.634108796301</v>
      </c>
      <c r="D387" t="s">
        <v>2424</v>
      </c>
      <c r="E387" t="s">
        <v>2424</v>
      </c>
      <c r="F387" t="s">
        <v>2425</v>
      </c>
      <c r="G387" t="s">
        <v>2426</v>
      </c>
      <c r="I387" t="s">
        <v>2427</v>
      </c>
      <c r="J387" t="s">
        <v>2428</v>
      </c>
      <c r="K387" t="s">
        <v>2429</v>
      </c>
      <c r="L387" t="s">
        <v>2430</v>
      </c>
    </row>
    <row r="388" spans="1:12" x14ac:dyDescent="0.2">
      <c r="A388">
        <v>387</v>
      </c>
      <c r="B388">
        <v>45936.556041666699</v>
      </c>
      <c r="C388">
        <v>45936.651087963</v>
      </c>
      <c r="D388" t="s">
        <v>2431</v>
      </c>
      <c r="E388" t="s">
        <v>2431</v>
      </c>
      <c r="F388" t="s">
        <v>2432</v>
      </c>
      <c r="G388" t="s">
        <v>2433</v>
      </c>
      <c r="I388" t="s">
        <v>2434</v>
      </c>
      <c r="J388" t="s">
        <v>2435</v>
      </c>
      <c r="K388" t="s">
        <v>2436</v>
      </c>
      <c r="L388" t="s">
        <v>2437</v>
      </c>
    </row>
    <row r="389" spans="1:12" x14ac:dyDescent="0.2">
      <c r="A389">
        <v>388</v>
      </c>
      <c r="B389">
        <v>45936.6327662037</v>
      </c>
      <c r="C389">
        <v>45936.687418981499</v>
      </c>
      <c r="D389" t="s">
        <v>2438</v>
      </c>
      <c r="E389" t="s">
        <v>2438</v>
      </c>
      <c r="F389" t="s">
        <v>2439</v>
      </c>
      <c r="G389" t="s">
        <v>2440</v>
      </c>
      <c r="I389" t="s">
        <v>2441</v>
      </c>
      <c r="J389" t="s">
        <v>2442</v>
      </c>
      <c r="K389" t="s">
        <v>2443</v>
      </c>
      <c r="L389" t="s">
        <v>2444</v>
      </c>
    </row>
    <row r="390" spans="1:12" x14ac:dyDescent="0.2">
      <c r="A390">
        <v>389</v>
      </c>
      <c r="B390">
        <v>45936.802997685198</v>
      </c>
      <c r="C390">
        <v>45936.848136574103</v>
      </c>
      <c r="D390" t="s">
        <v>2445</v>
      </c>
      <c r="E390" t="s">
        <v>2445</v>
      </c>
      <c r="F390" t="s">
        <v>2446</v>
      </c>
      <c r="I390" t="s">
        <v>2447</v>
      </c>
      <c r="L390" t="s">
        <v>2448</v>
      </c>
    </row>
    <row r="391" spans="1:12" x14ac:dyDescent="0.2">
      <c r="A391">
        <v>390</v>
      </c>
      <c r="B391">
        <v>45936.892430555599</v>
      </c>
      <c r="C391">
        <v>45936.925300925897</v>
      </c>
      <c r="D391" t="s">
        <v>2449</v>
      </c>
      <c r="E391" t="s">
        <v>2449</v>
      </c>
      <c r="F391" t="s">
        <v>2450</v>
      </c>
      <c r="G391" t="s">
        <v>2451</v>
      </c>
      <c r="H391" t="s">
        <v>2452</v>
      </c>
      <c r="I391" t="s">
        <v>2453</v>
      </c>
      <c r="J391" t="s">
        <v>2454</v>
      </c>
      <c r="K391" t="s">
        <v>2455</v>
      </c>
      <c r="L391" t="s">
        <v>2456</v>
      </c>
    </row>
    <row r="392" spans="1:12" x14ac:dyDescent="0.2">
      <c r="A392">
        <v>391</v>
      </c>
      <c r="B392">
        <v>45930.542453703703</v>
      </c>
      <c r="C392">
        <v>45937.030995370398</v>
      </c>
      <c r="D392" t="s">
        <v>2457</v>
      </c>
      <c r="E392" t="s">
        <v>2457</v>
      </c>
      <c r="F392" t="s">
        <v>2458</v>
      </c>
      <c r="G392" t="s">
        <v>2459</v>
      </c>
      <c r="I392" t="s">
        <v>2460</v>
      </c>
      <c r="J392" t="s">
        <v>2461</v>
      </c>
      <c r="K392" t="s">
        <v>2462</v>
      </c>
      <c r="L392" t="s">
        <v>2463</v>
      </c>
    </row>
    <row r="393" spans="1:12" x14ac:dyDescent="0.2">
      <c r="A393">
        <v>392</v>
      </c>
      <c r="B393">
        <v>45937.367789351803</v>
      </c>
      <c r="C393">
        <v>45937.3679513889</v>
      </c>
      <c r="D393" t="s">
        <v>2464</v>
      </c>
      <c r="E393" t="s">
        <v>2464</v>
      </c>
      <c r="F393" t="s">
        <v>2465</v>
      </c>
      <c r="G393" t="s">
        <v>2466</v>
      </c>
      <c r="I393" t="s">
        <v>2467</v>
      </c>
      <c r="L393" t="s">
        <v>2468</v>
      </c>
    </row>
    <row r="394" spans="1:12" x14ac:dyDescent="0.2">
      <c r="A394">
        <v>393</v>
      </c>
      <c r="B394">
        <v>45937.372800925899</v>
      </c>
      <c r="C394">
        <v>45937.385972222197</v>
      </c>
      <c r="D394" t="s">
        <v>2469</v>
      </c>
      <c r="E394" t="s">
        <v>2469</v>
      </c>
      <c r="F394" t="s">
        <v>2470</v>
      </c>
      <c r="G394" t="s">
        <v>2471</v>
      </c>
      <c r="H394" t="s">
        <v>2472</v>
      </c>
      <c r="I394" t="s">
        <v>2473</v>
      </c>
      <c r="J394" t="s">
        <v>2474</v>
      </c>
      <c r="K394" t="s">
        <v>2475</v>
      </c>
      <c r="L394" t="s">
        <v>2476</v>
      </c>
    </row>
    <row r="395" spans="1:12" x14ac:dyDescent="0.2">
      <c r="A395">
        <v>394</v>
      </c>
      <c r="B395">
        <v>45937.3683101852</v>
      </c>
      <c r="C395">
        <v>45937.387164351901</v>
      </c>
      <c r="D395" t="s">
        <v>2477</v>
      </c>
      <c r="E395" t="s">
        <v>2477</v>
      </c>
      <c r="F395" t="s">
        <v>2478</v>
      </c>
      <c r="G395" t="s">
        <v>2479</v>
      </c>
      <c r="I395" t="s">
        <v>2480</v>
      </c>
      <c r="J395" t="s">
        <v>2481</v>
      </c>
      <c r="K395" t="s">
        <v>2482</v>
      </c>
      <c r="L395" t="s">
        <v>2483</v>
      </c>
    </row>
    <row r="396" spans="1:12" x14ac:dyDescent="0.2">
      <c r="A396">
        <v>395</v>
      </c>
      <c r="B396">
        <v>45937.373078703698</v>
      </c>
      <c r="C396">
        <v>45937.388310185197</v>
      </c>
      <c r="D396" t="s">
        <v>2484</v>
      </c>
      <c r="E396" t="s">
        <v>2484</v>
      </c>
      <c r="F396" t="s">
        <v>2485</v>
      </c>
      <c r="H396" t="s">
        <v>2486</v>
      </c>
      <c r="I396" t="s">
        <v>2487</v>
      </c>
      <c r="L396" t="s">
        <v>2488</v>
      </c>
    </row>
    <row r="397" spans="1:12" x14ac:dyDescent="0.2">
      <c r="A397">
        <v>396</v>
      </c>
      <c r="B397">
        <v>45937.384421296301</v>
      </c>
      <c r="C397">
        <v>45937.411655092597</v>
      </c>
      <c r="D397" t="s">
        <v>2489</v>
      </c>
      <c r="E397" t="s">
        <v>2489</v>
      </c>
      <c r="F397" t="s">
        <v>2490</v>
      </c>
      <c r="G397" t="s">
        <v>2491</v>
      </c>
      <c r="I397" t="s">
        <v>2492</v>
      </c>
      <c r="J397" t="s">
        <v>2493</v>
      </c>
    </row>
    <row r="398" spans="1:12" x14ac:dyDescent="0.2">
      <c r="A398">
        <v>397</v>
      </c>
      <c r="B398">
        <v>45937.379178240699</v>
      </c>
      <c r="C398">
        <v>45937.439444444397</v>
      </c>
      <c r="D398" t="s">
        <v>2494</v>
      </c>
      <c r="E398" t="s">
        <v>2494</v>
      </c>
      <c r="F398" t="s">
        <v>2495</v>
      </c>
      <c r="I398" t="s">
        <v>2496</v>
      </c>
      <c r="J398" t="s">
        <v>2497</v>
      </c>
      <c r="L398" t="s">
        <v>2498</v>
      </c>
    </row>
    <row r="399" spans="1:12" x14ac:dyDescent="0.2">
      <c r="A399">
        <v>398</v>
      </c>
      <c r="B399">
        <v>45937.525532407402</v>
      </c>
      <c r="C399">
        <v>45937.546944444402</v>
      </c>
      <c r="D399" t="s">
        <v>2499</v>
      </c>
      <c r="E399" t="s">
        <v>2499</v>
      </c>
      <c r="F399" t="s">
        <v>2500</v>
      </c>
      <c r="G399" t="s">
        <v>2501</v>
      </c>
      <c r="I399" t="s">
        <v>2502</v>
      </c>
      <c r="J399" t="s">
        <v>2503</v>
      </c>
    </row>
    <row r="400" spans="1:12" x14ac:dyDescent="0.2">
      <c r="A400">
        <v>399</v>
      </c>
      <c r="B400">
        <v>45936.4295486111</v>
      </c>
      <c r="C400">
        <v>45937.5531597222</v>
      </c>
      <c r="D400" t="s">
        <v>2504</v>
      </c>
      <c r="E400" t="s">
        <v>2504</v>
      </c>
      <c r="F400" t="s">
        <v>2505</v>
      </c>
      <c r="G400" t="s">
        <v>2506</v>
      </c>
      <c r="I400" t="s">
        <v>2507</v>
      </c>
      <c r="J400" t="s">
        <v>2508</v>
      </c>
      <c r="L400" t="s">
        <v>2509</v>
      </c>
    </row>
    <row r="401" spans="1:12" x14ac:dyDescent="0.2">
      <c r="A401">
        <v>400</v>
      </c>
      <c r="B401">
        <v>45937.5776736111</v>
      </c>
      <c r="C401">
        <v>45937.585590277798</v>
      </c>
      <c r="D401" t="s">
        <v>2510</v>
      </c>
      <c r="E401" t="s">
        <v>2510</v>
      </c>
      <c r="F401" t="s">
        <v>2511</v>
      </c>
      <c r="G401" t="s">
        <v>2512</v>
      </c>
      <c r="I401" t="s">
        <v>2513</v>
      </c>
      <c r="J401" t="s">
        <v>2514</v>
      </c>
      <c r="K401" t="s">
        <v>2515</v>
      </c>
    </row>
    <row r="402" spans="1:12" x14ac:dyDescent="0.2">
      <c r="A402">
        <v>401</v>
      </c>
      <c r="B402">
        <v>45937.637187499997</v>
      </c>
      <c r="C402">
        <v>45937.641944444404</v>
      </c>
      <c r="D402" t="s">
        <v>2516</v>
      </c>
      <c r="E402" t="s">
        <v>2516</v>
      </c>
      <c r="F402" t="s">
        <v>2517</v>
      </c>
      <c r="G402" t="s">
        <v>2518</v>
      </c>
      <c r="H402" t="s">
        <v>2519</v>
      </c>
      <c r="I402" t="s">
        <v>2520</v>
      </c>
      <c r="J402" t="s">
        <v>2521</v>
      </c>
      <c r="K402" t="s">
        <v>2522</v>
      </c>
      <c r="L402" t="s">
        <v>2523</v>
      </c>
    </row>
    <row r="403" spans="1:12" x14ac:dyDescent="0.2">
      <c r="A403">
        <v>402</v>
      </c>
      <c r="B403">
        <v>45937.633113425902</v>
      </c>
      <c r="C403">
        <v>45937.658865740697</v>
      </c>
      <c r="D403" t="s">
        <v>2524</v>
      </c>
      <c r="E403" t="s">
        <v>2524</v>
      </c>
      <c r="F403" t="s">
        <v>2525</v>
      </c>
      <c r="G403" t="s">
        <v>2526</v>
      </c>
      <c r="I403" t="s">
        <v>2527</v>
      </c>
      <c r="J403" t="s">
        <v>2528</v>
      </c>
      <c r="K403" t="s">
        <v>2529</v>
      </c>
      <c r="L403" t="s">
        <v>2530</v>
      </c>
    </row>
    <row r="404" spans="1:12" x14ac:dyDescent="0.2">
      <c r="A404">
        <v>403</v>
      </c>
      <c r="B404">
        <v>45937.665706018503</v>
      </c>
      <c r="C404">
        <v>45937.675821759301</v>
      </c>
      <c r="D404" t="s">
        <v>2531</v>
      </c>
      <c r="E404" t="s">
        <v>2531</v>
      </c>
      <c r="F404" t="s">
        <v>2532</v>
      </c>
      <c r="G404" t="s">
        <v>2533</v>
      </c>
      <c r="I404" t="s">
        <v>2534</v>
      </c>
      <c r="J404" t="s">
        <v>2535</v>
      </c>
      <c r="K404" t="s">
        <v>2536</v>
      </c>
      <c r="L404" t="s">
        <v>2537</v>
      </c>
    </row>
    <row r="405" spans="1:12" x14ac:dyDescent="0.2">
      <c r="A405">
        <v>404</v>
      </c>
      <c r="B405">
        <v>45937.6649652778</v>
      </c>
      <c r="C405">
        <v>45937.681793981501</v>
      </c>
      <c r="D405" t="s">
        <v>2538</v>
      </c>
      <c r="E405" t="s">
        <v>2538</v>
      </c>
      <c r="F405" t="s">
        <v>2539</v>
      </c>
      <c r="G405" t="s">
        <v>2540</v>
      </c>
      <c r="I405" t="s">
        <v>2541</v>
      </c>
      <c r="J405" t="s">
        <v>2542</v>
      </c>
    </row>
    <row r="406" spans="1:12" x14ac:dyDescent="0.2">
      <c r="A406">
        <v>405</v>
      </c>
      <c r="B406">
        <v>45930.485844907402</v>
      </c>
      <c r="C406">
        <v>45937.683634259301</v>
      </c>
      <c r="D406" t="s">
        <v>2543</v>
      </c>
      <c r="E406" t="s">
        <v>2543</v>
      </c>
      <c r="F406" t="s">
        <v>2544</v>
      </c>
      <c r="G406" t="s">
        <v>2545</v>
      </c>
      <c r="H406" t="s">
        <v>2546</v>
      </c>
      <c r="I406" t="s">
        <v>2547</v>
      </c>
      <c r="J406" t="s">
        <v>2548</v>
      </c>
      <c r="L406" t="s">
        <v>2549</v>
      </c>
    </row>
    <row r="407" spans="1:12" x14ac:dyDescent="0.2">
      <c r="A407">
        <v>406</v>
      </c>
      <c r="B407">
        <v>45935.9304050926</v>
      </c>
      <c r="C407">
        <v>45937.685057870403</v>
      </c>
      <c r="D407" t="s">
        <v>2550</v>
      </c>
      <c r="E407" t="s">
        <v>2550</v>
      </c>
      <c r="F407" t="s">
        <v>2551</v>
      </c>
      <c r="G407" t="s">
        <v>2552</v>
      </c>
      <c r="I407" t="s">
        <v>2553</v>
      </c>
      <c r="J407" t="s">
        <v>2554</v>
      </c>
      <c r="K407" t="s">
        <v>2555</v>
      </c>
      <c r="L407" t="s">
        <v>2556</v>
      </c>
    </row>
    <row r="408" spans="1:12" x14ac:dyDescent="0.2">
      <c r="A408">
        <v>407</v>
      </c>
      <c r="B408">
        <v>45937.625555555598</v>
      </c>
      <c r="C408">
        <v>45937.688287037003</v>
      </c>
      <c r="D408" t="s">
        <v>2557</v>
      </c>
      <c r="E408" t="s">
        <v>2557</v>
      </c>
      <c r="F408" t="s">
        <v>2558</v>
      </c>
      <c r="I408" t="s">
        <v>2559</v>
      </c>
      <c r="L408" t="s">
        <v>2560</v>
      </c>
    </row>
    <row r="409" spans="1:12" x14ac:dyDescent="0.2">
      <c r="A409">
        <v>408</v>
      </c>
      <c r="B409">
        <v>45930.474305555603</v>
      </c>
      <c r="C409">
        <v>45937.688692129603</v>
      </c>
      <c r="D409" t="s">
        <v>2561</v>
      </c>
      <c r="E409" t="s">
        <v>2562</v>
      </c>
      <c r="F409" t="s">
        <v>2563</v>
      </c>
      <c r="G409" t="s">
        <v>2451</v>
      </c>
      <c r="H409" t="s">
        <v>798</v>
      </c>
      <c r="I409" t="s">
        <v>2564</v>
      </c>
      <c r="J409" t="s">
        <v>2565</v>
      </c>
      <c r="K409" t="s">
        <v>2566</v>
      </c>
      <c r="L409" t="s">
        <v>2567</v>
      </c>
    </row>
    <row r="410" spans="1:12" x14ac:dyDescent="0.2">
      <c r="A410">
        <v>409</v>
      </c>
      <c r="B410">
        <v>45937.688796296301</v>
      </c>
      <c r="C410">
        <v>45937.699143518497</v>
      </c>
      <c r="D410" t="s">
        <v>2568</v>
      </c>
      <c r="E410" t="s">
        <v>2568</v>
      </c>
      <c r="F410" t="s">
        <v>2569</v>
      </c>
      <c r="G410" t="s">
        <v>2570</v>
      </c>
      <c r="I410" t="s">
        <v>2571</v>
      </c>
      <c r="J410" t="s">
        <v>2572</v>
      </c>
    </row>
    <row r="411" spans="1:12" x14ac:dyDescent="0.2">
      <c r="A411">
        <v>410</v>
      </c>
      <c r="B411">
        <v>45937.688865740703</v>
      </c>
      <c r="C411">
        <v>45937.703912037003</v>
      </c>
      <c r="D411" t="s">
        <v>2573</v>
      </c>
      <c r="E411" t="s">
        <v>2573</v>
      </c>
      <c r="F411" t="s">
        <v>2574</v>
      </c>
      <c r="G411" t="s">
        <v>2575</v>
      </c>
      <c r="I411" t="s">
        <v>2576</v>
      </c>
      <c r="J411" t="s">
        <v>2577</v>
      </c>
      <c r="K411" t="s">
        <v>2578</v>
      </c>
      <c r="L411" t="s">
        <v>798</v>
      </c>
    </row>
    <row r="412" spans="1:12" x14ac:dyDescent="0.2">
      <c r="A412">
        <v>411</v>
      </c>
      <c r="B412">
        <v>45937.683946759302</v>
      </c>
      <c r="C412">
        <v>45937.7120601852</v>
      </c>
      <c r="D412" t="s">
        <v>2579</v>
      </c>
      <c r="E412" t="s">
        <v>2579</v>
      </c>
      <c r="F412" t="s">
        <v>2580</v>
      </c>
      <c r="I412" t="s">
        <v>2581</v>
      </c>
      <c r="J412" t="s">
        <v>2582</v>
      </c>
      <c r="K412" t="s">
        <v>2583</v>
      </c>
      <c r="L412" t="s">
        <v>2584</v>
      </c>
    </row>
    <row r="413" spans="1:12" x14ac:dyDescent="0.2">
      <c r="A413">
        <v>412</v>
      </c>
      <c r="B413">
        <v>45937.690740740698</v>
      </c>
      <c r="C413">
        <v>45937.713541666701</v>
      </c>
      <c r="D413" t="s">
        <v>2585</v>
      </c>
      <c r="E413" t="s">
        <v>2585</v>
      </c>
      <c r="F413" t="s">
        <v>2586</v>
      </c>
      <c r="G413" t="s">
        <v>2587</v>
      </c>
      <c r="I413" t="s">
        <v>2588</v>
      </c>
      <c r="J413" t="s">
        <v>2589</v>
      </c>
      <c r="K413" t="s">
        <v>2590</v>
      </c>
      <c r="L413" t="s">
        <v>2591</v>
      </c>
    </row>
    <row r="414" spans="1:12" x14ac:dyDescent="0.2">
      <c r="A414">
        <v>413</v>
      </c>
      <c r="B414">
        <v>45937.7340162037</v>
      </c>
      <c r="C414">
        <v>45937.735486111102</v>
      </c>
      <c r="D414" t="s">
        <v>2592</v>
      </c>
      <c r="E414" t="s">
        <v>2592</v>
      </c>
      <c r="F414" t="s">
        <v>2593</v>
      </c>
      <c r="I414" t="s">
        <v>2594</v>
      </c>
      <c r="L414" t="s">
        <v>798</v>
      </c>
    </row>
    <row r="415" spans="1:12" x14ac:dyDescent="0.2">
      <c r="A415">
        <v>414</v>
      </c>
      <c r="B415">
        <v>45930.439409722203</v>
      </c>
      <c r="C415">
        <v>45937.796909722201</v>
      </c>
      <c r="D415" t="s">
        <v>2595</v>
      </c>
      <c r="E415" t="s">
        <v>2595</v>
      </c>
      <c r="F415" t="s">
        <v>2596</v>
      </c>
      <c r="G415" t="s">
        <v>2597</v>
      </c>
      <c r="H415" t="s">
        <v>2598</v>
      </c>
      <c r="I415" t="s">
        <v>2599</v>
      </c>
      <c r="J415" t="s">
        <v>2600</v>
      </c>
      <c r="K415" t="s">
        <v>2601</v>
      </c>
      <c r="L415" t="s">
        <v>2602</v>
      </c>
    </row>
    <row r="416" spans="1:12" x14ac:dyDescent="0.2">
      <c r="A416">
        <v>415</v>
      </c>
      <c r="B416">
        <v>45937.981782407398</v>
      </c>
      <c r="C416">
        <v>45938.008368055598</v>
      </c>
      <c r="D416" t="s">
        <v>2603</v>
      </c>
      <c r="E416" t="s">
        <v>2603</v>
      </c>
      <c r="F416" t="s">
        <v>2604</v>
      </c>
      <c r="G416" t="s">
        <v>2605</v>
      </c>
      <c r="I416" t="s">
        <v>2606</v>
      </c>
      <c r="J416" t="s">
        <v>2607</v>
      </c>
      <c r="L416" t="s">
        <v>2608</v>
      </c>
    </row>
    <row r="417" spans="1:12" x14ac:dyDescent="0.2">
      <c r="A417">
        <v>416</v>
      </c>
      <c r="B417">
        <v>45938.041087963</v>
      </c>
      <c r="C417">
        <v>45938.056840277801</v>
      </c>
      <c r="D417" t="s">
        <v>2609</v>
      </c>
      <c r="E417" t="s">
        <v>2609</v>
      </c>
      <c r="F417" t="s">
        <v>2610</v>
      </c>
      <c r="I417" t="s">
        <v>2611</v>
      </c>
      <c r="L417" t="s">
        <v>2612</v>
      </c>
    </row>
    <row r="418" spans="1:12" x14ac:dyDescent="0.2">
      <c r="A418">
        <v>417</v>
      </c>
      <c r="B418">
        <v>45938.3651157407</v>
      </c>
      <c r="C418">
        <v>45938.378067129597</v>
      </c>
      <c r="D418" t="s">
        <v>2613</v>
      </c>
      <c r="E418" t="s">
        <v>2613</v>
      </c>
      <c r="F418" t="s">
        <v>2614</v>
      </c>
      <c r="G418" t="s">
        <v>2615</v>
      </c>
      <c r="H418" t="s">
        <v>2616</v>
      </c>
      <c r="I418" t="s">
        <v>2617</v>
      </c>
      <c r="J418" t="s">
        <v>2618</v>
      </c>
      <c r="K418" t="s">
        <v>2619</v>
      </c>
      <c r="L418" t="s">
        <v>2620</v>
      </c>
    </row>
    <row r="419" spans="1:12" x14ac:dyDescent="0.2">
      <c r="A419">
        <v>418</v>
      </c>
      <c r="B419">
        <v>45938.362106481502</v>
      </c>
      <c r="C419">
        <v>45938.385370370401</v>
      </c>
      <c r="D419" t="s">
        <v>2621</v>
      </c>
      <c r="E419" t="s">
        <v>2621</v>
      </c>
      <c r="F419" t="s">
        <v>2622</v>
      </c>
      <c r="G419" t="s">
        <v>2623</v>
      </c>
      <c r="I419" t="s">
        <v>2624</v>
      </c>
      <c r="J419" t="s">
        <v>2625</v>
      </c>
      <c r="K419" t="s">
        <v>2626</v>
      </c>
      <c r="L419" t="s">
        <v>2627</v>
      </c>
    </row>
    <row r="420" spans="1:12" x14ac:dyDescent="0.2">
      <c r="A420">
        <v>419</v>
      </c>
      <c r="B420">
        <v>45938.442361111098</v>
      </c>
      <c r="C420">
        <v>45938.457152777803</v>
      </c>
      <c r="D420" t="s">
        <v>2628</v>
      </c>
      <c r="E420" t="s">
        <v>2628</v>
      </c>
      <c r="F420" t="s">
        <v>2629</v>
      </c>
      <c r="G420" t="s">
        <v>2630</v>
      </c>
      <c r="I420" t="s">
        <v>2631</v>
      </c>
      <c r="J420" t="s">
        <v>2632</v>
      </c>
      <c r="K420" t="s">
        <v>2633</v>
      </c>
      <c r="L420" t="s">
        <v>2634</v>
      </c>
    </row>
    <row r="421" spans="1:12" x14ac:dyDescent="0.2">
      <c r="A421">
        <v>420</v>
      </c>
      <c r="B421">
        <v>45938.467037037</v>
      </c>
      <c r="C421">
        <v>45938.4702777778</v>
      </c>
      <c r="D421" t="s">
        <v>2635</v>
      </c>
      <c r="E421" t="s">
        <v>2635</v>
      </c>
      <c r="F421" t="s">
        <v>2636</v>
      </c>
      <c r="G421" t="s">
        <v>2637</v>
      </c>
      <c r="H421" t="s">
        <v>1015</v>
      </c>
      <c r="I421" t="s">
        <v>2638</v>
      </c>
      <c r="J421" t="s">
        <v>2639</v>
      </c>
      <c r="K421" t="s">
        <v>2640</v>
      </c>
      <c r="L421" t="s">
        <v>2641</v>
      </c>
    </row>
    <row r="422" spans="1:12" x14ac:dyDescent="0.2">
      <c r="A422">
        <v>421</v>
      </c>
      <c r="B422">
        <v>45937.522280092599</v>
      </c>
      <c r="C422">
        <v>45938.471006944397</v>
      </c>
      <c r="D422" t="s">
        <v>2642</v>
      </c>
      <c r="E422" t="s">
        <v>2642</v>
      </c>
      <c r="F422" t="s">
        <v>2643</v>
      </c>
      <c r="G422" t="s">
        <v>2644</v>
      </c>
      <c r="I422" t="s">
        <v>2645</v>
      </c>
      <c r="J422" t="s">
        <v>2646</v>
      </c>
      <c r="L422" t="s">
        <v>2647</v>
      </c>
    </row>
    <row r="423" spans="1:12" x14ac:dyDescent="0.2">
      <c r="A423">
        <v>422</v>
      </c>
      <c r="B423">
        <v>45938.437824074099</v>
      </c>
      <c r="C423">
        <v>45938.476215277798</v>
      </c>
      <c r="D423" t="s">
        <v>2648</v>
      </c>
      <c r="E423" t="s">
        <v>2648</v>
      </c>
      <c r="F423" t="s">
        <v>2649</v>
      </c>
      <c r="I423" t="s">
        <v>2650</v>
      </c>
      <c r="L423" t="s">
        <v>2651</v>
      </c>
    </row>
    <row r="424" spans="1:12" x14ac:dyDescent="0.2">
      <c r="A424">
        <v>423</v>
      </c>
      <c r="B424">
        <v>45938.520891203698</v>
      </c>
      <c r="C424">
        <v>45938.540208333303</v>
      </c>
      <c r="D424" t="s">
        <v>2652</v>
      </c>
      <c r="E424" t="s">
        <v>2652</v>
      </c>
      <c r="F424" t="s">
        <v>2653</v>
      </c>
      <c r="G424" t="s">
        <v>2654</v>
      </c>
      <c r="I424" t="s">
        <v>2655</v>
      </c>
      <c r="J424" t="s">
        <v>2656</v>
      </c>
      <c r="L424" t="s">
        <v>2657</v>
      </c>
    </row>
    <row r="425" spans="1:12" x14ac:dyDescent="0.2">
      <c r="A425">
        <v>424</v>
      </c>
      <c r="B425">
        <v>45930.4380439815</v>
      </c>
      <c r="C425">
        <v>45938.578773148103</v>
      </c>
      <c r="D425" t="s">
        <v>2658</v>
      </c>
      <c r="E425" t="s">
        <v>2658</v>
      </c>
      <c r="F425" t="s">
        <v>2659</v>
      </c>
      <c r="G425" t="s">
        <v>2660</v>
      </c>
      <c r="I425" t="s">
        <v>2661</v>
      </c>
      <c r="J425" t="s">
        <v>2662</v>
      </c>
      <c r="K425" t="s">
        <v>2663</v>
      </c>
      <c r="L425" t="s">
        <v>2664</v>
      </c>
    </row>
    <row r="426" spans="1:12" x14ac:dyDescent="0.2">
      <c r="A426">
        <v>425</v>
      </c>
      <c r="B426">
        <v>45938.700312499997</v>
      </c>
      <c r="C426">
        <v>45938.718668981499</v>
      </c>
      <c r="D426" t="s">
        <v>2665</v>
      </c>
      <c r="E426" t="s">
        <v>2665</v>
      </c>
      <c r="F426" t="s">
        <v>2666</v>
      </c>
      <c r="I426" t="s">
        <v>2667</v>
      </c>
      <c r="L426" t="s">
        <v>2668</v>
      </c>
    </row>
    <row r="427" spans="1:12" x14ac:dyDescent="0.2">
      <c r="A427">
        <v>426</v>
      </c>
      <c r="B427">
        <v>45938.775451388901</v>
      </c>
      <c r="C427">
        <v>45938.797557870399</v>
      </c>
      <c r="D427" t="s">
        <v>2669</v>
      </c>
      <c r="E427" t="s">
        <v>2669</v>
      </c>
      <c r="F427" t="s">
        <v>2670</v>
      </c>
      <c r="G427" t="s">
        <v>2671</v>
      </c>
      <c r="I427" t="s">
        <v>2672</v>
      </c>
      <c r="J427" t="s">
        <v>2673</v>
      </c>
      <c r="K427" t="s">
        <v>2674</v>
      </c>
      <c r="L427" t="s">
        <v>2675</v>
      </c>
    </row>
    <row r="428" spans="1:12" x14ac:dyDescent="0.2">
      <c r="A428">
        <v>427</v>
      </c>
      <c r="B428">
        <v>45938.790289351797</v>
      </c>
      <c r="C428">
        <v>45938.835057870398</v>
      </c>
      <c r="D428" t="s">
        <v>2676</v>
      </c>
      <c r="E428" t="s">
        <v>2676</v>
      </c>
      <c r="F428" t="s">
        <v>2677</v>
      </c>
      <c r="G428" t="s">
        <v>2678</v>
      </c>
      <c r="I428" t="s">
        <v>2679</v>
      </c>
      <c r="J428" t="s">
        <v>26</v>
      </c>
      <c r="K428" t="s">
        <v>2680</v>
      </c>
      <c r="L428" t="s">
        <v>2681</v>
      </c>
    </row>
    <row r="429" spans="1:12" x14ac:dyDescent="0.2">
      <c r="A429">
        <v>428</v>
      </c>
      <c r="B429">
        <v>45938.989525463003</v>
      </c>
      <c r="C429">
        <v>45939.007245370398</v>
      </c>
      <c r="D429" t="s">
        <v>2682</v>
      </c>
      <c r="E429" t="s">
        <v>2682</v>
      </c>
      <c r="F429" t="s">
        <v>2683</v>
      </c>
      <c r="G429" t="s">
        <v>2076</v>
      </c>
      <c r="I429" t="s">
        <v>2684</v>
      </c>
      <c r="J429" t="s">
        <v>2685</v>
      </c>
    </row>
    <row r="430" spans="1:12" x14ac:dyDescent="0.2">
      <c r="A430">
        <v>429</v>
      </c>
      <c r="B430">
        <v>45938.933368055601</v>
      </c>
      <c r="C430">
        <v>45939.034560185202</v>
      </c>
      <c r="D430" t="s">
        <v>2686</v>
      </c>
      <c r="E430" t="s">
        <v>2686</v>
      </c>
      <c r="F430" t="s">
        <v>2687</v>
      </c>
      <c r="G430" t="s">
        <v>2688</v>
      </c>
      <c r="I430" t="s">
        <v>2689</v>
      </c>
      <c r="J430" t="s">
        <v>2690</v>
      </c>
      <c r="L430" t="s">
        <v>2691</v>
      </c>
    </row>
    <row r="431" spans="1:12" x14ac:dyDescent="0.2">
      <c r="A431">
        <v>430</v>
      </c>
      <c r="B431">
        <v>45939.001817129603</v>
      </c>
      <c r="C431">
        <v>45939.050949074102</v>
      </c>
      <c r="D431" t="s">
        <v>2692</v>
      </c>
      <c r="E431" t="s">
        <v>2692</v>
      </c>
      <c r="F431" t="s">
        <v>2693</v>
      </c>
      <c r="I431" t="s">
        <v>2694</v>
      </c>
    </row>
    <row r="432" spans="1:12" x14ac:dyDescent="0.2">
      <c r="A432">
        <v>431</v>
      </c>
      <c r="B432">
        <v>45939.275590277801</v>
      </c>
      <c r="C432">
        <v>45939.287280092598</v>
      </c>
      <c r="D432" t="s">
        <v>2695</v>
      </c>
      <c r="E432" t="s">
        <v>2695</v>
      </c>
      <c r="F432" t="s">
        <v>2696</v>
      </c>
      <c r="G432" t="s">
        <v>2697</v>
      </c>
      <c r="I432" t="s">
        <v>2698</v>
      </c>
      <c r="J432" t="s">
        <v>2699</v>
      </c>
      <c r="K432" t="s">
        <v>2700</v>
      </c>
      <c r="L432" t="s">
        <v>2701</v>
      </c>
    </row>
    <row r="433" spans="1:12" x14ac:dyDescent="0.2">
      <c r="A433">
        <v>432</v>
      </c>
      <c r="B433">
        <v>45939.247442129599</v>
      </c>
      <c r="C433">
        <v>45939.307719907403</v>
      </c>
      <c r="D433" t="s">
        <v>2702</v>
      </c>
      <c r="E433" t="s">
        <v>2702</v>
      </c>
      <c r="F433" t="s">
        <v>2703</v>
      </c>
      <c r="G433" t="s">
        <v>2704</v>
      </c>
      <c r="I433" t="s">
        <v>2705</v>
      </c>
      <c r="J433" t="s">
        <v>2706</v>
      </c>
      <c r="L433" t="s">
        <v>2707</v>
      </c>
    </row>
    <row r="434" spans="1:12" x14ac:dyDescent="0.2">
      <c r="A434">
        <v>433</v>
      </c>
      <c r="B434">
        <v>45939.370717592603</v>
      </c>
      <c r="C434">
        <v>45939.378553240698</v>
      </c>
      <c r="D434" t="s">
        <v>2708</v>
      </c>
      <c r="E434" t="s">
        <v>2708</v>
      </c>
      <c r="F434" t="s">
        <v>2709</v>
      </c>
      <c r="I434" t="s">
        <v>2710</v>
      </c>
      <c r="L434" t="s">
        <v>2711</v>
      </c>
    </row>
    <row r="435" spans="1:12" x14ac:dyDescent="0.2">
      <c r="A435">
        <v>434</v>
      </c>
      <c r="B435">
        <v>45939.432581018496</v>
      </c>
      <c r="C435">
        <v>45939.455428240697</v>
      </c>
      <c r="D435" t="s">
        <v>2712</v>
      </c>
      <c r="E435" t="s">
        <v>2712</v>
      </c>
      <c r="F435" t="s">
        <v>2713</v>
      </c>
      <c r="G435" t="s">
        <v>2714</v>
      </c>
      <c r="H435" t="s">
        <v>2715</v>
      </c>
      <c r="I435" t="s">
        <v>2716</v>
      </c>
      <c r="J435" t="s">
        <v>2717</v>
      </c>
      <c r="K435" t="s">
        <v>2718</v>
      </c>
      <c r="L435" t="s">
        <v>2719</v>
      </c>
    </row>
    <row r="436" spans="1:12" x14ac:dyDescent="0.2">
      <c r="A436">
        <v>435</v>
      </c>
      <c r="B436">
        <v>45933.737164351798</v>
      </c>
      <c r="C436">
        <v>45939.4847800926</v>
      </c>
      <c r="D436" t="s">
        <v>2720</v>
      </c>
      <c r="E436" t="s">
        <v>2720</v>
      </c>
      <c r="F436" t="s">
        <v>2721</v>
      </c>
      <c r="G436" t="s">
        <v>2722</v>
      </c>
      <c r="H436" t="s">
        <v>1015</v>
      </c>
      <c r="I436" t="s">
        <v>2723</v>
      </c>
      <c r="J436" t="s">
        <v>2724</v>
      </c>
      <c r="K436" t="s">
        <v>2725</v>
      </c>
      <c r="L436" t="s">
        <v>2726</v>
      </c>
    </row>
    <row r="437" spans="1:12" x14ac:dyDescent="0.2">
      <c r="A437">
        <v>436</v>
      </c>
      <c r="B437">
        <v>45939.495914351799</v>
      </c>
      <c r="C437">
        <v>45939.505891203698</v>
      </c>
      <c r="D437" t="s">
        <v>2727</v>
      </c>
      <c r="E437" t="s">
        <v>2727</v>
      </c>
      <c r="F437" t="s">
        <v>2728</v>
      </c>
      <c r="I437" t="s">
        <v>2729</v>
      </c>
      <c r="L437" t="s">
        <v>2730</v>
      </c>
    </row>
    <row r="438" spans="1:12" x14ac:dyDescent="0.2">
      <c r="A438">
        <v>437</v>
      </c>
      <c r="B438">
        <v>45939.5359606481</v>
      </c>
      <c r="C438">
        <v>45939.542650463001</v>
      </c>
      <c r="D438" t="s">
        <v>2731</v>
      </c>
      <c r="E438" t="s">
        <v>2731</v>
      </c>
      <c r="F438" t="s">
        <v>2732</v>
      </c>
      <c r="I438" t="s">
        <v>2733</v>
      </c>
      <c r="J438" t="s">
        <v>2734</v>
      </c>
      <c r="K438" t="s">
        <v>2735</v>
      </c>
    </row>
    <row r="439" spans="1:12" x14ac:dyDescent="0.2">
      <c r="A439">
        <v>438</v>
      </c>
      <c r="B439">
        <v>45939.532754629603</v>
      </c>
      <c r="C439">
        <v>45939.571203703701</v>
      </c>
      <c r="D439" t="s">
        <v>2736</v>
      </c>
      <c r="E439" t="s">
        <v>2736</v>
      </c>
      <c r="F439" t="s">
        <v>2737</v>
      </c>
      <c r="G439" t="s">
        <v>2738</v>
      </c>
      <c r="H439" t="s">
        <v>2739</v>
      </c>
      <c r="I439" t="s">
        <v>2740</v>
      </c>
      <c r="J439" t="s">
        <v>2741</v>
      </c>
      <c r="K439" t="s">
        <v>2742</v>
      </c>
    </row>
    <row r="440" spans="1:12" x14ac:dyDescent="0.2">
      <c r="A440">
        <v>439</v>
      </c>
      <c r="B440">
        <v>45939.578206018501</v>
      </c>
      <c r="C440">
        <v>45939.588067129604</v>
      </c>
      <c r="D440" t="s">
        <v>2743</v>
      </c>
      <c r="E440" t="s">
        <v>2743</v>
      </c>
      <c r="F440" t="s">
        <v>2744</v>
      </c>
      <c r="G440" t="s">
        <v>2745</v>
      </c>
      <c r="I440" t="s">
        <v>2746</v>
      </c>
      <c r="J440" t="s">
        <v>2747</v>
      </c>
      <c r="K440" t="s">
        <v>2748</v>
      </c>
    </row>
    <row r="441" spans="1:12" x14ac:dyDescent="0.2">
      <c r="A441">
        <v>440</v>
      </c>
      <c r="B441">
        <v>45937.671319444402</v>
      </c>
      <c r="C441">
        <v>45939.604155092602</v>
      </c>
      <c r="D441" t="s">
        <v>2749</v>
      </c>
      <c r="E441" t="s">
        <v>2749</v>
      </c>
      <c r="F441" t="s">
        <v>2750</v>
      </c>
      <c r="G441" t="s">
        <v>2751</v>
      </c>
      <c r="I441" t="s">
        <v>2752</v>
      </c>
    </row>
    <row r="442" spans="1:12" x14ac:dyDescent="0.2">
      <c r="A442">
        <v>441</v>
      </c>
      <c r="B442">
        <v>45930.6258101852</v>
      </c>
      <c r="C442">
        <v>45939.635381944398</v>
      </c>
      <c r="D442" t="s">
        <v>2753</v>
      </c>
      <c r="E442" t="s">
        <v>2753</v>
      </c>
      <c r="F442" t="s">
        <v>2754</v>
      </c>
      <c r="I442" t="s">
        <v>2755</v>
      </c>
      <c r="J442" t="s">
        <v>2756</v>
      </c>
    </row>
    <row r="443" spans="1:12" x14ac:dyDescent="0.2">
      <c r="A443">
        <v>442</v>
      </c>
      <c r="B443">
        <v>45939.685555555603</v>
      </c>
      <c r="C443">
        <v>45939.698796296303</v>
      </c>
      <c r="D443" t="s">
        <v>2757</v>
      </c>
      <c r="E443" t="s">
        <v>2757</v>
      </c>
      <c r="F443" t="s">
        <v>2758</v>
      </c>
      <c r="I443" t="s">
        <v>2759</v>
      </c>
      <c r="J443" t="s">
        <v>26</v>
      </c>
    </row>
    <row r="444" spans="1:12" x14ac:dyDescent="0.2">
      <c r="A444">
        <v>443</v>
      </c>
      <c r="B444">
        <v>45939.711180555598</v>
      </c>
      <c r="C444">
        <v>45939.720937500002</v>
      </c>
      <c r="D444" t="s">
        <v>2760</v>
      </c>
      <c r="E444" t="s">
        <v>2760</v>
      </c>
      <c r="F444" t="s">
        <v>2761</v>
      </c>
      <c r="I444" t="s">
        <v>2762</v>
      </c>
      <c r="J444" t="s">
        <v>1777</v>
      </c>
      <c r="K444" t="s">
        <v>2763</v>
      </c>
      <c r="L444" t="s">
        <v>2764</v>
      </c>
    </row>
    <row r="445" spans="1:12" x14ac:dyDescent="0.2">
      <c r="A445">
        <v>444</v>
      </c>
      <c r="B445">
        <v>45939.440104166701</v>
      </c>
      <c r="C445">
        <v>45939.722847222198</v>
      </c>
      <c r="D445" t="s">
        <v>2765</v>
      </c>
      <c r="E445" t="s">
        <v>2765</v>
      </c>
      <c r="F445" t="s">
        <v>2766</v>
      </c>
      <c r="G445" t="s">
        <v>2767</v>
      </c>
      <c r="I445" t="s">
        <v>2768</v>
      </c>
      <c r="J445" t="s">
        <v>2769</v>
      </c>
      <c r="L445" t="s">
        <v>798</v>
      </c>
    </row>
    <row r="446" spans="1:12" x14ac:dyDescent="0.2">
      <c r="A446">
        <v>445</v>
      </c>
      <c r="B446">
        <v>45938.801412036999</v>
      </c>
      <c r="C446">
        <v>45939.723252314798</v>
      </c>
      <c r="D446" t="s">
        <v>2770</v>
      </c>
      <c r="E446" t="s">
        <v>2770</v>
      </c>
      <c r="F446" t="s">
        <v>2771</v>
      </c>
      <c r="I446" t="s">
        <v>2772</v>
      </c>
      <c r="L446" t="s">
        <v>2773</v>
      </c>
    </row>
    <row r="447" spans="1:12" x14ac:dyDescent="0.2">
      <c r="A447">
        <v>446</v>
      </c>
      <c r="B447">
        <v>45939.575995370396</v>
      </c>
      <c r="C447">
        <v>45939.729375000003</v>
      </c>
      <c r="D447" t="s">
        <v>2774</v>
      </c>
      <c r="E447" t="s">
        <v>2774</v>
      </c>
      <c r="F447" t="s">
        <v>2775</v>
      </c>
      <c r="G447" t="s">
        <v>2776</v>
      </c>
      <c r="H447" t="s">
        <v>2777</v>
      </c>
      <c r="I447" t="s">
        <v>2778</v>
      </c>
      <c r="J447" t="s">
        <v>2776</v>
      </c>
      <c r="K447" t="s">
        <v>2779</v>
      </c>
      <c r="L447" t="s">
        <v>2780</v>
      </c>
    </row>
    <row r="448" spans="1:12" x14ac:dyDescent="0.2">
      <c r="A448">
        <v>447</v>
      </c>
      <c r="B448">
        <v>45939.725694444402</v>
      </c>
      <c r="C448">
        <v>45939.738576388903</v>
      </c>
      <c r="D448" t="s">
        <v>2781</v>
      </c>
      <c r="E448" t="s">
        <v>2781</v>
      </c>
      <c r="F448" t="s">
        <v>2782</v>
      </c>
      <c r="G448" t="s">
        <v>2783</v>
      </c>
      <c r="I448" t="s">
        <v>2784</v>
      </c>
      <c r="J448" t="s">
        <v>2785</v>
      </c>
      <c r="L448" t="s">
        <v>2786</v>
      </c>
    </row>
    <row r="449" spans="1:12" x14ac:dyDescent="0.2">
      <c r="A449">
        <v>448</v>
      </c>
      <c r="B449">
        <v>45939.650486111103</v>
      </c>
      <c r="C449">
        <v>45939.758460648103</v>
      </c>
      <c r="D449" t="s">
        <v>2787</v>
      </c>
      <c r="E449" t="s">
        <v>2787</v>
      </c>
      <c r="F449" t="s">
        <v>2788</v>
      </c>
      <c r="G449" t="s">
        <v>2789</v>
      </c>
      <c r="I449" t="s">
        <v>2790</v>
      </c>
      <c r="J449" t="s">
        <v>2791</v>
      </c>
      <c r="K449" t="s">
        <v>2792</v>
      </c>
      <c r="L449" t="s">
        <v>2793</v>
      </c>
    </row>
    <row r="450" spans="1:12" x14ac:dyDescent="0.2">
      <c r="A450">
        <v>449</v>
      </c>
      <c r="B450">
        <v>45939.779618055603</v>
      </c>
      <c r="C450">
        <v>45939.797939814802</v>
      </c>
      <c r="D450" t="s">
        <v>2794</v>
      </c>
      <c r="E450" t="s">
        <v>2794</v>
      </c>
      <c r="F450" t="s">
        <v>2795</v>
      </c>
      <c r="G450" t="s">
        <v>2796</v>
      </c>
      <c r="I450" t="s">
        <v>2797</v>
      </c>
      <c r="J450" t="s">
        <v>2798</v>
      </c>
      <c r="K450" t="s">
        <v>2799</v>
      </c>
      <c r="L450" t="s">
        <v>2800</v>
      </c>
    </row>
    <row r="451" spans="1:12" x14ac:dyDescent="0.2">
      <c r="A451">
        <v>450</v>
      </c>
      <c r="B451">
        <v>45939.923298611102</v>
      </c>
      <c r="C451">
        <v>45939.933263888903</v>
      </c>
      <c r="D451" t="s">
        <v>2801</v>
      </c>
      <c r="E451" t="s">
        <v>2801</v>
      </c>
      <c r="F451" t="s">
        <v>2802</v>
      </c>
      <c r="I451" t="s">
        <v>2803</v>
      </c>
      <c r="L451" t="s">
        <v>2804</v>
      </c>
    </row>
    <row r="452" spans="1:12" x14ac:dyDescent="0.2">
      <c r="A452">
        <v>451</v>
      </c>
      <c r="B452">
        <v>45939.9223726852</v>
      </c>
      <c r="C452">
        <v>45939.935868055603</v>
      </c>
      <c r="D452" t="s">
        <v>2805</v>
      </c>
      <c r="E452" t="s">
        <v>2805</v>
      </c>
      <c r="F452" t="s">
        <v>2806</v>
      </c>
      <c r="G452" t="s">
        <v>2807</v>
      </c>
      <c r="I452" t="s">
        <v>2808</v>
      </c>
      <c r="J452" t="s">
        <v>2809</v>
      </c>
      <c r="K452" t="s">
        <v>2810</v>
      </c>
    </row>
    <row r="453" spans="1:12" x14ac:dyDescent="0.2">
      <c r="A453">
        <v>452</v>
      </c>
      <c r="B453">
        <v>45939.927465277797</v>
      </c>
      <c r="C453">
        <v>45939.936527777798</v>
      </c>
      <c r="D453" t="s">
        <v>2811</v>
      </c>
      <c r="E453" t="s">
        <v>2811</v>
      </c>
      <c r="F453" t="s">
        <v>2812</v>
      </c>
      <c r="I453" t="s">
        <v>2813</v>
      </c>
      <c r="L453" t="s">
        <v>2814</v>
      </c>
    </row>
    <row r="454" spans="1:12" x14ac:dyDescent="0.2">
      <c r="A454">
        <v>453</v>
      </c>
      <c r="B454">
        <v>45939.875625000001</v>
      </c>
      <c r="C454">
        <v>45939.9390740741</v>
      </c>
      <c r="D454" t="s">
        <v>2815</v>
      </c>
      <c r="E454" t="s">
        <v>2815</v>
      </c>
      <c r="F454" t="s">
        <v>2816</v>
      </c>
      <c r="I454" t="s">
        <v>2817</v>
      </c>
    </row>
    <row r="455" spans="1:12" x14ac:dyDescent="0.2">
      <c r="A455">
        <v>454</v>
      </c>
      <c r="B455">
        <v>45939.957719907397</v>
      </c>
      <c r="C455">
        <v>45939.969178240703</v>
      </c>
      <c r="D455" t="s">
        <v>2818</v>
      </c>
      <c r="E455" t="s">
        <v>2818</v>
      </c>
      <c r="F455" t="s">
        <v>2819</v>
      </c>
      <c r="G455" t="s">
        <v>2820</v>
      </c>
      <c r="I455" t="s">
        <v>2821</v>
      </c>
      <c r="J455" t="s">
        <v>2822</v>
      </c>
    </row>
    <row r="456" spans="1:12" x14ac:dyDescent="0.2">
      <c r="A456">
        <v>455</v>
      </c>
      <c r="B456">
        <v>45939.9932638889</v>
      </c>
      <c r="C456">
        <v>45940.0231712963</v>
      </c>
      <c r="D456" t="s">
        <v>2823</v>
      </c>
      <c r="E456" t="s">
        <v>2823</v>
      </c>
      <c r="F456" t="s">
        <v>2824</v>
      </c>
      <c r="G456" t="s">
        <v>2825</v>
      </c>
      <c r="I456" t="s">
        <v>2826</v>
      </c>
      <c r="J456" t="s">
        <v>2827</v>
      </c>
      <c r="K456" t="s">
        <v>2828</v>
      </c>
    </row>
    <row r="457" spans="1:12" x14ac:dyDescent="0.2">
      <c r="A457">
        <v>456</v>
      </c>
      <c r="B457">
        <v>45930.632395833301</v>
      </c>
      <c r="C457">
        <v>45940.041712963</v>
      </c>
      <c r="D457" t="s">
        <v>2829</v>
      </c>
      <c r="E457" t="s">
        <v>2829</v>
      </c>
      <c r="F457" t="s">
        <v>2830</v>
      </c>
      <c r="G457" t="s">
        <v>2831</v>
      </c>
      <c r="I457" t="s">
        <v>2832</v>
      </c>
      <c r="J457" t="s">
        <v>2833</v>
      </c>
      <c r="K457" t="s">
        <v>2834</v>
      </c>
    </row>
    <row r="458" spans="1:12" x14ac:dyDescent="0.2">
      <c r="A458">
        <v>457</v>
      </c>
      <c r="B458">
        <v>45940.072951388902</v>
      </c>
      <c r="C458">
        <v>45940.111064814802</v>
      </c>
      <c r="D458" t="s">
        <v>2835</v>
      </c>
      <c r="E458" t="s">
        <v>2835</v>
      </c>
      <c r="F458" t="s">
        <v>2836</v>
      </c>
      <c r="G458" t="s">
        <v>2837</v>
      </c>
      <c r="I458" t="s">
        <v>2838</v>
      </c>
      <c r="K458" t="s">
        <v>2839</v>
      </c>
    </row>
    <row r="459" spans="1:12" x14ac:dyDescent="0.2">
      <c r="A459">
        <v>458</v>
      </c>
      <c r="B459">
        <v>45940.095486111102</v>
      </c>
      <c r="C459">
        <v>45940.126203703701</v>
      </c>
      <c r="D459" t="s">
        <v>2840</v>
      </c>
      <c r="E459" t="s">
        <v>2840</v>
      </c>
      <c r="F459" t="s">
        <v>2841</v>
      </c>
      <c r="G459" t="s">
        <v>2842</v>
      </c>
      <c r="I459" t="s">
        <v>2843</v>
      </c>
      <c r="J459" t="s">
        <v>2844</v>
      </c>
      <c r="K459" t="s">
        <v>2845</v>
      </c>
      <c r="L459" t="s">
        <v>2846</v>
      </c>
    </row>
    <row r="460" spans="1:12" x14ac:dyDescent="0.2">
      <c r="A460">
        <v>459</v>
      </c>
      <c r="B460">
        <v>45934.999351851897</v>
      </c>
      <c r="C460">
        <v>45940.152268518497</v>
      </c>
      <c r="D460" t="s">
        <v>2847</v>
      </c>
      <c r="E460" t="s">
        <v>2847</v>
      </c>
      <c r="F460" t="s">
        <v>2848</v>
      </c>
      <c r="G460" t="s">
        <v>2849</v>
      </c>
      <c r="I460" t="s">
        <v>2850</v>
      </c>
      <c r="L460" t="s">
        <v>2851</v>
      </c>
    </row>
    <row r="461" spans="1:12" x14ac:dyDescent="0.2">
      <c r="A461">
        <v>460</v>
      </c>
      <c r="B461">
        <v>45939.685902777797</v>
      </c>
      <c r="C461">
        <v>45940.371597222198</v>
      </c>
      <c r="D461" t="s">
        <v>2852</v>
      </c>
      <c r="E461" t="s">
        <v>2852</v>
      </c>
      <c r="F461" t="s">
        <v>2853</v>
      </c>
      <c r="G461" t="s">
        <v>2854</v>
      </c>
      <c r="I461" t="s">
        <v>2855</v>
      </c>
      <c r="J461" t="s">
        <v>2856</v>
      </c>
    </row>
    <row r="462" spans="1:12" x14ac:dyDescent="0.2">
      <c r="A462">
        <v>461</v>
      </c>
      <c r="B462">
        <v>45939.647256944401</v>
      </c>
      <c r="C462">
        <v>45940.392766203702</v>
      </c>
      <c r="D462" t="s">
        <v>2857</v>
      </c>
      <c r="E462" t="s">
        <v>2857</v>
      </c>
      <c r="F462" t="s">
        <v>2858</v>
      </c>
      <c r="G462" t="s">
        <v>2859</v>
      </c>
      <c r="I462" t="s">
        <v>2860</v>
      </c>
      <c r="J462" t="s">
        <v>2861</v>
      </c>
      <c r="K462" t="s">
        <v>2862</v>
      </c>
      <c r="L462" t="s">
        <v>2863</v>
      </c>
    </row>
    <row r="463" spans="1:12" x14ac:dyDescent="0.2">
      <c r="A463">
        <v>462</v>
      </c>
      <c r="B463">
        <v>45940.378194444398</v>
      </c>
      <c r="C463">
        <v>45940.409664351799</v>
      </c>
      <c r="D463" t="s">
        <v>2864</v>
      </c>
      <c r="E463" t="s">
        <v>2864</v>
      </c>
      <c r="F463" t="s">
        <v>2865</v>
      </c>
      <c r="G463" t="s">
        <v>2866</v>
      </c>
      <c r="I463" t="s">
        <v>2867</v>
      </c>
      <c r="L463" t="s">
        <v>2868</v>
      </c>
    </row>
    <row r="464" spans="1:12" x14ac:dyDescent="0.2">
      <c r="A464">
        <v>463</v>
      </c>
      <c r="B464">
        <v>45940.442037036999</v>
      </c>
      <c r="C464">
        <v>45940.448703703703</v>
      </c>
      <c r="D464" t="s">
        <v>2869</v>
      </c>
      <c r="E464" t="s">
        <v>2869</v>
      </c>
      <c r="F464" t="s">
        <v>2870</v>
      </c>
      <c r="G464" t="s">
        <v>2871</v>
      </c>
      <c r="I464" t="s">
        <v>2872</v>
      </c>
      <c r="J464" t="s">
        <v>2873</v>
      </c>
      <c r="K464" t="s">
        <v>2874</v>
      </c>
    </row>
    <row r="465" spans="1:12" x14ac:dyDescent="0.2">
      <c r="A465">
        <v>464</v>
      </c>
      <c r="B465">
        <v>45940.440509259301</v>
      </c>
      <c r="C465">
        <v>45940.461469907401</v>
      </c>
      <c r="D465" t="s">
        <v>2875</v>
      </c>
      <c r="E465" t="s">
        <v>2875</v>
      </c>
      <c r="F465" t="s">
        <v>2876</v>
      </c>
      <c r="G465" t="s">
        <v>2877</v>
      </c>
      <c r="I465" t="s">
        <v>2878</v>
      </c>
      <c r="J465" t="s">
        <v>2879</v>
      </c>
      <c r="L465" t="s">
        <v>2880</v>
      </c>
    </row>
    <row r="466" spans="1:12" x14ac:dyDescent="0.2">
      <c r="A466">
        <v>465</v>
      </c>
      <c r="B466">
        <v>45940.042743055601</v>
      </c>
      <c r="C466">
        <v>45940.465879629599</v>
      </c>
      <c r="D466" t="s">
        <v>2881</v>
      </c>
      <c r="E466" t="s">
        <v>2881</v>
      </c>
      <c r="F466" t="s">
        <v>2882</v>
      </c>
      <c r="G466" t="s">
        <v>106</v>
      </c>
      <c r="I466" t="s">
        <v>2883</v>
      </c>
      <c r="J466" t="s">
        <v>2884</v>
      </c>
    </row>
    <row r="467" spans="1:12" x14ac:dyDescent="0.2">
      <c r="A467">
        <v>466</v>
      </c>
      <c r="B467">
        <v>45940.476458333302</v>
      </c>
      <c r="C467">
        <v>45940.485752314802</v>
      </c>
      <c r="D467" t="s">
        <v>2885</v>
      </c>
      <c r="E467" t="s">
        <v>2885</v>
      </c>
      <c r="F467" t="s">
        <v>2886</v>
      </c>
      <c r="I467" t="s">
        <v>2887</v>
      </c>
      <c r="J467" t="s">
        <v>2888</v>
      </c>
      <c r="L467" t="s">
        <v>2889</v>
      </c>
    </row>
    <row r="468" spans="1:12" x14ac:dyDescent="0.2">
      <c r="A468">
        <v>467</v>
      </c>
      <c r="B468">
        <v>45940.5180092593</v>
      </c>
      <c r="C468">
        <v>45940.518067129597</v>
      </c>
      <c r="D468" t="s">
        <v>2890</v>
      </c>
      <c r="E468" t="s">
        <v>2890</v>
      </c>
      <c r="F468" t="s">
        <v>2891</v>
      </c>
      <c r="G468" t="s">
        <v>2892</v>
      </c>
      <c r="I468" t="s">
        <v>2893</v>
      </c>
      <c r="J468" t="s">
        <v>2894</v>
      </c>
      <c r="K468" t="s">
        <v>2895</v>
      </c>
      <c r="L468" t="s">
        <v>2896</v>
      </c>
    </row>
    <row r="469" spans="1:12" x14ac:dyDescent="0.2">
      <c r="A469">
        <v>468</v>
      </c>
      <c r="B469">
        <v>45940.403807870403</v>
      </c>
      <c r="C469">
        <v>45940.5293171296</v>
      </c>
      <c r="D469" t="s">
        <v>2897</v>
      </c>
      <c r="E469" t="s">
        <v>2897</v>
      </c>
      <c r="F469" t="s">
        <v>2898</v>
      </c>
      <c r="G469" t="s">
        <v>2899</v>
      </c>
      <c r="I469" t="s">
        <v>2900</v>
      </c>
      <c r="J469" t="s">
        <v>2901</v>
      </c>
      <c r="K469" t="s">
        <v>2902</v>
      </c>
    </row>
    <row r="470" spans="1:12" x14ac:dyDescent="0.2">
      <c r="A470">
        <v>469</v>
      </c>
      <c r="B470">
        <v>45940.5247453704</v>
      </c>
      <c r="C470">
        <v>45940.538935185199</v>
      </c>
      <c r="D470" t="s">
        <v>2903</v>
      </c>
      <c r="E470" t="s">
        <v>2903</v>
      </c>
      <c r="F470" t="s">
        <v>2904</v>
      </c>
      <c r="G470" t="s">
        <v>2905</v>
      </c>
      <c r="H470" t="s">
        <v>2906</v>
      </c>
      <c r="I470" t="s">
        <v>2907</v>
      </c>
      <c r="J470" t="s">
        <v>2908</v>
      </c>
      <c r="K470" t="s">
        <v>2909</v>
      </c>
      <c r="L470" t="s">
        <v>2910</v>
      </c>
    </row>
    <row r="471" spans="1:12" x14ac:dyDescent="0.2">
      <c r="A471">
        <v>470</v>
      </c>
      <c r="B471">
        <v>45940.538541666698</v>
      </c>
      <c r="C471">
        <v>45940.542129629597</v>
      </c>
      <c r="D471" t="s">
        <v>2911</v>
      </c>
      <c r="E471" t="s">
        <v>2911</v>
      </c>
      <c r="F471" t="s">
        <v>2912</v>
      </c>
      <c r="G471" t="s">
        <v>2913</v>
      </c>
      <c r="H471" t="s">
        <v>2914</v>
      </c>
      <c r="I471" t="s">
        <v>2915</v>
      </c>
      <c r="J471" t="s">
        <v>2916</v>
      </c>
      <c r="K471" t="s">
        <v>2917</v>
      </c>
      <c r="L471" t="s">
        <v>2918</v>
      </c>
    </row>
    <row r="472" spans="1:12" x14ac:dyDescent="0.2">
      <c r="A472">
        <v>471</v>
      </c>
      <c r="B472">
        <v>45940.522951388899</v>
      </c>
      <c r="C472">
        <v>45940.542372685202</v>
      </c>
      <c r="D472" t="s">
        <v>2919</v>
      </c>
      <c r="E472" t="s">
        <v>2919</v>
      </c>
      <c r="F472" t="s">
        <v>2920</v>
      </c>
      <c r="G472" t="s">
        <v>2921</v>
      </c>
      <c r="I472" t="s">
        <v>2922</v>
      </c>
      <c r="J472" t="s">
        <v>2923</v>
      </c>
      <c r="K472" t="s">
        <v>2924</v>
      </c>
      <c r="L472" t="s">
        <v>2925</v>
      </c>
    </row>
    <row r="473" spans="1:12" x14ac:dyDescent="0.2">
      <c r="A473">
        <v>472</v>
      </c>
      <c r="B473">
        <v>45939.8851967593</v>
      </c>
      <c r="C473">
        <v>45940.547199074099</v>
      </c>
      <c r="D473" t="s">
        <v>2926</v>
      </c>
      <c r="E473" t="s">
        <v>2926</v>
      </c>
      <c r="F473" t="s">
        <v>2927</v>
      </c>
      <c r="G473" t="s">
        <v>2928</v>
      </c>
      <c r="I473" t="s">
        <v>2929</v>
      </c>
      <c r="J473" t="s">
        <v>2930</v>
      </c>
      <c r="L473" t="s">
        <v>2931</v>
      </c>
    </row>
    <row r="474" spans="1:12" x14ac:dyDescent="0.2">
      <c r="A474">
        <v>473</v>
      </c>
      <c r="B474">
        <v>45930.481122685203</v>
      </c>
      <c r="C474">
        <v>45940.5615972222</v>
      </c>
      <c r="D474" t="s">
        <v>2932</v>
      </c>
      <c r="E474" t="s">
        <v>2932</v>
      </c>
      <c r="F474" t="s">
        <v>2933</v>
      </c>
      <c r="G474" t="s">
        <v>1824</v>
      </c>
      <c r="I474" t="s">
        <v>2934</v>
      </c>
      <c r="J474" t="s">
        <v>1824</v>
      </c>
    </row>
    <row r="475" spans="1:12" x14ac:dyDescent="0.2">
      <c r="A475">
        <v>474</v>
      </c>
      <c r="B475">
        <v>45940.545497685198</v>
      </c>
      <c r="C475">
        <v>45940.565717592603</v>
      </c>
      <c r="D475" t="s">
        <v>2935</v>
      </c>
      <c r="E475" t="s">
        <v>2935</v>
      </c>
      <c r="F475" t="s">
        <v>2936</v>
      </c>
      <c r="G475" t="s">
        <v>2937</v>
      </c>
      <c r="I475" t="s">
        <v>2938</v>
      </c>
      <c r="J475" t="s">
        <v>2939</v>
      </c>
      <c r="L475" t="s">
        <v>2940</v>
      </c>
    </row>
    <row r="476" spans="1:12" x14ac:dyDescent="0.2">
      <c r="A476">
        <v>475</v>
      </c>
      <c r="B476">
        <v>45940.561145833301</v>
      </c>
      <c r="C476">
        <v>45940.584872685198</v>
      </c>
      <c r="D476" t="s">
        <v>2941</v>
      </c>
      <c r="E476" t="s">
        <v>2941</v>
      </c>
      <c r="F476" t="s">
        <v>2942</v>
      </c>
      <c r="G476" t="s">
        <v>2943</v>
      </c>
      <c r="I476" t="s">
        <v>2944</v>
      </c>
      <c r="J476" t="s">
        <v>2945</v>
      </c>
      <c r="K476" t="s">
        <v>2946</v>
      </c>
      <c r="L476" t="s">
        <v>798</v>
      </c>
    </row>
    <row r="477" spans="1:12" x14ac:dyDescent="0.2">
      <c r="A477">
        <v>476</v>
      </c>
      <c r="B477">
        <v>45940.5237962963</v>
      </c>
      <c r="C477">
        <v>45940.592777777798</v>
      </c>
      <c r="D477" t="s">
        <v>2947</v>
      </c>
      <c r="E477" t="s">
        <v>2947</v>
      </c>
      <c r="F477" t="s">
        <v>2948</v>
      </c>
      <c r="G477" t="s">
        <v>2949</v>
      </c>
      <c r="I477" t="s">
        <v>2950</v>
      </c>
      <c r="J477" t="s">
        <v>2951</v>
      </c>
      <c r="K477" t="s">
        <v>2952</v>
      </c>
      <c r="L477" t="s">
        <v>2953</v>
      </c>
    </row>
    <row r="478" spans="1:12" x14ac:dyDescent="0.2">
      <c r="A478">
        <v>477</v>
      </c>
      <c r="B478">
        <v>45940.594074074099</v>
      </c>
      <c r="C478">
        <v>45940.612962963001</v>
      </c>
      <c r="D478" t="s">
        <v>2954</v>
      </c>
      <c r="E478" t="s">
        <v>2954</v>
      </c>
      <c r="F478" t="s">
        <v>2955</v>
      </c>
      <c r="G478" t="s">
        <v>2956</v>
      </c>
      <c r="I478" t="s">
        <v>2957</v>
      </c>
      <c r="J478" t="s">
        <v>2956</v>
      </c>
      <c r="K478" t="s">
        <v>2958</v>
      </c>
      <c r="L478" t="s">
        <v>2959</v>
      </c>
    </row>
    <row r="479" spans="1:12" x14ac:dyDescent="0.2">
      <c r="A479">
        <v>478</v>
      </c>
      <c r="B479">
        <v>45940.6157060185</v>
      </c>
      <c r="C479">
        <v>45940.619328703702</v>
      </c>
      <c r="D479" t="s">
        <v>2960</v>
      </c>
      <c r="E479" t="s">
        <v>2960</v>
      </c>
      <c r="F479" t="s">
        <v>2961</v>
      </c>
      <c r="I479" t="s">
        <v>2962</v>
      </c>
      <c r="L479" t="s">
        <v>2963</v>
      </c>
    </row>
    <row r="480" spans="1:12" x14ac:dyDescent="0.2">
      <c r="A480">
        <v>479</v>
      </c>
      <c r="B480">
        <v>45940.6030439815</v>
      </c>
      <c r="C480">
        <v>45940.619733796302</v>
      </c>
      <c r="D480" t="s">
        <v>2964</v>
      </c>
      <c r="E480" t="s">
        <v>2964</v>
      </c>
      <c r="F480" t="s">
        <v>2965</v>
      </c>
      <c r="I480" t="s">
        <v>2966</v>
      </c>
      <c r="L480" t="s">
        <v>2967</v>
      </c>
    </row>
    <row r="481" spans="1:12" x14ac:dyDescent="0.2">
      <c r="A481">
        <v>480</v>
      </c>
      <c r="B481">
        <v>45940.589849536998</v>
      </c>
      <c r="C481">
        <v>45940.621909722198</v>
      </c>
      <c r="D481" t="s">
        <v>2968</v>
      </c>
      <c r="E481" t="s">
        <v>2968</v>
      </c>
      <c r="F481" t="s">
        <v>2969</v>
      </c>
      <c r="G481" t="s">
        <v>2970</v>
      </c>
      <c r="I481" t="s">
        <v>2971</v>
      </c>
      <c r="L481" t="s">
        <v>2972</v>
      </c>
    </row>
    <row r="482" spans="1:12" x14ac:dyDescent="0.2">
      <c r="A482">
        <v>481</v>
      </c>
      <c r="B482">
        <v>45940.620972222197</v>
      </c>
      <c r="C482">
        <v>45940.638726851903</v>
      </c>
      <c r="D482" t="s">
        <v>2973</v>
      </c>
      <c r="E482" t="s">
        <v>2973</v>
      </c>
      <c r="F482" t="s">
        <v>2974</v>
      </c>
      <c r="G482" t="s">
        <v>2975</v>
      </c>
      <c r="I482" t="s">
        <v>2976</v>
      </c>
      <c r="J482" t="s">
        <v>2977</v>
      </c>
      <c r="K482" t="s">
        <v>2978</v>
      </c>
      <c r="L482" t="s">
        <v>2979</v>
      </c>
    </row>
    <row r="483" spans="1:12" x14ac:dyDescent="0.2">
      <c r="A483">
        <v>482</v>
      </c>
      <c r="B483">
        <v>45940.611689814803</v>
      </c>
      <c r="C483">
        <v>45940.6499189815</v>
      </c>
      <c r="D483" t="s">
        <v>2980</v>
      </c>
      <c r="E483" t="s">
        <v>2980</v>
      </c>
      <c r="F483" t="s">
        <v>2981</v>
      </c>
      <c r="G483" t="s">
        <v>2982</v>
      </c>
      <c r="I483" t="s">
        <v>2983</v>
      </c>
      <c r="J483" t="s">
        <v>2984</v>
      </c>
      <c r="K483" t="s">
        <v>2985</v>
      </c>
    </row>
    <row r="484" spans="1:12" x14ac:dyDescent="0.2">
      <c r="A484">
        <v>483</v>
      </c>
      <c r="B484">
        <v>45940.630960648101</v>
      </c>
      <c r="C484">
        <v>45940.664409722202</v>
      </c>
      <c r="D484" t="s">
        <v>2986</v>
      </c>
      <c r="E484" t="s">
        <v>2986</v>
      </c>
      <c r="F484" t="s">
        <v>2987</v>
      </c>
      <c r="G484" t="s">
        <v>2988</v>
      </c>
      <c r="I484" t="s">
        <v>2989</v>
      </c>
      <c r="J484" t="s">
        <v>2990</v>
      </c>
      <c r="K484" t="s">
        <v>2991</v>
      </c>
      <c r="L484" t="s">
        <v>2045</v>
      </c>
    </row>
    <row r="485" spans="1:12" x14ac:dyDescent="0.2">
      <c r="A485">
        <v>484</v>
      </c>
      <c r="B485">
        <v>45940.687928240703</v>
      </c>
      <c r="C485">
        <v>45940.695347222201</v>
      </c>
      <c r="D485" t="s">
        <v>2992</v>
      </c>
      <c r="E485" t="s">
        <v>2992</v>
      </c>
      <c r="F485" t="s">
        <v>2993</v>
      </c>
      <c r="G485" t="s">
        <v>2994</v>
      </c>
      <c r="H485" t="s">
        <v>2995</v>
      </c>
      <c r="I485" t="s">
        <v>2996</v>
      </c>
      <c r="J485" t="s">
        <v>2997</v>
      </c>
      <c r="L485" t="s">
        <v>1520</v>
      </c>
    </row>
    <row r="486" spans="1:12" x14ac:dyDescent="0.2">
      <c r="A486">
        <v>485</v>
      </c>
      <c r="B486">
        <v>45940.448553240698</v>
      </c>
      <c r="C486">
        <v>45940.697800925896</v>
      </c>
      <c r="D486" t="s">
        <v>2998</v>
      </c>
      <c r="E486" t="s">
        <v>2998</v>
      </c>
      <c r="F486" t="s">
        <v>2999</v>
      </c>
      <c r="G486" t="s">
        <v>3000</v>
      </c>
      <c r="H486" t="s">
        <v>3001</v>
      </c>
      <c r="I486" t="s">
        <v>3002</v>
      </c>
      <c r="J486" t="s">
        <v>3003</v>
      </c>
      <c r="K486" t="s">
        <v>3004</v>
      </c>
      <c r="L486" t="s">
        <v>3005</v>
      </c>
    </row>
    <row r="487" spans="1:12" x14ac:dyDescent="0.2">
      <c r="A487">
        <v>486</v>
      </c>
      <c r="B487">
        <v>45940.5912731481</v>
      </c>
      <c r="C487">
        <v>45940.698599536998</v>
      </c>
      <c r="D487" t="s">
        <v>3006</v>
      </c>
      <c r="E487" t="s">
        <v>3006</v>
      </c>
      <c r="F487" t="s">
        <v>3007</v>
      </c>
      <c r="G487" t="s">
        <v>3008</v>
      </c>
      <c r="I487" t="s">
        <v>3009</v>
      </c>
      <c r="J487" t="s">
        <v>3010</v>
      </c>
      <c r="K487" t="s">
        <v>3011</v>
      </c>
      <c r="L487" t="s">
        <v>3012</v>
      </c>
    </row>
    <row r="488" spans="1:12" x14ac:dyDescent="0.2">
      <c r="A488">
        <v>487</v>
      </c>
      <c r="B488">
        <v>45940.682951388902</v>
      </c>
      <c r="C488">
        <v>45940.706458333298</v>
      </c>
      <c r="D488" t="s">
        <v>3013</v>
      </c>
      <c r="E488" t="s">
        <v>3013</v>
      </c>
      <c r="F488" t="s">
        <v>3014</v>
      </c>
      <c r="G488" t="s">
        <v>3015</v>
      </c>
      <c r="I488" t="s">
        <v>3016</v>
      </c>
      <c r="J488" t="s">
        <v>3017</v>
      </c>
      <c r="K488" t="s">
        <v>3018</v>
      </c>
      <c r="L488" t="s">
        <v>3019</v>
      </c>
    </row>
    <row r="489" spans="1:12" x14ac:dyDescent="0.2">
      <c r="A489">
        <v>488</v>
      </c>
      <c r="B489">
        <v>45940.695034722201</v>
      </c>
      <c r="C489">
        <v>45940.711192129602</v>
      </c>
      <c r="D489" t="s">
        <v>3020</v>
      </c>
      <c r="E489" t="s">
        <v>3020</v>
      </c>
      <c r="F489" t="s">
        <v>3021</v>
      </c>
      <c r="I489" t="s">
        <v>3022</v>
      </c>
      <c r="L489" t="s">
        <v>346</v>
      </c>
    </row>
    <row r="490" spans="1:12" x14ac:dyDescent="0.2">
      <c r="A490">
        <v>489</v>
      </c>
      <c r="B490">
        <v>45940.715312499997</v>
      </c>
      <c r="C490">
        <v>45940.718020833301</v>
      </c>
      <c r="D490" t="s">
        <v>3023</v>
      </c>
      <c r="E490" t="s">
        <v>3023</v>
      </c>
      <c r="F490" t="s">
        <v>3024</v>
      </c>
      <c r="I490" t="s">
        <v>3025</v>
      </c>
      <c r="L490" t="s">
        <v>3026</v>
      </c>
    </row>
    <row r="491" spans="1:12" x14ac:dyDescent="0.2">
      <c r="A491">
        <v>490</v>
      </c>
      <c r="B491">
        <v>45940.666666666701</v>
      </c>
      <c r="C491">
        <v>45940.720810185201</v>
      </c>
      <c r="D491" t="s">
        <v>3027</v>
      </c>
      <c r="E491" t="s">
        <v>3027</v>
      </c>
      <c r="F491" t="s">
        <v>3028</v>
      </c>
      <c r="G491" t="s">
        <v>3029</v>
      </c>
      <c r="I491" t="s">
        <v>3030</v>
      </c>
      <c r="J491" t="s">
        <v>3031</v>
      </c>
      <c r="K491" t="s">
        <v>3032</v>
      </c>
      <c r="L491" t="s">
        <v>3033</v>
      </c>
    </row>
    <row r="492" spans="1:12" x14ac:dyDescent="0.2">
      <c r="A492">
        <v>491</v>
      </c>
      <c r="B492">
        <v>45940.711666666699</v>
      </c>
      <c r="C492">
        <v>45940.722662036998</v>
      </c>
      <c r="D492" t="s">
        <v>3034</v>
      </c>
      <c r="E492" t="s">
        <v>3034</v>
      </c>
      <c r="F492" t="s">
        <v>3035</v>
      </c>
      <c r="G492" t="s">
        <v>3036</v>
      </c>
      <c r="I492" t="s">
        <v>3037</v>
      </c>
    </row>
    <row r="493" spans="1:12" x14ac:dyDescent="0.2">
      <c r="A493">
        <v>492</v>
      </c>
      <c r="B493">
        <v>45940.7128703704</v>
      </c>
      <c r="C493">
        <v>45940.732314814799</v>
      </c>
      <c r="D493" t="s">
        <v>3038</v>
      </c>
      <c r="E493" t="s">
        <v>3038</v>
      </c>
      <c r="F493" t="s">
        <v>3039</v>
      </c>
      <c r="I493" t="s">
        <v>3040</v>
      </c>
    </row>
    <row r="494" spans="1:12" x14ac:dyDescent="0.2">
      <c r="A494">
        <v>493</v>
      </c>
      <c r="B494">
        <v>45940.7214930556</v>
      </c>
      <c r="C494">
        <v>45940.734490740702</v>
      </c>
      <c r="D494" t="s">
        <v>3041</v>
      </c>
      <c r="E494" t="s">
        <v>3041</v>
      </c>
      <c r="F494" t="s">
        <v>3042</v>
      </c>
      <c r="G494" t="s">
        <v>3043</v>
      </c>
      <c r="I494" t="s">
        <v>3044</v>
      </c>
      <c r="J494" t="s">
        <v>3045</v>
      </c>
      <c r="K494" t="s">
        <v>3046</v>
      </c>
    </row>
    <row r="495" spans="1:12" x14ac:dyDescent="0.2">
      <c r="A495">
        <v>494</v>
      </c>
      <c r="B495">
        <v>45940.683344907397</v>
      </c>
      <c r="C495">
        <v>45940.736504629604</v>
      </c>
      <c r="D495" t="s">
        <v>3047</v>
      </c>
      <c r="E495" t="s">
        <v>3047</v>
      </c>
      <c r="F495" t="s">
        <v>3048</v>
      </c>
      <c r="G495" t="s">
        <v>3049</v>
      </c>
      <c r="H495" t="s">
        <v>211</v>
      </c>
      <c r="I495" t="s">
        <v>3050</v>
      </c>
      <c r="J495" t="s">
        <v>3051</v>
      </c>
      <c r="L495" t="s">
        <v>3052</v>
      </c>
    </row>
    <row r="496" spans="1:12" x14ac:dyDescent="0.2">
      <c r="A496">
        <v>495</v>
      </c>
      <c r="B496">
        <v>45940.734965277799</v>
      </c>
      <c r="C496">
        <v>45940.7401157407</v>
      </c>
      <c r="D496" t="s">
        <v>3053</v>
      </c>
      <c r="E496" t="s">
        <v>3053</v>
      </c>
      <c r="F496" t="s">
        <v>3054</v>
      </c>
      <c r="I496" t="s">
        <v>3055</v>
      </c>
      <c r="L496" t="s">
        <v>341</v>
      </c>
    </row>
    <row r="497" spans="1:12" x14ac:dyDescent="0.2">
      <c r="A497">
        <v>496</v>
      </c>
      <c r="B497">
        <v>45940.726412037002</v>
      </c>
      <c r="C497">
        <v>45940.741840277798</v>
      </c>
      <c r="D497" t="s">
        <v>3056</v>
      </c>
      <c r="E497" t="s">
        <v>3057</v>
      </c>
      <c r="F497" t="s">
        <v>3058</v>
      </c>
      <c r="G497" t="s">
        <v>3059</v>
      </c>
      <c r="I497" t="s">
        <v>3060</v>
      </c>
      <c r="J497" t="s">
        <v>3061</v>
      </c>
      <c r="L497" t="s">
        <v>3062</v>
      </c>
    </row>
    <row r="498" spans="1:12" x14ac:dyDescent="0.2">
      <c r="A498">
        <v>497</v>
      </c>
      <c r="B498">
        <v>45940.717094907399</v>
      </c>
      <c r="C498">
        <v>45940.746215277803</v>
      </c>
      <c r="D498" t="s">
        <v>3063</v>
      </c>
      <c r="E498" t="s">
        <v>3063</v>
      </c>
      <c r="F498" t="s">
        <v>3064</v>
      </c>
      <c r="I498" t="s">
        <v>3065</v>
      </c>
      <c r="L498" t="s">
        <v>3066</v>
      </c>
    </row>
    <row r="499" spans="1:12" x14ac:dyDescent="0.2">
      <c r="A499">
        <v>498</v>
      </c>
      <c r="B499">
        <v>45930.483043981498</v>
      </c>
      <c r="C499">
        <v>45940.747488425899</v>
      </c>
      <c r="D499" t="s">
        <v>3067</v>
      </c>
      <c r="E499" t="s">
        <v>3067</v>
      </c>
      <c r="F499" t="s">
        <v>3068</v>
      </c>
      <c r="G499" t="s">
        <v>3069</v>
      </c>
      <c r="I499" t="s">
        <v>3070</v>
      </c>
      <c r="J499" t="s">
        <v>3071</v>
      </c>
      <c r="L499" t="s">
        <v>3072</v>
      </c>
    </row>
    <row r="500" spans="1:12" x14ac:dyDescent="0.2">
      <c r="A500">
        <v>499</v>
      </c>
      <c r="B500">
        <v>45940.787094907399</v>
      </c>
      <c r="C500">
        <v>45940.789710648103</v>
      </c>
      <c r="D500" t="s">
        <v>3073</v>
      </c>
      <c r="E500" t="s">
        <v>3073</v>
      </c>
      <c r="F500" t="s">
        <v>3074</v>
      </c>
      <c r="G500" t="s">
        <v>3075</v>
      </c>
      <c r="I500" t="s">
        <v>3076</v>
      </c>
      <c r="J500" t="s">
        <v>3077</v>
      </c>
    </row>
    <row r="501" spans="1:12" x14ac:dyDescent="0.2">
      <c r="A501">
        <v>500</v>
      </c>
      <c r="B501">
        <v>45940.771574074097</v>
      </c>
      <c r="C501">
        <v>45940.796319444402</v>
      </c>
      <c r="D501" t="s">
        <v>3078</v>
      </c>
      <c r="E501" t="s">
        <v>3078</v>
      </c>
      <c r="F501" t="s">
        <v>3079</v>
      </c>
      <c r="I501" t="s">
        <v>3080</v>
      </c>
      <c r="J501" t="s">
        <v>3081</v>
      </c>
      <c r="L501" t="s">
        <v>3082</v>
      </c>
    </row>
    <row r="502" spans="1:12" x14ac:dyDescent="0.2">
      <c r="A502">
        <v>501</v>
      </c>
      <c r="B502">
        <v>45940.775787036997</v>
      </c>
      <c r="C502">
        <v>45940.801446759302</v>
      </c>
      <c r="D502" t="s">
        <v>3083</v>
      </c>
      <c r="E502" t="s">
        <v>3083</v>
      </c>
      <c r="F502" t="s">
        <v>3084</v>
      </c>
      <c r="G502" t="s">
        <v>3085</v>
      </c>
      <c r="I502" t="s">
        <v>3086</v>
      </c>
      <c r="J502" t="s">
        <v>3087</v>
      </c>
      <c r="K502" t="s">
        <v>3088</v>
      </c>
      <c r="L502" t="s">
        <v>3089</v>
      </c>
    </row>
    <row r="503" spans="1:12" x14ac:dyDescent="0.2">
      <c r="A503">
        <v>502</v>
      </c>
      <c r="B503">
        <v>45940.811041666697</v>
      </c>
      <c r="C503">
        <v>45940.827662037002</v>
      </c>
      <c r="D503" t="s">
        <v>3090</v>
      </c>
      <c r="E503" t="s">
        <v>3090</v>
      </c>
      <c r="F503" t="s">
        <v>3091</v>
      </c>
      <c r="G503" t="s">
        <v>91</v>
      </c>
      <c r="I503" t="s">
        <v>3092</v>
      </c>
      <c r="J503" t="s">
        <v>3093</v>
      </c>
    </row>
    <row r="504" spans="1:12" x14ac:dyDescent="0.2">
      <c r="A504">
        <v>503</v>
      </c>
      <c r="B504">
        <v>45940.834351851903</v>
      </c>
      <c r="C504">
        <v>45940.847094907404</v>
      </c>
      <c r="D504" t="s">
        <v>3094</v>
      </c>
      <c r="E504" t="s">
        <v>3094</v>
      </c>
      <c r="F504" t="s">
        <v>3095</v>
      </c>
      <c r="G504" t="s">
        <v>3096</v>
      </c>
      <c r="I504" t="s">
        <v>3097</v>
      </c>
      <c r="J504" t="s">
        <v>3098</v>
      </c>
    </row>
    <row r="505" spans="1:12" x14ac:dyDescent="0.2">
      <c r="A505">
        <v>504</v>
      </c>
      <c r="B505">
        <v>45940.830972222197</v>
      </c>
      <c r="C505">
        <v>45940.848888888897</v>
      </c>
      <c r="D505" t="s">
        <v>3099</v>
      </c>
      <c r="E505" t="s">
        <v>3099</v>
      </c>
      <c r="F505" t="s">
        <v>3100</v>
      </c>
      <c r="G505" t="s">
        <v>3101</v>
      </c>
      <c r="H505" t="s">
        <v>3102</v>
      </c>
      <c r="I505" t="s">
        <v>3103</v>
      </c>
      <c r="J505" t="s">
        <v>3104</v>
      </c>
      <c r="L505" t="s">
        <v>3105</v>
      </c>
    </row>
    <row r="506" spans="1:12" x14ac:dyDescent="0.2">
      <c r="A506">
        <v>505</v>
      </c>
      <c r="B506">
        <v>45940.840925925899</v>
      </c>
      <c r="C506">
        <v>45940.851446759298</v>
      </c>
      <c r="D506" t="s">
        <v>3106</v>
      </c>
      <c r="E506" t="s">
        <v>3106</v>
      </c>
      <c r="F506" t="s">
        <v>3107</v>
      </c>
      <c r="I506" t="s">
        <v>3108</v>
      </c>
      <c r="L506" t="s">
        <v>3109</v>
      </c>
    </row>
    <row r="507" spans="1:12" x14ac:dyDescent="0.2">
      <c r="A507">
        <v>506</v>
      </c>
      <c r="B507">
        <v>45939.976435185199</v>
      </c>
      <c r="C507">
        <v>45940.852349537003</v>
      </c>
      <c r="D507" t="s">
        <v>3110</v>
      </c>
      <c r="E507" t="s">
        <v>3110</v>
      </c>
      <c r="F507" t="s">
        <v>3111</v>
      </c>
      <c r="G507" t="s">
        <v>1423</v>
      </c>
      <c r="I507" t="s">
        <v>3112</v>
      </c>
      <c r="J507" t="s">
        <v>3113</v>
      </c>
      <c r="K507" t="s">
        <v>3114</v>
      </c>
      <c r="L507" t="s">
        <v>1015</v>
      </c>
    </row>
    <row r="508" spans="1:12" x14ac:dyDescent="0.2">
      <c r="A508">
        <v>507</v>
      </c>
      <c r="B508">
        <v>45940.843287037002</v>
      </c>
      <c r="C508">
        <v>45940.874918981499</v>
      </c>
      <c r="D508" t="s">
        <v>3115</v>
      </c>
      <c r="E508" t="s">
        <v>3115</v>
      </c>
      <c r="F508" t="s">
        <v>3116</v>
      </c>
      <c r="G508" t="s">
        <v>3117</v>
      </c>
      <c r="I508" t="s">
        <v>3118</v>
      </c>
      <c r="J508" t="s">
        <v>3119</v>
      </c>
      <c r="K508" t="s">
        <v>3120</v>
      </c>
      <c r="L508" t="s">
        <v>3121</v>
      </c>
    </row>
    <row r="509" spans="1:12" x14ac:dyDescent="0.2">
      <c r="A509">
        <v>508</v>
      </c>
      <c r="B509">
        <v>45940.861817129597</v>
      </c>
      <c r="C509">
        <v>45940.875277777799</v>
      </c>
      <c r="D509" t="s">
        <v>3122</v>
      </c>
      <c r="E509" t="s">
        <v>3122</v>
      </c>
      <c r="F509" t="s">
        <v>3123</v>
      </c>
      <c r="G509" t="s">
        <v>106</v>
      </c>
      <c r="I509" t="s">
        <v>3124</v>
      </c>
      <c r="J509" t="s">
        <v>3125</v>
      </c>
      <c r="K509" t="s">
        <v>3126</v>
      </c>
    </row>
    <row r="510" spans="1:12" x14ac:dyDescent="0.2">
      <c r="A510">
        <v>509</v>
      </c>
      <c r="B510">
        <v>45940.879398148099</v>
      </c>
      <c r="C510">
        <v>45940.883321759298</v>
      </c>
      <c r="D510" t="s">
        <v>3127</v>
      </c>
      <c r="E510" t="s">
        <v>3128</v>
      </c>
      <c r="F510" t="s">
        <v>3129</v>
      </c>
      <c r="I510" t="s">
        <v>3130</v>
      </c>
    </row>
    <row r="511" spans="1:12" x14ac:dyDescent="0.2">
      <c r="A511">
        <v>510</v>
      </c>
      <c r="B511">
        <v>45940.811932870398</v>
      </c>
      <c r="C511">
        <v>45940.889166666697</v>
      </c>
      <c r="D511" t="s">
        <v>3131</v>
      </c>
      <c r="E511" t="s">
        <v>3131</v>
      </c>
      <c r="F511" t="s">
        <v>3132</v>
      </c>
      <c r="G511" t="s">
        <v>3133</v>
      </c>
      <c r="I511" t="s">
        <v>3134</v>
      </c>
      <c r="J511" t="s">
        <v>3135</v>
      </c>
      <c r="K511" t="s">
        <v>3136</v>
      </c>
      <c r="L511" t="s">
        <v>3137</v>
      </c>
    </row>
    <row r="512" spans="1:12" x14ac:dyDescent="0.2">
      <c r="A512">
        <v>511</v>
      </c>
      <c r="B512">
        <v>45940.897569444402</v>
      </c>
      <c r="C512">
        <v>45940.897650462997</v>
      </c>
      <c r="D512" t="s">
        <v>3138</v>
      </c>
      <c r="E512" t="s">
        <v>3138</v>
      </c>
      <c r="F512" t="s">
        <v>3139</v>
      </c>
      <c r="I512" t="s">
        <v>3140</v>
      </c>
      <c r="J512" t="s">
        <v>3141</v>
      </c>
    </row>
    <row r="513" spans="1:12" x14ac:dyDescent="0.2">
      <c r="A513">
        <v>512</v>
      </c>
      <c r="B513">
        <v>45940.828229166698</v>
      </c>
      <c r="C513">
        <v>45940.905613425901</v>
      </c>
      <c r="D513" t="s">
        <v>3142</v>
      </c>
      <c r="E513" t="s">
        <v>3142</v>
      </c>
      <c r="F513" t="s">
        <v>3143</v>
      </c>
      <c r="G513" t="s">
        <v>3144</v>
      </c>
      <c r="I513" t="s">
        <v>3145</v>
      </c>
      <c r="J513" t="s">
        <v>3146</v>
      </c>
      <c r="K513" t="s">
        <v>3147</v>
      </c>
      <c r="L513" t="s">
        <v>3148</v>
      </c>
    </row>
    <row r="514" spans="1:12" x14ac:dyDescent="0.2">
      <c r="A514">
        <v>513</v>
      </c>
      <c r="B514">
        <v>45940.877939814804</v>
      </c>
      <c r="C514">
        <v>45940.914710648103</v>
      </c>
      <c r="D514" t="s">
        <v>3149</v>
      </c>
      <c r="E514" t="s">
        <v>3149</v>
      </c>
      <c r="F514" t="s">
        <v>3150</v>
      </c>
      <c r="G514" t="s">
        <v>3151</v>
      </c>
      <c r="I514" t="s">
        <v>3152</v>
      </c>
      <c r="J514" t="s">
        <v>3153</v>
      </c>
      <c r="K514" t="s">
        <v>3154</v>
      </c>
    </row>
    <row r="515" spans="1:12" x14ac:dyDescent="0.2">
      <c r="A515">
        <v>514</v>
      </c>
      <c r="B515">
        <v>45940.917268518497</v>
      </c>
      <c r="C515">
        <v>45940.923009259299</v>
      </c>
      <c r="D515" t="s">
        <v>3155</v>
      </c>
      <c r="E515" t="s">
        <v>3155</v>
      </c>
      <c r="F515" t="s">
        <v>3156</v>
      </c>
      <c r="G515" t="s">
        <v>3157</v>
      </c>
      <c r="I515" t="s">
        <v>3158</v>
      </c>
      <c r="J515" t="s">
        <v>3159</v>
      </c>
    </row>
    <row r="516" spans="1:12" x14ac:dyDescent="0.2">
      <c r="A516">
        <v>515</v>
      </c>
      <c r="B516">
        <v>45940.923796296302</v>
      </c>
      <c r="C516">
        <v>45940.924027777801</v>
      </c>
      <c r="D516" t="s">
        <v>3160</v>
      </c>
      <c r="E516" t="s">
        <v>3160</v>
      </c>
      <c r="F516" t="s">
        <v>3161</v>
      </c>
      <c r="G516" t="s">
        <v>3162</v>
      </c>
      <c r="H516" t="s">
        <v>3163</v>
      </c>
      <c r="I516" t="s">
        <v>3164</v>
      </c>
      <c r="J516" t="s">
        <v>3165</v>
      </c>
      <c r="K516" t="s">
        <v>3166</v>
      </c>
      <c r="L516" t="s">
        <v>3167</v>
      </c>
    </row>
    <row r="517" spans="1:12" x14ac:dyDescent="0.2">
      <c r="A517">
        <v>516</v>
      </c>
      <c r="B517">
        <v>45940.927453703698</v>
      </c>
      <c r="C517">
        <v>45940.927523148101</v>
      </c>
      <c r="D517" t="s">
        <v>3168</v>
      </c>
      <c r="E517" t="s">
        <v>3168</v>
      </c>
      <c r="F517" t="s">
        <v>3169</v>
      </c>
      <c r="G517" t="s">
        <v>3170</v>
      </c>
      <c r="I517" t="s">
        <v>3171</v>
      </c>
      <c r="J517" t="s">
        <v>3172</v>
      </c>
      <c r="K517" t="s">
        <v>3173</v>
      </c>
      <c r="L517" t="s">
        <v>3174</v>
      </c>
    </row>
    <row r="518" spans="1:12" x14ac:dyDescent="0.2">
      <c r="A518">
        <v>517</v>
      </c>
      <c r="B518">
        <v>45940.909097222197</v>
      </c>
      <c r="C518">
        <v>45940.927893518499</v>
      </c>
      <c r="D518" t="s">
        <v>3175</v>
      </c>
      <c r="E518" t="s">
        <v>3175</v>
      </c>
      <c r="F518" t="s">
        <v>3176</v>
      </c>
      <c r="G518" t="s">
        <v>3177</v>
      </c>
      <c r="I518" t="s">
        <v>3178</v>
      </c>
      <c r="J518" t="s">
        <v>3179</v>
      </c>
      <c r="K518" t="s">
        <v>3180</v>
      </c>
    </row>
    <row r="519" spans="1:12" x14ac:dyDescent="0.2">
      <c r="A519">
        <v>518</v>
      </c>
      <c r="B519">
        <v>45940.914594907401</v>
      </c>
      <c r="C519">
        <v>45940.9301388889</v>
      </c>
      <c r="D519" t="s">
        <v>3181</v>
      </c>
      <c r="E519" t="s">
        <v>3181</v>
      </c>
      <c r="F519" t="s">
        <v>3182</v>
      </c>
      <c r="I519" t="s">
        <v>3183</v>
      </c>
      <c r="L519" t="s">
        <v>3184</v>
      </c>
    </row>
    <row r="520" spans="1:12" x14ac:dyDescent="0.2">
      <c r="A520">
        <v>519</v>
      </c>
      <c r="B520">
        <v>45940.947013888901</v>
      </c>
      <c r="C520">
        <v>45940.956898148099</v>
      </c>
      <c r="D520" t="s">
        <v>3185</v>
      </c>
      <c r="E520" t="s">
        <v>3185</v>
      </c>
      <c r="F520" t="s">
        <v>3186</v>
      </c>
      <c r="G520" t="s">
        <v>3187</v>
      </c>
      <c r="H520" t="s">
        <v>346</v>
      </c>
      <c r="I520" t="s">
        <v>3188</v>
      </c>
      <c r="J520" t="s">
        <v>3189</v>
      </c>
      <c r="K520" t="s">
        <v>3190</v>
      </c>
      <c r="L520" t="s">
        <v>3191</v>
      </c>
    </row>
    <row r="521" spans="1:12" x14ac:dyDescent="0.2">
      <c r="A521">
        <v>520</v>
      </c>
      <c r="B521">
        <v>45940.955428240697</v>
      </c>
      <c r="C521">
        <v>45940.957430555602</v>
      </c>
      <c r="D521" t="s">
        <v>3192</v>
      </c>
      <c r="E521" t="s">
        <v>3192</v>
      </c>
      <c r="F521" t="s">
        <v>3193</v>
      </c>
      <c r="G521" t="s">
        <v>3194</v>
      </c>
      <c r="I521" t="s">
        <v>3195</v>
      </c>
      <c r="J521" t="s">
        <v>3196</v>
      </c>
      <c r="K521" t="s">
        <v>3197</v>
      </c>
      <c r="L521" t="s">
        <v>3198</v>
      </c>
    </row>
    <row r="522" spans="1:12" x14ac:dyDescent="0.2">
      <c r="A522">
        <v>521</v>
      </c>
      <c r="B522">
        <v>45940.940763888902</v>
      </c>
      <c r="C522">
        <v>45940.960405092599</v>
      </c>
      <c r="D522" t="s">
        <v>3199</v>
      </c>
      <c r="E522" t="s">
        <v>3199</v>
      </c>
      <c r="F522" t="s">
        <v>3200</v>
      </c>
      <c r="G522" t="s">
        <v>3201</v>
      </c>
      <c r="I522" t="s">
        <v>3202</v>
      </c>
      <c r="J522" t="s">
        <v>3203</v>
      </c>
      <c r="L522" t="s">
        <v>3204</v>
      </c>
    </row>
    <row r="523" spans="1:12" x14ac:dyDescent="0.2">
      <c r="A523">
        <v>522</v>
      </c>
      <c r="B523">
        <v>45940.963333333297</v>
      </c>
      <c r="C523">
        <v>45940.963437500002</v>
      </c>
      <c r="D523" t="s">
        <v>3205</v>
      </c>
      <c r="E523" t="s">
        <v>3205</v>
      </c>
      <c r="F523" t="s">
        <v>3206</v>
      </c>
      <c r="G523" t="s">
        <v>3207</v>
      </c>
      <c r="I523" t="s">
        <v>3208</v>
      </c>
      <c r="L523" t="s">
        <v>3209</v>
      </c>
    </row>
    <row r="524" spans="1:12" x14ac:dyDescent="0.2">
      <c r="A524">
        <v>523</v>
      </c>
      <c r="B524">
        <v>45940.923842592601</v>
      </c>
      <c r="C524">
        <v>45940.9789930556</v>
      </c>
      <c r="D524" t="s">
        <v>3210</v>
      </c>
      <c r="E524" t="s">
        <v>3210</v>
      </c>
      <c r="F524" t="s">
        <v>3211</v>
      </c>
      <c r="G524" t="s">
        <v>3212</v>
      </c>
      <c r="I524" t="s">
        <v>3213</v>
      </c>
      <c r="J524" t="s">
        <v>3214</v>
      </c>
      <c r="K524" t="s">
        <v>3215</v>
      </c>
      <c r="L524" t="s">
        <v>3216</v>
      </c>
    </row>
    <row r="525" spans="1:12" x14ac:dyDescent="0.2">
      <c r="A525">
        <v>524</v>
      </c>
      <c r="B525">
        <v>45940.980162036998</v>
      </c>
      <c r="C525">
        <v>45940.980219907397</v>
      </c>
      <c r="D525" t="s">
        <v>3217</v>
      </c>
      <c r="E525" t="s">
        <v>3217</v>
      </c>
      <c r="F525" t="s">
        <v>3218</v>
      </c>
      <c r="I525" t="s">
        <v>3219</v>
      </c>
    </row>
    <row r="526" spans="1:12" x14ac:dyDescent="0.2">
      <c r="A526">
        <v>525</v>
      </c>
      <c r="B526">
        <v>45940.968460648102</v>
      </c>
      <c r="C526">
        <v>45940.985706018502</v>
      </c>
      <c r="D526" t="s">
        <v>3220</v>
      </c>
      <c r="E526" t="s">
        <v>3220</v>
      </c>
      <c r="F526" t="s">
        <v>3221</v>
      </c>
      <c r="G526" t="s">
        <v>3222</v>
      </c>
      <c r="I526" t="s">
        <v>3223</v>
      </c>
      <c r="J526" t="s">
        <v>3224</v>
      </c>
      <c r="K526" t="s">
        <v>3225</v>
      </c>
      <c r="L526" t="s">
        <v>3226</v>
      </c>
    </row>
    <row r="527" spans="1:12" x14ac:dyDescent="0.2">
      <c r="A527">
        <v>526</v>
      </c>
      <c r="B527">
        <v>45940.976134259297</v>
      </c>
      <c r="C527">
        <v>45940.988368055601</v>
      </c>
      <c r="D527" t="s">
        <v>3227</v>
      </c>
      <c r="E527" t="s">
        <v>3227</v>
      </c>
      <c r="F527" t="s">
        <v>3228</v>
      </c>
      <c r="G527" t="s">
        <v>3229</v>
      </c>
      <c r="H527" t="s">
        <v>3230</v>
      </c>
      <c r="I527" t="s">
        <v>3231</v>
      </c>
      <c r="L527" t="s">
        <v>3232</v>
      </c>
    </row>
    <row r="528" spans="1:12" x14ac:dyDescent="0.2">
      <c r="A528">
        <v>527</v>
      </c>
      <c r="B528">
        <v>45940.967557870397</v>
      </c>
      <c r="C528">
        <v>45940.992349537002</v>
      </c>
      <c r="D528" t="s">
        <v>3233</v>
      </c>
      <c r="E528" t="s">
        <v>3233</v>
      </c>
      <c r="F528" t="s">
        <v>3234</v>
      </c>
      <c r="G528" t="s">
        <v>3235</v>
      </c>
      <c r="H528" t="s">
        <v>798</v>
      </c>
      <c r="I528" t="s">
        <v>3236</v>
      </c>
      <c r="J528" t="s">
        <v>3237</v>
      </c>
      <c r="K528" t="s">
        <v>3238</v>
      </c>
      <c r="L528" t="s">
        <v>3239</v>
      </c>
    </row>
    <row r="529" spans="1:12" x14ac:dyDescent="0.2">
      <c r="A529">
        <v>528</v>
      </c>
      <c r="B529">
        <v>45940.858796296299</v>
      </c>
      <c r="C529">
        <v>45940.992407407401</v>
      </c>
      <c r="D529" t="s">
        <v>3240</v>
      </c>
      <c r="E529" t="s">
        <v>3240</v>
      </c>
      <c r="F529" t="s">
        <v>3241</v>
      </c>
      <c r="G529" t="s">
        <v>3242</v>
      </c>
      <c r="I529" t="s">
        <v>3243</v>
      </c>
      <c r="J529" t="s">
        <v>3244</v>
      </c>
      <c r="K529" t="s">
        <v>3245</v>
      </c>
      <c r="L529" t="s">
        <v>3246</v>
      </c>
    </row>
    <row r="530" spans="1:12" x14ac:dyDescent="0.2">
      <c r="A530">
        <v>529</v>
      </c>
      <c r="B530">
        <v>45940.643842592603</v>
      </c>
      <c r="C530">
        <v>45940.998171296298</v>
      </c>
      <c r="D530" t="s">
        <v>3247</v>
      </c>
      <c r="E530" t="s">
        <v>3247</v>
      </c>
      <c r="F530" t="s">
        <v>3248</v>
      </c>
      <c r="G530" t="s">
        <v>3249</v>
      </c>
      <c r="I530" t="s">
        <v>3250</v>
      </c>
      <c r="J530" t="s">
        <v>3251</v>
      </c>
      <c r="K530" t="s">
        <v>3252</v>
      </c>
      <c r="L530" t="s">
        <v>3253</v>
      </c>
    </row>
    <row r="531" spans="1:12" x14ac:dyDescent="0.2">
      <c r="A531">
        <v>530</v>
      </c>
      <c r="B531">
        <v>45941.201076388897</v>
      </c>
      <c r="C531">
        <v>45941.219386574099</v>
      </c>
      <c r="D531" t="s">
        <v>3254</v>
      </c>
      <c r="E531" t="s">
        <v>3254</v>
      </c>
      <c r="F531" t="s">
        <v>3255</v>
      </c>
      <c r="G531" t="s">
        <v>3256</v>
      </c>
      <c r="H531" t="s">
        <v>3257</v>
      </c>
      <c r="I531" t="s">
        <v>3258</v>
      </c>
    </row>
  </sheetData>
  <phoneticPr fontId="1"/>
  <pageMargins left="0.7" right="0.7" top="0.75" bottom="0.75" header="0.3" footer="0.3"/>
</worksheet>
</file>

<file path=xl/worksheets/sheet2.xml><?xml version="1.0" encoding="utf-8"?>
<x:worksheet xmlns:x="http://schemas.openxmlformats.org/spreadsheetml/2006/main">
  <x:sheetData>
    <x:row r="1">
      <x:c r="A1" t="inlineStr">
        <x:is>
          <x:t xml:space="preserve">RecordType</x:t>
        </x:is>
      </x:c>
      <x:c r="B1" t="inlineStr">
        <x:is>
          <x:t xml:space="preserve">Path</x:t>
        </x:is>
      </x:c>
      <x:c r="C1" t="inlineStr">
        <x:is>
          <x:t xml:space="preserve">NodeId</x:t>
        </x:is>
      </x:c>
      <x:c r="D1" t="inlineStr">
        <x:is>
          <x:t xml:space="preserve">ParentNodeId</x:t>
        </x:is>
      </x:c>
      <x:c r="E1" t="inlineStr">
        <x:is>
          <x:t xml:space="preserve">DisplayName</x:t>
        </x:is>
      </x:c>
      <x:c r="F1" t="inlineStr">
        <x:is>
          <x:t xml:space="preserve">Revision</x:t>
        </x:is>
      </x:c>
      <x:c r="G1" t="inlineStr">
        <x:is>
          <x:t xml:space="preserve">ContentText</x:t>
        </x:is>
      </x:c>
      <x:c r="H1" t="inlineStr">
        <x:is>
          <x:t xml:space="preserve">PromptTemplate</x:t>
        </x:is>
      </x:c>
      <x:c r="I1" t="inlineStr">
        <x:is>
          <x:t xml:space="preserve">BuiltInTemplateVersion</x:t>
        </x:is>
      </x:c>
      <x:c r="J1" t="inlineStr">
        <x:is>
          <x:t xml:space="preserve">EvaluatorType</x:t>
        </x:is>
      </x:c>
      <x:c r="K1" t="inlineStr">
        <x:is>
          <x:t xml:space="preserve">SourceSheet</x:t>
        </x:is>
      </x:c>
      <x:c r="L1" t="inlineStr">
        <x:is>
          <x:t xml:space="preserve">HeaderRow</x:t>
        </x:is>
      </x:c>
      <x:c r="M1" t="inlineStr">
        <x:is>
          <x:t xml:space="preserve">FirstDataRow</x:t>
        </x:is>
      </x:c>
      <x:c r="N1" t="inlineStr">
        <x:is>
          <x:t xml:space="preserve">LastDataRow</x:t>
        </x:is>
      </x:c>
      <x:c r="O1" t="inlineStr">
        <x:is>
          <x:t xml:space="preserve">PrimarySourceColumn</x:t>
        </x:is>
      </x:c>
      <x:c r="P1" t="inlineStr">
        <x:is>
          <x:t xml:space="preserve">SupportingSourceColumn</x:t>
        </x:is>
      </x:c>
      <x:c r="Q1" t="inlineStr">
        <x:is>
          <x:t xml:space="preserve">Enabled</x:t>
        </x:is>
      </x:c>
      <x:c r="R1" t="inlineStr">
        <x:is>
          <x:t xml:space="preserve">RawWeight</x:t>
        </x:is>
      </x:c>
      <x:c r="S1" t="inlineStr">
        <x:is>
          <x:t xml:space="preserve">EffectiveMinimum</x:t>
        </x:is>
      </x:c>
      <x:c r="T1" t="inlineStr">
        <x:is>
          <x:t xml:space="preserve">EffectiveMaximum</x:t>
        </x:is>
      </x:c>
      <x:c r="U1" t="inlineStr">
        <x:is>
          <x:t xml:space="preserve">RoundingDigits</x:t>
        </x:is>
      </x:c>
      <x:c r="V1" t="inlineStr">
        <x:is>
          <x:t xml:space="preserve">SchemaVersion</x:t>
        </x:is>
      </x:c>
      <x:c r="W1" t="inlineStr">
        <x:is>
          <x:t xml:space="preserve">DefinitionSha256</x:t>
        </x:is>
      </x:c>
      <x:c r="X1" t="inlineStr">
        <x:is>
          <x:t xml:space="preserve">ChunkIndex</x:t>
        </x:is>
      </x:c>
      <x:c r="Y1" t="inlineStr">
        <x:is>
          <x:t xml:space="preserve">SnapshotChunk</x:t>
        </x:is>
      </x:c>
    </x:row>
    <x:row r="2">
      <x:c r="A2" t="inlineStr">
        <x:is>
          <x:t xml:space="preserve">DEFINITION</x:t>
        </x:is>
      </x:c>
      <x:c r="B2" t="inlineStr">
        <x:is>
          <x:t xml:space="preserve">$</x:t>
        </x:is>
      </x:c>
      <x:c r="C2" t="inlineStr">
        <x:is>
          <x:t xml:space="preserve">DEF-ATTACHED-TECHNICAL-SYSTEM-TEST</x:t>
        </x:is>
      </x:c>
      <x:c r="E2" t="inlineStr">
        <x:is>
          <x:t xml:space="preserve">Technical system test - local midpoint - not for grading</x:t>
        </x:is>
      </x:c>
      <x:c r="F2" t="inlineStr">
        <x:is>
          <x:t xml:space="preserve">20260901-0912</x:t>
        </x:is>
      </x:c>
      <x:c r="K2" t="inlineStr">
        <x:is>
          <x:t xml:space="preserve">Original</x:t>
        </x:is>
      </x:c>
      <x:c r="L2" t="n">
        <x:v>1</x:v>
      </x:c>
      <x:c r="M2" t="n">
        <x:v>2</x:v>
      </x:c>
      <x:c r="N2" t="n">
        <x:v>531</x:v>
      </x:c>
      <x:c r="U2" t="n">
        <x:v>2</x:v>
      </x:c>
      <x:c r="V2" t="inlineStr">
        <x:is>
          <x:t xml:space="preserve">3.0</x:t>
        </x:is>
      </x:c>
      <x:c r="W2" t="inlineStr">
        <x:is>
          <x:t xml:space="preserve">F98C6ABFC670E764EDCAAADCDEA9DC08F9E055C1C8DB1851C884923229FF4291</x:t>
        </x:is>
      </x:c>
    </x:row>
    <x:row r="3">
      <x:c r="A3" t="inlineStr">
        <x:is>
          <x:t xml:space="preserve">CANONICAL_JSON</x:t>
        </x:is>
      </x:c>
      <x:c r="B3" t="inlineStr">
        <x:is>
          <x:t xml:space="preserve">$</x:t>
        </x:is>
      </x:c>
      <x:c r="C3" t="inlineStr">
        <x:is>
          <x:t xml:space="preserve">DEF-ATTACHED-TECHNICAL-SYSTEM-TEST</x:t>
        </x:is>
      </x:c>
      <x:c r="X3" t="n">
        <x:v>1</x:v>
      </x:c>
      <x:c r="Y3" t="inlineStr">
        <x:is>
          <x:t xml:space="preserve">{"schemaVersion":"3.0","id":"DEF-ATTACHED-TECHNICAL-SYSTEM-TEST","name":"Technical system test - local midpoint - not for grading","revision":"20260901-0912","sourceSheet":"Original","headerRow":1,"firstDataRow":2,"lastDataRow":531,"roundingDigits":2,"questions":[{"id":"Q-ATTACHED-01","displayName":"Attached workbook question 01","questionText":"\u30BD\u30D5\u30C8\u30A6\u30A7\u30A2\u3067\u306E\u5B9F\u88C5\u624B\u6BB5\u3068\u3057\u3066\u3001\u30D7\u30ED\u30B0\u30E9\u30DF\u30F3\u30B0\u3068\u6A5F\u68B0\u5B66\u7FD2\u306E\u9055\u3044\u306B\u3064\u3044\u3066\u306E\u8FF0\u3079\u3066\u304F\u3060\u3055\u3044\u3002\u4F8B\u3048\u3070\u3001\u306A\u305C\u6A5F\u68B0\u5B66\u7FD2\u3068\u3044\u3046\u624B\u6CD5\u304C\u51FA\u3066\u304D\u305F\u306E\u304B? \u4F8B\u3048\u3070\u3001\u5B9F\u73FE\u3067\u304D\u308B\u4E8B\u306E\u9055\u3044\u3001\u306A\u3069\u3002\u751F\u6210AI\u3092\u4F7F\u7528\u3057\u305F\u5834\u5408\u306F\u3001\u305D\u306E\u7D50\u679C\u3068\u3057\u3066\u306E\u30EC\u30DD\u30FC\u30C8\u306F\u3053\u3053\u306B\u306A\u308A\u307E\u3059\u3002","primarySourceColumn":"F","supportingSourceColumns":[],"weight":1,"enabled":true,"evaluators":[{"id":"E-ATTACHED-01-01","displayName":"Knowledge coverage","type":"KNOWLEDGE_COVERAGE","weight":1,"range":{"minimum":0,"maximum":10},"builtInTemplateVersion":"knowledge-v1","customPromptTemplate":null,"enabled":true,"criteria":[{"id":"C-ATTACHED-01-01-01","displayName":"\u77E5\u8B58\u30DD\u30A4\u30F3\u30C8 1","description":"\u56DE\u7B54\u5185\u3067\u8AAC\u660E\u30FB\u95A2\u4FC2\u30FB\u9069\u7528\u3092\u78BA\u8A8D\u3059\u308B\u77E5\u8B58\u30DD\u30A4\u30F3\u30C8","weight":1,"range":null,"enabled":true}]}]},{"id":"Q-ATTACHED-02","displayName":"Attached workbook question 02","questionText":"[\u5FC5\u9808\u3067\u306F\u306A\u3044] \u8A2D\u554F(1) \u4F5C\u6210\u306E\u305F\u3081\u306B\u3001\u751F\u6210AI\u306B\u5165\u529B\u3057\u305FPrompt","primarySourceColumn":"G","supportingSourceColumns":[],"weight":1,"enabled":true,"evaluators":[{"id":"E-ATTACHED-02-01","displayName":"Prompt \u5206\u6790","type":"CUSTOM_PROMPT","weight":1,"range":{"minimum":0,"maximum":10},"builtInTemplateVersion":null,"customPromptTemplate":"\u6B21\u306E\u8A2D\u554F\u306B\u5BFE\u3057\u3066\u4F5C\u6210\u3055\u308C\u305FPrompt\u3092\u5206\u6790\u3057\u3066\u304F\u3060\u3055\u3044\u3002\r\n\u8A55\u4FA1\u9805\u76EE\u3054\u3068\u306B\u3001\u305D\u306EPrompt\u304C\u5FC5\u8981\u306A\u8996\u70B9\u3092\u5F15\u304D\u51FA\u305B\u308B\u5177\u4F53\u6027\u3001\u8AD6\u7406\u6027\u3001\u5B9F\u884C\u53EF\u80FD\u6027\u3092\u6307\u5B9Arange\u5185\u3067\u6570\u5024\u5316\u3057\u3066\u304F\u3060\u3055\u3044\u3002\r\n\u88DC\u52A9\u60C5\u5831\u306BPrompt\u4F5C\u6210\u6642\u306E\u5DE5\u592B\u30FB\u89B3\u70B9\u30FB\u8AD6\u70B9\u304C\u3042\u308B\u5834\u5408\u306F\u3001\u305D\u308C\u3092\u91CD\u8981\u306A\u8A55\u4FA1\u60C5\u5831\u3068\u3057\u3066\u4F7F\u3044\u3001\u5B9F\u969B\u306EPrompt\u3078\u53CD\u6620\u3055\u308C\u3066\u3044\u308B\u304B\u3092\u8A55\u4FA1\u3057\u3066\u304F\u3060\u3055\u3044\u3002\r\n\u5404\u8A55\u4FA1\u9805\u76EE\u306B\u3064\u3044\u3066\u77ED\u3044\u7406\u7531\u3068\u3001\u8A55\u4FA1\u5BFE\u8C61\u56DE\u7B54\u307E\u305F\u306F\u88DC\u52A9\u60C5\u5831\u5185\u306E\u6839\u62E0\u3092\u8FD4\u3057\u3066\u304F\u3060\u3055\u3044\u3002\r\n\r\n### \u8A2D\u554F\r\n{\u8A2D\u554F}\r\n\r\n### \u8A55\u4FA1\u5BFE\u8C61Prompt\r\n{\u56DE\u7B54}\r\n\r\n### \u88DC\u52A9\u60C5\u5831\r\n{\u88DC\u52A9\u60C5\u5831}\r\n\r\n### \u8A55\u4FA1\u9805\u76EE\r\n{\u8A55\u4FA1\u9805\u76EE}","enabled":true,"criteria":[{"id":"C-ATTACHED-02-01-01","displayName":"\u5177\u4F53\u6027\u3068\u5B9F\u884C\u53EF\u80FD\u6027","description":"\u5FC5\u8981\u306A\u8996\u70B9\u3092\u5F15\u304D\u51FA\u3059\u5177\u4F53\u6027\u3001\u8AD6\u7406\u6027\u3001\u5B9F\u884C\u53EF\u80FD\u6027","weight":1,"range":null,"enabled":true}]}]},{"id":"Q-ATTACHED-03","displayName":"Attached workbook question 03","questionText":"\u8CEA\u554F","primarySourceColumn":"H","supportingSourceColumns":[],"weight":1,"enabled":true,"evaluators":[{"id":"E-ATTACHED-03-01","displayName":"Knowledge coverage","type":"KNOWLEDGE_COVERAGE","weight":1,"range":{"minimum":0,"maximum":10},"builtInTemplateVersion":"knowledge-v1","customPromptTemplate":null,"enabled":true,"criteria":[{"id":"C-ATTACHED-03-01-01","displayName":"\u77E5\u8B58\u30DD\u30A4\u30F3\u30C8 1","description":"\u56DE\u7B54\u5185\u3067\u8AAC\u660E\u30FB\u95A2\u4FC2\u30FB\u9069\u7528\u3092\u78BA\u8A8D\u3059\u308B\u77E5\u8B58\u30DD\u30A4\u30F3\u30C8","weight":1,"range":null,"enabled":true}]}]},{"id":"Q-ATTACHED-04","displayName":"Attached workbook question 04","questionText":"\u5B9F\u4E16\u754C (\u793E\u4F1A\u3084\u4F01\u696D\u30FB\u7D44\u7E54\u306A\u3069)\u00A0\u3067\u306E\u6A5F\u68B0\u5B66\u7FD2(AI)\u306E\u5229\u7528\u72B6\u6CC11\u3064\u3092\u8ABF\u67FB\u3002\u3069\u3093\u306A\u5834\u9762\u3067\u3001\u3069\u3093\u306A\u6280\u8853\u304C\u3001\u3069\u3093\u306A\u4F7F\u308F\u308C\u65B9\u3092\u3057\u3066\u3044\u308B\u306E\u304B? \u306A\u305C\u3001\u6A5F\u68B0\u5B66\u7FD2\u3092\u4F7F\u3063\u305F\u306E\u304B?","primarySourceColumn":"I","supportingSourceColumns":[],"weight":1,"enabled":true,"evaluators":[{"id":"E-ATTACHED-04-01","displayName":"Knowledge coverage","type":"KNOWLEDGE_COVERAGE","weight":1,"range":{"minimum":0,"maximum":10},"builtInTemplateVersion":"knowledge-v1","customPromptTemplate":null,"enabled":true,"criteria":[{"id":"C-ATTACHED-04-01-01","displayName":"\u77E5\u8B58\u30DD\u30A4\u30F3\u30C8 1","description":"\u56DE\u7B54\u5185\u3067\u8AAC\u660E\u30FB\u95A2\u4FC2\u30FB\u9069\u7528\u3092\u78BA\u8A8D\u3059\u308B\u77E5\u8B58\u30DD\u30A4\u30F3\u30C8","weight":1,"range":null,"enabled":true}]}]},{"id":"Q-ATTACHED-05","displayName":"Attached workbook question 05","questionText":"[\u5FC5\u9808\u3067\u306F\u306A\u3044] \u8A2D\u554F(4) \u4F5C\u6210\u306E\u305F\u3081\u306B\u3001\u751F\u6210AI\u306B\u5165\u529B\u3057\u305FPrompt","primarySourceColumn":"J","supportingSourceColumns":["K"],"weight":1,"enabled":true,"evaluators":[{"id":"E-ATTACHED-05-01","displayName":"Prompt \u5206\u6790","type":"CUSTOM_PROMPT","weight":1,"range":{"minimum":0,"maximum":10},"builtInTemplateVersion":null,"customPromptTemplate":"\u6B21\u306E\u8A2D\u554F\u306B\u5BFE\u3057\u3066\u4F5C\u6210\u3055\u308C\u305FPrompt\u3092\u5206\u6790\u3057\u3066\u304F\u3060\u3055\u3044\u3002\r\n\u8A55\u4FA1\u9805\u76EE\u3054\u3068\u306B\u3001\u305D\u306EPrompt\u304C\u5FC5\u8981\u306A\u8996\u70B9\u3092\u5F15\u304D\u51FA\u305B\u308B\u5177\u4F53\u6027\u3001\u8AD6\u7406\u6027\u3001\u5B9F\u884C\u53EF\u80FD\u6027\u3092\u6307\u5B9Arange\u5185\u3067\u6570\u5024\u5316\u3057\u3066\u304F\u3060\u3055\u3044\u3002\r\n\u88DC\u52A9\u60C5\u5831\u306BPrompt\u4F5C\u6210\u6642\u306E\u5DE5\u592B\u30FB\u89B3\u70B9\u30FB\u8AD6\u70B9\u304C\u3042\u308B\u5834\u5408\u306F\u3001\u305D\u308C\u3092\u91CD\u8981\u306A\u8A55\u4FA1\u60C5\u5831\u3068\u3057\u3066\u4F7F\u3044\u3001\u5B9F\u969B\u306EPrompt\u3078\u53CD\u6620\u3055\u308C\u3066\u3044\u308B\u304B\u3092\u8A55\u4FA1\u3057\u3066\u304F\u3060\u3055\u3044\u3002\r\n\u5404\u8A55\u4FA1\u9805\u76EE\u306B\u3064\u3044\u3066\u77ED\u3044\u7406\u7531\u3068\u3001\u8A55\u4FA1\u5BFE\u8C61\u56DE\u7B54\u307E\u305F\u306F\u88DC\u52A9\u60C5\u5831\u5185\u306E\u6839\u62E0\u3092\u8FD4\u3057\u3066\u304F\u3060\u3055\u3044\u3002\r\n\r\n### \u8A2D\u554F\r\n{\u8A2D\u554F}\r\n\r\n### \u8A55\u4FA1\u5BFE\u8C61Prompt\r\n{\u56DE\u7B54}\r\n\r\n### \u88DC\u52A9\u60C5\u5831\r\n{\u88DC\u52A9\u60C5\u5831}\r\n\r\n### \u8A55\u4FA1\u9805\u76EE\r\n{\u8A55\u4FA1\u9805\u76EE}","enabled":true,"criteria":[{"id":"C-ATTACHED-05-01-01","displayName":"\u5177\u4F53\u6027\u3068\u5B9F\u884C\u53EF\u80FD\u6027","description":"\u5FC5\u8981\u306A\u8996\u70B9\u3092\u5F15\u304D\u51FA\u3059\u5177\u4F53\u6027\u3001\u8AD6\u7406\u6027\u3001\u5B9F\u884C\u53EF\u80FD\u6027","weight":1,"range":null,"enabled":true}]}]}]}</x:t>
        </x:is>
      </x:c>
    </x:row>
    <x:row r="4">
      <x:c r="A4" t="inlineStr">
        <x:is>
          <x:t xml:space="preserve">QUESTION</x:t>
        </x:is>
      </x:c>
      <x:c r="B4" t="inlineStr">
        <x:is>
          <x:t xml:space="preserve">$.questions[0]</x:t>
        </x:is>
      </x:c>
      <x:c r="C4" t="inlineStr">
        <x:is>
          <x:t xml:space="preserve">Q-ATTACHED-01</x:t>
        </x:is>
      </x:c>
      <x:c r="D4" t="inlineStr">
        <x:is>
          <x:t xml:space="preserve">DEF-ATTACHED-TECHNICAL-SYSTEM-TEST</x:t>
        </x:is>
      </x:c>
      <x:c r="E4" t="inlineStr">
        <x:is>
          <x:t xml:space="preserve">Attached workbook question 01</x:t>
        </x:is>
      </x:c>
      <x:c r="G4" t="inlineStr">
        <x:is>
          <x:t xml:space="preserve">ソフトウェアでの実装手段として、プログラミングと機械学習の違いについての述べてください。例えば、なぜ機械学習という手法が出てきたのか? 例えば、実現できる事の違い、など。生成AIを使用した場合は、その結果としてのレポートはここになります。</x:t>
        </x:is>
      </x:c>
      <x:c r="O4" t="inlineStr">
        <x:is>
          <x:t xml:space="preserve">F</x:t>
        </x:is>
      </x:c>
      <x:c r="Q4" t="b">
        <x:v>1</x:v>
      </x:c>
      <x:c r="R4" t="n">
        <x:v>1</x:v>
      </x:c>
    </x:row>
    <x:row r="5">
      <x:c r="A5" t="inlineStr">
        <x:is>
          <x:t xml:space="preserve">EVALUATOR</x:t>
        </x:is>
      </x:c>
      <x:c r="B5" t="inlineStr">
        <x:is>
          <x:t xml:space="preserve">$.questions[0].evaluators[0]</x:t>
        </x:is>
      </x:c>
      <x:c r="C5" t="inlineStr">
        <x:is>
          <x:t xml:space="preserve">E-ATTACHED-01-01</x:t>
        </x:is>
      </x:c>
      <x:c r="D5" t="inlineStr">
        <x:is>
          <x:t xml:space="preserve">Q-ATTACHED-01</x:t>
        </x:is>
      </x:c>
      <x:c r="E5" t="inlineStr">
        <x:is>
          <x:t xml:space="preserve">Knowledge coverage</x:t>
        </x:is>
      </x:c>
      <x:c r="I5" t="inlineStr">
        <x:is>
          <x:t xml:space="preserve">knowledge-v1</x:t>
        </x:is>
      </x:c>
      <x:c r="J5" t="inlineStr">
        <x:is>
          <x:t xml:space="preserve">KNOWLEDGE_COVERAGE</x:t>
        </x:is>
      </x:c>
      <x:c r="Q5" t="b">
        <x:v>1</x:v>
      </x:c>
      <x:c r="R5" t="n">
        <x:v>1</x:v>
      </x:c>
      <x:c r="S5" t="n">
        <x:v>0</x:v>
      </x:c>
      <x:c r="T5" t="n">
        <x:v>10</x:v>
      </x:c>
    </x:row>
    <x:row r="6">
      <x:c r="A6" t="inlineStr">
        <x:is>
          <x:t xml:space="preserve">CRITERION</x:t>
        </x:is>
      </x:c>
      <x:c r="B6" t="inlineStr">
        <x:is>
          <x:t xml:space="preserve">$.questions[0].evaluators[0].criteria[0]</x:t>
        </x:is>
      </x:c>
      <x:c r="C6" t="inlineStr">
        <x:is>
          <x:t xml:space="preserve">C-ATTACHED-01-01-01</x:t>
        </x:is>
      </x:c>
      <x:c r="D6" t="inlineStr">
        <x:is>
          <x:t xml:space="preserve">E-ATTACHED-01-01</x:t>
        </x:is>
      </x:c>
      <x:c r="E6" t="inlineStr">
        <x:is>
          <x:t xml:space="preserve">知識ポイント 1</x:t>
        </x:is>
      </x:c>
      <x:c r="G6" t="inlineStr">
        <x:is>
          <x:t xml:space="preserve">回答内で説明・関係・適用を確認する知識ポイント</x:t>
        </x:is>
      </x:c>
      <x:c r="Q6" t="b">
        <x:v>1</x:v>
      </x:c>
      <x:c r="R6" t="n">
        <x:v>1</x:v>
      </x:c>
      <x:c r="S6" t="n">
        <x:v>0</x:v>
      </x:c>
      <x:c r="T6" t="n">
        <x:v>10</x:v>
      </x:c>
    </x:row>
    <x:row r="7">
      <x:c r="A7" t="inlineStr">
        <x:is>
          <x:t xml:space="preserve">QUESTION</x:t>
        </x:is>
      </x:c>
      <x:c r="B7" t="inlineStr">
        <x:is>
          <x:t xml:space="preserve">$.questions[1]</x:t>
        </x:is>
      </x:c>
      <x:c r="C7" t="inlineStr">
        <x:is>
          <x:t xml:space="preserve">Q-ATTACHED-02</x:t>
        </x:is>
      </x:c>
      <x:c r="D7" t="inlineStr">
        <x:is>
          <x:t xml:space="preserve">DEF-ATTACHED-TECHNICAL-SYSTEM-TEST</x:t>
        </x:is>
      </x:c>
      <x:c r="E7" t="inlineStr">
        <x:is>
          <x:t xml:space="preserve">Attached workbook question 02</x:t>
        </x:is>
      </x:c>
      <x:c r="G7" t="inlineStr">
        <x:is>
          <x:t xml:space="preserve">[必須ではない] 設問(1) 作成のために、生成AIに入力したPrompt</x:t>
        </x:is>
      </x:c>
      <x:c r="O7" t="inlineStr">
        <x:is>
          <x:t xml:space="preserve">G</x:t>
        </x:is>
      </x:c>
      <x:c r="Q7" t="b">
        <x:v>1</x:v>
      </x:c>
      <x:c r="R7" t="n">
        <x:v>1</x:v>
      </x:c>
    </x:row>
    <x:row r="8">
      <x:c r="A8" t="inlineStr">
        <x:is>
          <x:t xml:space="preserve">EVALUATOR</x:t>
        </x:is>
      </x:c>
      <x:c r="B8" t="inlineStr">
        <x:is>
          <x:t xml:space="preserve">$.questions[1].evaluators[0]</x:t>
        </x:is>
      </x:c>
      <x:c r="C8" t="inlineStr">
        <x:is>
          <x:t xml:space="preserve">E-ATTACHED-02-01</x:t>
        </x:is>
      </x:c>
      <x:c r="D8" t="inlineStr">
        <x:is>
          <x:t xml:space="preserve">Q-ATTACHED-02</x:t>
        </x:is>
      </x:c>
      <x:c r="E8" t="inlineStr">
        <x:is>
          <x:t xml:space="preserve">Prompt 分析</x:t>
        </x:is>
      </x:c>
      <x:c r="H8" t="inlineStr">
        <x:is>
          <x:t xml:space="preserve">次の設問に対して作成されたPromptを分析してください。
評価項目ごとに、そのPromptが必要な視点を引き出せる具体性、論理性、実行可能性を指定range内で数値化してください。
補助情報にPrompt作成時の工夫・観点・論点がある場合は、それを重要な評価情報として使い、実際のPromptへ反映されているかを評価してください。
各評価項目について短い理由と、評価対象回答または補助情報内の根拠を返してください。
### 設問
{設問}
### 評価対象Prompt
{回答}
### 補助情報
{補助情報}
### 評価項目
{評価項目}</x:t>
        </x:is>
      </x:c>
      <x:c r="J8" t="inlineStr">
        <x:is>
          <x:t xml:space="preserve">CUSTOM_PROMPT</x:t>
        </x:is>
      </x:c>
      <x:c r="Q8" t="b">
        <x:v>1</x:v>
      </x:c>
      <x:c r="R8" t="n">
        <x:v>1</x:v>
      </x:c>
      <x:c r="S8" t="n">
        <x:v>0</x:v>
      </x:c>
      <x:c r="T8" t="n">
        <x:v>10</x:v>
      </x:c>
    </x:row>
    <x:row r="9">
      <x:c r="A9" t="inlineStr">
        <x:is>
          <x:t xml:space="preserve">CRITERION</x:t>
        </x:is>
      </x:c>
      <x:c r="B9" t="inlineStr">
        <x:is>
          <x:t xml:space="preserve">$.questions[1].evaluators[0].criteria[0]</x:t>
        </x:is>
      </x:c>
      <x:c r="C9" t="inlineStr">
        <x:is>
          <x:t xml:space="preserve">C-ATTACHED-02-01-01</x:t>
        </x:is>
      </x:c>
      <x:c r="D9" t="inlineStr">
        <x:is>
          <x:t xml:space="preserve">E-ATTACHED-02-01</x:t>
        </x:is>
      </x:c>
      <x:c r="E9" t="inlineStr">
        <x:is>
          <x:t xml:space="preserve">具体性と実行可能性</x:t>
        </x:is>
      </x:c>
      <x:c r="G9" t="inlineStr">
        <x:is>
          <x:t xml:space="preserve">必要な視点を引き出す具体性、論理性、実行可能性</x:t>
        </x:is>
      </x:c>
      <x:c r="Q9" t="b">
        <x:v>1</x:v>
      </x:c>
      <x:c r="R9" t="n">
        <x:v>1</x:v>
      </x:c>
      <x:c r="S9" t="n">
        <x:v>0</x:v>
      </x:c>
      <x:c r="T9" t="n">
        <x:v>10</x:v>
      </x:c>
    </x:row>
    <x:row r="10">
      <x:c r="A10" t="inlineStr">
        <x:is>
          <x:t xml:space="preserve">QUESTION</x:t>
        </x:is>
      </x:c>
      <x:c r="B10" t="inlineStr">
        <x:is>
          <x:t xml:space="preserve">$.questions[2]</x:t>
        </x:is>
      </x:c>
      <x:c r="C10" t="inlineStr">
        <x:is>
          <x:t xml:space="preserve">Q-ATTACHED-03</x:t>
        </x:is>
      </x:c>
      <x:c r="D10" t="inlineStr">
        <x:is>
          <x:t xml:space="preserve">DEF-ATTACHED-TECHNICAL-SYSTEM-TEST</x:t>
        </x:is>
      </x:c>
      <x:c r="E10" t="inlineStr">
        <x:is>
          <x:t xml:space="preserve">Attached workbook question 03</x:t>
        </x:is>
      </x:c>
      <x:c r="G10" t="inlineStr">
        <x:is>
          <x:t xml:space="preserve">質問</x:t>
        </x:is>
      </x:c>
      <x:c r="O10" t="inlineStr">
        <x:is>
          <x:t xml:space="preserve">H</x:t>
        </x:is>
      </x:c>
      <x:c r="Q10" t="b">
        <x:v>1</x:v>
      </x:c>
      <x:c r="R10" t="n">
        <x:v>1</x:v>
      </x:c>
    </x:row>
    <x:row r="11">
      <x:c r="A11" t="inlineStr">
        <x:is>
          <x:t xml:space="preserve">EVALUATOR</x:t>
        </x:is>
      </x:c>
      <x:c r="B11" t="inlineStr">
        <x:is>
          <x:t xml:space="preserve">$.questions[2].evaluators[0]</x:t>
        </x:is>
      </x:c>
      <x:c r="C11" t="inlineStr">
        <x:is>
          <x:t xml:space="preserve">E-ATTACHED-03-01</x:t>
        </x:is>
      </x:c>
      <x:c r="D11" t="inlineStr">
        <x:is>
          <x:t xml:space="preserve">Q-ATTACHED-03</x:t>
        </x:is>
      </x:c>
      <x:c r="E11" t="inlineStr">
        <x:is>
          <x:t xml:space="preserve">Knowledge coverage</x:t>
        </x:is>
      </x:c>
      <x:c r="I11" t="inlineStr">
        <x:is>
          <x:t xml:space="preserve">knowledge-v1</x:t>
        </x:is>
      </x:c>
      <x:c r="J11" t="inlineStr">
        <x:is>
          <x:t xml:space="preserve">KNOWLEDGE_COVERAGE</x:t>
        </x:is>
      </x:c>
      <x:c r="Q11" t="b">
        <x:v>1</x:v>
      </x:c>
      <x:c r="R11" t="n">
        <x:v>1</x:v>
      </x:c>
      <x:c r="S11" t="n">
        <x:v>0</x:v>
      </x:c>
      <x:c r="T11" t="n">
        <x:v>10</x:v>
      </x:c>
    </x:row>
    <x:row r="12">
      <x:c r="A12" t="inlineStr">
        <x:is>
          <x:t xml:space="preserve">CRITERION</x:t>
        </x:is>
      </x:c>
      <x:c r="B12" t="inlineStr">
        <x:is>
          <x:t xml:space="preserve">$.questions[2].evaluators[0].criteria[0]</x:t>
        </x:is>
      </x:c>
      <x:c r="C12" t="inlineStr">
        <x:is>
          <x:t xml:space="preserve">C-ATTACHED-03-01-01</x:t>
        </x:is>
      </x:c>
      <x:c r="D12" t="inlineStr">
        <x:is>
          <x:t xml:space="preserve">E-ATTACHED-03-01</x:t>
        </x:is>
      </x:c>
      <x:c r="E12" t="inlineStr">
        <x:is>
          <x:t xml:space="preserve">知識ポイント 1</x:t>
        </x:is>
      </x:c>
      <x:c r="G12" t="inlineStr">
        <x:is>
          <x:t xml:space="preserve">回答内で説明・関係・適用を確認する知識ポイント</x:t>
        </x:is>
      </x:c>
      <x:c r="Q12" t="b">
        <x:v>1</x:v>
      </x:c>
      <x:c r="R12" t="n">
        <x:v>1</x:v>
      </x:c>
      <x:c r="S12" t="n">
        <x:v>0</x:v>
      </x:c>
      <x:c r="T12" t="n">
        <x:v>10</x:v>
      </x:c>
    </x:row>
    <x:row r="13">
      <x:c r="A13" t="inlineStr">
        <x:is>
          <x:t xml:space="preserve">QUESTION</x:t>
        </x:is>
      </x:c>
      <x:c r="B13" t="inlineStr">
        <x:is>
          <x:t xml:space="preserve">$.questions[3]</x:t>
        </x:is>
      </x:c>
      <x:c r="C13" t="inlineStr">
        <x:is>
          <x:t xml:space="preserve">Q-ATTACHED-04</x:t>
        </x:is>
      </x:c>
      <x:c r="D13" t="inlineStr">
        <x:is>
          <x:t xml:space="preserve">DEF-ATTACHED-TECHNICAL-SYSTEM-TEST</x:t>
        </x:is>
      </x:c>
      <x:c r="E13" t="inlineStr">
        <x:is>
          <x:t xml:space="preserve">Attached workbook question 04</x:t>
        </x:is>
      </x:c>
      <x:c r="G13" t="inlineStr">
        <x:is>
          <x:t xml:space="preserve">実世界 (社会や企業・組織など) での機械学習(AI)の利用状況1つを調査。どんな場面で、どんな技術が、どんな使われ方をしているのか? なぜ、機械学習を使ったのか?</x:t>
        </x:is>
      </x:c>
      <x:c r="O13" t="inlineStr">
        <x:is>
          <x:t xml:space="preserve">I</x:t>
        </x:is>
      </x:c>
      <x:c r="Q13" t="b">
        <x:v>1</x:v>
      </x:c>
      <x:c r="R13" t="n">
        <x:v>1</x:v>
      </x:c>
    </x:row>
    <x:row r="14">
      <x:c r="A14" t="inlineStr">
        <x:is>
          <x:t xml:space="preserve">EVALUATOR</x:t>
        </x:is>
      </x:c>
      <x:c r="B14" t="inlineStr">
        <x:is>
          <x:t xml:space="preserve">$.questions[3].evaluators[0]</x:t>
        </x:is>
      </x:c>
      <x:c r="C14" t="inlineStr">
        <x:is>
          <x:t xml:space="preserve">E-ATTACHED-04-01</x:t>
        </x:is>
      </x:c>
      <x:c r="D14" t="inlineStr">
        <x:is>
          <x:t xml:space="preserve">Q-ATTACHED-04</x:t>
        </x:is>
      </x:c>
      <x:c r="E14" t="inlineStr">
        <x:is>
          <x:t xml:space="preserve">Knowledge coverage</x:t>
        </x:is>
      </x:c>
      <x:c r="I14" t="inlineStr">
        <x:is>
          <x:t xml:space="preserve">knowledge-v1</x:t>
        </x:is>
      </x:c>
      <x:c r="J14" t="inlineStr">
        <x:is>
          <x:t xml:space="preserve">KNOWLEDGE_COVERAGE</x:t>
        </x:is>
      </x:c>
      <x:c r="Q14" t="b">
        <x:v>1</x:v>
      </x:c>
      <x:c r="R14" t="n">
        <x:v>1</x:v>
      </x:c>
      <x:c r="S14" t="n">
        <x:v>0</x:v>
      </x:c>
      <x:c r="T14" t="n">
        <x:v>10</x:v>
      </x:c>
    </x:row>
    <x:row r="15">
      <x:c r="A15" t="inlineStr">
        <x:is>
          <x:t xml:space="preserve">CRITERION</x:t>
        </x:is>
      </x:c>
      <x:c r="B15" t="inlineStr">
        <x:is>
          <x:t xml:space="preserve">$.questions[3].evaluators[0].criteria[0]</x:t>
        </x:is>
      </x:c>
      <x:c r="C15" t="inlineStr">
        <x:is>
          <x:t xml:space="preserve">C-ATTACHED-04-01-01</x:t>
        </x:is>
      </x:c>
      <x:c r="D15" t="inlineStr">
        <x:is>
          <x:t xml:space="preserve">E-ATTACHED-04-01</x:t>
        </x:is>
      </x:c>
      <x:c r="E15" t="inlineStr">
        <x:is>
          <x:t xml:space="preserve">知識ポイント 1</x:t>
        </x:is>
      </x:c>
      <x:c r="G15" t="inlineStr">
        <x:is>
          <x:t xml:space="preserve">回答内で説明・関係・適用を確認する知識ポイント</x:t>
        </x:is>
      </x:c>
      <x:c r="Q15" t="b">
        <x:v>1</x:v>
      </x:c>
      <x:c r="R15" t="n">
        <x:v>1</x:v>
      </x:c>
      <x:c r="S15" t="n">
        <x:v>0</x:v>
      </x:c>
      <x:c r="T15" t="n">
        <x:v>10</x:v>
      </x:c>
    </x:row>
    <x:row r="16">
      <x:c r="A16" t="inlineStr">
        <x:is>
          <x:t xml:space="preserve">QUESTION</x:t>
        </x:is>
      </x:c>
      <x:c r="B16" t="inlineStr">
        <x:is>
          <x:t xml:space="preserve">$.questions[4]</x:t>
        </x:is>
      </x:c>
      <x:c r="C16" t="inlineStr">
        <x:is>
          <x:t xml:space="preserve">Q-ATTACHED-05</x:t>
        </x:is>
      </x:c>
      <x:c r="D16" t="inlineStr">
        <x:is>
          <x:t xml:space="preserve">DEF-ATTACHED-TECHNICAL-SYSTEM-TEST</x:t>
        </x:is>
      </x:c>
      <x:c r="E16" t="inlineStr">
        <x:is>
          <x:t xml:space="preserve">Attached workbook question 05</x:t>
        </x:is>
      </x:c>
      <x:c r="G16" t="inlineStr">
        <x:is>
          <x:t xml:space="preserve">[必須ではない] 設問(4) 作成のために、生成AIに入力したPrompt</x:t>
        </x:is>
      </x:c>
      <x:c r="O16" t="inlineStr">
        <x:is>
          <x:t xml:space="preserve">J</x:t>
        </x:is>
      </x:c>
      <x:c r="Q16" t="b">
        <x:v>1</x:v>
      </x:c>
      <x:c r="R16" t="n">
        <x:v>1</x:v>
      </x:c>
    </x:row>
    <x:row r="17">
      <x:c r="A17" t="inlineStr">
        <x:is>
          <x:t xml:space="preserve">SUPPORTING_SOURCE</x:t>
        </x:is>
      </x:c>
      <x:c r="B17" t="inlineStr">
        <x:is>
          <x:t xml:space="preserve">$.questions[4].supportingSourceColumns[0]</x:t>
        </x:is>
      </x:c>
      <x:c r="D17" t="inlineStr">
        <x:is>
          <x:t xml:space="preserve">Q-ATTACHED-05</x:t>
        </x:is>
      </x:c>
      <x:c r="P17" t="inlineStr">
        <x:is>
          <x:t xml:space="preserve">K</x:t>
        </x:is>
      </x:c>
      <x:c r="X17" t="n">
        <x:v>1</x:v>
      </x:c>
    </x:row>
    <x:row r="18">
      <x:c r="A18" t="inlineStr">
        <x:is>
          <x:t xml:space="preserve">EVALUATOR</x:t>
        </x:is>
      </x:c>
      <x:c r="B18" t="inlineStr">
        <x:is>
          <x:t xml:space="preserve">$.questions[4].evaluators[0]</x:t>
        </x:is>
      </x:c>
      <x:c r="C18" t="inlineStr">
        <x:is>
          <x:t xml:space="preserve">E-ATTACHED-05-01</x:t>
        </x:is>
      </x:c>
      <x:c r="D18" t="inlineStr">
        <x:is>
          <x:t xml:space="preserve">Q-ATTACHED-05</x:t>
        </x:is>
      </x:c>
      <x:c r="E18" t="inlineStr">
        <x:is>
          <x:t xml:space="preserve">Prompt 分析</x:t>
        </x:is>
      </x:c>
      <x:c r="H18" t="inlineStr">
        <x:is>
          <x:t xml:space="preserve">次の設問に対して作成されたPromptを分析してください。
評価項目ごとに、そのPromptが必要な視点を引き出せる具体性、論理性、実行可能性を指定range内で数値化してください。
補助情報にPrompt作成時の工夫・観点・論点がある場合は、それを重要な評価情報として使い、実際のPromptへ反映されているかを評価してください。
各評価項目について短い理由と、評価対象回答または補助情報内の根拠を返してください。
### 設問
{設問}
### 評価対象Prompt
{回答}
### 補助情報
{補助情報}
### 評価項目
{評価項目}</x:t>
        </x:is>
      </x:c>
      <x:c r="J18" t="inlineStr">
        <x:is>
          <x:t xml:space="preserve">CUSTOM_PROMPT</x:t>
        </x:is>
      </x:c>
      <x:c r="Q18" t="b">
        <x:v>1</x:v>
      </x:c>
      <x:c r="R18" t="n">
        <x:v>1</x:v>
      </x:c>
      <x:c r="S18" t="n">
        <x:v>0</x:v>
      </x:c>
      <x:c r="T18" t="n">
        <x:v>10</x:v>
      </x:c>
    </x:row>
    <x:row r="19">
      <x:c r="A19" t="inlineStr">
        <x:is>
          <x:t xml:space="preserve">CRITERION</x:t>
        </x:is>
      </x:c>
      <x:c r="B19" t="inlineStr">
        <x:is>
          <x:t xml:space="preserve">$.questions[4].evaluators[0].criteria[0]</x:t>
        </x:is>
      </x:c>
      <x:c r="C19" t="inlineStr">
        <x:is>
          <x:t xml:space="preserve">C-ATTACHED-05-01-01</x:t>
        </x:is>
      </x:c>
      <x:c r="D19" t="inlineStr">
        <x:is>
          <x:t xml:space="preserve">E-ATTACHED-05-01</x:t>
        </x:is>
      </x:c>
      <x:c r="E19" t="inlineStr">
        <x:is>
          <x:t xml:space="preserve">具体性と実行可能性</x:t>
        </x:is>
      </x:c>
      <x:c r="G19" t="inlineStr">
        <x:is>
          <x:t xml:space="preserve">必要な視点を引き出す具体性、論理性、実行可能性</x:t>
        </x:is>
      </x:c>
      <x:c r="Q19" t="b">
        <x:v>1</x:v>
      </x:c>
      <x:c r="R19" t="n">
        <x:v>1</x:v>
      </x:c>
      <x:c r="S19" t="n">
        <x:v>0</x:v>
      </x:c>
      <x:c r="T19" t="n">
        <x:v>10</x:v>
      </x:c>
    </x:row>
  </x:sheetData>
</x:worksheet>
</file>

<file path=xl/worksheets/sheet3.xml><?xml version="1.0" encoding="utf-8"?>
<x:worksheet xmlns:x="http://schemas.openxmlformats.org/spreadsheetml/2006/main">
  <x:sheetData>
    <x:row r="1">
      <x:c r="A1" t="inlineStr">
        <x:is>
          <x:t xml:space="preserve">Q-ATTACHED-01.E-ATTACHED-01-01.C-ATTACHED-01-01-01.Scorable</x:t>
        </x:is>
      </x:c>
      <x:c r="B1" t="inlineStr">
        <x:is>
          <x:t xml:space="preserve">Q-ATTACHED-01.E-ATTACHED-01-01.C-ATTACHED-01-01-01.AI_Raw</x:t>
        </x:is>
      </x:c>
      <x:c r="C1" t="inlineStr">
        <x:is>
          <x:t xml:space="preserve">Q-ATTACHED-01.E-ATTACHED-01-01.C-ATTACHED-01-01-01.Override</x:t>
        </x:is>
      </x:c>
      <x:c r="D1" t="inlineStr">
        <x:is>
          <x:t xml:space="preserve">Q-ATTACHED-01.E-ATTACHED-01-01.C-ATTACHED-01-01-01.Effective_Raw</x:t>
        </x:is>
      </x:c>
      <x:c r="E1" t="inlineStr">
        <x:is>
          <x:t xml:space="preserve">Q-ATTACHED-01.E-ATTACHED-01-01.C-ATTACHED-01-01-01.Normalized</x:t>
        </x:is>
      </x:c>
      <x:c r="F1" t="inlineStr">
        <x:is>
          <x:t xml:space="preserve">Q-ATTACHED-01.E-ATTACHED-01-01.C-ATTACHED-01-01-01.Reason</x:t>
        </x:is>
      </x:c>
      <x:c r="G1" t="inlineStr">
        <x:is>
          <x:t xml:space="preserve">Q-ATTACHED-01.E-ATTACHED-01-01.C-ATTACHED-01-01-01.Evidence</x:t>
        </x:is>
      </x:c>
      <x:c r="H1" t="inlineStr">
        <x:is>
          <x:t xml:space="preserve">Q-ATTACHED-01.E-ATTACHED-01-01.C-ATTACHED-01-01-01.Evidence_Source</x:t>
        </x:is>
      </x:c>
      <x:c r="I1" t="inlineStr">
        <x:is>
          <x:t xml:space="preserve">Q-ATTACHED-01.E-ATTACHED-01-01.C-ATTACHED-01-01-01.Evidence_SourceColumn</x:t>
        </x:is>
      </x:c>
      <x:c r="J1" t="inlineStr">
        <x:is>
          <x:t xml:space="preserve">Q-ATTACHED-01.E-ATTACHED-01-01.C-ATTACHED-01-01-01.Status</x:t>
        </x:is>
      </x:c>
      <x:c r="K1" t="inlineStr">
        <x:is>
          <x:t xml:space="preserve">Q-ATTACHED-01.E-ATTACHED-01-01.Evaluator_Score</x:t>
        </x:is>
      </x:c>
      <x:c r="L1" t="inlineStr">
        <x:is>
          <x:t xml:space="preserve">Q-ATTACHED-01.Question_Score</x:t>
        </x:is>
      </x:c>
      <x:c r="M1" t="inlineStr">
        <x:is>
          <x:t xml:space="preserve">Q-ATTACHED-02.E-ATTACHED-02-01.C-ATTACHED-02-01-01.Scorable</x:t>
        </x:is>
      </x:c>
      <x:c r="N1" t="inlineStr">
        <x:is>
          <x:t xml:space="preserve">Q-ATTACHED-02.E-ATTACHED-02-01.C-ATTACHED-02-01-01.AI_Raw</x:t>
        </x:is>
      </x:c>
      <x:c r="O1" t="inlineStr">
        <x:is>
          <x:t xml:space="preserve">Q-ATTACHED-02.E-ATTACHED-02-01.C-ATTACHED-02-01-01.Override</x:t>
        </x:is>
      </x:c>
      <x:c r="P1" t="inlineStr">
        <x:is>
          <x:t xml:space="preserve">Q-ATTACHED-02.E-ATTACHED-02-01.C-ATTACHED-02-01-01.Effective_Raw</x:t>
        </x:is>
      </x:c>
      <x:c r="Q1" t="inlineStr">
        <x:is>
          <x:t xml:space="preserve">Q-ATTACHED-02.E-ATTACHED-02-01.C-ATTACHED-02-01-01.Normalized</x:t>
        </x:is>
      </x:c>
      <x:c r="R1" t="inlineStr">
        <x:is>
          <x:t xml:space="preserve">Q-ATTACHED-02.E-ATTACHED-02-01.C-ATTACHED-02-01-01.Reason</x:t>
        </x:is>
      </x:c>
      <x:c r="S1" t="inlineStr">
        <x:is>
          <x:t xml:space="preserve">Q-ATTACHED-02.E-ATTACHED-02-01.C-ATTACHED-02-01-01.Evidence</x:t>
        </x:is>
      </x:c>
      <x:c r="T1" t="inlineStr">
        <x:is>
          <x:t xml:space="preserve">Q-ATTACHED-02.E-ATTACHED-02-01.C-ATTACHED-02-01-01.Evidence_Source</x:t>
        </x:is>
      </x:c>
      <x:c r="U1" t="inlineStr">
        <x:is>
          <x:t xml:space="preserve">Q-ATTACHED-02.E-ATTACHED-02-01.C-ATTACHED-02-01-01.Evidence_SourceColumn</x:t>
        </x:is>
      </x:c>
      <x:c r="V1" t="inlineStr">
        <x:is>
          <x:t xml:space="preserve">Q-ATTACHED-02.E-ATTACHED-02-01.C-ATTACHED-02-01-01.Status</x:t>
        </x:is>
      </x:c>
      <x:c r="W1" t="inlineStr">
        <x:is>
          <x:t xml:space="preserve">Q-ATTACHED-02.E-ATTACHED-02-01.Evaluator_Score</x:t>
        </x:is>
      </x:c>
      <x:c r="X1" t="inlineStr">
        <x:is>
          <x:t xml:space="preserve">Q-ATTACHED-02.Question_Score</x:t>
        </x:is>
      </x:c>
      <x:c r="Y1" t="inlineStr">
        <x:is>
          <x:t xml:space="preserve">Q-ATTACHED-03.E-ATTACHED-03-01.C-ATTACHED-03-01-01.Scorable</x:t>
        </x:is>
      </x:c>
      <x:c r="Z1" t="inlineStr">
        <x:is>
          <x:t xml:space="preserve">Q-ATTACHED-03.E-ATTACHED-03-01.C-ATTACHED-03-01-01.AI_Raw</x:t>
        </x:is>
      </x:c>
      <x:c r="AA1" t="inlineStr">
        <x:is>
          <x:t xml:space="preserve">Q-ATTACHED-03.E-ATTACHED-03-01.C-ATTACHED-03-01-01.Override</x:t>
        </x:is>
      </x:c>
      <x:c r="AB1" t="inlineStr">
        <x:is>
          <x:t xml:space="preserve">Q-ATTACHED-03.E-ATTACHED-03-01.C-ATTACHED-03-01-01.Effective_Raw</x:t>
        </x:is>
      </x:c>
      <x:c r="AC1" t="inlineStr">
        <x:is>
          <x:t xml:space="preserve">Q-ATTACHED-03.E-ATTACHED-03-01.C-ATTACHED-03-01-01.Normalized</x:t>
        </x:is>
      </x:c>
      <x:c r="AD1" t="inlineStr">
        <x:is>
          <x:t xml:space="preserve">Q-ATTACHED-03.E-ATTACHED-03-01.C-ATTACHED-03-01-01.Reason</x:t>
        </x:is>
      </x:c>
      <x:c r="AE1" t="inlineStr">
        <x:is>
          <x:t xml:space="preserve">Q-ATTACHED-03.E-ATTACHED-03-01.C-ATTACHED-03-01-01.Evidence</x:t>
        </x:is>
      </x:c>
      <x:c r="AF1" t="inlineStr">
        <x:is>
          <x:t xml:space="preserve">Q-ATTACHED-03.E-ATTACHED-03-01.C-ATTACHED-03-01-01.Evidence_Source</x:t>
        </x:is>
      </x:c>
      <x:c r="AG1" t="inlineStr">
        <x:is>
          <x:t xml:space="preserve">Q-ATTACHED-03.E-ATTACHED-03-01.C-ATTACHED-03-01-01.Evidence_SourceColumn</x:t>
        </x:is>
      </x:c>
      <x:c r="AH1" t="inlineStr">
        <x:is>
          <x:t xml:space="preserve">Q-ATTACHED-03.E-ATTACHED-03-01.C-ATTACHED-03-01-01.Status</x:t>
        </x:is>
      </x:c>
      <x:c r="AI1" t="inlineStr">
        <x:is>
          <x:t xml:space="preserve">Q-ATTACHED-03.E-ATTACHED-03-01.Evaluator_Score</x:t>
        </x:is>
      </x:c>
      <x:c r="AJ1" t="inlineStr">
        <x:is>
          <x:t xml:space="preserve">Q-ATTACHED-03.Question_Score</x:t>
        </x:is>
      </x:c>
      <x:c r="AK1" t="inlineStr">
        <x:is>
          <x:t xml:space="preserve">Q-ATTACHED-04.E-ATTACHED-04-01.C-ATTACHED-04-01-01.Scorable</x:t>
        </x:is>
      </x:c>
      <x:c r="AL1" t="inlineStr">
        <x:is>
          <x:t xml:space="preserve">Q-ATTACHED-04.E-ATTACHED-04-01.C-ATTACHED-04-01-01.AI_Raw</x:t>
        </x:is>
      </x:c>
      <x:c r="AM1" t="inlineStr">
        <x:is>
          <x:t xml:space="preserve">Q-ATTACHED-04.E-ATTACHED-04-01.C-ATTACHED-04-01-01.Override</x:t>
        </x:is>
      </x:c>
      <x:c r="AN1" t="inlineStr">
        <x:is>
          <x:t xml:space="preserve">Q-ATTACHED-04.E-ATTACHED-04-01.C-ATTACHED-04-01-01.Effective_Raw</x:t>
        </x:is>
      </x:c>
      <x:c r="AO1" t="inlineStr">
        <x:is>
          <x:t xml:space="preserve">Q-ATTACHED-04.E-ATTACHED-04-01.C-ATTACHED-04-01-01.Normalized</x:t>
        </x:is>
      </x:c>
      <x:c r="AP1" t="inlineStr">
        <x:is>
          <x:t xml:space="preserve">Q-ATTACHED-04.E-ATTACHED-04-01.C-ATTACHED-04-01-01.Reason</x:t>
        </x:is>
      </x:c>
      <x:c r="AQ1" t="inlineStr">
        <x:is>
          <x:t xml:space="preserve">Q-ATTACHED-04.E-ATTACHED-04-01.C-ATTACHED-04-01-01.Evidence</x:t>
        </x:is>
      </x:c>
      <x:c r="AR1" t="inlineStr">
        <x:is>
          <x:t xml:space="preserve">Q-ATTACHED-04.E-ATTACHED-04-01.C-ATTACHED-04-01-01.Evidence_Source</x:t>
        </x:is>
      </x:c>
      <x:c r="AS1" t="inlineStr">
        <x:is>
          <x:t xml:space="preserve">Q-ATTACHED-04.E-ATTACHED-04-01.C-ATTACHED-04-01-01.Evidence_SourceColumn</x:t>
        </x:is>
      </x:c>
      <x:c r="AT1" t="inlineStr">
        <x:is>
          <x:t xml:space="preserve">Q-ATTACHED-04.E-ATTACHED-04-01.C-ATTACHED-04-01-01.Status</x:t>
        </x:is>
      </x:c>
      <x:c r="AU1" t="inlineStr">
        <x:is>
          <x:t xml:space="preserve">Q-ATTACHED-04.E-ATTACHED-04-01.Evaluator_Score</x:t>
        </x:is>
      </x:c>
      <x:c r="AV1" t="inlineStr">
        <x:is>
          <x:t xml:space="preserve">Q-ATTACHED-04.Question_Score</x:t>
        </x:is>
      </x:c>
      <x:c r="AW1" t="inlineStr">
        <x:is>
          <x:t xml:space="preserve">Q-ATTACHED-05.E-ATTACHED-05-01.C-ATTACHED-05-01-01.Scorable</x:t>
        </x:is>
      </x:c>
      <x:c r="AX1" t="inlineStr">
        <x:is>
          <x:t xml:space="preserve">Q-ATTACHED-05.E-ATTACHED-05-01.C-ATTACHED-05-01-01.AI_Raw</x:t>
        </x:is>
      </x:c>
      <x:c r="AY1" t="inlineStr">
        <x:is>
          <x:t xml:space="preserve">Q-ATTACHED-05.E-ATTACHED-05-01.C-ATTACHED-05-01-01.Override</x:t>
        </x:is>
      </x:c>
      <x:c r="AZ1" t="inlineStr">
        <x:is>
          <x:t xml:space="preserve">Q-ATTACHED-05.E-ATTACHED-05-01.C-ATTACHED-05-01-01.Effective_Raw</x:t>
        </x:is>
      </x:c>
      <x:c r="BA1" t="inlineStr">
        <x:is>
          <x:t xml:space="preserve">Q-ATTACHED-05.E-ATTACHED-05-01.C-ATTACHED-05-01-01.Normalized</x:t>
        </x:is>
      </x:c>
      <x:c r="BB1" t="inlineStr">
        <x:is>
          <x:t xml:space="preserve">Q-ATTACHED-05.E-ATTACHED-05-01.C-ATTACHED-05-01-01.Reason</x:t>
        </x:is>
      </x:c>
      <x:c r="BC1" t="inlineStr">
        <x:is>
          <x:t xml:space="preserve">Q-ATTACHED-05.E-ATTACHED-05-01.C-ATTACHED-05-01-01.Evidence</x:t>
        </x:is>
      </x:c>
      <x:c r="BD1" t="inlineStr">
        <x:is>
          <x:t xml:space="preserve">Q-ATTACHED-05.E-ATTACHED-05-01.C-ATTACHED-05-01-01.Evidence_Source</x:t>
        </x:is>
      </x:c>
      <x:c r="BE1" t="inlineStr">
        <x:is>
          <x:t xml:space="preserve">Q-ATTACHED-05.E-ATTACHED-05-01.C-ATTACHED-05-01-01.Evidence_SourceColumn</x:t>
        </x:is>
      </x:c>
      <x:c r="BF1" t="inlineStr">
        <x:is>
          <x:t xml:space="preserve">Q-ATTACHED-05.E-ATTACHED-05-01.C-ATTACHED-05-01-01.Status</x:t>
        </x:is>
      </x:c>
      <x:c r="BG1" t="inlineStr">
        <x:is>
          <x:t xml:space="preserve">Q-ATTACHED-05.E-ATTACHED-05-01.Evaluator_Score</x:t>
        </x:is>
      </x:c>
      <x:c r="BH1" t="inlineStr">
        <x:is>
          <x:t xml:space="preserve">Q-ATTACHED-05.Question_Score</x:t>
        </x:is>
      </x:c>
      <x:c r="BI1" t="inlineStr">
        <x:is>
          <x:t xml:space="preserve">Overall_Score</x:t>
        </x:is>
      </x:c>
    </x:row>
    <x:row r="2">
      <x:c r="A2" t="n">
        <x:v>1</x:v>
      </x:c>
      <x:c r="B2" t="n">
        <x:v>5</x:v>
      </x:c>
      <x:c r="C2"/>
      <x:c r="D2" t="n">
        <x:f>IF(('Quantification_Results'!A2&lt;&gt;1),"",IF(('Quantification_Results'!C2=""),IF(ISNUMBER('Quantification_Results'!B2),IF(('Quantification_Results'!B2&lt;'Quantification_Config'!$S$6),"",IF(('Quantification_Results'!B2&gt;'Quantification_Config'!$T$6),"",'Quantification_Results'!B2)),""),IF(ISNUMBER('Quantification_Results'!C2),IF(('Quantification_Results'!C2&lt;'Quantification_Config'!$S$6),"",IF(('Quantification_Results'!C2&gt;'Quantification_Config'!$T$6),"",'Quantification_Results'!C2)),"")))</x:f>
        <x:v>5</x:v>
      </x:c>
      <x:c r="E2" t="n">
        <x:f>IF(ISNUMBER('Quantification_Results'!D2),IFERROR(ROUND(((('Quantification_Results'!D2-'Quantification_Config'!$S$6)/('Quantification_Config'!$T$6-'Quantification_Config'!$S$6))*100),'Quantification_Config'!$U$2),""),"")</x:f>
        <x:v>50</x:v>
      </x:c>
      <x:c r="F2" t="inlineStr">
        <x:is>
          <x:t xml:space="preserve">SYSTEM-TEST-ONLY-NO-NETWORK-NOT-AN-EDUCATIONAL-EVALUATION</x:t>
        </x:is>
      </x:c>
      <x:c r="G2" t="inlineStr">
        <x:is>
          <x:t xml:space="preserve"/>
        </x:is>
      </x:c>
      <x:c r="H2" t="inlineStr">
        <x:is>
          <x:t xml:space="preserve">NONE</x:t>
        </x:is>
      </x:c>
      <x:c r="I2" t="inlineStr">
        <x:is>
          <x:t xml:space="preserve"/>
        </x:is>
      </x:c>
      <x:c r="J2" t="inlineStr">
        <x:is>
          <x:t xml:space="preserve">SUCCESS</x:t>
        </x:is>
      </x:c>
      <x:c r="K2" t="n">
        <x:f>IF((COUNT('Quantification_Results'!E2)=1),IFERROR(ROUND((SUM(('Quantification_Results'!E2*'Quantification_Config'!$R$6))/SUM('Quantification_Config'!$R$6)),'Quantification_Config'!$U$2),""),"")</x:f>
        <x:v>50</x:v>
      </x:c>
      <x:c r="L2" t="n">
        <x:f>IF((COUNT('Quantification_Results'!K2)=1),IFERROR(ROUND((SUM(('Quantification_Results'!K2*'Quantification_Config'!$R$5))/SUM('Quantification_Config'!$R$5)),'Quantification_Config'!$U$2),""),"")</x:f>
        <x:v>50</x:v>
      </x:c>
      <x:c r="M2" t="n">
        <x:v>1</x:v>
      </x:c>
      <x:c r="N2" t="n">
        <x:v>5</x:v>
      </x:c>
      <x:c r="O2"/>
      <x:c r="P2" t="n">
        <x:f>IF(('Quantification_Results'!M2&lt;&gt;1),"",IF(('Quantification_Results'!O2=""),IF(ISNUMBER('Quantification_Results'!N2),IF(('Quantification_Results'!N2&lt;'Quantification_Config'!$S$9),"",IF(('Quantification_Results'!N2&gt;'Quantification_Config'!$T$9),"",'Quantification_Results'!N2)),""),IF(ISNUMBER('Quantification_Results'!O2),IF(('Quantification_Results'!O2&lt;'Quantification_Config'!$S$9),"",IF(('Quantification_Results'!O2&gt;'Quantification_Config'!$T$9),"",'Quantification_Results'!O2)),"")))</x:f>
        <x:v>5</x:v>
      </x:c>
      <x:c r="Q2" t="n">
        <x:f>IF(ISNUMBER('Quantification_Results'!P2),IFERROR(ROUND(((('Quantification_Results'!P2-'Quantification_Config'!$S$9)/('Quantification_Config'!$T$9-'Quantification_Config'!$S$9))*100),'Quantification_Config'!$U$2),""),"")</x:f>
        <x:v>50</x:v>
      </x:c>
      <x:c r="R2" t="inlineStr">
        <x:is>
          <x:t xml:space="preserve">SYSTEM-TEST-ONLY-NO-NETWORK-NOT-AN-EDUCATIONAL-EVALUATION</x:t>
        </x:is>
      </x:c>
      <x:c r="S2" t="inlineStr">
        <x:is>
          <x:t xml:space="preserve"/>
        </x:is>
      </x:c>
      <x:c r="T2" t="inlineStr">
        <x:is>
          <x:t xml:space="preserve">NONE</x:t>
        </x:is>
      </x:c>
      <x:c r="U2" t="inlineStr">
        <x:is>
          <x:t xml:space="preserve"/>
        </x:is>
      </x:c>
      <x:c r="V2" t="inlineStr">
        <x:is>
          <x:t xml:space="preserve">SUCCESS</x:t>
        </x:is>
      </x:c>
      <x:c r="W2" t="n">
        <x:f>IF((COUNT('Quantification_Results'!Q2)=1),IFERROR(ROUND((SUM(('Quantification_Results'!Q2*'Quantification_Config'!$R$9))/SUM('Quantification_Config'!$R$9)),'Quantification_Config'!$U$2),""),"")</x:f>
        <x:v>50</x:v>
      </x:c>
      <x:c r="X2" t="n">
        <x:f>IF((COUNT('Quantification_Results'!W2)=1),IFERROR(ROUND((SUM(('Quantification_Results'!W2*'Quantification_Config'!$R$8))/SUM('Quantification_Config'!$R$8)),'Quantification_Config'!$U$2),""),"")</x:f>
        <x:v>50</x:v>
      </x:c>
      <x:c r="Y2" t="n">
        <x:v>0</x:v>
      </x:c>
      <x:c r="Z2"/>
      <x:c r="AA2"/>
      <x:c r="AB2">
        <x:f>IF(('Quantification_Results'!Y2&lt;&gt;1),"",IF(('Quantification_Results'!AA2=""),IF(ISNUMBER('Quantification_Results'!Z2),IF(('Quantification_Results'!Z2&lt;'Quantification_Config'!$S$12),"",IF(('Quantification_Results'!Z2&gt;'Quantification_Config'!$T$12),"",'Quantification_Results'!Z2)),""),IF(ISNUMBER('Quantification_Results'!AA2),IF(('Quantification_Results'!AA2&lt;'Quantification_Config'!$S$12),"",IF(('Quantification_Results'!AA2&gt;'Quantification_Config'!$T$12),"",'Quantification_Results'!AA2)),"")))</x:f>
      </x:c>
      <x:c r="AC2">
        <x:f>IF(ISNUMBER('Quantification_Results'!AB2),IFERROR(ROUND(((('Quantification_Results'!AB2-'Quantification_Config'!$S$12)/('Quantification_Config'!$T$12-'Quantification_Config'!$S$12))*100),'Quantification_Config'!$U$2),""),"")</x:f>
      </x:c>
      <x:c r="AD2" t="inlineStr">
        <x:is>
          <x:t xml:space="preserve"/>
        </x:is>
      </x:c>
      <x:c r="AE2" t="inlineStr">
        <x:is>
          <x:t xml:space="preserve"/>
        </x:is>
      </x:c>
      <x:c r="AF2" t="inlineStr">
        <x:is>
          <x:t xml:space="preserve"/>
        </x:is>
      </x:c>
      <x:c r="AG2" t="inlineStr">
        <x:is>
          <x:t xml:space="preserve"/>
        </x:is>
      </x:c>
      <x:c r="AH2" t="inlineStr">
        <x:is>
          <x:t xml:space="preserve">EMPTY</x:t>
        </x:is>
      </x:c>
      <x:c r="AI2">
        <x:f>IF((COUNT('Quantification_Results'!AC2)=1),IFERROR(ROUND((SUM(('Quantification_Results'!AC2*'Quantification_Config'!$R$12))/SUM('Quantification_Config'!$R$12)),'Quantification_Config'!$U$2),""),"")</x:f>
      </x:c>
      <x:c r="AJ2">
        <x:f>IF((COUNT('Quantification_Results'!AI2)=1),IFERROR(ROUND((SUM(('Quantification_Results'!AI2*'Quantification_Config'!$R$11))/SUM('Quantification_Config'!$R$11)),'Quantification_Config'!$U$2),""),"")</x:f>
      </x:c>
      <x:c r="AK2" t="n">
        <x:v>1</x:v>
      </x:c>
      <x:c r="AL2" t="n">
        <x:v>5</x:v>
      </x:c>
      <x:c r="AM2"/>
      <x:c r="AN2" t="n">
        <x:f>IF(('Quantification_Results'!AK2&lt;&gt;1),"",IF(('Quantification_Results'!AM2=""),IF(ISNUMBER('Quantification_Results'!AL2),IF(('Quantification_Results'!AL2&lt;'Quantification_Config'!$S$15),"",IF(('Quantification_Results'!AL2&gt;'Quantification_Config'!$T$15),"",'Quantification_Results'!AL2)),""),IF(ISNUMBER('Quantification_Results'!AM2),IF(('Quantification_Results'!AM2&lt;'Quantification_Config'!$S$15),"",IF(('Quantification_Results'!AM2&gt;'Quantification_Config'!$T$15),"",'Quantification_Results'!AM2)),"")))</x:f>
        <x:v>5</x:v>
      </x:c>
      <x:c r="AO2" t="n">
        <x:f>IF(ISNUMBER('Quantification_Results'!AN2),IFERROR(ROUND(((('Quantification_Results'!AN2-'Quantification_Config'!$S$15)/('Quantification_Config'!$T$15-'Quantification_Config'!$S$15))*100),'Quantification_Config'!$U$2),""),"")</x:f>
        <x:v>50</x:v>
      </x:c>
      <x:c r="AP2" t="inlineStr">
        <x:is>
          <x:t xml:space="preserve">SYSTEM-TEST-ONLY-NO-NETWORK-NOT-AN-EDUCATIONAL-EVALUATION</x:t>
        </x:is>
      </x:c>
      <x:c r="AQ2" t="inlineStr">
        <x:is>
          <x:t xml:space="preserve"/>
        </x:is>
      </x:c>
      <x:c r="AR2" t="inlineStr">
        <x:is>
          <x:t xml:space="preserve">NONE</x:t>
        </x:is>
      </x:c>
      <x:c r="AS2" t="inlineStr">
        <x:is>
          <x:t xml:space="preserve"/>
        </x:is>
      </x:c>
      <x:c r="AT2" t="inlineStr">
        <x:is>
          <x:t xml:space="preserve">SUCCESS</x:t>
        </x:is>
      </x:c>
      <x:c r="AU2" t="n">
        <x:f>IF((COUNT('Quantification_Results'!AO2)=1),IFERROR(ROUND((SUM(('Quantification_Results'!AO2*'Quantification_Config'!$R$15))/SUM('Quantification_Config'!$R$15)),'Quantification_Config'!$U$2),""),"")</x:f>
        <x:v>50</x:v>
      </x:c>
      <x:c r="AV2" t="n">
        <x:f>IF((COUNT('Quantification_Results'!AU2)=1),IFERROR(ROUND((SUM(('Quantification_Results'!AU2*'Quantification_Config'!$R$14))/SUM('Quantification_Config'!$R$14)),'Quantification_Config'!$U$2),""),"")</x:f>
        <x:v>50</x:v>
      </x:c>
      <x:c r="AW2" t="n">
        <x:v>1</x:v>
      </x:c>
      <x:c r="AX2" t="n">
        <x:v>5</x:v>
      </x:c>
      <x:c r="AY2"/>
      <x:c r="AZ2" t="n">
        <x:f>IF(('Quantification_Results'!AW2&lt;&gt;1),"",IF(('Quantification_Results'!AY2=""),IF(ISNUMBER('Quantification_Results'!AX2),IF(('Quantification_Results'!AX2&lt;'Quantification_Config'!$S$19),"",IF(('Quantification_Results'!AX2&gt;'Quantification_Config'!$T$19),"",'Quantification_Results'!AX2)),""),IF(ISNUMBER('Quantification_Results'!AY2),IF(('Quantification_Results'!AY2&lt;'Quantification_Config'!$S$19),"",IF(('Quantification_Results'!AY2&gt;'Quantification_Config'!$T$19),"",'Quantification_Results'!AY2)),"")))</x:f>
        <x:v>5</x:v>
      </x:c>
      <x:c r="BA2" t="n">
        <x:f>IF(ISNUMBER('Quantification_Results'!AZ2),IFERROR(ROUND(((('Quantification_Results'!AZ2-'Quantification_Config'!$S$19)/('Quantification_Config'!$T$19-'Quantification_Config'!$S$19))*100),'Quantification_Config'!$U$2),""),"")</x:f>
        <x:v>50</x:v>
      </x:c>
      <x:c r="BB2" t="inlineStr">
        <x:is>
          <x:t xml:space="preserve">SYSTEM-TEST-ONLY-NO-NETWORK-NOT-AN-EDUCATIONAL-EVALUATION</x:t>
        </x:is>
      </x:c>
      <x:c r="BC2" t="inlineStr">
        <x:is>
          <x:t xml:space="preserve"/>
        </x:is>
      </x:c>
      <x:c r="BD2" t="inlineStr">
        <x:is>
          <x:t xml:space="preserve">NONE</x:t>
        </x:is>
      </x:c>
      <x:c r="BE2" t="inlineStr">
        <x:is>
          <x:t xml:space="preserve"/>
        </x:is>
      </x:c>
      <x:c r="BF2" t="inlineStr">
        <x:is>
          <x:t xml:space="preserve">SUCCESS</x:t>
        </x:is>
      </x:c>
      <x:c r="BG2" t="n">
        <x:f>IF((COUNT('Quantification_Results'!BA2)=1),IFERROR(ROUND((SUM(('Quantification_Results'!BA2*'Quantification_Config'!$R$19))/SUM('Quantification_Config'!$R$19)),'Quantification_Config'!$U$2),""),"")</x:f>
        <x:v>50</x:v>
      </x:c>
      <x:c r="BH2" t="n">
        <x:f>IF((COUNT('Quantification_Results'!BG2)=1),IFERROR(ROUND((SUM(('Quantification_Results'!BG2*'Quantification_Config'!$R$18))/SUM('Quantification_Config'!$R$18)),'Quantification_Config'!$U$2),""),"")</x:f>
        <x:v>50</x:v>
      </x:c>
      <x:c r="BI2">
        <x:f>IF((COUNT('Quantification_Results'!L2,'Quantification_Results'!X2,'Quantification_Results'!AJ2,'Quantification_Results'!AV2,'Quantification_Results'!BH2)=5),IFERROR(ROUND((SUM(('Quantification_Results'!L2*'Quantification_Config'!$R$4),('Quantification_Results'!X2*'Quantification_Config'!$R$7),('Quantification_Results'!AJ2*'Quantification_Config'!$R$10),('Quantification_Results'!AV2*'Quantification_Config'!$R$13),('Quantification_Results'!BH2*'Quantification_Config'!$R$16))/SUM('Quantification_Config'!$R$4,'Quantification_Config'!$R$7,'Quantification_Config'!$R$10,'Quantification_Config'!$R$13,'Quantification_Config'!$R$16)),'Quantification_Config'!$U$2),""),"")</x:f>
      </x:c>
    </x:row>
    <x:row r="3">
      <x:c r="A3" t="n">
        <x:v>1</x:v>
      </x:c>
      <x:c r="B3" t="n">
        <x:v>5</x:v>
      </x:c>
      <x:c r="C3"/>
      <x:c r="D3" t="n">
        <x:f>IF(('Quantification_Results'!A3&lt;&gt;1),"",IF(('Quantification_Results'!C3=""),IF(ISNUMBER('Quantification_Results'!B3),IF(('Quantification_Results'!B3&lt;'Quantification_Config'!$S$6),"",IF(('Quantification_Results'!B3&gt;'Quantification_Config'!$T$6),"",'Quantification_Results'!B3)),""),IF(ISNUMBER('Quantification_Results'!C3),IF(('Quantification_Results'!C3&lt;'Quantification_Config'!$S$6),"",IF(('Quantification_Results'!C3&gt;'Quantification_Config'!$T$6),"",'Quantification_Results'!C3)),"")))</x:f>
        <x:v>5</x:v>
      </x:c>
      <x:c r="E3" t="n">
        <x:f>IF(ISNUMBER('Quantification_Results'!D3),IFERROR(ROUND(((('Quantification_Results'!D3-'Quantification_Config'!$S$6)/('Quantification_Config'!$T$6-'Quantification_Config'!$S$6))*100),'Quantification_Config'!$U$2),""),"")</x:f>
        <x:v>50</x:v>
      </x:c>
      <x:c r="F3" t="inlineStr">
        <x:is>
          <x:t xml:space="preserve">SYSTEM-TEST-ONLY-NO-NETWORK-NOT-AN-EDUCATIONAL-EVALUATION</x:t>
        </x:is>
      </x:c>
      <x:c r="G3" t="inlineStr">
        <x:is>
          <x:t xml:space="preserve"/>
        </x:is>
      </x:c>
      <x:c r="H3" t="inlineStr">
        <x:is>
          <x:t xml:space="preserve">NONE</x:t>
        </x:is>
      </x:c>
      <x:c r="I3" t="inlineStr">
        <x:is>
          <x:t xml:space="preserve"/>
        </x:is>
      </x:c>
      <x:c r="J3" t="inlineStr">
        <x:is>
          <x:t xml:space="preserve">SUCCESS</x:t>
        </x:is>
      </x:c>
      <x:c r="K3" t="n">
        <x:f>IF((COUNT('Quantification_Results'!E3)=1),IFERROR(ROUND((SUM(('Quantification_Results'!E3*'Quantification_Config'!$R$6))/SUM('Quantification_Config'!$R$6)),'Quantification_Config'!$U$2),""),"")</x:f>
        <x:v>50</x:v>
      </x:c>
      <x:c r="L3" t="n">
        <x:f>IF((COUNT('Quantification_Results'!K3)=1),IFERROR(ROUND((SUM(('Quantification_Results'!K3*'Quantification_Config'!$R$5))/SUM('Quantification_Config'!$R$5)),'Quantification_Config'!$U$2),""),"")</x:f>
        <x:v>50</x:v>
      </x:c>
      <x:c r="M3" t="n">
        <x:v>1</x:v>
      </x:c>
      <x:c r="N3" t="n">
        <x:v>5</x:v>
      </x:c>
      <x:c r="O3"/>
      <x:c r="P3" t="n">
        <x:f>IF(('Quantification_Results'!M3&lt;&gt;1),"",IF(('Quantification_Results'!O3=""),IF(ISNUMBER('Quantification_Results'!N3),IF(('Quantification_Results'!N3&lt;'Quantification_Config'!$S$9),"",IF(('Quantification_Results'!N3&gt;'Quantification_Config'!$T$9),"",'Quantification_Results'!N3)),""),IF(ISNUMBER('Quantification_Results'!O3),IF(('Quantification_Results'!O3&lt;'Quantification_Config'!$S$9),"",IF(('Quantification_Results'!O3&gt;'Quantification_Config'!$T$9),"",'Quantification_Results'!O3)),"")))</x:f>
        <x:v>5</x:v>
      </x:c>
      <x:c r="Q3" t="n">
        <x:f>IF(ISNUMBER('Quantification_Results'!P3),IFERROR(ROUND(((('Quantification_Results'!P3-'Quantification_Config'!$S$9)/('Quantification_Config'!$T$9-'Quantification_Config'!$S$9))*100),'Quantification_Config'!$U$2),""),"")</x:f>
        <x:v>50</x:v>
      </x:c>
      <x:c r="R3" t="inlineStr">
        <x:is>
          <x:t xml:space="preserve">SYSTEM-TEST-ONLY-NO-NETWORK-NOT-AN-EDUCATIONAL-EVALUATION</x:t>
        </x:is>
      </x:c>
      <x:c r="S3" t="inlineStr">
        <x:is>
          <x:t xml:space="preserve"/>
        </x:is>
      </x:c>
      <x:c r="T3" t="inlineStr">
        <x:is>
          <x:t xml:space="preserve">NONE</x:t>
        </x:is>
      </x:c>
      <x:c r="U3" t="inlineStr">
        <x:is>
          <x:t xml:space="preserve"/>
        </x:is>
      </x:c>
      <x:c r="V3" t="inlineStr">
        <x:is>
          <x:t xml:space="preserve">SUCCESS</x:t>
        </x:is>
      </x:c>
      <x:c r="W3" t="n">
        <x:f>IF((COUNT('Quantification_Results'!Q3)=1),IFERROR(ROUND((SUM(('Quantification_Results'!Q3*'Quantification_Config'!$R$9))/SUM('Quantification_Config'!$R$9)),'Quantification_Config'!$U$2),""),"")</x:f>
        <x:v>50</x:v>
      </x:c>
      <x:c r="X3" t="n">
        <x:f>IF((COUNT('Quantification_Results'!W3)=1),IFERROR(ROUND((SUM(('Quantification_Results'!W3*'Quantification_Config'!$R$8))/SUM('Quantification_Config'!$R$8)),'Quantification_Config'!$U$2),""),"")</x:f>
        <x:v>50</x:v>
      </x:c>
      <x:c r="Y3" t="n">
        <x:v>0</x:v>
      </x:c>
      <x:c r="Z3"/>
      <x:c r="AA3"/>
      <x:c r="AB3">
        <x:f>IF(('Quantification_Results'!Y3&lt;&gt;1),"",IF(('Quantification_Results'!AA3=""),IF(ISNUMBER('Quantification_Results'!Z3),IF(('Quantification_Results'!Z3&lt;'Quantification_Config'!$S$12),"",IF(('Quantification_Results'!Z3&gt;'Quantification_Config'!$T$12),"",'Quantification_Results'!Z3)),""),IF(ISNUMBER('Quantification_Results'!AA3),IF(('Quantification_Results'!AA3&lt;'Quantification_Config'!$S$12),"",IF(('Quantification_Results'!AA3&gt;'Quantification_Config'!$T$12),"",'Quantification_Results'!AA3)),"")))</x:f>
      </x:c>
      <x:c r="AC3">
        <x:f>IF(ISNUMBER('Quantification_Results'!AB3),IFERROR(ROUND(((('Quantification_Results'!AB3-'Quantification_Config'!$S$12)/('Quantification_Config'!$T$12-'Quantification_Config'!$S$12))*100),'Quantification_Config'!$U$2),""),"")</x:f>
      </x:c>
      <x:c r="AD3" t="inlineStr">
        <x:is>
          <x:t xml:space="preserve"/>
        </x:is>
      </x:c>
      <x:c r="AE3" t="inlineStr">
        <x:is>
          <x:t xml:space="preserve"/>
        </x:is>
      </x:c>
      <x:c r="AF3" t="inlineStr">
        <x:is>
          <x:t xml:space="preserve"/>
        </x:is>
      </x:c>
      <x:c r="AG3" t="inlineStr">
        <x:is>
          <x:t xml:space="preserve"/>
        </x:is>
      </x:c>
      <x:c r="AH3" t="inlineStr">
        <x:is>
          <x:t xml:space="preserve">EMPTY</x:t>
        </x:is>
      </x:c>
      <x:c r="AI3">
        <x:f>IF((COUNT('Quantification_Results'!AC3)=1),IFERROR(ROUND((SUM(('Quantification_Results'!AC3*'Quantification_Config'!$R$12))/SUM('Quantification_Config'!$R$12)),'Quantification_Config'!$U$2),""),"")</x:f>
      </x:c>
      <x:c r="AJ3">
        <x:f>IF((COUNT('Quantification_Results'!AI3)=1),IFERROR(ROUND((SUM(('Quantification_Results'!AI3*'Quantification_Config'!$R$11))/SUM('Quantification_Config'!$R$11)),'Quantification_Config'!$U$2),""),"")</x:f>
      </x:c>
      <x:c r="AK3" t="n">
        <x:v>1</x:v>
      </x:c>
      <x:c r="AL3" t="n">
        <x:v>5</x:v>
      </x:c>
      <x:c r="AM3"/>
      <x:c r="AN3" t="n">
        <x:f>IF(('Quantification_Results'!AK3&lt;&gt;1),"",IF(('Quantification_Results'!AM3=""),IF(ISNUMBER('Quantification_Results'!AL3),IF(('Quantification_Results'!AL3&lt;'Quantification_Config'!$S$15),"",IF(('Quantification_Results'!AL3&gt;'Quantification_Config'!$T$15),"",'Quantification_Results'!AL3)),""),IF(ISNUMBER('Quantification_Results'!AM3),IF(('Quantification_Results'!AM3&lt;'Quantification_Config'!$S$15),"",IF(('Quantification_Results'!AM3&gt;'Quantification_Config'!$T$15),"",'Quantification_Results'!AM3)),"")))</x:f>
        <x:v>5</x:v>
      </x:c>
      <x:c r="AO3" t="n">
        <x:f>IF(ISNUMBER('Quantification_Results'!AN3),IFERROR(ROUND(((('Quantification_Results'!AN3-'Quantification_Config'!$S$15)/('Quantification_Config'!$T$15-'Quantification_Config'!$S$15))*100),'Quantification_Config'!$U$2),""),"")</x:f>
        <x:v>50</x:v>
      </x:c>
      <x:c r="AP3" t="inlineStr">
        <x:is>
          <x:t xml:space="preserve">SYSTEM-TEST-ONLY-NO-NETWORK-NOT-AN-EDUCATIONAL-EVALUATION</x:t>
        </x:is>
      </x:c>
      <x:c r="AQ3" t="inlineStr">
        <x:is>
          <x:t xml:space="preserve"/>
        </x:is>
      </x:c>
      <x:c r="AR3" t="inlineStr">
        <x:is>
          <x:t xml:space="preserve">NONE</x:t>
        </x:is>
      </x:c>
      <x:c r="AS3" t="inlineStr">
        <x:is>
          <x:t xml:space="preserve"/>
        </x:is>
      </x:c>
      <x:c r="AT3" t="inlineStr">
        <x:is>
          <x:t xml:space="preserve">SUCCESS</x:t>
        </x:is>
      </x:c>
      <x:c r="AU3" t="n">
        <x:f>IF((COUNT('Quantification_Results'!AO3)=1),IFERROR(ROUND((SUM(('Quantification_Results'!AO3*'Quantification_Config'!$R$15))/SUM('Quantification_Config'!$R$15)),'Quantification_Config'!$U$2),""),"")</x:f>
        <x:v>50</x:v>
      </x:c>
      <x:c r="AV3" t="n">
        <x:f>IF((COUNT('Quantification_Results'!AU3)=1),IFERROR(ROUND((SUM(('Quantification_Results'!AU3*'Quantification_Config'!$R$14))/SUM('Quantification_Config'!$R$14)),'Quantification_Config'!$U$2),""),"")</x:f>
        <x:v>50</x:v>
      </x:c>
      <x:c r="AW3" t="n">
        <x:v>1</x:v>
      </x:c>
      <x:c r="AX3" t="n">
        <x:v>5</x:v>
      </x:c>
      <x:c r="AY3"/>
      <x:c r="AZ3" t="n">
        <x:f>IF(('Quantification_Results'!AW3&lt;&gt;1),"",IF(('Quantification_Results'!AY3=""),IF(ISNUMBER('Quantification_Results'!AX3),IF(('Quantification_Results'!AX3&lt;'Quantification_Config'!$S$19),"",IF(('Quantification_Results'!AX3&gt;'Quantification_Config'!$T$19),"",'Quantification_Results'!AX3)),""),IF(ISNUMBER('Quantification_Results'!AY3),IF(('Quantification_Results'!AY3&lt;'Quantification_Config'!$S$19),"",IF(('Quantification_Results'!AY3&gt;'Quantification_Config'!$T$19),"",'Quantification_Results'!AY3)),"")))</x:f>
        <x:v>5</x:v>
      </x:c>
      <x:c r="BA3" t="n">
        <x:f>IF(ISNUMBER('Quantification_Results'!AZ3),IFERROR(ROUND(((('Quantification_Results'!AZ3-'Quantification_Config'!$S$19)/('Quantification_Config'!$T$19-'Quantification_Config'!$S$19))*100),'Quantification_Config'!$U$2),""),"")</x:f>
        <x:v>50</x:v>
      </x:c>
      <x:c r="BB3" t="inlineStr">
        <x:is>
          <x:t xml:space="preserve">SYSTEM-TEST-ONLY-NO-NETWORK-NOT-AN-EDUCATIONAL-EVALUATION</x:t>
        </x:is>
      </x:c>
      <x:c r="BC3" t="inlineStr">
        <x:is>
          <x:t xml:space="preserve"/>
        </x:is>
      </x:c>
      <x:c r="BD3" t="inlineStr">
        <x:is>
          <x:t xml:space="preserve">NONE</x:t>
        </x:is>
      </x:c>
      <x:c r="BE3" t="inlineStr">
        <x:is>
          <x:t xml:space="preserve"/>
        </x:is>
      </x:c>
      <x:c r="BF3" t="inlineStr">
        <x:is>
          <x:t xml:space="preserve">SUCCESS</x:t>
        </x:is>
      </x:c>
      <x:c r="BG3" t="n">
        <x:f>IF((COUNT('Quantification_Results'!BA3)=1),IFERROR(ROUND((SUM(('Quantification_Results'!BA3*'Quantification_Config'!$R$19))/SUM('Quantification_Config'!$R$19)),'Quantification_Config'!$U$2),""),"")</x:f>
        <x:v>50</x:v>
      </x:c>
      <x:c r="BH3" t="n">
        <x:f>IF((COUNT('Quantification_Results'!BG3)=1),IFERROR(ROUND((SUM(('Quantification_Results'!BG3*'Quantification_Config'!$R$18))/SUM('Quantification_Config'!$R$18)),'Quantification_Config'!$U$2),""),"")</x:f>
        <x:v>50</x:v>
      </x:c>
      <x:c r="BI3">
        <x:f>IF((COUNT('Quantification_Results'!L3,'Quantification_Results'!X3,'Quantification_Results'!AJ3,'Quantification_Results'!AV3,'Quantification_Results'!BH3)=5),IFERROR(ROUND((SUM(('Quantification_Results'!L3*'Quantification_Config'!$R$4),('Quantification_Results'!X3*'Quantification_Config'!$R$7),('Quantification_Results'!AJ3*'Quantification_Config'!$R$10),('Quantification_Results'!AV3*'Quantification_Config'!$R$13),('Quantification_Results'!BH3*'Quantification_Config'!$R$16))/SUM('Quantification_Config'!$R$4,'Quantification_Config'!$R$7,'Quantification_Config'!$R$10,'Quantification_Config'!$R$13,'Quantification_Config'!$R$16)),'Quantification_Config'!$U$2),""),"")</x:f>
      </x:c>
    </x:row>
    <x:row r="4">
      <x:c r="A4" t="n">
        <x:v>1</x:v>
      </x:c>
      <x:c r="B4" t="n">
        <x:v>5</x:v>
      </x:c>
      <x:c r="C4"/>
      <x:c r="D4" t="n">
        <x:f>IF(('Quantification_Results'!A4&lt;&gt;1),"",IF(('Quantification_Results'!C4=""),IF(ISNUMBER('Quantification_Results'!B4),IF(('Quantification_Results'!B4&lt;'Quantification_Config'!$S$6),"",IF(('Quantification_Results'!B4&gt;'Quantification_Config'!$T$6),"",'Quantification_Results'!B4)),""),IF(ISNUMBER('Quantification_Results'!C4),IF(('Quantification_Results'!C4&lt;'Quantification_Config'!$S$6),"",IF(('Quantification_Results'!C4&gt;'Quantification_Config'!$T$6),"",'Quantification_Results'!C4)),"")))</x:f>
        <x:v>5</x:v>
      </x:c>
      <x:c r="E4" t="n">
        <x:f>IF(ISNUMBER('Quantification_Results'!D4),IFERROR(ROUND(((('Quantification_Results'!D4-'Quantification_Config'!$S$6)/('Quantification_Config'!$T$6-'Quantification_Config'!$S$6))*100),'Quantification_Config'!$U$2),""),"")</x:f>
        <x:v>50</x:v>
      </x:c>
      <x:c r="F4" t="inlineStr">
        <x:is>
          <x:t xml:space="preserve">SYSTEM-TEST-ONLY-NO-NETWORK-NOT-AN-EDUCATIONAL-EVALUATION</x:t>
        </x:is>
      </x:c>
      <x:c r="G4" t="inlineStr">
        <x:is>
          <x:t xml:space="preserve"/>
        </x:is>
      </x:c>
      <x:c r="H4" t="inlineStr">
        <x:is>
          <x:t xml:space="preserve">NONE</x:t>
        </x:is>
      </x:c>
      <x:c r="I4" t="inlineStr">
        <x:is>
          <x:t xml:space="preserve"/>
        </x:is>
      </x:c>
      <x:c r="J4" t="inlineStr">
        <x:is>
          <x:t xml:space="preserve">SUCCESS</x:t>
        </x:is>
      </x:c>
      <x:c r="K4" t="n">
        <x:f>IF((COUNT('Quantification_Results'!E4)=1),IFERROR(ROUND((SUM(('Quantification_Results'!E4*'Quantification_Config'!$R$6))/SUM('Quantification_Config'!$R$6)),'Quantification_Config'!$U$2),""),"")</x:f>
        <x:v>50</x:v>
      </x:c>
      <x:c r="L4" t="n">
        <x:f>IF((COUNT('Quantification_Results'!K4)=1),IFERROR(ROUND((SUM(('Quantification_Results'!K4*'Quantification_Config'!$R$5))/SUM('Quantification_Config'!$R$5)),'Quantification_Config'!$U$2),""),"")</x:f>
        <x:v>50</x:v>
      </x:c>
      <x:c r="M4" t="n">
        <x:v>1</x:v>
      </x:c>
      <x:c r="N4" t="n">
        <x:v>5</x:v>
      </x:c>
      <x:c r="O4"/>
      <x:c r="P4" t="n">
        <x:f>IF(('Quantification_Results'!M4&lt;&gt;1),"",IF(('Quantification_Results'!O4=""),IF(ISNUMBER('Quantification_Results'!N4),IF(('Quantification_Results'!N4&lt;'Quantification_Config'!$S$9),"",IF(('Quantification_Results'!N4&gt;'Quantification_Config'!$T$9),"",'Quantification_Results'!N4)),""),IF(ISNUMBER('Quantification_Results'!O4),IF(('Quantification_Results'!O4&lt;'Quantification_Config'!$S$9),"",IF(('Quantification_Results'!O4&gt;'Quantification_Config'!$T$9),"",'Quantification_Results'!O4)),"")))</x:f>
        <x:v>5</x:v>
      </x:c>
      <x:c r="Q4" t="n">
        <x:f>IF(ISNUMBER('Quantification_Results'!P4),IFERROR(ROUND(((('Quantification_Results'!P4-'Quantification_Config'!$S$9)/('Quantification_Config'!$T$9-'Quantification_Config'!$S$9))*100),'Quantification_Config'!$U$2),""),"")</x:f>
        <x:v>50</x:v>
      </x:c>
      <x:c r="R4" t="inlineStr">
        <x:is>
          <x:t xml:space="preserve">SYSTEM-TEST-ONLY-NO-NETWORK-NOT-AN-EDUCATIONAL-EVALUATION</x:t>
        </x:is>
      </x:c>
      <x:c r="S4" t="inlineStr">
        <x:is>
          <x:t xml:space="preserve"/>
        </x:is>
      </x:c>
      <x:c r="T4" t="inlineStr">
        <x:is>
          <x:t xml:space="preserve">NONE</x:t>
        </x:is>
      </x:c>
      <x:c r="U4" t="inlineStr">
        <x:is>
          <x:t xml:space="preserve"/>
        </x:is>
      </x:c>
      <x:c r="V4" t="inlineStr">
        <x:is>
          <x:t xml:space="preserve">SUCCESS</x:t>
        </x:is>
      </x:c>
      <x:c r="W4" t="n">
        <x:f>IF((COUNT('Quantification_Results'!Q4)=1),IFERROR(ROUND((SUM(('Quantification_Results'!Q4*'Quantification_Config'!$R$9))/SUM('Quantification_Config'!$R$9)),'Quantification_Config'!$U$2),""),"")</x:f>
        <x:v>50</x:v>
      </x:c>
      <x:c r="X4" t="n">
        <x:f>IF((COUNT('Quantification_Results'!W4)=1),IFERROR(ROUND((SUM(('Quantification_Results'!W4*'Quantification_Config'!$R$8))/SUM('Quantification_Config'!$R$8)),'Quantification_Config'!$U$2),""),"")</x:f>
        <x:v>50</x:v>
      </x:c>
      <x:c r="Y4" t="n">
        <x:v>0</x:v>
      </x:c>
      <x:c r="Z4"/>
      <x:c r="AA4"/>
      <x:c r="AB4">
        <x:f>IF(('Quantification_Results'!Y4&lt;&gt;1),"",IF(('Quantification_Results'!AA4=""),IF(ISNUMBER('Quantification_Results'!Z4),IF(('Quantification_Results'!Z4&lt;'Quantification_Config'!$S$12),"",IF(('Quantification_Results'!Z4&gt;'Quantification_Config'!$T$12),"",'Quantification_Results'!Z4)),""),IF(ISNUMBER('Quantification_Results'!AA4),IF(('Quantification_Results'!AA4&lt;'Quantification_Config'!$S$12),"",IF(('Quantification_Results'!AA4&gt;'Quantification_Config'!$T$12),"",'Quantification_Results'!AA4)),"")))</x:f>
      </x:c>
      <x:c r="AC4">
        <x:f>IF(ISNUMBER('Quantification_Results'!AB4),IFERROR(ROUND(((('Quantification_Results'!AB4-'Quantification_Config'!$S$12)/('Quantification_Config'!$T$12-'Quantification_Config'!$S$12))*100),'Quantification_Config'!$U$2),""),"")</x:f>
      </x:c>
      <x:c r="AD4" t="inlineStr">
        <x:is>
          <x:t xml:space="preserve"/>
        </x:is>
      </x:c>
      <x:c r="AE4" t="inlineStr">
        <x:is>
          <x:t xml:space="preserve"/>
        </x:is>
      </x:c>
      <x:c r="AF4" t="inlineStr">
        <x:is>
          <x:t xml:space="preserve"/>
        </x:is>
      </x:c>
      <x:c r="AG4" t="inlineStr">
        <x:is>
          <x:t xml:space="preserve"/>
        </x:is>
      </x:c>
      <x:c r="AH4" t="inlineStr">
        <x:is>
          <x:t xml:space="preserve">EMPTY</x:t>
        </x:is>
      </x:c>
      <x:c r="AI4">
        <x:f>IF((COUNT('Quantification_Results'!AC4)=1),IFERROR(ROUND((SUM(('Quantification_Results'!AC4*'Quantification_Config'!$R$12))/SUM('Quantification_Config'!$R$12)),'Quantification_Config'!$U$2),""),"")</x:f>
      </x:c>
      <x:c r="AJ4">
        <x:f>IF((COUNT('Quantification_Results'!AI4)=1),IFERROR(ROUND((SUM(('Quantification_Results'!AI4*'Quantification_Config'!$R$11))/SUM('Quantification_Config'!$R$11)),'Quantification_Config'!$U$2),""),"")</x:f>
      </x:c>
      <x:c r="AK4" t="n">
        <x:v>1</x:v>
      </x:c>
      <x:c r="AL4" t="n">
        <x:v>5</x:v>
      </x:c>
      <x:c r="AM4"/>
      <x:c r="AN4" t="n">
        <x:f>IF(('Quantification_Results'!AK4&lt;&gt;1),"",IF(('Quantification_Results'!AM4=""),IF(ISNUMBER('Quantification_Results'!AL4),IF(('Quantification_Results'!AL4&lt;'Quantification_Config'!$S$15),"",IF(('Quantification_Results'!AL4&gt;'Quantification_Config'!$T$15),"",'Quantification_Results'!AL4)),""),IF(ISNUMBER('Quantification_Results'!AM4),IF(('Quantification_Results'!AM4&lt;'Quantification_Config'!$S$15),"",IF(('Quantification_Results'!AM4&gt;'Quantification_Config'!$T$15),"",'Quantification_Results'!AM4)),"")))</x:f>
        <x:v>5</x:v>
      </x:c>
      <x:c r="AO4" t="n">
        <x:f>IF(ISNUMBER('Quantification_Results'!AN4),IFERROR(ROUND(((('Quantification_Results'!AN4-'Quantification_Config'!$S$15)/('Quantification_Config'!$T$15-'Quantification_Config'!$S$15))*100),'Quantification_Config'!$U$2),""),"")</x:f>
        <x:v>50</x:v>
      </x:c>
      <x:c r="AP4" t="inlineStr">
        <x:is>
          <x:t xml:space="preserve">SYSTEM-TEST-ONLY-NO-NETWORK-NOT-AN-EDUCATIONAL-EVALUATION</x:t>
        </x:is>
      </x:c>
      <x:c r="AQ4" t="inlineStr">
        <x:is>
          <x:t xml:space="preserve"/>
        </x:is>
      </x:c>
      <x:c r="AR4" t="inlineStr">
        <x:is>
          <x:t xml:space="preserve">NONE</x:t>
        </x:is>
      </x:c>
      <x:c r="AS4" t="inlineStr">
        <x:is>
          <x:t xml:space="preserve"/>
        </x:is>
      </x:c>
      <x:c r="AT4" t="inlineStr">
        <x:is>
          <x:t xml:space="preserve">SUCCESS</x:t>
        </x:is>
      </x:c>
      <x:c r="AU4" t="n">
        <x:f>IF((COUNT('Quantification_Results'!AO4)=1),IFERROR(ROUND((SUM(('Quantification_Results'!AO4*'Quantification_Config'!$R$15))/SUM('Quantification_Config'!$R$15)),'Quantification_Config'!$U$2),""),"")</x:f>
        <x:v>50</x:v>
      </x:c>
      <x:c r="AV4" t="n">
        <x:f>IF((COUNT('Quantification_Results'!AU4)=1),IFERROR(ROUND((SUM(('Quantification_Results'!AU4*'Quantification_Config'!$R$14))/SUM('Quantification_Config'!$R$14)),'Quantification_Config'!$U$2),""),"")</x:f>
        <x:v>50</x:v>
      </x:c>
      <x:c r="AW4" t="n">
        <x:v>1</x:v>
      </x:c>
      <x:c r="AX4" t="n">
        <x:v>5</x:v>
      </x:c>
      <x:c r="AY4"/>
      <x:c r="AZ4" t="n">
        <x:f>IF(('Quantification_Results'!AW4&lt;&gt;1),"",IF(('Quantification_Results'!AY4=""),IF(ISNUMBER('Quantification_Results'!AX4),IF(('Quantification_Results'!AX4&lt;'Quantification_Config'!$S$19),"",IF(('Quantification_Results'!AX4&gt;'Quantification_Config'!$T$19),"",'Quantification_Results'!AX4)),""),IF(ISNUMBER('Quantification_Results'!AY4),IF(('Quantification_Results'!AY4&lt;'Quantification_Config'!$S$19),"",IF(('Quantification_Results'!AY4&gt;'Quantification_Config'!$T$19),"",'Quantification_Results'!AY4)),"")))</x:f>
        <x:v>5</x:v>
      </x:c>
      <x:c r="BA4" t="n">
        <x:f>IF(ISNUMBER('Quantification_Results'!AZ4),IFERROR(ROUND(((('Quantification_Results'!AZ4-'Quantification_Config'!$S$19)/('Quantification_Config'!$T$19-'Quantification_Config'!$S$19))*100),'Quantification_Config'!$U$2),""),"")</x:f>
        <x:v>50</x:v>
      </x:c>
      <x:c r="BB4" t="inlineStr">
        <x:is>
          <x:t xml:space="preserve">SYSTEM-TEST-ONLY-NO-NETWORK-NOT-AN-EDUCATIONAL-EVALUATION</x:t>
        </x:is>
      </x:c>
      <x:c r="BC4" t="inlineStr">
        <x:is>
          <x:t xml:space="preserve"/>
        </x:is>
      </x:c>
      <x:c r="BD4" t="inlineStr">
        <x:is>
          <x:t xml:space="preserve">NONE</x:t>
        </x:is>
      </x:c>
      <x:c r="BE4" t="inlineStr">
        <x:is>
          <x:t xml:space="preserve"/>
        </x:is>
      </x:c>
      <x:c r="BF4" t="inlineStr">
        <x:is>
          <x:t xml:space="preserve">SUCCESS</x:t>
        </x:is>
      </x:c>
      <x:c r="BG4" t="n">
        <x:f>IF((COUNT('Quantification_Results'!BA4)=1),IFERROR(ROUND((SUM(('Quantification_Results'!BA4*'Quantification_Config'!$R$19))/SUM('Quantification_Config'!$R$19)),'Quantification_Config'!$U$2),""),"")</x:f>
        <x:v>50</x:v>
      </x:c>
      <x:c r="BH4" t="n">
        <x:f>IF((COUNT('Quantification_Results'!BG4)=1),IFERROR(ROUND((SUM(('Quantification_Results'!BG4*'Quantification_Config'!$R$18))/SUM('Quantification_Config'!$R$18)),'Quantification_Config'!$U$2),""),"")</x:f>
        <x:v>50</x:v>
      </x:c>
      <x:c r="BI4">
        <x:f>IF((COUNT('Quantification_Results'!L4,'Quantification_Results'!X4,'Quantification_Results'!AJ4,'Quantification_Results'!AV4,'Quantification_Results'!BH4)=5),IFERROR(ROUND((SUM(('Quantification_Results'!L4*'Quantification_Config'!$R$4),('Quantification_Results'!X4*'Quantification_Config'!$R$7),('Quantification_Results'!AJ4*'Quantification_Config'!$R$10),('Quantification_Results'!AV4*'Quantification_Config'!$R$13),('Quantification_Results'!BH4*'Quantification_Config'!$R$16))/SUM('Quantification_Config'!$R$4,'Quantification_Config'!$R$7,'Quantification_Config'!$R$10,'Quantification_Config'!$R$13,'Quantification_Config'!$R$16)),'Quantification_Config'!$U$2),""),"")</x:f>
      </x:c>
    </x:row>
    <x:row r="5">
      <x:c r="A5" t="n">
        <x:v>1</x:v>
      </x:c>
      <x:c r="B5" t="n">
        <x:v>5</x:v>
      </x:c>
      <x:c r="C5"/>
      <x:c r="D5" t="n">
        <x:f>IF(('Quantification_Results'!A5&lt;&gt;1),"",IF(('Quantification_Results'!C5=""),IF(ISNUMBER('Quantification_Results'!B5),IF(('Quantification_Results'!B5&lt;'Quantification_Config'!$S$6),"",IF(('Quantification_Results'!B5&gt;'Quantification_Config'!$T$6),"",'Quantification_Results'!B5)),""),IF(ISNUMBER('Quantification_Results'!C5),IF(('Quantification_Results'!C5&lt;'Quantification_Config'!$S$6),"",IF(('Quantification_Results'!C5&gt;'Quantification_Config'!$T$6),"",'Quantification_Results'!C5)),"")))</x:f>
        <x:v>5</x:v>
      </x:c>
      <x:c r="E5" t="n">
        <x:f>IF(ISNUMBER('Quantification_Results'!D5),IFERROR(ROUND(((('Quantification_Results'!D5-'Quantification_Config'!$S$6)/('Quantification_Config'!$T$6-'Quantification_Config'!$S$6))*100),'Quantification_Config'!$U$2),""),"")</x:f>
        <x:v>50</x:v>
      </x:c>
      <x:c r="F5" t="inlineStr">
        <x:is>
          <x:t xml:space="preserve">SYSTEM-TEST-ONLY-NO-NETWORK-NOT-AN-EDUCATIONAL-EVALUATION</x:t>
        </x:is>
      </x:c>
      <x:c r="G5" t="inlineStr">
        <x:is>
          <x:t xml:space="preserve"/>
        </x:is>
      </x:c>
      <x:c r="H5" t="inlineStr">
        <x:is>
          <x:t xml:space="preserve">NONE</x:t>
        </x:is>
      </x:c>
      <x:c r="I5" t="inlineStr">
        <x:is>
          <x:t xml:space="preserve"/>
        </x:is>
      </x:c>
      <x:c r="J5" t="inlineStr">
        <x:is>
          <x:t xml:space="preserve">SUCCESS</x:t>
        </x:is>
      </x:c>
      <x:c r="K5" t="n">
        <x:f>IF((COUNT('Quantification_Results'!E5)=1),IFERROR(ROUND((SUM(('Quantification_Results'!E5*'Quantification_Config'!$R$6))/SUM('Quantification_Config'!$R$6)),'Quantification_Config'!$U$2),""),"")</x:f>
        <x:v>50</x:v>
      </x:c>
      <x:c r="L5" t="n">
        <x:f>IF((COUNT('Quantification_Results'!K5)=1),IFERROR(ROUND((SUM(('Quantification_Results'!K5*'Quantification_Config'!$R$5))/SUM('Quantification_Config'!$R$5)),'Quantification_Config'!$U$2),""),"")</x:f>
        <x:v>50</x:v>
      </x:c>
      <x:c r="M5" t="n">
        <x:v>1</x:v>
      </x:c>
      <x:c r="N5" t="n">
        <x:v>5</x:v>
      </x:c>
      <x:c r="O5"/>
      <x:c r="P5" t="n">
        <x:f>IF(('Quantification_Results'!M5&lt;&gt;1),"",IF(('Quantification_Results'!O5=""),IF(ISNUMBER('Quantification_Results'!N5),IF(('Quantification_Results'!N5&lt;'Quantification_Config'!$S$9),"",IF(('Quantification_Results'!N5&gt;'Quantification_Config'!$T$9),"",'Quantification_Results'!N5)),""),IF(ISNUMBER('Quantification_Results'!O5),IF(('Quantification_Results'!O5&lt;'Quantification_Config'!$S$9),"",IF(('Quantification_Results'!O5&gt;'Quantification_Config'!$T$9),"",'Quantification_Results'!O5)),"")))</x:f>
        <x:v>5</x:v>
      </x:c>
      <x:c r="Q5" t="n">
        <x:f>IF(ISNUMBER('Quantification_Results'!P5),IFERROR(ROUND(((('Quantification_Results'!P5-'Quantification_Config'!$S$9)/('Quantification_Config'!$T$9-'Quantification_Config'!$S$9))*100),'Quantification_Config'!$U$2),""),"")</x:f>
        <x:v>50</x:v>
      </x:c>
      <x:c r="R5" t="inlineStr">
        <x:is>
          <x:t xml:space="preserve">SYSTEM-TEST-ONLY-NO-NETWORK-NOT-AN-EDUCATIONAL-EVALUATION</x:t>
        </x:is>
      </x:c>
      <x:c r="S5" t="inlineStr">
        <x:is>
          <x:t xml:space="preserve"/>
        </x:is>
      </x:c>
      <x:c r="T5" t="inlineStr">
        <x:is>
          <x:t xml:space="preserve">NONE</x:t>
        </x:is>
      </x:c>
      <x:c r="U5" t="inlineStr">
        <x:is>
          <x:t xml:space="preserve"/>
        </x:is>
      </x:c>
      <x:c r="V5" t="inlineStr">
        <x:is>
          <x:t xml:space="preserve">SUCCESS</x:t>
        </x:is>
      </x:c>
      <x:c r="W5" t="n">
        <x:f>IF((COUNT('Quantification_Results'!Q5)=1),IFERROR(ROUND((SUM(('Quantification_Results'!Q5*'Quantification_Config'!$R$9))/SUM('Quantification_Config'!$R$9)),'Quantification_Config'!$U$2),""),"")</x:f>
        <x:v>50</x:v>
      </x:c>
      <x:c r="X5" t="n">
        <x:f>IF((COUNT('Quantification_Results'!W5)=1),IFERROR(ROUND((SUM(('Quantification_Results'!W5*'Quantification_Config'!$R$8))/SUM('Quantification_Config'!$R$8)),'Quantification_Config'!$U$2),""),"")</x:f>
        <x:v>50</x:v>
      </x:c>
      <x:c r="Y5" t="n">
        <x:v>0</x:v>
      </x:c>
      <x:c r="Z5"/>
      <x:c r="AA5"/>
      <x:c r="AB5">
        <x:f>IF(('Quantification_Results'!Y5&lt;&gt;1),"",IF(('Quantification_Results'!AA5=""),IF(ISNUMBER('Quantification_Results'!Z5),IF(('Quantification_Results'!Z5&lt;'Quantification_Config'!$S$12),"",IF(('Quantification_Results'!Z5&gt;'Quantification_Config'!$T$12),"",'Quantification_Results'!Z5)),""),IF(ISNUMBER('Quantification_Results'!AA5),IF(('Quantification_Results'!AA5&lt;'Quantification_Config'!$S$12),"",IF(('Quantification_Results'!AA5&gt;'Quantification_Config'!$T$12),"",'Quantification_Results'!AA5)),"")))</x:f>
      </x:c>
      <x:c r="AC5">
        <x:f>IF(ISNUMBER('Quantification_Results'!AB5),IFERROR(ROUND(((('Quantification_Results'!AB5-'Quantification_Config'!$S$12)/('Quantification_Config'!$T$12-'Quantification_Config'!$S$12))*100),'Quantification_Config'!$U$2),""),"")</x:f>
      </x:c>
      <x:c r="AD5" t="inlineStr">
        <x:is>
          <x:t xml:space="preserve"/>
        </x:is>
      </x:c>
      <x:c r="AE5" t="inlineStr">
        <x:is>
          <x:t xml:space="preserve"/>
        </x:is>
      </x:c>
      <x:c r="AF5" t="inlineStr">
        <x:is>
          <x:t xml:space="preserve"/>
        </x:is>
      </x:c>
      <x:c r="AG5" t="inlineStr">
        <x:is>
          <x:t xml:space="preserve"/>
        </x:is>
      </x:c>
      <x:c r="AH5" t="inlineStr">
        <x:is>
          <x:t xml:space="preserve">EMPTY</x:t>
        </x:is>
      </x:c>
      <x:c r="AI5">
        <x:f>IF((COUNT('Quantification_Results'!AC5)=1),IFERROR(ROUND((SUM(('Quantification_Results'!AC5*'Quantification_Config'!$R$12))/SUM('Quantification_Config'!$R$12)),'Quantification_Config'!$U$2),""),"")</x:f>
      </x:c>
      <x:c r="AJ5">
        <x:f>IF((COUNT('Quantification_Results'!AI5)=1),IFERROR(ROUND((SUM(('Quantification_Results'!AI5*'Quantification_Config'!$R$11))/SUM('Quantification_Config'!$R$11)),'Quantification_Config'!$U$2),""),"")</x:f>
      </x:c>
      <x:c r="AK5" t="n">
        <x:v>1</x:v>
      </x:c>
      <x:c r="AL5" t="n">
        <x:v>5</x:v>
      </x:c>
      <x:c r="AM5"/>
      <x:c r="AN5" t="n">
        <x:f>IF(('Quantification_Results'!AK5&lt;&gt;1),"",IF(('Quantification_Results'!AM5=""),IF(ISNUMBER('Quantification_Results'!AL5),IF(('Quantification_Results'!AL5&lt;'Quantification_Config'!$S$15),"",IF(('Quantification_Results'!AL5&gt;'Quantification_Config'!$T$15),"",'Quantification_Results'!AL5)),""),IF(ISNUMBER('Quantification_Results'!AM5),IF(('Quantification_Results'!AM5&lt;'Quantification_Config'!$S$15),"",IF(('Quantification_Results'!AM5&gt;'Quantification_Config'!$T$15),"",'Quantification_Results'!AM5)),"")))</x:f>
        <x:v>5</x:v>
      </x:c>
      <x:c r="AO5" t="n">
        <x:f>IF(ISNUMBER('Quantification_Results'!AN5),IFERROR(ROUND(((('Quantification_Results'!AN5-'Quantification_Config'!$S$15)/('Quantification_Config'!$T$15-'Quantification_Config'!$S$15))*100),'Quantification_Config'!$U$2),""),"")</x:f>
        <x:v>50</x:v>
      </x:c>
      <x:c r="AP5" t="inlineStr">
        <x:is>
          <x:t xml:space="preserve">SYSTEM-TEST-ONLY-NO-NETWORK-NOT-AN-EDUCATIONAL-EVALUATION</x:t>
        </x:is>
      </x:c>
      <x:c r="AQ5" t="inlineStr">
        <x:is>
          <x:t xml:space="preserve"/>
        </x:is>
      </x:c>
      <x:c r="AR5" t="inlineStr">
        <x:is>
          <x:t xml:space="preserve">NONE</x:t>
        </x:is>
      </x:c>
      <x:c r="AS5" t="inlineStr">
        <x:is>
          <x:t xml:space="preserve"/>
        </x:is>
      </x:c>
      <x:c r="AT5" t="inlineStr">
        <x:is>
          <x:t xml:space="preserve">SUCCESS</x:t>
        </x:is>
      </x:c>
      <x:c r="AU5" t="n">
        <x:f>IF((COUNT('Quantification_Results'!AO5)=1),IFERROR(ROUND((SUM(('Quantification_Results'!AO5*'Quantification_Config'!$R$15))/SUM('Quantification_Config'!$R$15)),'Quantification_Config'!$U$2),""),"")</x:f>
        <x:v>50</x:v>
      </x:c>
      <x:c r="AV5" t="n">
        <x:f>IF((COUNT('Quantification_Results'!AU5)=1),IFERROR(ROUND((SUM(('Quantification_Results'!AU5*'Quantification_Config'!$R$14))/SUM('Quantification_Config'!$R$14)),'Quantification_Config'!$U$2),""),"")</x:f>
        <x:v>50</x:v>
      </x:c>
      <x:c r="AW5" t="n">
        <x:v>1</x:v>
      </x:c>
      <x:c r="AX5" t="n">
        <x:v>5</x:v>
      </x:c>
      <x:c r="AY5"/>
      <x:c r="AZ5" t="n">
        <x:f>IF(('Quantification_Results'!AW5&lt;&gt;1),"",IF(('Quantification_Results'!AY5=""),IF(ISNUMBER('Quantification_Results'!AX5),IF(('Quantification_Results'!AX5&lt;'Quantification_Config'!$S$19),"",IF(('Quantification_Results'!AX5&gt;'Quantification_Config'!$T$19),"",'Quantification_Results'!AX5)),""),IF(ISNUMBER('Quantification_Results'!AY5),IF(('Quantification_Results'!AY5&lt;'Quantification_Config'!$S$19),"",IF(('Quantification_Results'!AY5&gt;'Quantification_Config'!$T$19),"",'Quantification_Results'!AY5)),"")))</x:f>
        <x:v>5</x:v>
      </x:c>
      <x:c r="BA5" t="n">
        <x:f>IF(ISNUMBER('Quantification_Results'!AZ5),IFERROR(ROUND(((('Quantification_Results'!AZ5-'Quantification_Config'!$S$19)/('Quantification_Config'!$T$19-'Quantification_Config'!$S$19))*100),'Quantification_Config'!$U$2),""),"")</x:f>
        <x:v>50</x:v>
      </x:c>
      <x:c r="BB5" t="inlineStr">
        <x:is>
          <x:t xml:space="preserve">SYSTEM-TEST-ONLY-NO-NETWORK-NOT-AN-EDUCATIONAL-EVALUATION</x:t>
        </x:is>
      </x:c>
      <x:c r="BC5" t="inlineStr">
        <x:is>
          <x:t xml:space="preserve"/>
        </x:is>
      </x:c>
      <x:c r="BD5" t="inlineStr">
        <x:is>
          <x:t xml:space="preserve">NONE</x:t>
        </x:is>
      </x:c>
      <x:c r="BE5" t="inlineStr">
        <x:is>
          <x:t xml:space="preserve"/>
        </x:is>
      </x:c>
      <x:c r="BF5" t="inlineStr">
        <x:is>
          <x:t xml:space="preserve">SUCCESS</x:t>
        </x:is>
      </x:c>
      <x:c r="BG5" t="n">
        <x:f>IF((COUNT('Quantification_Results'!BA5)=1),IFERROR(ROUND((SUM(('Quantification_Results'!BA5*'Quantification_Config'!$R$19))/SUM('Quantification_Config'!$R$19)),'Quantification_Config'!$U$2),""),"")</x:f>
        <x:v>50</x:v>
      </x:c>
      <x:c r="BH5" t="n">
        <x:f>IF((COUNT('Quantification_Results'!BG5)=1),IFERROR(ROUND((SUM(('Quantification_Results'!BG5*'Quantification_Config'!$R$18))/SUM('Quantification_Config'!$R$18)),'Quantification_Config'!$U$2),""),"")</x:f>
        <x:v>50</x:v>
      </x:c>
      <x:c r="BI5">
        <x:f>IF((COUNT('Quantification_Results'!L5,'Quantification_Results'!X5,'Quantification_Results'!AJ5,'Quantification_Results'!AV5,'Quantification_Results'!BH5)=5),IFERROR(ROUND((SUM(('Quantification_Results'!L5*'Quantification_Config'!$R$4),('Quantification_Results'!X5*'Quantification_Config'!$R$7),('Quantification_Results'!AJ5*'Quantification_Config'!$R$10),('Quantification_Results'!AV5*'Quantification_Config'!$R$13),('Quantification_Results'!BH5*'Quantification_Config'!$R$16))/SUM('Quantification_Config'!$R$4,'Quantification_Config'!$R$7,'Quantification_Config'!$R$10,'Quantification_Config'!$R$13,'Quantification_Config'!$R$16)),'Quantification_Config'!$U$2),""),"")</x:f>
      </x:c>
    </x:row>
    <x:row r="6">
      <x:c r="A6" t="n">
        <x:v>1</x:v>
      </x:c>
      <x:c r="B6" t="n">
        <x:v>5</x:v>
      </x:c>
      <x:c r="C6"/>
      <x:c r="D6" t="n">
        <x:f>IF(('Quantification_Results'!A6&lt;&gt;1),"",IF(('Quantification_Results'!C6=""),IF(ISNUMBER('Quantification_Results'!B6),IF(('Quantification_Results'!B6&lt;'Quantification_Config'!$S$6),"",IF(('Quantification_Results'!B6&gt;'Quantification_Config'!$T$6),"",'Quantification_Results'!B6)),""),IF(ISNUMBER('Quantification_Results'!C6),IF(('Quantification_Results'!C6&lt;'Quantification_Config'!$S$6),"",IF(('Quantification_Results'!C6&gt;'Quantification_Config'!$T$6),"",'Quantification_Results'!C6)),"")))</x:f>
        <x:v>5</x:v>
      </x:c>
      <x:c r="E6" t="n">
        <x:f>IF(ISNUMBER('Quantification_Results'!D6),IFERROR(ROUND(((('Quantification_Results'!D6-'Quantification_Config'!$S$6)/('Quantification_Config'!$T$6-'Quantification_Config'!$S$6))*100),'Quantification_Config'!$U$2),""),"")</x:f>
        <x:v>50</x:v>
      </x:c>
      <x:c r="F6" t="inlineStr">
        <x:is>
          <x:t xml:space="preserve">SYSTEM-TEST-ONLY-NO-NETWORK-NOT-AN-EDUCATIONAL-EVALUATION</x:t>
        </x:is>
      </x:c>
      <x:c r="G6" t="inlineStr">
        <x:is>
          <x:t xml:space="preserve"/>
        </x:is>
      </x:c>
      <x:c r="H6" t="inlineStr">
        <x:is>
          <x:t xml:space="preserve">NONE</x:t>
        </x:is>
      </x:c>
      <x:c r="I6" t="inlineStr">
        <x:is>
          <x:t xml:space="preserve"/>
        </x:is>
      </x:c>
      <x:c r="J6" t="inlineStr">
        <x:is>
          <x:t xml:space="preserve">SUCCESS</x:t>
        </x:is>
      </x:c>
      <x:c r="K6" t="n">
        <x:f>IF((COUNT('Quantification_Results'!E6)=1),IFERROR(ROUND((SUM(('Quantification_Results'!E6*'Quantification_Config'!$R$6))/SUM('Quantification_Config'!$R$6)),'Quantification_Config'!$U$2),""),"")</x:f>
        <x:v>50</x:v>
      </x:c>
      <x:c r="L6" t="n">
        <x:f>IF((COUNT('Quantification_Results'!K6)=1),IFERROR(ROUND((SUM(('Quantification_Results'!K6*'Quantification_Config'!$R$5))/SUM('Quantification_Config'!$R$5)),'Quantification_Config'!$U$2),""),"")</x:f>
        <x:v>50</x:v>
      </x:c>
      <x:c r="M6" t="n">
        <x:v>0</x:v>
      </x:c>
      <x:c r="N6"/>
      <x:c r="O6"/>
      <x:c r="P6">
        <x:f>IF(('Quantification_Results'!M6&lt;&gt;1),"",IF(('Quantification_Results'!O6=""),IF(ISNUMBER('Quantification_Results'!N6),IF(('Quantification_Results'!N6&lt;'Quantification_Config'!$S$9),"",IF(('Quantification_Results'!N6&gt;'Quantification_Config'!$T$9),"",'Quantification_Results'!N6)),""),IF(ISNUMBER('Quantification_Results'!O6),IF(('Quantification_Results'!O6&lt;'Quantification_Config'!$S$9),"",IF(('Quantification_Results'!O6&gt;'Quantification_Config'!$T$9),"",'Quantification_Results'!O6)),"")))</x:f>
      </x:c>
      <x:c r="Q6">
        <x:f>IF(ISNUMBER('Quantification_Results'!P6),IFERROR(ROUND(((('Quantification_Results'!P6-'Quantification_Config'!$S$9)/('Quantification_Config'!$T$9-'Quantification_Config'!$S$9))*100),'Quantification_Config'!$U$2),""),"")</x:f>
      </x:c>
      <x:c r="R6" t="inlineStr">
        <x:is>
          <x:t xml:space="preserve"/>
        </x:is>
      </x:c>
      <x:c r="S6" t="inlineStr">
        <x:is>
          <x:t xml:space="preserve"/>
        </x:is>
      </x:c>
      <x:c r="T6" t="inlineStr">
        <x:is>
          <x:t xml:space="preserve"/>
        </x:is>
      </x:c>
      <x:c r="U6" t="inlineStr">
        <x:is>
          <x:t xml:space="preserve"/>
        </x:is>
      </x:c>
      <x:c r="V6" t="inlineStr">
        <x:is>
          <x:t xml:space="preserve">EMPTY</x:t>
        </x:is>
      </x:c>
      <x:c r="W6">
        <x:f>IF((COUNT('Quantification_Results'!Q6)=1),IFERROR(ROUND((SUM(('Quantification_Results'!Q6*'Quantification_Config'!$R$9))/SUM('Quantification_Config'!$R$9)),'Quantification_Config'!$U$2),""),"")</x:f>
      </x:c>
      <x:c r="X6">
        <x:f>IF((COUNT('Quantification_Results'!W6)=1),IFERROR(ROUND((SUM(('Quantification_Results'!W6*'Quantification_Config'!$R$8))/SUM('Quantification_Config'!$R$8)),'Quantification_Config'!$U$2),""),"")</x:f>
      </x:c>
      <x:c r="Y6" t="n">
        <x:v>1</x:v>
      </x:c>
      <x:c r="Z6" t="n">
        <x:v>5</x:v>
      </x:c>
      <x:c r="AA6"/>
      <x:c r="AB6" t="n">
        <x:f>IF(('Quantification_Results'!Y6&lt;&gt;1),"",IF(('Quantification_Results'!AA6=""),IF(ISNUMBER('Quantification_Results'!Z6),IF(('Quantification_Results'!Z6&lt;'Quantification_Config'!$S$12),"",IF(('Quantification_Results'!Z6&gt;'Quantification_Config'!$T$12),"",'Quantification_Results'!Z6)),""),IF(ISNUMBER('Quantification_Results'!AA6),IF(('Quantification_Results'!AA6&lt;'Quantification_Config'!$S$12),"",IF(('Quantification_Results'!AA6&gt;'Quantification_Config'!$T$12),"",'Quantification_Results'!AA6)),"")))</x:f>
        <x:v>5</x:v>
      </x:c>
      <x:c r="AC6" t="n">
        <x:f>IF(ISNUMBER('Quantification_Results'!AB6),IFERROR(ROUND(((('Quantification_Results'!AB6-'Quantification_Config'!$S$12)/('Quantification_Config'!$T$12-'Quantification_Config'!$S$12))*100),'Quantification_Config'!$U$2),""),"")</x:f>
        <x:v>50</x:v>
      </x:c>
      <x:c r="AD6" t="inlineStr">
        <x:is>
          <x:t xml:space="preserve">SYSTEM-TEST-ONLY-NO-NETWORK-NOT-AN-EDUCATIONAL-EVALUATION</x:t>
        </x:is>
      </x:c>
      <x:c r="AE6" t="inlineStr">
        <x:is>
          <x:t xml:space="preserve"/>
        </x:is>
      </x:c>
      <x:c r="AF6" t="inlineStr">
        <x:is>
          <x:t xml:space="preserve">NONE</x:t>
        </x:is>
      </x:c>
      <x:c r="AG6" t="inlineStr">
        <x:is>
          <x:t xml:space="preserve"/>
        </x:is>
      </x:c>
      <x:c r="AH6" t="inlineStr">
        <x:is>
          <x:t xml:space="preserve">SUCCESS</x:t>
        </x:is>
      </x:c>
      <x:c r="AI6" t="n">
        <x:f>IF((COUNT('Quantification_Results'!AC6)=1),IFERROR(ROUND((SUM(('Quantification_Results'!AC6*'Quantification_Config'!$R$12))/SUM('Quantification_Config'!$R$12)),'Quantification_Config'!$U$2),""),"")</x:f>
        <x:v>50</x:v>
      </x:c>
      <x:c r="AJ6" t="n">
        <x:f>IF((COUNT('Quantification_Results'!AI6)=1),IFERROR(ROUND((SUM(('Quantification_Results'!AI6*'Quantification_Config'!$R$11))/SUM('Quantification_Config'!$R$11)),'Quantification_Config'!$U$2),""),"")</x:f>
        <x:v>50</x:v>
      </x:c>
      <x:c r="AK6" t="n">
        <x:v>1</x:v>
      </x:c>
      <x:c r="AL6" t="n">
        <x:v>5</x:v>
      </x:c>
      <x:c r="AM6"/>
      <x:c r="AN6" t="n">
        <x:f>IF(('Quantification_Results'!AK6&lt;&gt;1),"",IF(('Quantification_Results'!AM6=""),IF(ISNUMBER('Quantification_Results'!AL6),IF(('Quantification_Results'!AL6&lt;'Quantification_Config'!$S$15),"",IF(('Quantification_Results'!AL6&gt;'Quantification_Config'!$T$15),"",'Quantification_Results'!AL6)),""),IF(ISNUMBER('Quantification_Results'!AM6),IF(('Quantification_Results'!AM6&lt;'Quantification_Config'!$S$15),"",IF(('Quantification_Results'!AM6&gt;'Quantification_Config'!$T$15),"",'Quantification_Results'!AM6)),"")))</x:f>
        <x:v>5</x:v>
      </x:c>
      <x:c r="AO6" t="n">
        <x:f>IF(ISNUMBER('Quantification_Results'!AN6),IFERROR(ROUND(((('Quantification_Results'!AN6-'Quantification_Config'!$S$15)/('Quantification_Config'!$T$15-'Quantification_Config'!$S$15))*100),'Quantification_Config'!$U$2),""),"")</x:f>
        <x:v>50</x:v>
      </x:c>
      <x:c r="AP6" t="inlineStr">
        <x:is>
          <x:t xml:space="preserve">SYSTEM-TEST-ONLY-NO-NETWORK-NOT-AN-EDUCATIONAL-EVALUATION</x:t>
        </x:is>
      </x:c>
      <x:c r="AQ6" t="inlineStr">
        <x:is>
          <x:t xml:space="preserve"/>
        </x:is>
      </x:c>
      <x:c r="AR6" t="inlineStr">
        <x:is>
          <x:t xml:space="preserve">NONE</x:t>
        </x:is>
      </x:c>
      <x:c r="AS6" t="inlineStr">
        <x:is>
          <x:t xml:space="preserve"/>
        </x:is>
      </x:c>
      <x:c r="AT6" t="inlineStr">
        <x:is>
          <x:t xml:space="preserve">SUCCESS</x:t>
        </x:is>
      </x:c>
      <x:c r="AU6" t="n">
        <x:f>IF((COUNT('Quantification_Results'!AO6)=1),IFERROR(ROUND((SUM(('Quantification_Results'!AO6*'Quantification_Config'!$R$15))/SUM('Quantification_Config'!$R$15)),'Quantification_Config'!$U$2),""),"")</x:f>
        <x:v>50</x:v>
      </x:c>
      <x:c r="AV6" t="n">
        <x:f>IF((COUNT('Quantification_Results'!AU6)=1),IFERROR(ROUND((SUM(('Quantification_Results'!AU6*'Quantification_Config'!$R$14))/SUM('Quantification_Config'!$R$14)),'Quantification_Config'!$U$2),""),"")</x:f>
        <x:v>50</x:v>
      </x:c>
      <x:c r="AW6" t="n">
        <x:v>0</x:v>
      </x:c>
      <x:c r="AX6"/>
      <x:c r="AY6"/>
      <x:c r="AZ6">
        <x:f>IF(('Quantification_Results'!AW6&lt;&gt;1),"",IF(('Quantification_Results'!AY6=""),IF(ISNUMBER('Quantification_Results'!AX6),IF(('Quantification_Results'!AX6&lt;'Quantification_Config'!$S$19),"",IF(('Quantification_Results'!AX6&gt;'Quantification_Config'!$T$19),"",'Quantification_Results'!AX6)),""),IF(ISNUMBER('Quantification_Results'!AY6),IF(('Quantification_Results'!AY6&lt;'Quantification_Config'!$S$19),"",IF(('Quantification_Results'!AY6&gt;'Quantification_Config'!$T$19),"",'Quantification_Results'!AY6)),"")))</x:f>
      </x:c>
      <x:c r="BA6">
        <x:f>IF(ISNUMBER('Quantification_Results'!AZ6),IFERROR(ROUND(((('Quantification_Results'!AZ6-'Quantification_Config'!$S$19)/('Quantification_Config'!$T$19-'Quantification_Config'!$S$19))*100),'Quantification_Config'!$U$2),""),"")</x:f>
      </x:c>
      <x:c r="BB6" t="inlineStr">
        <x:is>
          <x:t xml:space="preserve"/>
        </x:is>
      </x:c>
      <x:c r="BC6" t="inlineStr">
        <x:is>
          <x:t xml:space="preserve"/>
        </x:is>
      </x:c>
      <x:c r="BD6" t="inlineStr">
        <x:is>
          <x:t xml:space="preserve"/>
        </x:is>
      </x:c>
      <x:c r="BE6" t="inlineStr">
        <x:is>
          <x:t xml:space="preserve"/>
        </x:is>
      </x:c>
      <x:c r="BF6" t="inlineStr">
        <x:is>
          <x:t xml:space="preserve">EMPTY</x:t>
        </x:is>
      </x:c>
      <x:c r="BG6">
        <x:f>IF((COUNT('Quantification_Results'!BA6)=1),IFERROR(ROUND((SUM(('Quantification_Results'!BA6*'Quantification_Config'!$R$19))/SUM('Quantification_Config'!$R$19)),'Quantification_Config'!$U$2),""),"")</x:f>
      </x:c>
      <x:c r="BH6">
        <x:f>IF((COUNT('Quantification_Results'!BG6)=1),IFERROR(ROUND((SUM(('Quantification_Results'!BG6*'Quantification_Config'!$R$18))/SUM('Quantification_Config'!$R$18)),'Quantification_Config'!$U$2),""),"")</x:f>
      </x:c>
      <x:c r="BI6">
        <x:f>IF((COUNT('Quantification_Results'!L6,'Quantification_Results'!X6,'Quantification_Results'!AJ6,'Quantification_Results'!AV6,'Quantification_Results'!BH6)=5),IFERROR(ROUND((SUM(('Quantification_Results'!L6*'Quantification_Config'!$R$4),('Quantification_Results'!X6*'Quantification_Config'!$R$7),('Quantification_Results'!AJ6*'Quantification_Config'!$R$10),('Quantification_Results'!AV6*'Quantification_Config'!$R$13),('Quantification_Results'!BH6*'Quantification_Config'!$R$16))/SUM('Quantification_Config'!$R$4,'Quantification_Config'!$R$7,'Quantification_Config'!$R$10,'Quantification_Config'!$R$13,'Quantification_Config'!$R$16)),'Quantification_Config'!$U$2),""),"")</x:f>
      </x:c>
    </x:row>
    <x:row r="7">
      <x:c r="A7" t="n">
        <x:v>1</x:v>
      </x:c>
      <x:c r="B7" t="n">
        <x:v>5</x:v>
      </x:c>
      <x:c r="C7"/>
      <x:c r="D7" t="n">
        <x:f>IF(('Quantification_Results'!A7&lt;&gt;1),"",IF(('Quantification_Results'!C7=""),IF(ISNUMBER('Quantification_Results'!B7),IF(('Quantification_Results'!B7&lt;'Quantification_Config'!$S$6),"",IF(('Quantification_Results'!B7&gt;'Quantification_Config'!$T$6),"",'Quantification_Results'!B7)),""),IF(ISNUMBER('Quantification_Results'!C7),IF(('Quantification_Results'!C7&lt;'Quantification_Config'!$S$6),"",IF(('Quantification_Results'!C7&gt;'Quantification_Config'!$T$6),"",'Quantification_Results'!C7)),"")))</x:f>
        <x:v>5</x:v>
      </x:c>
      <x:c r="E7" t="n">
        <x:f>IF(ISNUMBER('Quantification_Results'!D7),IFERROR(ROUND(((('Quantification_Results'!D7-'Quantification_Config'!$S$6)/('Quantification_Config'!$T$6-'Quantification_Config'!$S$6))*100),'Quantification_Config'!$U$2),""),"")</x:f>
        <x:v>50</x:v>
      </x:c>
      <x:c r="F7" t="inlineStr">
        <x:is>
          <x:t xml:space="preserve">SYSTEM-TEST-ONLY-NO-NETWORK-NOT-AN-EDUCATIONAL-EVALUATION</x:t>
        </x:is>
      </x:c>
      <x:c r="G7" t="inlineStr">
        <x:is>
          <x:t xml:space="preserve"/>
        </x:is>
      </x:c>
      <x:c r="H7" t="inlineStr">
        <x:is>
          <x:t xml:space="preserve">NONE</x:t>
        </x:is>
      </x:c>
      <x:c r="I7" t="inlineStr">
        <x:is>
          <x:t xml:space="preserve"/>
        </x:is>
      </x:c>
      <x:c r="J7" t="inlineStr">
        <x:is>
          <x:t xml:space="preserve">SUCCESS</x:t>
        </x:is>
      </x:c>
      <x:c r="K7" t="n">
        <x:f>IF((COUNT('Quantification_Results'!E7)=1),IFERROR(ROUND((SUM(('Quantification_Results'!E7*'Quantification_Config'!$R$6))/SUM('Quantification_Config'!$R$6)),'Quantification_Config'!$U$2),""),"")</x:f>
        <x:v>50</x:v>
      </x:c>
      <x:c r="L7" t="n">
        <x:f>IF((COUNT('Quantification_Results'!K7)=1),IFERROR(ROUND((SUM(('Quantification_Results'!K7*'Quantification_Config'!$R$5))/SUM('Quantification_Config'!$R$5)),'Quantification_Config'!$U$2),""),"")</x:f>
        <x:v>50</x:v>
      </x:c>
      <x:c r="M7" t="n">
        <x:v>1</x:v>
      </x:c>
      <x:c r="N7" t="n">
        <x:v>5</x:v>
      </x:c>
      <x:c r="O7"/>
      <x:c r="P7" t="n">
        <x:f>IF(('Quantification_Results'!M7&lt;&gt;1),"",IF(('Quantification_Results'!O7=""),IF(ISNUMBER('Quantification_Results'!N7),IF(('Quantification_Results'!N7&lt;'Quantification_Config'!$S$9),"",IF(('Quantification_Results'!N7&gt;'Quantification_Config'!$T$9),"",'Quantification_Results'!N7)),""),IF(ISNUMBER('Quantification_Results'!O7),IF(('Quantification_Results'!O7&lt;'Quantification_Config'!$S$9),"",IF(('Quantification_Results'!O7&gt;'Quantification_Config'!$T$9),"",'Quantification_Results'!O7)),"")))</x:f>
        <x:v>5</x:v>
      </x:c>
      <x:c r="Q7" t="n">
        <x:f>IF(ISNUMBER('Quantification_Results'!P7),IFERROR(ROUND(((('Quantification_Results'!P7-'Quantification_Config'!$S$9)/('Quantification_Config'!$T$9-'Quantification_Config'!$S$9))*100),'Quantification_Config'!$U$2),""),"")</x:f>
        <x:v>50</x:v>
      </x:c>
      <x:c r="R7" t="inlineStr">
        <x:is>
          <x:t xml:space="preserve">SYSTEM-TEST-ONLY-NO-NETWORK-NOT-AN-EDUCATIONAL-EVALUATION</x:t>
        </x:is>
      </x:c>
      <x:c r="S7" t="inlineStr">
        <x:is>
          <x:t xml:space="preserve"/>
        </x:is>
      </x:c>
      <x:c r="T7" t="inlineStr">
        <x:is>
          <x:t xml:space="preserve">NONE</x:t>
        </x:is>
      </x:c>
      <x:c r="U7" t="inlineStr">
        <x:is>
          <x:t xml:space="preserve"/>
        </x:is>
      </x:c>
      <x:c r="V7" t="inlineStr">
        <x:is>
          <x:t xml:space="preserve">SUCCESS</x:t>
        </x:is>
      </x:c>
      <x:c r="W7" t="n">
        <x:f>IF((COUNT('Quantification_Results'!Q7)=1),IFERROR(ROUND((SUM(('Quantification_Results'!Q7*'Quantification_Config'!$R$9))/SUM('Quantification_Config'!$R$9)),'Quantification_Config'!$U$2),""),"")</x:f>
        <x:v>50</x:v>
      </x:c>
      <x:c r="X7" t="n">
        <x:f>IF((COUNT('Quantification_Results'!W7)=1),IFERROR(ROUND((SUM(('Quantification_Results'!W7*'Quantification_Config'!$R$8))/SUM('Quantification_Config'!$R$8)),'Quantification_Config'!$U$2),""),"")</x:f>
        <x:v>50</x:v>
      </x:c>
      <x:c r="Y7" t="n">
        <x:v>0</x:v>
      </x:c>
      <x:c r="Z7"/>
      <x:c r="AA7"/>
      <x:c r="AB7">
        <x:f>IF(('Quantification_Results'!Y7&lt;&gt;1),"",IF(('Quantification_Results'!AA7=""),IF(ISNUMBER('Quantification_Results'!Z7),IF(('Quantification_Results'!Z7&lt;'Quantification_Config'!$S$12),"",IF(('Quantification_Results'!Z7&gt;'Quantification_Config'!$T$12),"",'Quantification_Results'!Z7)),""),IF(ISNUMBER('Quantification_Results'!AA7),IF(('Quantification_Results'!AA7&lt;'Quantification_Config'!$S$12),"",IF(('Quantification_Results'!AA7&gt;'Quantification_Config'!$T$12),"",'Quantification_Results'!AA7)),"")))</x:f>
      </x:c>
      <x:c r="AC7">
        <x:f>IF(ISNUMBER('Quantification_Results'!AB7),IFERROR(ROUND(((('Quantification_Results'!AB7-'Quantification_Config'!$S$12)/('Quantification_Config'!$T$12-'Quantification_Config'!$S$12))*100),'Quantification_Config'!$U$2),""),"")</x:f>
      </x:c>
      <x:c r="AD7" t="inlineStr">
        <x:is>
          <x:t xml:space="preserve"/>
        </x:is>
      </x:c>
      <x:c r="AE7" t="inlineStr">
        <x:is>
          <x:t xml:space="preserve"/>
        </x:is>
      </x:c>
      <x:c r="AF7" t="inlineStr">
        <x:is>
          <x:t xml:space="preserve"/>
        </x:is>
      </x:c>
      <x:c r="AG7" t="inlineStr">
        <x:is>
          <x:t xml:space="preserve"/>
        </x:is>
      </x:c>
      <x:c r="AH7" t="inlineStr">
        <x:is>
          <x:t xml:space="preserve">EMPTY</x:t>
        </x:is>
      </x:c>
      <x:c r="AI7">
        <x:f>IF((COUNT('Quantification_Results'!AC7)=1),IFERROR(ROUND((SUM(('Quantification_Results'!AC7*'Quantification_Config'!$R$12))/SUM('Quantification_Config'!$R$12)),'Quantification_Config'!$U$2),""),"")</x:f>
      </x:c>
      <x:c r="AJ7">
        <x:f>IF((COUNT('Quantification_Results'!AI7)=1),IFERROR(ROUND((SUM(('Quantification_Results'!AI7*'Quantification_Config'!$R$11))/SUM('Quantification_Config'!$R$11)),'Quantification_Config'!$U$2),""),"")</x:f>
      </x:c>
      <x:c r="AK7" t="n">
        <x:v>1</x:v>
      </x:c>
      <x:c r="AL7" t="n">
        <x:v>5</x:v>
      </x:c>
      <x:c r="AM7"/>
      <x:c r="AN7" t="n">
        <x:f>IF(('Quantification_Results'!AK7&lt;&gt;1),"",IF(('Quantification_Results'!AM7=""),IF(ISNUMBER('Quantification_Results'!AL7),IF(('Quantification_Results'!AL7&lt;'Quantification_Config'!$S$15),"",IF(('Quantification_Results'!AL7&gt;'Quantification_Config'!$T$15),"",'Quantification_Results'!AL7)),""),IF(ISNUMBER('Quantification_Results'!AM7),IF(('Quantification_Results'!AM7&lt;'Quantification_Config'!$S$15),"",IF(('Quantification_Results'!AM7&gt;'Quantification_Config'!$T$15),"",'Quantification_Results'!AM7)),"")))</x:f>
        <x:v>5</x:v>
      </x:c>
      <x:c r="AO7" t="n">
        <x:f>IF(ISNUMBER('Quantification_Results'!AN7),IFERROR(ROUND(((('Quantification_Results'!AN7-'Quantification_Config'!$S$15)/('Quantification_Config'!$T$15-'Quantification_Config'!$S$15))*100),'Quantification_Config'!$U$2),""),"")</x:f>
        <x:v>50</x:v>
      </x:c>
      <x:c r="AP7" t="inlineStr">
        <x:is>
          <x:t xml:space="preserve">SYSTEM-TEST-ONLY-NO-NETWORK-NOT-AN-EDUCATIONAL-EVALUATION</x:t>
        </x:is>
      </x:c>
      <x:c r="AQ7" t="inlineStr">
        <x:is>
          <x:t xml:space="preserve"/>
        </x:is>
      </x:c>
      <x:c r="AR7" t="inlineStr">
        <x:is>
          <x:t xml:space="preserve">NONE</x:t>
        </x:is>
      </x:c>
      <x:c r="AS7" t="inlineStr">
        <x:is>
          <x:t xml:space="preserve"/>
        </x:is>
      </x:c>
      <x:c r="AT7" t="inlineStr">
        <x:is>
          <x:t xml:space="preserve">SUCCESS</x:t>
        </x:is>
      </x:c>
      <x:c r="AU7" t="n">
        <x:f>IF((COUNT('Quantification_Results'!AO7)=1),IFERROR(ROUND((SUM(('Quantification_Results'!AO7*'Quantification_Config'!$R$15))/SUM('Quantification_Config'!$R$15)),'Quantification_Config'!$U$2),""),"")</x:f>
        <x:v>50</x:v>
      </x:c>
      <x:c r="AV7" t="n">
        <x:f>IF((COUNT('Quantification_Results'!AU7)=1),IFERROR(ROUND((SUM(('Quantification_Results'!AU7*'Quantification_Config'!$R$14))/SUM('Quantification_Config'!$R$14)),'Quantification_Config'!$U$2),""),"")</x:f>
        <x:v>50</x:v>
      </x:c>
      <x:c r="AW7" t="n">
        <x:v>1</x:v>
      </x:c>
      <x:c r="AX7" t="n">
        <x:v>5</x:v>
      </x:c>
      <x:c r="AY7"/>
      <x:c r="AZ7" t="n">
        <x:f>IF(('Quantification_Results'!AW7&lt;&gt;1),"",IF(('Quantification_Results'!AY7=""),IF(ISNUMBER('Quantification_Results'!AX7),IF(('Quantification_Results'!AX7&lt;'Quantification_Config'!$S$19),"",IF(('Quantification_Results'!AX7&gt;'Quantification_Config'!$T$19),"",'Quantification_Results'!AX7)),""),IF(ISNUMBER('Quantification_Results'!AY7),IF(('Quantification_Results'!AY7&lt;'Quantification_Config'!$S$19),"",IF(('Quantification_Results'!AY7&gt;'Quantification_Config'!$T$19),"",'Quantification_Results'!AY7)),"")))</x:f>
        <x:v>5</x:v>
      </x:c>
      <x:c r="BA7" t="n">
        <x:f>IF(ISNUMBER('Quantification_Results'!AZ7),IFERROR(ROUND(((('Quantification_Results'!AZ7-'Quantification_Config'!$S$19)/('Quantification_Config'!$T$19-'Quantification_Config'!$S$19))*100),'Quantification_Config'!$U$2),""),"")</x:f>
        <x:v>50</x:v>
      </x:c>
      <x:c r="BB7" t="inlineStr">
        <x:is>
          <x:t xml:space="preserve">SYSTEM-TEST-ONLY-NO-NETWORK-NOT-AN-EDUCATIONAL-EVALUATION</x:t>
        </x:is>
      </x:c>
      <x:c r="BC7" t="inlineStr">
        <x:is>
          <x:t xml:space="preserve"/>
        </x:is>
      </x:c>
      <x:c r="BD7" t="inlineStr">
        <x:is>
          <x:t xml:space="preserve">NONE</x:t>
        </x:is>
      </x:c>
      <x:c r="BE7" t="inlineStr">
        <x:is>
          <x:t xml:space="preserve"/>
        </x:is>
      </x:c>
      <x:c r="BF7" t="inlineStr">
        <x:is>
          <x:t xml:space="preserve">SUCCESS</x:t>
        </x:is>
      </x:c>
      <x:c r="BG7" t="n">
        <x:f>IF((COUNT('Quantification_Results'!BA7)=1),IFERROR(ROUND((SUM(('Quantification_Results'!BA7*'Quantification_Config'!$R$19))/SUM('Quantification_Config'!$R$19)),'Quantification_Config'!$U$2),""),"")</x:f>
        <x:v>50</x:v>
      </x:c>
      <x:c r="BH7" t="n">
        <x:f>IF((COUNT('Quantification_Results'!BG7)=1),IFERROR(ROUND((SUM(('Quantification_Results'!BG7*'Quantification_Config'!$R$18))/SUM('Quantification_Config'!$R$18)),'Quantification_Config'!$U$2),""),"")</x:f>
        <x:v>50</x:v>
      </x:c>
      <x:c r="BI7">
        <x:f>IF((COUNT('Quantification_Results'!L7,'Quantification_Results'!X7,'Quantification_Results'!AJ7,'Quantification_Results'!AV7,'Quantification_Results'!BH7)=5),IFERROR(ROUND((SUM(('Quantification_Results'!L7*'Quantification_Config'!$R$4),('Quantification_Results'!X7*'Quantification_Config'!$R$7),('Quantification_Results'!AJ7*'Quantification_Config'!$R$10),('Quantification_Results'!AV7*'Quantification_Config'!$R$13),('Quantification_Results'!BH7*'Quantification_Config'!$R$16))/SUM('Quantification_Config'!$R$4,'Quantification_Config'!$R$7,'Quantification_Config'!$R$10,'Quantification_Config'!$R$13,'Quantification_Config'!$R$16)),'Quantification_Config'!$U$2),""),"")</x:f>
      </x:c>
    </x:row>
    <x:row r="8">
      <x:c r="A8" t="n">
        <x:v>1</x:v>
      </x:c>
      <x:c r="B8" t="n">
        <x:v>5</x:v>
      </x:c>
      <x:c r="C8"/>
      <x:c r="D8" t="n">
        <x:f>IF(('Quantification_Results'!A8&lt;&gt;1),"",IF(('Quantification_Results'!C8=""),IF(ISNUMBER('Quantification_Results'!B8),IF(('Quantification_Results'!B8&lt;'Quantification_Config'!$S$6),"",IF(('Quantification_Results'!B8&gt;'Quantification_Config'!$T$6),"",'Quantification_Results'!B8)),""),IF(ISNUMBER('Quantification_Results'!C8),IF(('Quantification_Results'!C8&lt;'Quantification_Config'!$S$6),"",IF(('Quantification_Results'!C8&gt;'Quantification_Config'!$T$6),"",'Quantification_Results'!C8)),"")))</x:f>
        <x:v>5</x:v>
      </x:c>
      <x:c r="E8" t="n">
        <x:f>IF(ISNUMBER('Quantification_Results'!D8),IFERROR(ROUND(((('Quantification_Results'!D8-'Quantification_Config'!$S$6)/('Quantification_Config'!$T$6-'Quantification_Config'!$S$6))*100),'Quantification_Config'!$U$2),""),"")</x:f>
        <x:v>50</x:v>
      </x:c>
      <x:c r="F8" t="inlineStr">
        <x:is>
          <x:t xml:space="preserve">SYSTEM-TEST-ONLY-NO-NETWORK-NOT-AN-EDUCATIONAL-EVALUATION</x:t>
        </x:is>
      </x:c>
      <x:c r="G8" t="inlineStr">
        <x:is>
          <x:t xml:space="preserve"/>
        </x:is>
      </x:c>
      <x:c r="H8" t="inlineStr">
        <x:is>
          <x:t xml:space="preserve">NONE</x:t>
        </x:is>
      </x:c>
      <x:c r="I8" t="inlineStr">
        <x:is>
          <x:t xml:space="preserve"/>
        </x:is>
      </x:c>
      <x:c r="J8" t="inlineStr">
        <x:is>
          <x:t xml:space="preserve">SUCCESS</x:t>
        </x:is>
      </x:c>
      <x:c r="K8" t="n">
        <x:f>IF((COUNT('Quantification_Results'!E8)=1),IFERROR(ROUND((SUM(('Quantification_Results'!E8*'Quantification_Config'!$R$6))/SUM('Quantification_Config'!$R$6)),'Quantification_Config'!$U$2),""),"")</x:f>
        <x:v>50</x:v>
      </x:c>
      <x:c r="L8" t="n">
        <x:f>IF((COUNT('Quantification_Results'!K8)=1),IFERROR(ROUND((SUM(('Quantification_Results'!K8*'Quantification_Config'!$R$5))/SUM('Quantification_Config'!$R$5)),'Quantification_Config'!$U$2),""),"")</x:f>
        <x:v>50</x:v>
      </x:c>
      <x:c r="M8" t="n">
        <x:v>1</x:v>
      </x:c>
      <x:c r="N8" t="n">
        <x:v>5</x:v>
      </x:c>
      <x:c r="O8"/>
      <x:c r="P8" t="n">
        <x:f>IF(('Quantification_Results'!M8&lt;&gt;1),"",IF(('Quantification_Results'!O8=""),IF(ISNUMBER('Quantification_Results'!N8),IF(('Quantification_Results'!N8&lt;'Quantification_Config'!$S$9),"",IF(('Quantification_Results'!N8&gt;'Quantification_Config'!$T$9),"",'Quantification_Results'!N8)),""),IF(ISNUMBER('Quantification_Results'!O8),IF(('Quantification_Results'!O8&lt;'Quantification_Config'!$S$9),"",IF(('Quantification_Results'!O8&gt;'Quantification_Config'!$T$9),"",'Quantification_Results'!O8)),"")))</x:f>
        <x:v>5</x:v>
      </x:c>
      <x:c r="Q8" t="n">
        <x:f>IF(ISNUMBER('Quantification_Results'!P8),IFERROR(ROUND(((('Quantification_Results'!P8-'Quantification_Config'!$S$9)/('Quantification_Config'!$T$9-'Quantification_Config'!$S$9))*100),'Quantification_Config'!$U$2),""),"")</x:f>
        <x:v>50</x:v>
      </x:c>
      <x:c r="R8" t="inlineStr">
        <x:is>
          <x:t xml:space="preserve">SYSTEM-TEST-ONLY-NO-NETWORK-NOT-AN-EDUCATIONAL-EVALUATION</x:t>
        </x:is>
      </x:c>
      <x:c r="S8" t="inlineStr">
        <x:is>
          <x:t xml:space="preserve"/>
        </x:is>
      </x:c>
      <x:c r="T8" t="inlineStr">
        <x:is>
          <x:t xml:space="preserve">NONE</x:t>
        </x:is>
      </x:c>
      <x:c r="U8" t="inlineStr">
        <x:is>
          <x:t xml:space="preserve"/>
        </x:is>
      </x:c>
      <x:c r="V8" t="inlineStr">
        <x:is>
          <x:t xml:space="preserve">SUCCESS</x:t>
        </x:is>
      </x:c>
      <x:c r="W8" t="n">
        <x:f>IF((COUNT('Quantification_Results'!Q8)=1),IFERROR(ROUND((SUM(('Quantification_Results'!Q8*'Quantification_Config'!$R$9))/SUM('Quantification_Config'!$R$9)),'Quantification_Config'!$U$2),""),"")</x:f>
        <x:v>50</x:v>
      </x:c>
      <x:c r="X8" t="n">
        <x:f>IF((COUNT('Quantification_Results'!W8)=1),IFERROR(ROUND((SUM(('Quantification_Results'!W8*'Quantification_Config'!$R$8))/SUM('Quantification_Config'!$R$8)),'Quantification_Config'!$U$2),""),"")</x:f>
        <x:v>50</x:v>
      </x:c>
      <x:c r="Y8" t="n">
        <x:v>0</x:v>
      </x:c>
      <x:c r="Z8"/>
      <x:c r="AA8"/>
      <x:c r="AB8">
        <x:f>IF(('Quantification_Results'!Y8&lt;&gt;1),"",IF(('Quantification_Results'!AA8=""),IF(ISNUMBER('Quantification_Results'!Z8),IF(('Quantification_Results'!Z8&lt;'Quantification_Config'!$S$12),"",IF(('Quantification_Results'!Z8&gt;'Quantification_Config'!$T$12),"",'Quantification_Results'!Z8)),""),IF(ISNUMBER('Quantification_Results'!AA8),IF(('Quantification_Results'!AA8&lt;'Quantification_Config'!$S$12),"",IF(('Quantification_Results'!AA8&gt;'Quantification_Config'!$T$12),"",'Quantification_Results'!AA8)),"")))</x:f>
      </x:c>
      <x:c r="AC8">
        <x:f>IF(ISNUMBER('Quantification_Results'!AB8),IFERROR(ROUND(((('Quantification_Results'!AB8-'Quantification_Config'!$S$12)/('Quantification_Config'!$T$12-'Quantification_Config'!$S$12))*100),'Quantification_Config'!$U$2),""),"")</x:f>
      </x:c>
      <x:c r="AD8" t="inlineStr">
        <x:is>
          <x:t xml:space="preserve"/>
        </x:is>
      </x:c>
      <x:c r="AE8" t="inlineStr">
        <x:is>
          <x:t xml:space="preserve"/>
        </x:is>
      </x:c>
      <x:c r="AF8" t="inlineStr">
        <x:is>
          <x:t xml:space="preserve"/>
        </x:is>
      </x:c>
      <x:c r="AG8" t="inlineStr">
        <x:is>
          <x:t xml:space="preserve"/>
        </x:is>
      </x:c>
      <x:c r="AH8" t="inlineStr">
        <x:is>
          <x:t xml:space="preserve">EMPTY</x:t>
        </x:is>
      </x:c>
      <x:c r="AI8">
        <x:f>IF((COUNT('Quantification_Results'!AC8)=1),IFERROR(ROUND((SUM(('Quantification_Results'!AC8*'Quantification_Config'!$R$12))/SUM('Quantification_Config'!$R$12)),'Quantification_Config'!$U$2),""),"")</x:f>
      </x:c>
      <x:c r="AJ8">
        <x:f>IF((COUNT('Quantification_Results'!AI8)=1),IFERROR(ROUND((SUM(('Quantification_Results'!AI8*'Quantification_Config'!$R$11))/SUM('Quantification_Config'!$R$11)),'Quantification_Config'!$U$2),""),"")</x:f>
      </x:c>
      <x:c r="AK8" t="n">
        <x:v>1</x:v>
      </x:c>
      <x:c r="AL8" t="n">
        <x:v>5</x:v>
      </x:c>
      <x:c r="AM8"/>
      <x:c r="AN8" t="n">
        <x:f>IF(('Quantification_Results'!AK8&lt;&gt;1),"",IF(('Quantification_Results'!AM8=""),IF(ISNUMBER('Quantification_Results'!AL8),IF(('Quantification_Results'!AL8&lt;'Quantification_Config'!$S$15),"",IF(('Quantification_Results'!AL8&gt;'Quantification_Config'!$T$15),"",'Quantification_Results'!AL8)),""),IF(ISNUMBER('Quantification_Results'!AM8),IF(('Quantification_Results'!AM8&lt;'Quantification_Config'!$S$15),"",IF(('Quantification_Results'!AM8&gt;'Quantification_Config'!$T$15),"",'Quantification_Results'!AM8)),"")))</x:f>
        <x:v>5</x:v>
      </x:c>
      <x:c r="AO8" t="n">
        <x:f>IF(ISNUMBER('Quantification_Results'!AN8),IFERROR(ROUND(((('Quantification_Results'!AN8-'Quantification_Config'!$S$15)/('Quantification_Config'!$T$15-'Quantification_Config'!$S$15))*100),'Quantification_Config'!$U$2),""),"")</x:f>
        <x:v>50</x:v>
      </x:c>
      <x:c r="AP8" t="inlineStr">
        <x:is>
          <x:t xml:space="preserve">SYSTEM-TEST-ONLY-NO-NETWORK-NOT-AN-EDUCATIONAL-EVALUATION</x:t>
        </x:is>
      </x:c>
      <x:c r="AQ8" t="inlineStr">
        <x:is>
          <x:t xml:space="preserve"/>
        </x:is>
      </x:c>
      <x:c r="AR8" t="inlineStr">
        <x:is>
          <x:t xml:space="preserve">NONE</x:t>
        </x:is>
      </x:c>
      <x:c r="AS8" t="inlineStr">
        <x:is>
          <x:t xml:space="preserve"/>
        </x:is>
      </x:c>
      <x:c r="AT8" t="inlineStr">
        <x:is>
          <x:t xml:space="preserve">SUCCESS</x:t>
        </x:is>
      </x:c>
      <x:c r="AU8" t="n">
        <x:f>IF((COUNT('Quantification_Results'!AO8)=1),IFERROR(ROUND((SUM(('Quantification_Results'!AO8*'Quantification_Config'!$R$15))/SUM('Quantification_Config'!$R$15)),'Quantification_Config'!$U$2),""),"")</x:f>
        <x:v>50</x:v>
      </x:c>
      <x:c r="AV8" t="n">
        <x:f>IF((COUNT('Quantification_Results'!AU8)=1),IFERROR(ROUND((SUM(('Quantification_Results'!AU8*'Quantification_Config'!$R$14))/SUM('Quantification_Config'!$R$14)),'Quantification_Config'!$U$2),""),"")</x:f>
        <x:v>50</x:v>
      </x:c>
      <x:c r="AW8" t="n">
        <x:v>1</x:v>
      </x:c>
      <x:c r="AX8" t="n">
        <x:v>5</x:v>
      </x:c>
      <x:c r="AY8"/>
      <x:c r="AZ8" t="n">
        <x:f>IF(('Quantification_Results'!AW8&lt;&gt;1),"",IF(('Quantification_Results'!AY8=""),IF(ISNUMBER('Quantification_Results'!AX8),IF(('Quantification_Results'!AX8&lt;'Quantification_Config'!$S$19),"",IF(('Quantification_Results'!AX8&gt;'Quantification_Config'!$T$19),"",'Quantification_Results'!AX8)),""),IF(ISNUMBER('Quantification_Results'!AY8),IF(('Quantification_Results'!AY8&lt;'Quantification_Config'!$S$19),"",IF(('Quantification_Results'!AY8&gt;'Quantification_Config'!$T$19),"",'Quantification_Results'!AY8)),"")))</x:f>
        <x:v>5</x:v>
      </x:c>
      <x:c r="BA8" t="n">
        <x:f>IF(ISNUMBER('Quantification_Results'!AZ8),IFERROR(ROUND(((('Quantification_Results'!AZ8-'Quantification_Config'!$S$19)/('Quantification_Config'!$T$19-'Quantification_Config'!$S$19))*100),'Quantification_Config'!$U$2),""),"")</x:f>
        <x:v>50</x:v>
      </x:c>
      <x:c r="BB8" t="inlineStr">
        <x:is>
          <x:t xml:space="preserve">SYSTEM-TEST-ONLY-NO-NETWORK-NOT-AN-EDUCATIONAL-EVALUATION</x:t>
        </x:is>
      </x:c>
      <x:c r="BC8" t="inlineStr">
        <x:is>
          <x:t xml:space="preserve"/>
        </x:is>
      </x:c>
      <x:c r="BD8" t="inlineStr">
        <x:is>
          <x:t xml:space="preserve">NONE</x:t>
        </x:is>
      </x:c>
      <x:c r="BE8" t="inlineStr">
        <x:is>
          <x:t xml:space="preserve"/>
        </x:is>
      </x:c>
      <x:c r="BF8" t="inlineStr">
        <x:is>
          <x:t xml:space="preserve">SUCCESS</x:t>
        </x:is>
      </x:c>
      <x:c r="BG8" t="n">
        <x:f>IF((COUNT('Quantification_Results'!BA8)=1),IFERROR(ROUND((SUM(('Quantification_Results'!BA8*'Quantification_Config'!$R$19))/SUM('Quantification_Config'!$R$19)),'Quantification_Config'!$U$2),""),"")</x:f>
        <x:v>50</x:v>
      </x:c>
      <x:c r="BH8" t="n">
        <x:f>IF((COUNT('Quantification_Results'!BG8)=1),IFERROR(ROUND((SUM(('Quantification_Results'!BG8*'Quantification_Config'!$R$18))/SUM('Quantification_Config'!$R$18)),'Quantification_Config'!$U$2),""),"")</x:f>
        <x:v>50</x:v>
      </x:c>
      <x:c r="BI8">
        <x:f>IF((COUNT('Quantification_Results'!L8,'Quantification_Results'!X8,'Quantification_Results'!AJ8,'Quantification_Results'!AV8,'Quantification_Results'!BH8)=5),IFERROR(ROUND((SUM(('Quantification_Results'!L8*'Quantification_Config'!$R$4),('Quantification_Results'!X8*'Quantification_Config'!$R$7),('Quantification_Results'!AJ8*'Quantification_Config'!$R$10),('Quantification_Results'!AV8*'Quantification_Config'!$R$13),('Quantification_Results'!BH8*'Quantification_Config'!$R$16))/SUM('Quantification_Config'!$R$4,'Quantification_Config'!$R$7,'Quantification_Config'!$R$10,'Quantification_Config'!$R$13,'Quantification_Config'!$R$16)),'Quantification_Config'!$U$2),""),"")</x:f>
      </x:c>
    </x:row>
    <x:row r="9">
      <x:c r="A9" t="n">
        <x:v>1</x:v>
      </x:c>
      <x:c r="B9" t="n">
        <x:v>5</x:v>
      </x:c>
      <x:c r="C9"/>
      <x:c r="D9" t="n">
        <x:f>IF(('Quantification_Results'!A9&lt;&gt;1),"",IF(('Quantification_Results'!C9=""),IF(ISNUMBER('Quantification_Results'!B9),IF(('Quantification_Results'!B9&lt;'Quantification_Config'!$S$6),"",IF(('Quantification_Results'!B9&gt;'Quantification_Config'!$T$6),"",'Quantification_Results'!B9)),""),IF(ISNUMBER('Quantification_Results'!C9),IF(('Quantification_Results'!C9&lt;'Quantification_Config'!$S$6),"",IF(('Quantification_Results'!C9&gt;'Quantification_Config'!$T$6),"",'Quantification_Results'!C9)),"")))</x:f>
        <x:v>5</x:v>
      </x:c>
      <x:c r="E9" t="n">
        <x:f>IF(ISNUMBER('Quantification_Results'!D9),IFERROR(ROUND(((('Quantification_Results'!D9-'Quantification_Config'!$S$6)/('Quantification_Config'!$T$6-'Quantification_Config'!$S$6))*100),'Quantification_Config'!$U$2),""),"")</x:f>
        <x:v>50</x:v>
      </x:c>
      <x:c r="F9" t="inlineStr">
        <x:is>
          <x:t xml:space="preserve">SYSTEM-TEST-ONLY-NO-NETWORK-NOT-AN-EDUCATIONAL-EVALUATION</x:t>
        </x:is>
      </x:c>
      <x:c r="G9" t="inlineStr">
        <x:is>
          <x:t xml:space="preserve"/>
        </x:is>
      </x:c>
      <x:c r="H9" t="inlineStr">
        <x:is>
          <x:t xml:space="preserve">NONE</x:t>
        </x:is>
      </x:c>
      <x:c r="I9" t="inlineStr">
        <x:is>
          <x:t xml:space="preserve"/>
        </x:is>
      </x:c>
      <x:c r="J9" t="inlineStr">
        <x:is>
          <x:t xml:space="preserve">SUCCESS</x:t>
        </x:is>
      </x:c>
      <x:c r="K9" t="n">
        <x:f>IF((COUNT('Quantification_Results'!E9)=1),IFERROR(ROUND((SUM(('Quantification_Results'!E9*'Quantification_Config'!$R$6))/SUM('Quantification_Config'!$R$6)),'Quantification_Config'!$U$2),""),"")</x:f>
        <x:v>50</x:v>
      </x:c>
      <x:c r="L9" t="n">
        <x:f>IF((COUNT('Quantification_Results'!K9)=1),IFERROR(ROUND((SUM(('Quantification_Results'!K9*'Quantification_Config'!$R$5))/SUM('Quantification_Config'!$R$5)),'Quantification_Config'!$U$2),""),"")</x:f>
        <x:v>50</x:v>
      </x:c>
      <x:c r="M9" t="n">
        <x:v>1</x:v>
      </x:c>
      <x:c r="N9" t="n">
        <x:v>5</x:v>
      </x:c>
      <x:c r="O9"/>
      <x:c r="P9" t="n">
        <x:f>IF(('Quantification_Results'!M9&lt;&gt;1),"",IF(('Quantification_Results'!O9=""),IF(ISNUMBER('Quantification_Results'!N9),IF(('Quantification_Results'!N9&lt;'Quantification_Config'!$S$9),"",IF(('Quantification_Results'!N9&gt;'Quantification_Config'!$T$9),"",'Quantification_Results'!N9)),""),IF(ISNUMBER('Quantification_Results'!O9),IF(('Quantification_Results'!O9&lt;'Quantification_Config'!$S$9),"",IF(('Quantification_Results'!O9&gt;'Quantification_Config'!$T$9),"",'Quantification_Results'!O9)),"")))</x:f>
        <x:v>5</x:v>
      </x:c>
      <x:c r="Q9" t="n">
        <x:f>IF(ISNUMBER('Quantification_Results'!P9),IFERROR(ROUND(((('Quantification_Results'!P9-'Quantification_Config'!$S$9)/('Quantification_Config'!$T$9-'Quantification_Config'!$S$9))*100),'Quantification_Config'!$U$2),""),"")</x:f>
        <x:v>50</x:v>
      </x:c>
      <x:c r="R9" t="inlineStr">
        <x:is>
          <x:t xml:space="preserve">SYSTEM-TEST-ONLY-NO-NETWORK-NOT-AN-EDUCATIONAL-EVALUATION</x:t>
        </x:is>
      </x:c>
      <x:c r="S9" t="inlineStr">
        <x:is>
          <x:t xml:space="preserve"/>
        </x:is>
      </x:c>
      <x:c r="T9" t="inlineStr">
        <x:is>
          <x:t xml:space="preserve">NONE</x:t>
        </x:is>
      </x:c>
      <x:c r="U9" t="inlineStr">
        <x:is>
          <x:t xml:space="preserve"/>
        </x:is>
      </x:c>
      <x:c r="V9" t="inlineStr">
        <x:is>
          <x:t xml:space="preserve">SUCCESS</x:t>
        </x:is>
      </x:c>
      <x:c r="W9" t="n">
        <x:f>IF((COUNT('Quantification_Results'!Q9)=1),IFERROR(ROUND((SUM(('Quantification_Results'!Q9*'Quantification_Config'!$R$9))/SUM('Quantification_Config'!$R$9)),'Quantification_Config'!$U$2),""),"")</x:f>
        <x:v>50</x:v>
      </x:c>
      <x:c r="X9" t="n">
        <x:f>IF((COUNT('Quantification_Results'!W9)=1),IFERROR(ROUND((SUM(('Quantification_Results'!W9*'Quantification_Config'!$R$8))/SUM('Quantification_Config'!$R$8)),'Quantification_Config'!$U$2),""),"")</x:f>
        <x:v>50</x:v>
      </x:c>
      <x:c r="Y9" t="n">
        <x:v>0</x:v>
      </x:c>
      <x:c r="Z9"/>
      <x:c r="AA9"/>
      <x:c r="AB9">
        <x:f>IF(('Quantification_Results'!Y9&lt;&gt;1),"",IF(('Quantification_Results'!AA9=""),IF(ISNUMBER('Quantification_Results'!Z9),IF(('Quantification_Results'!Z9&lt;'Quantification_Config'!$S$12),"",IF(('Quantification_Results'!Z9&gt;'Quantification_Config'!$T$12),"",'Quantification_Results'!Z9)),""),IF(ISNUMBER('Quantification_Results'!AA9),IF(('Quantification_Results'!AA9&lt;'Quantification_Config'!$S$12),"",IF(('Quantification_Results'!AA9&gt;'Quantification_Config'!$T$12),"",'Quantification_Results'!AA9)),"")))</x:f>
      </x:c>
      <x:c r="AC9">
        <x:f>IF(ISNUMBER('Quantification_Results'!AB9),IFERROR(ROUND(((('Quantification_Results'!AB9-'Quantification_Config'!$S$12)/('Quantification_Config'!$T$12-'Quantification_Config'!$S$12))*100),'Quantification_Config'!$U$2),""),"")</x:f>
      </x:c>
      <x:c r="AD9" t="inlineStr">
        <x:is>
          <x:t xml:space="preserve"/>
        </x:is>
      </x:c>
      <x:c r="AE9" t="inlineStr">
        <x:is>
          <x:t xml:space="preserve"/>
        </x:is>
      </x:c>
      <x:c r="AF9" t="inlineStr">
        <x:is>
          <x:t xml:space="preserve"/>
        </x:is>
      </x:c>
      <x:c r="AG9" t="inlineStr">
        <x:is>
          <x:t xml:space="preserve"/>
        </x:is>
      </x:c>
      <x:c r="AH9" t="inlineStr">
        <x:is>
          <x:t xml:space="preserve">EMPTY</x:t>
        </x:is>
      </x:c>
      <x:c r="AI9">
        <x:f>IF((COUNT('Quantification_Results'!AC9)=1),IFERROR(ROUND((SUM(('Quantification_Results'!AC9*'Quantification_Config'!$R$12))/SUM('Quantification_Config'!$R$12)),'Quantification_Config'!$U$2),""),"")</x:f>
      </x:c>
      <x:c r="AJ9">
        <x:f>IF((COUNT('Quantification_Results'!AI9)=1),IFERROR(ROUND((SUM(('Quantification_Results'!AI9*'Quantification_Config'!$R$11))/SUM('Quantification_Config'!$R$11)),'Quantification_Config'!$U$2),""),"")</x:f>
      </x:c>
      <x:c r="AK9" t="n">
        <x:v>1</x:v>
      </x:c>
      <x:c r="AL9" t="n">
        <x:v>5</x:v>
      </x:c>
      <x:c r="AM9"/>
      <x:c r="AN9" t="n">
        <x:f>IF(('Quantification_Results'!AK9&lt;&gt;1),"",IF(('Quantification_Results'!AM9=""),IF(ISNUMBER('Quantification_Results'!AL9),IF(('Quantification_Results'!AL9&lt;'Quantification_Config'!$S$15),"",IF(('Quantification_Results'!AL9&gt;'Quantification_Config'!$T$15),"",'Quantification_Results'!AL9)),""),IF(ISNUMBER('Quantification_Results'!AM9),IF(('Quantification_Results'!AM9&lt;'Quantification_Config'!$S$15),"",IF(('Quantification_Results'!AM9&gt;'Quantification_Config'!$T$15),"",'Quantification_Results'!AM9)),"")))</x:f>
        <x:v>5</x:v>
      </x:c>
      <x:c r="AO9" t="n">
        <x:f>IF(ISNUMBER('Quantification_Results'!AN9),IFERROR(ROUND(((('Quantification_Results'!AN9-'Quantification_Config'!$S$15)/('Quantification_Config'!$T$15-'Quantification_Config'!$S$15))*100),'Quantification_Config'!$U$2),""),"")</x:f>
        <x:v>50</x:v>
      </x:c>
      <x:c r="AP9" t="inlineStr">
        <x:is>
          <x:t xml:space="preserve">SYSTEM-TEST-ONLY-NO-NETWORK-NOT-AN-EDUCATIONAL-EVALUATION</x:t>
        </x:is>
      </x:c>
      <x:c r="AQ9" t="inlineStr">
        <x:is>
          <x:t xml:space="preserve"/>
        </x:is>
      </x:c>
      <x:c r="AR9" t="inlineStr">
        <x:is>
          <x:t xml:space="preserve">NONE</x:t>
        </x:is>
      </x:c>
      <x:c r="AS9" t="inlineStr">
        <x:is>
          <x:t xml:space="preserve"/>
        </x:is>
      </x:c>
      <x:c r="AT9" t="inlineStr">
        <x:is>
          <x:t xml:space="preserve">SUCCESS</x:t>
        </x:is>
      </x:c>
      <x:c r="AU9" t="n">
        <x:f>IF((COUNT('Quantification_Results'!AO9)=1),IFERROR(ROUND((SUM(('Quantification_Results'!AO9*'Quantification_Config'!$R$15))/SUM('Quantification_Config'!$R$15)),'Quantification_Config'!$U$2),""),"")</x:f>
        <x:v>50</x:v>
      </x:c>
      <x:c r="AV9" t="n">
        <x:f>IF((COUNT('Quantification_Results'!AU9)=1),IFERROR(ROUND((SUM(('Quantification_Results'!AU9*'Quantification_Config'!$R$14))/SUM('Quantification_Config'!$R$14)),'Quantification_Config'!$U$2),""),"")</x:f>
        <x:v>50</x:v>
      </x:c>
      <x:c r="AW9" t="n">
        <x:v>1</x:v>
      </x:c>
      <x:c r="AX9" t="n">
        <x:v>5</x:v>
      </x:c>
      <x:c r="AY9"/>
      <x:c r="AZ9" t="n">
        <x:f>IF(('Quantification_Results'!AW9&lt;&gt;1),"",IF(('Quantification_Results'!AY9=""),IF(ISNUMBER('Quantification_Results'!AX9),IF(('Quantification_Results'!AX9&lt;'Quantification_Config'!$S$19),"",IF(('Quantification_Results'!AX9&gt;'Quantification_Config'!$T$19),"",'Quantification_Results'!AX9)),""),IF(ISNUMBER('Quantification_Results'!AY9),IF(('Quantification_Results'!AY9&lt;'Quantification_Config'!$S$19),"",IF(('Quantification_Results'!AY9&gt;'Quantification_Config'!$T$19),"",'Quantification_Results'!AY9)),"")))</x:f>
        <x:v>5</x:v>
      </x:c>
      <x:c r="BA9" t="n">
        <x:f>IF(ISNUMBER('Quantification_Results'!AZ9),IFERROR(ROUND(((('Quantification_Results'!AZ9-'Quantification_Config'!$S$19)/('Quantification_Config'!$T$19-'Quantification_Config'!$S$19))*100),'Quantification_Config'!$U$2),""),"")</x:f>
        <x:v>50</x:v>
      </x:c>
      <x:c r="BB9" t="inlineStr">
        <x:is>
          <x:t xml:space="preserve">SYSTEM-TEST-ONLY-NO-NETWORK-NOT-AN-EDUCATIONAL-EVALUATION</x:t>
        </x:is>
      </x:c>
      <x:c r="BC9" t="inlineStr">
        <x:is>
          <x:t xml:space="preserve"/>
        </x:is>
      </x:c>
      <x:c r="BD9" t="inlineStr">
        <x:is>
          <x:t xml:space="preserve">NONE</x:t>
        </x:is>
      </x:c>
      <x:c r="BE9" t="inlineStr">
        <x:is>
          <x:t xml:space="preserve"/>
        </x:is>
      </x:c>
      <x:c r="BF9" t="inlineStr">
        <x:is>
          <x:t xml:space="preserve">SUCCESS</x:t>
        </x:is>
      </x:c>
      <x:c r="BG9" t="n">
        <x:f>IF((COUNT('Quantification_Results'!BA9)=1),IFERROR(ROUND((SUM(('Quantification_Results'!BA9*'Quantification_Config'!$R$19))/SUM('Quantification_Config'!$R$19)),'Quantification_Config'!$U$2),""),"")</x:f>
        <x:v>50</x:v>
      </x:c>
      <x:c r="BH9" t="n">
        <x:f>IF((COUNT('Quantification_Results'!BG9)=1),IFERROR(ROUND((SUM(('Quantification_Results'!BG9*'Quantification_Config'!$R$18))/SUM('Quantification_Config'!$R$18)),'Quantification_Config'!$U$2),""),"")</x:f>
        <x:v>50</x:v>
      </x:c>
      <x:c r="BI9">
        <x:f>IF((COUNT('Quantification_Results'!L9,'Quantification_Results'!X9,'Quantification_Results'!AJ9,'Quantification_Results'!AV9,'Quantification_Results'!BH9)=5),IFERROR(ROUND((SUM(('Quantification_Results'!L9*'Quantification_Config'!$R$4),('Quantification_Results'!X9*'Quantification_Config'!$R$7),('Quantification_Results'!AJ9*'Quantification_Config'!$R$10),('Quantification_Results'!AV9*'Quantification_Config'!$R$13),('Quantification_Results'!BH9*'Quantification_Config'!$R$16))/SUM('Quantification_Config'!$R$4,'Quantification_Config'!$R$7,'Quantification_Config'!$R$10,'Quantification_Config'!$R$13,'Quantification_Config'!$R$16)),'Quantification_Config'!$U$2),""),"")</x:f>
      </x:c>
    </x:row>
    <x:row r="10">
      <x:c r="A10" t="n">
        <x:v>1</x:v>
      </x:c>
      <x:c r="B10" t="n">
        <x:v>5</x:v>
      </x:c>
      <x:c r="C10"/>
      <x:c r="D10" t="n">
        <x:f>IF(('Quantification_Results'!A10&lt;&gt;1),"",IF(('Quantification_Results'!C10=""),IF(ISNUMBER('Quantification_Results'!B10),IF(('Quantification_Results'!B10&lt;'Quantification_Config'!$S$6),"",IF(('Quantification_Results'!B10&gt;'Quantification_Config'!$T$6),"",'Quantification_Results'!B10)),""),IF(ISNUMBER('Quantification_Results'!C10),IF(('Quantification_Results'!C10&lt;'Quantification_Config'!$S$6),"",IF(('Quantification_Results'!C10&gt;'Quantification_Config'!$T$6),"",'Quantification_Results'!C10)),"")))</x:f>
        <x:v>5</x:v>
      </x:c>
      <x:c r="E10" t="n">
        <x:f>IF(ISNUMBER('Quantification_Results'!D10),IFERROR(ROUND(((('Quantification_Results'!D10-'Quantification_Config'!$S$6)/('Quantification_Config'!$T$6-'Quantification_Config'!$S$6))*100),'Quantification_Config'!$U$2),""),"")</x:f>
        <x:v>50</x:v>
      </x:c>
      <x:c r="F10" t="inlineStr">
        <x:is>
          <x:t xml:space="preserve">SYSTEM-TEST-ONLY-NO-NETWORK-NOT-AN-EDUCATIONAL-EVALUATION</x:t>
        </x:is>
      </x:c>
      <x:c r="G10" t="inlineStr">
        <x:is>
          <x:t xml:space="preserve"/>
        </x:is>
      </x:c>
      <x:c r="H10" t="inlineStr">
        <x:is>
          <x:t xml:space="preserve">NONE</x:t>
        </x:is>
      </x:c>
      <x:c r="I10" t="inlineStr">
        <x:is>
          <x:t xml:space="preserve"/>
        </x:is>
      </x:c>
      <x:c r="J10" t="inlineStr">
        <x:is>
          <x:t xml:space="preserve">SUCCESS</x:t>
        </x:is>
      </x:c>
      <x:c r="K10" t="n">
        <x:f>IF((COUNT('Quantification_Results'!E10)=1),IFERROR(ROUND((SUM(('Quantification_Results'!E10*'Quantification_Config'!$R$6))/SUM('Quantification_Config'!$R$6)),'Quantification_Config'!$U$2),""),"")</x:f>
        <x:v>50</x:v>
      </x:c>
      <x:c r="L10" t="n">
        <x:f>IF((COUNT('Quantification_Results'!K10)=1),IFERROR(ROUND((SUM(('Quantification_Results'!K10*'Quantification_Config'!$R$5))/SUM('Quantification_Config'!$R$5)),'Quantification_Config'!$U$2),""),"")</x:f>
        <x:v>50</x:v>
      </x:c>
      <x:c r="M10" t="n">
        <x:v>1</x:v>
      </x:c>
      <x:c r="N10" t="n">
        <x:v>5</x:v>
      </x:c>
      <x:c r="O10"/>
      <x:c r="P10" t="n">
        <x:f>IF(('Quantification_Results'!M10&lt;&gt;1),"",IF(('Quantification_Results'!O10=""),IF(ISNUMBER('Quantification_Results'!N10),IF(('Quantification_Results'!N10&lt;'Quantification_Config'!$S$9),"",IF(('Quantification_Results'!N10&gt;'Quantification_Config'!$T$9),"",'Quantification_Results'!N10)),""),IF(ISNUMBER('Quantification_Results'!O10),IF(('Quantification_Results'!O10&lt;'Quantification_Config'!$S$9),"",IF(('Quantification_Results'!O10&gt;'Quantification_Config'!$T$9),"",'Quantification_Results'!O10)),"")))</x:f>
        <x:v>5</x:v>
      </x:c>
      <x:c r="Q10" t="n">
        <x:f>IF(ISNUMBER('Quantification_Results'!P10),IFERROR(ROUND(((('Quantification_Results'!P10-'Quantification_Config'!$S$9)/('Quantification_Config'!$T$9-'Quantification_Config'!$S$9))*100),'Quantification_Config'!$U$2),""),"")</x:f>
        <x:v>50</x:v>
      </x:c>
      <x:c r="R10" t="inlineStr">
        <x:is>
          <x:t xml:space="preserve">SYSTEM-TEST-ONLY-NO-NETWORK-NOT-AN-EDUCATIONAL-EVALUATION</x:t>
        </x:is>
      </x:c>
      <x:c r="S10" t="inlineStr">
        <x:is>
          <x:t xml:space="preserve"/>
        </x:is>
      </x:c>
      <x:c r="T10" t="inlineStr">
        <x:is>
          <x:t xml:space="preserve">NONE</x:t>
        </x:is>
      </x:c>
      <x:c r="U10" t="inlineStr">
        <x:is>
          <x:t xml:space="preserve"/>
        </x:is>
      </x:c>
      <x:c r="V10" t="inlineStr">
        <x:is>
          <x:t xml:space="preserve">SUCCESS</x:t>
        </x:is>
      </x:c>
      <x:c r="W10" t="n">
        <x:f>IF((COUNT('Quantification_Results'!Q10)=1),IFERROR(ROUND((SUM(('Quantification_Results'!Q10*'Quantification_Config'!$R$9))/SUM('Quantification_Config'!$R$9)),'Quantification_Config'!$U$2),""),"")</x:f>
        <x:v>50</x:v>
      </x:c>
      <x:c r="X10" t="n">
        <x:f>IF((COUNT('Quantification_Results'!W10)=1),IFERROR(ROUND((SUM(('Quantification_Results'!W10*'Quantification_Config'!$R$8))/SUM('Quantification_Config'!$R$8)),'Quantification_Config'!$U$2),""),"")</x:f>
        <x:v>50</x:v>
      </x:c>
      <x:c r="Y10" t="n">
        <x:v>0</x:v>
      </x:c>
      <x:c r="Z10"/>
      <x:c r="AA10"/>
      <x:c r="AB10">
        <x:f>IF(('Quantification_Results'!Y10&lt;&gt;1),"",IF(('Quantification_Results'!AA10=""),IF(ISNUMBER('Quantification_Results'!Z10),IF(('Quantification_Results'!Z10&lt;'Quantification_Config'!$S$12),"",IF(('Quantification_Results'!Z10&gt;'Quantification_Config'!$T$12),"",'Quantification_Results'!Z10)),""),IF(ISNUMBER('Quantification_Results'!AA10),IF(('Quantification_Results'!AA10&lt;'Quantification_Config'!$S$12),"",IF(('Quantification_Results'!AA10&gt;'Quantification_Config'!$T$12),"",'Quantification_Results'!AA10)),"")))</x:f>
      </x:c>
      <x:c r="AC10">
        <x:f>IF(ISNUMBER('Quantification_Results'!AB10),IFERROR(ROUND(((('Quantification_Results'!AB10-'Quantification_Config'!$S$12)/('Quantification_Config'!$T$12-'Quantification_Config'!$S$12))*100),'Quantification_Config'!$U$2),""),"")</x:f>
      </x:c>
      <x:c r="AD10" t="inlineStr">
        <x:is>
          <x:t xml:space="preserve"/>
        </x:is>
      </x:c>
      <x:c r="AE10" t="inlineStr">
        <x:is>
          <x:t xml:space="preserve"/>
        </x:is>
      </x:c>
      <x:c r="AF10" t="inlineStr">
        <x:is>
          <x:t xml:space="preserve"/>
        </x:is>
      </x:c>
      <x:c r="AG10" t="inlineStr">
        <x:is>
          <x:t xml:space="preserve"/>
        </x:is>
      </x:c>
      <x:c r="AH10" t="inlineStr">
        <x:is>
          <x:t xml:space="preserve">EMPTY</x:t>
        </x:is>
      </x:c>
      <x:c r="AI10">
        <x:f>IF((COUNT('Quantification_Results'!AC10)=1),IFERROR(ROUND((SUM(('Quantification_Results'!AC10*'Quantification_Config'!$R$12))/SUM('Quantification_Config'!$R$12)),'Quantification_Config'!$U$2),""),"")</x:f>
      </x:c>
      <x:c r="AJ10">
        <x:f>IF((COUNT('Quantification_Results'!AI10)=1),IFERROR(ROUND((SUM(('Quantification_Results'!AI10*'Quantification_Config'!$R$11))/SUM('Quantification_Config'!$R$11)),'Quantification_Config'!$U$2),""),"")</x:f>
      </x:c>
      <x:c r="AK10" t="n">
        <x:v>1</x:v>
      </x:c>
      <x:c r="AL10" t="n">
        <x:v>5</x:v>
      </x:c>
      <x:c r="AM10"/>
      <x:c r="AN10" t="n">
        <x:f>IF(('Quantification_Results'!AK10&lt;&gt;1),"",IF(('Quantification_Results'!AM10=""),IF(ISNUMBER('Quantification_Results'!AL10),IF(('Quantification_Results'!AL10&lt;'Quantification_Config'!$S$15),"",IF(('Quantification_Results'!AL10&gt;'Quantification_Config'!$T$15),"",'Quantification_Results'!AL10)),""),IF(ISNUMBER('Quantification_Results'!AM10),IF(('Quantification_Results'!AM10&lt;'Quantification_Config'!$S$15),"",IF(('Quantification_Results'!AM10&gt;'Quantification_Config'!$T$15),"",'Quantification_Results'!AM10)),"")))</x:f>
        <x:v>5</x:v>
      </x:c>
      <x:c r="AO10" t="n">
        <x:f>IF(ISNUMBER('Quantification_Results'!AN10),IFERROR(ROUND(((('Quantification_Results'!AN10-'Quantification_Config'!$S$15)/('Quantification_Config'!$T$15-'Quantification_Config'!$S$15))*100),'Quantification_Config'!$U$2),""),"")</x:f>
        <x:v>50</x:v>
      </x:c>
      <x:c r="AP10" t="inlineStr">
        <x:is>
          <x:t xml:space="preserve">SYSTEM-TEST-ONLY-NO-NETWORK-NOT-AN-EDUCATIONAL-EVALUATION</x:t>
        </x:is>
      </x:c>
      <x:c r="AQ10" t="inlineStr">
        <x:is>
          <x:t xml:space="preserve"/>
        </x:is>
      </x:c>
      <x:c r="AR10" t="inlineStr">
        <x:is>
          <x:t xml:space="preserve">NONE</x:t>
        </x:is>
      </x:c>
      <x:c r="AS10" t="inlineStr">
        <x:is>
          <x:t xml:space="preserve"/>
        </x:is>
      </x:c>
      <x:c r="AT10" t="inlineStr">
        <x:is>
          <x:t xml:space="preserve">SUCCESS</x:t>
        </x:is>
      </x:c>
      <x:c r="AU10" t="n">
        <x:f>IF((COUNT('Quantification_Results'!AO10)=1),IFERROR(ROUND((SUM(('Quantification_Results'!AO10*'Quantification_Config'!$R$15))/SUM('Quantification_Config'!$R$15)),'Quantification_Config'!$U$2),""),"")</x:f>
        <x:v>50</x:v>
      </x:c>
      <x:c r="AV10" t="n">
        <x:f>IF((COUNT('Quantification_Results'!AU10)=1),IFERROR(ROUND((SUM(('Quantification_Results'!AU10*'Quantification_Config'!$R$14))/SUM('Quantification_Config'!$R$14)),'Quantification_Config'!$U$2),""),"")</x:f>
        <x:v>50</x:v>
      </x:c>
      <x:c r="AW10" t="n">
        <x:v>1</x:v>
      </x:c>
      <x:c r="AX10" t="n">
        <x:v>5</x:v>
      </x:c>
      <x:c r="AY10"/>
      <x:c r="AZ10" t="n">
        <x:f>IF(('Quantification_Results'!AW10&lt;&gt;1),"",IF(('Quantification_Results'!AY10=""),IF(ISNUMBER('Quantification_Results'!AX10),IF(('Quantification_Results'!AX10&lt;'Quantification_Config'!$S$19),"",IF(('Quantification_Results'!AX10&gt;'Quantification_Config'!$T$19),"",'Quantification_Results'!AX10)),""),IF(ISNUMBER('Quantification_Results'!AY10),IF(('Quantification_Results'!AY10&lt;'Quantification_Config'!$S$19),"",IF(('Quantification_Results'!AY10&gt;'Quantification_Config'!$T$19),"",'Quantification_Results'!AY10)),"")))</x:f>
        <x:v>5</x:v>
      </x:c>
      <x:c r="BA10" t="n">
        <x:f>IF(ISNUMBER('Quantification_Results'!AZ10),IFERROR(ROUND(((('Quantification_Results'!AZ10-'Quantification_Config'!$S$19)/('Quantification_Config'!$T$19-'Quantification_Config'!$S$19))*100),'Quantification_Config'!$U$2),""),"")</x:f>
        <x:v>50</x:v>
      </x:c>
      <x:c r="BB10" t="inlineStr">
        <x:is>
          <x:t xml:space="preserve">SYSTEM-TEST-ONLY-NO-NETWORK-NOT-AN-EDUCATIONAL-EVALUATION</x:t>
        </x:is>
      </x:c>
      <x:c r="BC10" t="inlineStr">
        <x:is>
          <x:t xml:space="preserve"/>
        </x:is>
      </x:c>
      <x:c r="BD10" t="inlineStr">
        <x:is>
          <x:t xml:space="preserve">NONE</x:t>
        </x:is>
      </x:c>
      <x:c r="BE10" t="inlineStr">
        <x:is>
          <x:t xml:space="preserve"/>
        </x:is>
      </x:c>
      <x:c r="BF10" t="inlineStr">
        <x:is>
          <x:t xml:space="preserve">SUCCESS</x:t>
        </x:is>
      </x:c>
      <x:c r="BG10" t="n">
        <x:f>IF((COUNT('Quantification_Results'!BA10)=1),IFERROR(ROUND((SUM(('Quantification_Results'!BA10*'Quantification_Config'!$R$19))/SUM('Quantification_Config'!$R$19)),'Quantification_Config'!$U$2),""),"")</x:f>
        <x:v>50</x:v>
      </x:c>
      <x:c r="BH10" t="n">
        <x:f>IF((COUNT('Quantification_Results'!BG10)=1),IFERROR(ROUND((SUM(('Quantification_Results'!BG10*'Quantification_Config'!$R$18))/SUM('Quantification_Config'!$R$18)),'Quantification_Config'!$U$2),""),"")</x:f>
        <x:v>50</x:v>
      </x:c>
      <x:c r="BI10">
        <x:f>IF((COUNT('Quantification_Results'!L10,'Quantification_Results'!X10,'Quantification_Results'!AJ10,'Quantification_Results'!AV10,'Quantification_Results'!BH10)=5),IFERROR(ROUND((SUM(('Quantification_Results'!L10*'Quantification_Config'!$R$4),('Quantification_Results'!X10*'Quantification_Config'!$R$7),('Quantification_Results'!AJ10*'Quantification_Config'!$R$10),('Quantification_Results'!AV10*'Quantification_Config'!$R$13),('Quantification_Results'!BH10*'Quantification_Config'!$R$16))/SUM('Quantification_Config'!$R$4,'Quantification_Config'!$R$7,'Quantification_Config'!$R$10,'Quantification_Config'!$R$13,'Quantification_Config'!$R$16)),'Quantification_Config'!$U$2),""),"")</x:f>
      </x:c>
    </x:row>
    <x:row r="11">
      <x:c r="A11" t="n">
        <x:v>1</x:v>
      </x:c>
      <x:c r="B11" t="n">
        <x:v>5</x:v>
      </x:c>
      <x:c r="C11"/>
      <x:c r="D11" t="n">
        <x:f>IF(('Quantification_Results'!A11&lt;&gt;1),"",IF(('Quantification_Results'!C11=""),IF(ISNUMBER('Quantification_Results'!B11),IF(('Quantification_Results'!B11&lt;'Quantification_Config'!$S$6),"",IF(('Quantification_Results'!B11&gt;'Quantification_Config'!$T$6),"",'Quantification_Results'!B11)),""),IF(ISNUMBER('Quantification_Results'!C11),IF(('Quantification_Results'!C11&lt;'Quantification_Config'!$S$6),"",IF(('Quantification_Results'!C11&gt;'Quantification_Config'!$T$6),"",'Quantification_Results'!C11)),"")))</x:f>
        <x:v>5</x:v>
      </x:c>
      <x:c r="E11" t="n">
        <x:f>IF(ISNUMBER('Quantification_Results'!D11),IFERROR(ROUND(((('Quantification_Results'!D11-'Quantification_Config'!$S$6)/('Quantification_Config'!$T$6-'Quantification_Config'!$S$6))*100),'Quantification_Config'!$U$2),""),"")</x:f>
        <x:v>50</x:v>
      </x:c>
      <x:c r="F11" t="inlineStr">
        <x:is>
          <x:t xml:space="preserve">SYSTEM-TEST-ONLY-NO-NETWORK-NOT-AN-EDUCATIONAL-EVALUATION</x:t>
        </x:is>
      </x:c>
      <x:c r="G11" t="inlineStr">
        <x:is>
          <x:t xml:space="preserve"/>
        </x:is>
      </x:c>
      <x:c r="H11" t="inlineStr">
        <x:is>
          <x:t xml:space="preserve">NONE</x:t>
        </x:is>
      </x:c>
      <x:c r="I11" t="inlineStr">
        <x:is>
          <x:t xml:space="preserve"/>
        </x:is>
      </x:c>
      <x:c r="J11" t="inlineStr">
        <x:is>
          <x:t xml:space="preserve">SUCCESS</x:t>
        </x:is>
      </x:c>
      <x:c r="K11" t="n">
        <x:f>IF((COUNT('Quantification_Results'!E11)=1),IFERROR(ROUND((SUM(('Quantification_Results'!E11*'Quantification_Config'!$R$6))/SUM('Quantification_Config'!$R$6)),'Quantification_Config'!$U$2),""),"")</x:f>
        <x:v>50</x:v>
      </x:c>
      <x:c r="L11" t="n">
        <x:f>IF((COUNT('Quantification_Results'!K11)=1),IFERROR(ROUND((SUM(('Quantification_Results'!K11*'Quantification_Config'!$R$5))/SUM('Quantification_Config'!$R$5)),'Quantification_Config'!$U$2),""),"")</x:f>
        <x:v>50</x:v>
      </x:c>
      <x:c r="M11" t="n">
        <x:v>1</x:v>
      </x:c>
      <x:c r="N11" t="n">
        <x:v>5</x:v>
      </x:c>
      <x:c r="O11"/>
      <x:c r="P11" t="n">
        <x:f>IF(('Quantification_Results'!M11&lt;&gt;1),"",IF(('Quantification_Results'!O11=""),IF(ISNUMBER('Quantification_Results'!N11),IF(('Quantification_Results'!N11&lt;'Quantification_Config'!$S$9),"",IF(('Quantification_Results'!N11&gt;'Quantification_Config'!$T$9),"",'Quantification_Results'!N11)),""),IF(ISNUMBER('Quantification_Results'!O11),IF(('Quantification_Results'!O11&lt;'Quantification_Config'!$S$9),"",IF(('Quantification_Results'!O11&gt;'Quantification_Config'!$T$9),"",'Quantification_Results'!O11)),"")))</x:f>
        <x:v>5</x:v>
      </x:c>
      <x:c r="Q11" t="n">
        <x:f>IF(ISNUMBER('Quantification_Results'!P11),IFERROR(ROUND(((('Quantification_Results'!P11-'Quantification_Config'!$S$9)/('Quantification_Config'!$T$9-'Quantification_Config'!$S$9))*100),'Quantification_Config'!$U$2),""),"")</x:f>
        <x:v>50</x:v>
      </x:c>
      <x:c r="R11" t="inlineStr">
        <x:is>
          <x:t xml:space="preserve">SYSTEM-TEST-ONLY-NO-NETWORK-NOT-AN-EDUCATIONAL-EVALUATION</x:t>
        </x:is>
      </x:c>
      <x:c r="S11" t="inlineStr">
        <x:is>
          <x:t xml:space="preserve"/>
        </x:is>
      </x:c>
      <x:c r="T11" t="inlineStr">
        <x:is>
          <x:t xml:space="preserve">NONE</x:t>
        </x:is>
      </x:c>
      <x:c r="U11" t="inlineStr">
        <x:is>
          <x:t xml:space="preserve"/>
        </x:is>
      </x:c>
      <x:c r="V11" t="inlineStr">
        <x:is>
          <x:t xml:space="preserve">SUCCESS</x:t>
        </x:is>
      </x:c>
      <x:c r="W11" t="n">
        <x:f>IF((COUNT('Quantification_Results'!Q11)=1),IFERROR(ROUND((SUM(('Quantification_Results'!Q11*'Quantification_Config'!$R$9))/SUM('Quantification_Config'!$R$9)),'Quantification_Config'!$U$2),""),"")</x:f>
        <x:v>50</x:v>
      </x:c>
      <x:c r="X11" t="n">
        <x:f>IF((COUNT('Quantification_Results'!W11)=1),IFERROR(ROUND((SUM(('Quantification_Results'!W11*'Quantification_Config'!$R$8))/SUM('Quantification_Config'!$R$8)),'Quantification_Config'!$U$2),""),"")</x:f>
        <x:v>50</x:v>
      </x:c>
      <x:c r="Y11" t="n">
        <x:v>0</x:v>
      </x:c>
      <x:c r="Z11"/>
      <x:c r="AA11"/>
      <x:c r="AB11">
        <x:f>IF(('Quantification_Results'!Y11&lt;&gt;1),"",IF(('Quantification_Results'!AA11=""),IF(ISNUMBER('Quantification_Results'!Z11),IF(('Quantification_Results'!Z11&lt;'Quantification_Config'!$S$12),"",IF(('Quantification_Results'!Z11&gt;'Quantification_Config'!$T$12),"",'Quantification_Results'!Z11)),""),IF(ISNUMBER('Quantification_Results'!AA11),IF(('Quantification_Results'!AA11&lt;'Quantification_Config'!$S$12),"",IF(('Quantification_Results'!AA11&gt;'Quantification_Config'!$T$12),"",'Quantification_Results'!AA11)),"")))</x:f>
      </x:c>
      <x:c r="AC11">
        <x:f>IF(ISNUMBER('Quantification_Results'!AB11),IFERROR(ROUND(((('Quantification_Results'!AB11-'Quantification_Config'!$S$12)/('Quantification_Config'!$T$12-'Quantification_Config'!$S$12))*100),'Quantification_Config'!$U$2),""),"")</x:f>
      </x:c>
      <x:c r="AD11" t="inlineStr">
        <x:is>
          <x:t xml:space="preserve"/>
        </x:is>
      </x:c>
      <x:c r="AE11" t="inlineStr">
        <x:is>
          <x:t xml:space="preserve"/>
        </x:is>
      </x:c>
      <x:c r="AF11" t="inlineStr">
        <x:is>
          <x:t xml:space="preserve"/>
        </x:is>
      </x:c>
      <x:c r="AG11" t="inlineStr">
        <x:is>
          <x:t xml:space="preserve"/>
        </x:is>
      </x:c>
      <x:c r="AH11" t="inlineStr">
        <x:is>
          <x:t xml:space="preserve">EMPTY</x:t>
        </x:is>
      </x:c>
      <x:c r="AI11">
        <x:f>IF((COUNT('Quantification_Results'!AC11)=1),IFERROR(ROUND((SUM(('Quantification_Results'!AC11*'Quantification_Config'!$R$12))/SUM('Quantification_Config'!$R$12)),'Quantification_Config'!$U$2),""),"")</x:f>
      </x:c>
      <x:c r="AJ11">
        <x:f>IF((COUNT('Quantification_Results'!AI11)=1),IFERROR(ROUND((SUM(('Quantification_Results'!AI11*'Quantification_Config'!$R$11))/SUM('Quantification_Config'!$R$11)),'Quantification_Config'!$U$2),""),"")</x:f>
      </x:c>
      <x:c r="AK11" t="n">
        <x:v>1</x:v>
      </x:c>
      <x:c r="AL11" t="n">
        <x:v>5</x:v>
      </x:c>
      <x:c r="AM11"/>
      <x:c r="AN11" t="n">
        <x:f>IF(('Quantification_Results'!AK11&lt;&gt;1),"",IF(('Quantification_Results'!AM11=""),IF(ISNUMBER('Quantification_Results'!AL11),IF(('Quantification_Results'!AL11&lt;'Quantification_Config'!$S$15),"",IF(('Quantification_Results'!AL11&gt;'Quantification_Config'!$T$15),"",'Quantification_Results'!AL11)),""),IF(ISNUMBER('Quantification_Results'!AM11),IF(('Quantification_Results'!AM11&lt;'Quantification_Config'!$S$15),"",IF(('Quantification_Results'!AM11&gt;'Quantification_Config'!$T$15),"",'Quantification_Results'!AM11)),"")))</x:f>
        <x:v>5</x:v>
      </x:c>
      <x:c r="AO11" t="n">
        <x:f>IF(ISNUMBER('Quantification_Results'!AN11),IFERROR(ROUND(((('Quantification_Results'!AN11-'Quantification_Config'!$S$15)/('Quantification_Config'!$T$15-'Quantification_Config'!$S$15))*100),'Quantification_Config'!$U$2),""),"")</x:f>
        <x:v>50</x:v>
      </x:c>
      <x:c r="AP11" t="inlineStr">
        <x:is>
          <x:t xml:space="preserve">SYSTEM-TEST-ONLY-NO-NETWORK-NOT-AN-EDUCATIONAL-EVALUATION</x:t>
        </x:is>
      </x:c>
      <x:c r="AQ11" t="inlineStr">
        <x:is>
          <x:t xml:space="preserve"/>
        </x:is>
      </x:c>
      <x:c r="AR11" t="inlineStr">
        <x:is>
          <x:t xml:space="preserve">NONE</x:t>
        </x:is>
      </x:c>
      <x:c r="AS11" t="inlineStr">
        <x:is>
          <x:t xml:space="preserve"/>
        </x:is>
      </x:c>
      <x:c r="AT11" t="inlineStr">
        <x:is>
          <x:t xml:space="preserve">SUCCESS</x:t>
        </x:is>
      </x:c>
      <x:c r="AU11" t="n">
        <x:f>IF((COUNT('Quantification_Results'!AO11)=1),IFERROR(ROUND((SUM(('Quantification_Results'!AO11*'Quantification_Config'!$R$15))/SUM('Quantification_Config'!$R$15)),'Quantification_Config'!$U$2),""),"")</x:f>
        <x:v>50</x:v>
      </x:c>
      <x:c r="AV11" t="n">
        <x:f>IF((COUNT('Quantification_Results'!AU11)=1),IFERROR(ROUND((SUM(('Quantification_Results'!AU11*'Quantification_Config'!$R$14))/SUM('Quantification_Config'!$R$14)),'Quantification_Config'!$U$2),""),"")</x:f>
        <x:v>50</x:v>
      </x:c>
      <x:c r="AW11" t="n">
        <x:v>1</x:v>
      </x:c>
      <x:c r="AX11" t="n">
        <x:v>5</x:v>
      </x:c>
      <x:c r="AY11"/>
      <x:c r="AZ11" t="n">
        <x:f>IF(('Quantification_Results'!AW11&lt;&gt;1),"",IF(('Quantification_Results'!AY11=""),IF(ISNUMBER('Quantification_Results'!AX11),IF(('Quantification_Results'!AX11&lt;'Quantification_Config'!$S$19),"",IF(('Quantification_Results'!AX11&gt;'Quantification_Config'!$T$19),"",'Quantification_Results'!AX11)),""),IF(ISNUMBER('Quantification_Results'!AY11),IF(('Quantification_Results'!AY11&lt;'Quantification_Config'!$S$19),"",IF(('Quantification_Results'!AY11&gt;'Quantification_Config'!$T$19),"",'Quantification_Results'!AY11)),"")))</x:f>
        <x:v>5</x:v>
      </x:c>
      <x:c r="BA11" t="n">
        <x:f>IF(ISNUMBER('Quantification_Results'!AZ11),IFERROR(ROUND(((('Quantification_Results'!AZ11-'Quantification_Config'!$S$19)/('Quantification_Config'!$T$19-'Quantification_Config'!$S$19))*100),'Quantification_Config'!$U$2),""),"")</x:f>
        <x:v>50</x:v>
      </x:c>
      <x:c r="BB11" t="inlineStr">
        <x:is>
          <x:t xml:space="preserve">SYSTEM-TEST-ONLY-NO-NETWORK-NOT-AN-EDUCATIONAL-EVALUATION</x:t>
        </x:is>
      </x:c>
      <x:c r="BC11" t="inlineStr">
        <x:is>
          <x:t xml:space="preserve"/>
        </x:is>
      </x:c>
      <x:c r="BD11" t="inlineStr">
        <x:is>
          <x:t xml:space="preserve">NONE</x:t>
        </x:is>
      </x:c>
      <x:c r="BE11" t="inlineStr">
        <x:is>
          <x:t xml:space="preserve"/>
        </x:is>
      </x:c>
      <x:c r="BF11" t="inlineStr">
        <x:is>
          <x:t xml:space="preserve">SUCCESS</x:t>
        </x:is>
      </x:c>
      <x:c r="BG11" t="n">
        <x:f>IF((COUNT('Quantification_Results'!BA11)=1),IFERROR(ROUND((SUM(('Quantification_Results'!BA11*'Quantification_Config'!$R$19))/SUM('Quantification_Config'!$R$19)),'Quantification_Config'!$U$2),""),"")</x:f>
        <x:v>50</x:v>
      </x:c>
      <x:c r="BH11" t="n">
        <x:f>IF((COUNT('Quantification_Results'!BG11)=1),IFERROR(ROUND((SUM(('Quantification_Results'!BG11*'Quantification_Config'!$R$18))/SUM('Quantification_Config'!$R$18)),'Quantification_Config'!$U$2),""),"")</x:f>
        <x:v>50</x:v>
      </x:c>
      <x:c r="BI11">
        <x:f>IF((COUNT('Quantification_Results'!L11,'Quantification_Results'!X11,'Quantification_Results'!AJ11,'Quantification_Results'!AV11,'Quantification_Results'!BH11)=5),IFERROR(ROUND((SUM(('Quantification_Results'!L11*'Quantification_Config'!$R$4),('Quantification_Results'!X11*'Quantification_Config'!$R$7),('Quantification_Results'!AJ11*'Quantification_Config'!$R$10),('Quantification_Results'!AV11*'Quantification_Config'!$R$13),('Quantification_Results'!BH11*'Quantification_Config'!$R$16))/SUM('Quantification_Config'!$R$4,'Quantification_Config'!$R$7,'Quantification_Config'!$R$10,'Quantification_Config'!$R$13,'Quantification_Config'!$R$16)),'Quantification_Config'!$U$2),""),"")</x:f>
      </x:c>
    </x:row>
    <x:row r="12">
      <x:c r="A12" t="n">
        <x:v>1</x:v>
      </x:c>
      <x:c r="B12" t="n">
        <x:v>5</x:v>
      </x:c>
      <x:c r="C12"/>
      <x:c r="D12" t="n">
        <x:f>IF(('Quantification_Results'!A12&lt;&gt;1),"",IF(('Quantification_Results'!C12=""),IF(ISNUMBER('Quantification_Results'!B12),IF(('Quantification_Results'!B12&lt;'Quantification_Config'!$S$6),"",IF(('Quantification_Results'!B12&gt;'Quantification_Config'!$T$6),"",'Quantification_Results'!B12)),""),IF(ISNUMBER('Quantification_Results'!C12),IF(('Quantification_Results'!C12&lt;'Quantification_Config'!$S$6),"",IF(('Quantification_Results'!C12&gt;'Quantification_Config'!$T$6),"",'Quantification_Results'!C12)),"")))</x:f>
        <x:v>5</x:v>
      </x:c>
      <x:c r="E12" t="n">
        <x:f>IF(ISNUMBER('Quantification_Results'!D12),IFERROR(ROUND(((('Quantification_Results'!D12-'Quantification_Config'!$S$6)/('Quantification_Config'!$T$6-'Quantification_Config'!$S$6))*100),'Quantification_Config'!$U$2),""),"")</x:f>
        <x:v>50</x:v>
      </x:c>
      <x:c r="F12" t="inlineStr">
        <x:is>
          <x:t xml:space="preserve">SYSTEM-TEST-ONLY-NO-NETWORK-NOT-AN-EDUCATIONAL-EVALUATION</x:t>
        </x:is>
      </x:c>
      <x:c r="G12" t="inlineStr">
        <x:is>
          <x:t xml:space="preserve"/>
        </x:is>
      </x:c>
      <x:c r="H12" t="inlineStr">
        <x:is>
          <x:t xml:space="preserve">NONE</x:t>
        </x:is>
      </x:c>
      <x:c r="I12" t="inlineStr">
        <x:is>
          <x:t xml:space="preserve"/>
        </x:is>
      </x:c>
      <x:c r="J12" t="inlineStr">
        <x:is>
          <x:t xml:space="preserve">SUCCESS</x:t>
        </x:is>
      </x:c>
      <x:c r="K12" t="n">
        <x:f>IF((COUNT('Quantification_Results'!E12)=1),IFERROR(ROUND((SUM(('Quantification_Results'!E12*'Quantification_Config'!$R$6))/SUM('Quantification_Config'!$R$6)),'Quantification_Config'!$U$2),""),"")</x:f>
        <x:v>50</x:v>
      </x:c>
      <x:c r="L12" t="n">
        <x:f>IF((COUNT('Quantification_Results'!K12)=1),IFERROR(ROUND((SUM(('Quantification_Results'!K12*'Quantification_Config'!$R$5))/SUM('Quantification_Config'!$R$5)),'Quantification_Config'!$U$2),""),"")</x:f>
        <x:v>50</x:v>
      </x:c>
      <x:c r="M12" t="n">
        <x:v>1</x:v>
      </x:c>
      <x:c r="N12" t="n">
        <x:v>5</x:v>
      </x:c>
      <x:c r="O12"/>
      <x:c r="P12" t="n">
        <x:f>IF(('Quantification_Results'!M12&lt;&gt;1),"",IF(('Quantification_Results'!O12=""),IF(ISNUMBER('Quantification_Results'!N12),IF(('Quantification_Results'!N12&lt;'Quantification_Config'!$S$9),"",IF(('Quantification_Results'!N12&gt;'Quantification_Config'!$T$9),"",'Quantification_Results'!N12)),""),IF(ISNUMBER('Quantification_Results'!O12),IF(('Quantification_Results'!O12&lt;'Quantification_Config'!$S$9),"",IF(('Quantification_Results'!O12&gt;'Quantification_Config'!$T$9),"",'Quantification_Results'!O12)),"")))</x:f>
        <x:v>5</x:v>
      </x:c>
      <x:c r="Q12" t="n">
        <x:f>IF(ISNUMBER('Quantification_Results'!P12),IFERROR(ROUND(((('Quantification_Results'!P12-'Quantification_Config'!$S$9)/('Quantification_Config'!$T$9-'Quantification_Config'!$S$9))*100),'Quantification_Config'!$U$2),""),"")</x:f>
        <x:v>50</x:v>
      </x:c>
      <x:c r="R12" t="inlineStr">
        <x:is>
          <x:t xml:space="preserve">SYSTEM-TEST-ONLY-NO-NETWORK-NOT-AN-EDUCATIONAL-EVALUATION</x:t>
        </x:is>
      </x:c>
      <x:c r="S12" t="inlineStr">
        <x:is>
          <x:t xml:space="preserve"/>
        </x:is>
      </x:c>
      <x:c r="T12" t="inlineStr">
        <x:is>
          <x:t xml:space="preserve">NONE</x:t>
        </x:is>
      </x:c>
      <x:c r="U12" t="inlineStr">
        <x:is>
          <x:t xml:space="preserve"/>
        </x:is>
      </x:c>
      <x:c r="V12" t="inlineStr">
        <x:is>
          <x:t xml:space="preserve">SUCCESS</x:t>
        </x:is>
      </x:c>
      <x:c r="W12" t="n">
        <x:f>IF((COUNT('Quantification_Results'!Q12)=1),IFERROR(ROUND((SUM(('Quantification_Results'!Q12*'Quantification_Config'!$R$9))/SUM('Quantification_Config'!$R$9)),'Quantification_Config'!$U$2),""),"")</x:f>
        <x:v>50</x:v>
      </x:c>
      <x:c r="X12" t="n">
        <x:f>IF((COUNT('Quantification_Results'!W12)=1),IFERROR(ROUND((SUM(('Quantification_Results'!W12*'Quantification_Config'!$R$8))/SUM('Quantification_Config'!$R$8)),'Quantification_Config'!$U$2),""),"")</x:f>
        <x:v>50</x:v>
      </x:c>
      <x:c r="Y12" t="n">
        <x:v>0</x:v>
      </x:c>
      <x:c r="Z12"/>
      <x:c r="AA12"/>
      <x:c r="AB12">
        <x:f>IF(('Quantification_Results'!Y12&lt;&gt;1),"",IF(('Quantification_Results'!AA12=""),IF(ISNUMBER('Quantification_Results'!Z12),IF(('Quantification_Results'!Z12&lt;'Quantification_Config'!$S$12),"",IF(('Quantification_Results'!Z12&gt;'Quantification_Config'!$T$12),"",'Quantification_Results'!Z12)),""),IF(ISNUMBER('Quantification_Results'!AA12),IF(('Quantification_Results'!AA12&lt;'Quantification_Config'!$S$12),"",IF(('Quantification_Results'!AA12&gt;'Quantification_Config'!$T$12),"",'Quantification_Results'!AA12)),"")))</x:f>
      </x:c>
      <x:c r="AC12">
        <x:f>IF(ISNUMBER('Quantification_Results'!AB12),IFERROR(ROUND(((('Quantification_Results'!AB12-'Quantification_Config'!$S$12)/('Quantification_Config'!$T$12-'Quantification_Config'!$S$12))*100),'Quantification_Config'!$U$2),""),"")</x:f>
      </x:c>
      <x:c r="AD12" t="inlineStr">
        <x:is>
          <x:t xml:space="preserve"/>
        </x:is>
      </x:c>
      <x:c r="AE12" t="inlineStr">
        <x:is>
          <x:t xml:space="preserve"/>
        </x:is>
      </x:c>
      <x:c r="AF12" t="inlineStr">
        <x:is>
          <x:t xml:space="preserve"/>
        </x:is>
      </x:c>
      <x:c r="AG12" t="inlineStr">
        <x:is>
          <x:t xml:space="preserve"/>
        </x:is>
      </x:c>
      <x:c r="AH12" t="inlineStr">
        <x:is>
          <x:t xml:space="preserve">EMPTY</x:t>
        </x:is>
      </x:c>
      <x:c r="AI12">
        <x:f>IF((COUNT('Quantification_Results'!AC12)=1),IFERROR(ROUND((SUM(('Quantification_Results'!AC12*'Quantification_Config'!$R$12))/SUM('Quantification_Config'!$R$12)),'Quantification_Config'!$U$2),""),"")</x:f>
      </x:c>
      <x:c r="AJ12">
        <x:f>IF((COUNT('Quantification_Results'!AI12)=1),IFERROR(ROUND((SUM(('Quantification_Results'!AI12*'Quantification_Config'!$R$11))/SUM('Quantification_Config'!$R$11)),'Quantification_Config'!$U$2),""),"")</x:f>
      </x:c>
      <x:c r="AK12" t="n">
        <x:v>1</x:v>
      </x:c>
      <x:c r="AL12" t="n">
        <x:v>5</x:v>
      </x:c>
      <x:c r="AM12"/>
      <x:c r="AN12" t="n">
        <x:f>IF(('Quantification_Results'!AK12&lt;&gt;1),"",IF(('Quantification_Results'!AM12=""),IF(ISNUMBER('Quantification_Results'!AL12),IF(('Quantification_Results'!AL12&lt;'Quantification_Config'!$S$15),"",IF(('Quantification_Results'!AL12&gt;'Quantification_Config'!$T$15),"",'Quantification_Results'!AL12)),""),IF(ISNUMBER('Quantification_Results'!AM12),IF(('Quantification_Results'!AM12&lt;'Quantification_Config'!$S$15),"",IF(('Quantification_Results'!AM12&gt;'Quantification_Config'!$T$15),"",'Quantification_Results'!AM12)),"")))</x:f>
        <x:v>5</x:v>
      </x:c>
      <x:c r="AO12" t="n">
        <x:f>IF(ISNUMBER('Quantification_Results'!AN12),IFERROR(ROUND(((('Quantification_Results'!AN12-'Quantification_Config'!$S$15)/('Quantification_Config'!$T$15-'Quantification_Config'!$S$15))*100),'Quantification_Config'!$U$2),""),"")</x:f>
        <x:v>50</x:v>
      </x:c>
      <x:c r="AP12" t="inlineStr">
        <x:is>
          <x:t xml:space="preserve">SYSTEM-TEST-ONLY-NO-NETWORK-NOT-AN-EDUCATIONAL-EVALUATION</x:t>
        </x:is>
      </x:c>
      <x:c r="AQ12" t="inlineStr">
        <x:is>
          <x:t xml:space="preserve"/>
        </x:is>
      </x:c>
      <x:c r="AR12" t="inlineStr">
        <x:is>
          <x:t xml:space="preserve">NONE</x:t>
        </x:is>
      </x:c>
      <x:c r="AS12" t="inlineStr">
        <x:is>
          <x:t xml:space="preserve"/>
        </x:is>
      </x:c>
      <x:c r="AT12" t="inlineStr">
        <x:is>
          <x:t xml:space="preserve">SUCCESS</x:t>
        </x:is>
      </x:c>
      <x:c r="AU12" t="n">
        <x:f>IF((COUNT('Quantification_Results'!AO12)=1),IFERROR(ROUND((SUM(('Quantification_Results'!AO12*'Quantification_Config'!$R$15))/SUM('Quantification_Config'!$R$15)),'Quantification_Config'!$U$2),""),"")</x:f>
        <x:v>50</x:v>
      </x:c>
      <x:c r="AV12" t="n">
        <x:f>IF((COUNT('Quantification_Results'!AU12)=1),IFERROR(ROUND((SUM(('Quantification_Results'!AU12*'Quantification_Config'!$R$14))/SUM('Quantification_Config'!$R$14)),'Quantification_Config'!$U$2),""),"")</x:f>
        <x:v>50</x:v>
      </x:c>
      <x:c r="AW12" t="n">
        <x:v>1</x:v>
      </x:c>
      <x:c r="AX12" t="n">
        <x:v>5</x:v>
      </x:c>
      <x:c r="AY12"/>
      <x:c r="AZ12" t="n">
        <x:f>IF(('Quantification_Results'!AW12&lt;&gt;1),"",IF(('Quantification_Results'!AY12=""),IF(ISNUMBER('Quantification_Results'!AX12),IF(('Quantification_Results'!AX12&lt;'Quantification_Config'!$S$19),"",IF(('Quantification_Results'!AX12&gt;'Quantification_Config'!$T$19),"",'Quantification_Results'!AX12)),""),IF(ISNUMBER('Quantification_Results'!AY12),IF(('Quantification_Results'!AY12&lt;'Quantification_Config'!$S$19),"",IF(('Quantification_Results'!AY12&gt;'Quantification_Config'!$T$19),"",'Quantification_Results'!AY12)),"")))</x:f>
        <x:v>5</x:v>
      </x:c>
      <x:c r="BA12" t="n">
        <x:f>IF(ISNUMBER('Quantification_Results'!AZ12),IFERROR(ROUND(((('Quantification_Results'!AZ12-'Quantification_Config'!$S$19)/('Quantification_Config'!$T$19-'Quantification_Config'!$S$19))*100),'Quantification_Config'!$U$2),""),"")</x:f>
        <x:v>50</x:v>
      </x:c>
      <x:c r="BB12" t="inlineStr">
        <x:is>
          <x:t xml:space="preserve">SYSTEM-TEST-ONLY-NO-NETWORK-NOT-AN-EDUCATIONAL-EVALUATION</x:t>
        </x:is>
      </x:c>
      <x:c r="BC12" t="inlineStr">
        <x:is>
          <x:t xml:space="preserve"/>
        </x:is>
      </x:c>
      <x:c r="BD12" t="inlineStr">
        <x:is>
          <x:t xml:space="preserve">NONE</x:t>
        </x:is>
      </x:c>
      <x:c r="BE12" t="inlineStr">
        <x:is>
          <x:t xml:space="preserve"/>
        </x:is>
      </x:c>
      <x:c r="BF12" t="inlineStr">
        <x:is>
          <x:t xml:space="preserve">SUCCESS</x:t>
        </x:is>
      </x:c>
      <x:c r="BG12" t="n">
        <x:f>IF((COUNT('Quantification_Results'!BA12)=1),IFERROR(ROUND((SUM(('Quantification_Results'!BA12*'Quantification_Config'!$R$19))/SUM('Quantification_Config'!$R$19)),'Quantification_Config'!$U$2),""),"")</x:f>
        <x:v>50</x:v>
      </x:c>
      <x:c r="BH12" t="n">
        <x:f>IF((COUNT('Quantification_Results'!BG12)=1),IFERROR(ROUND((SUM(('Quantification_Results'!BG12*'Quantification_Config'!$R$18))/SUM('Quantification_Config'!$R$18)),'Quantification_Config'!$U$2),""),"")</x:f>
        <x:v>50</x:v>
      </x:c>
      <x:c r="BI12">
        <x:f>IF((COUNT('Quantification_Results'!L12,'Quantification_Results'!X12,'Quantification_Results'!AJ12,'Quantification_Results'!AV12,'Quantification_Results'!BH12)=5),IFERROR(ROUND((SUM(('Quantification_Results'!L12*'Quantification_Config'!$R$4),('Quantification_Results'!X12*'Quantification_Config'!$R$7),('Quantification_Results'!AJ12*'Quantification_Config'!$R$10),('Quantification_Results'!AV12*'Quantification_Config'!$R$13),('Quantification_Results'!BH12*'Quantification_Config'!$R$16))/SUM('Quantification_Config'!$R$4,'Quantification_Config'!$R$7,'Quantification_Config'!$R$10,'Quantification_Config'!$R$13,'Quantification_Config'!$R$16)),'Quantification_Config'!$U$2),""),"")</x:f>
      </x:c>
    </x:row>
    <x:row r="13">
      <x:c r="A13" t="n">
        <x:v>1</x:v>
      </x:c>
      <x:c r="B13" t="n">
        <x:v>5</x:v>
      </x:c>
      <x:c r="C13"/>
      <x:c r="D13" t="n">
        <x:f>IF(('Quantification_Results'!A13&lt;&gt;1),"",IF(('Quantification_Results'!C13=""),IF(ISNUMBER('Quantification_Results'!B13),IF(('Quantification_Results'!B13&lt;'Quantification_Config'!$S$6),"",IF(('Quantification_Results'!B13&gt;'Quantification_Config'!$T$6),"",'Quantification_Results'!B13)),""),IF(ISNUMBER('Quantification_Results'!C13),IF(('Quantification_Results'!C13&lt;'Quantification_Config'!$S$6),"",IF(('Quantification_Results'!C13&gt;'Quantification_Config'!$T$6),"",'Quantification_Results'!C13)),"")))</x:f>
        <x:v>5</x:v>
      </x:c>
      <x:c r="E13" t="n">
        <x:f>IF(ISNUMBER('Quantification_Results'!D13),IFERROR(ROUND(((('Quantification_Results'!D13-'Quantification_Config'!$S$6)/('Quantification_Config'!$T$6-'Quantification_Config'!$S$6))*100),'Quantification_Config'!$U$2),""),"")</x:f>
        <x:v>50</x:v>
      </x:c>
      <x:c r="F13" t="inlineStr">
        <x:is>
          <x:t xml:space="preserve">SYSTEM-TEST-ONLY-NO-NETWORK-NOT-AN-EDUCATIONAL-EVALUATION</x:t>
        </x:is>
      </x:c>
      <x:c r="G13" t="inlineStr">
        <x:is>
          <x:t xml:space="preserve"/>
        </x:is>
      </x:c>
      <x:c r="H13" t="inlineStr">
        <x:is>
          <x:t xml:space="preserve">NONE</x:t>
        </x:is>
      </x:c>
      <x:c r="I13" t="inlineStr">
        <x:is>
          <x:t xml:space="preserve"/>
        </x:is>
      </x:c>
      <x:c r="J13" t="inlineStr">
        <x:is>
          <x:t xml:space="preserve">SUCCESS</x:t>
        </x:is>
      </x:c>
      <x:c r="K13" t="n">
        <x:f>IF((COUNT('Quantification_Results'!E13)=1),IFERROR(ROUND((SUM(('Quantification_Results'!E13*'Quantification_Config'!$R$6))/SUM('Quantification_Config'!$R$6)),'Quantification_Config'!$U$2),""),"")</x:f>
        <x:v>50</x:v>
      </x:c>
      <x:c r="L13" t="n">
        <x:f>IF((COUNT('Quantification_Results'!K13)=1),IFERROR(ROUND((SUM(('Quantification_Results'!K13*'Quantification_Config'!$R$5))/SUM('Quantification_Config'!$R$5)),'Quantification_Config'!$U$2),""),"")</x:f>
        <x:v>50</x:v>
      </x:c>
      <x:c r="M13" t="n">
        <x:v>1</x:v>
      </x:c>
      <x:c r="N13" t="n">
        <x:v>5</x:v>
      </x:c>
      <x:c r="O13"/>
      <x:c r="P13" t="n">
        <x:f>IF(('Quantification_Results'!M13&lt;&gt;1),"",IF(('Quantification_Results'!O13=""),IF(ISNUMBER('Quantification_Results'!N13),IF(('Quantification_Results'!N13&lt;'Quantification_Config'!$S$9),"",IF(('Quantification_Results'!N13&gt;'Quantification_Config'!$T$9),"",'Quantification_Results'!N13)),""),IF(ISNUMBER('Quantification_Results'!O13),IF(('Quantification_Results'!O13&lt;'Quantification_Config'!$S$9),"",IF(('Quantification_Results'!O13&gt;'Quantification_Config'!$T$9),"",'Quantification_Results'!O13)),"")))</x:f>
        <x:v>5</x:v>
      </x:c>
      <x:c r="Q13" t="n">
        <x:f>IF(ISNUMBER('Quantification_Results'!P13),IFERROR(ROUND(((('Quantification_Results'!P13-'Quantification_Config'!$S$9)/('Quantification_Config'!$T$9-'Quantification_Config'!$S$9))*100),'Quantification_Config'!$U$2),""),"")</x:f>
        <x:v>50</x:v>
      </x:c>
      <x:c r="R13" t="inlineStr">
        <x:is>
          <x:t xml:space="preserve">SYSTEM-TEST-ONLY-NO-NETWORK-NOT-AN-EDUCATIONAL-EVALUATION</x:t>
        </x:is>
      </x:c>
      <x:c r="S13" t="inlineStr">
        <x:is>
          <x:t xml:space="preserve"/>
        </x:is>
      </x:c>
      <x:c r="T13" t="inlineStr">
        <x:is>
          <x:t xml:space="preserve">NONE</x:t>
        </x:is>
      </x:c>
      <x:c r="U13" t="inlineStr">
        <x:is>
          <x:t xml:space="preserve"/>
        </x:is>
      </x:c>
      <x:c r="V13" t="inlineStr">
        <x:is>
          <x:t xml:space="preserve">SUCCESS</x:t>
        </x:is>
      </x:c>
      <x:c r="W13" t="n">
        <x:f>IF((COUNT('Quantification_Results'!Q13)=1),IFERROR(ROUND((SUM(('Quantification_Results'!Q13*'Quantification_Config'!$R$9))/SUM('Quantification_Config'!$R$9)),'Quantification_Config'!$U$2),""),"")</x:f>
        <x:v>50</x:v>
      </x:c>
      <x:c r="X13" t="n">
        <x:f>IF((COUNT('Quantification_Results'!W13)=1),IFERROR(ROUND((SUM(('Quantification_Results'!W13*'Quantification_Config'!$R$8))/SUM('Quantification_Config'!$R$8)),'Quantification_Config'!$U$2),""),"")</x:f>
        <x:v>50</x:v>
      </x:c>
      <x:c r="Y13" t="n">
        <x:v>1</x:v>
      </x:c>
      <x:c r="Z13" t="n">
        <x:v>5</x:v>
      </x:c>
      <x:c r="AA13"/>
      <x:c r="AB13" t="n">
        <x:f>IF(('Quantification_Results'!Y13&lt;&gt;1),"",IF(('Quantification_Results'!AA13=""),IF(ISNUMBER('Quantification_Results'!Z13),IF(('Quantification_Results'!Z13&lt;'Quantification_Config'!$S$12),"",IF(('Quantification_Results'!Z13&gt;'Quantification_Config'!$T$12),"",'Quantification_Results'!Z13)),""),IF(ISNUMBER('Quantification_Results'!AA13),IF(('Quantification_Results'!AA13&lt;'Quantification_Config'!$S$12),"",IF(('Quantification_Results'!AA13&gt;'Quantification_Config'!$T$12),"",'Quantification_Results'!AA13)),"")))</x:f>
        <x:v>5</x:v>
      </x:c>
      <x:c r="AC13" t="n">
        <x:f>IF(ISNUMBER('Quantification_Results'!AB13),IFERROR(ROUND(((('Quantification_Results'!AB13-'Quantification_Config'!$S$12)/('Quantification_Config'!$T$12-'Quantification_Config'!$S$12))*100),'Quantification_Config'!$U$2),""),"")</x:f>
        <x:v>50</x:v>
      </x:c>
      <x:c r="AD13" t="inlineStr">
        <x:is>
          <x:t xml:space="preserve">SYSTEM-TEST-ONLY-NO-NETWORK-NOT-AN-EDUCATIONAL-EVALUATION</x:t>
        </x:is>
      </x:c>
      <x:c r="AE13" t="inlineStr">
        <x:is>
          <x:t xml:space="preserve"/>
        </x:is>
      </x:c>
      <x:c r="AF13" t="inlineStr">
        <x:is>
          <x:t xml:space="preserve">NONE</x:t>
        </x:is>
      </x:c>
      <x:c r="AG13" t="inlineStr">
        <x:is>
          <x:t xml:space="preserve"/>
        </x:is>
      </x:c>
      <x:c r="AH13" t="inlineStr">
        <x:is>
          <x:t xml:space="preserve">SUCCESS</x:t>
        </x:is>
      </x:c>
      <x:c r="AI13" t="n">
        <x:f>IF((COUNT('Quantification_Results'!AC13)=1),IFERROR(ROUND((SUM(('Quantification_Results'!AC13*'Quantification_Config'!$R$12))/SUM('Quantification_Config'!$R$12)),'Quantification_Config'!$U$2),""),"")</x:f>
        <x:v>50</x:v>
      </x:c>
      <x:c r="AJ13" t="n">
        <x:f>IF((COUNT('Quantification_Results'!AI13)=1),IFERROR(ROUND((SUM(('Quantification_Results'!AI13*'Quantification_Config'!$R$11))/SUM('Quantification_Config'!$R$11)),'Quantification_Config'!$U$2),""),"")</x:f>
        <x:v>50</x:v>
      </x:c>
      <x:c r="AK13" t="n">
        <x:v>1</x:v>
      </x:c>
      <x:c r="AL13" t="n">
        <x:v>5</x:v>
      </x:c>
      <x:c r="AM13"/>
      <x:c r="AN13" t="n">
        <x:f>IF(('Quantification_Results'!AK13&lt;&gt;1),"",IF(('Quantification_Results'!AM13=""),IF(ISNUMBER('Quantification_Results'!AL13),IF(('Quantification_Results'!AL13&lt;'Quantification_Config'!$S$15),"",IF(('Quantification_Results'!AL13&gt;'Quantification_Config'!$T$15),"",'Quantification_Results'!AL13)),""),IF(ISNUMBER('Quantification_Results'!AM13),IF(('Quantification_Results'!AM13&lt;'Quantification_Config'!$S$15),"",IF(('Quantification_Results'!AM13&gt;'Quantification_Config'!$T$15),"",'Quantification_Results'!AM13)),"")))</x:f>
        <x:v>5</x:v>
      </x:c>
      <x:c r="AO13" t="n">
        <x:f>IF(ISNUMBER('Quantification_Results'!AN13),IFERROR(ROUND(((('Quantification_Results'!AN13-'Quantification_Config'!$S$15)/('Quantification_Config'!$T$15-'Quantification_Config'!$S$15))*100),'Quantification_Config'!$U$2),""),"")</x:f>
        <x:v>50</x:v>
      </x:c>
      <x:c r="AP13" t="inlineStr">
        <x:is>
          <x:t xml:space="preserve">SYSTEM-TEST-ONLY-NO-NETWORK-NOT-AN-EDUCATIONAL-EVALUATION</x:t>
        </x:is>
      </x:c>
      <x:c r="AQ13" t="inlineStr">
        <x:is>
          <x:t xml:space="preserve"/>
        </x:is>
      </x:c>
      <x:c r="AR13" t="inlineStr">
        <x:is>
          <x:t xml:space="preserve">NONE</x:t>
        </x:is>
      </x:c>
      <x:c r="AS13" t="inlineStr">
        <x:is>
          <x:t xml:space="preserve"/>
        </x:is>
      </x:c>
      <x:c r="AT13" t="inlineStr">
        <x:is>
          <x:t xml:space="preserve">SUCCESS</x:t>
        </x:is>
      </x:c>
      <x:c r="AU13" t="n">
        <x:f>IF((COUNT('Quantification_Results'!AO13)=1),IFERROR(ROUND((SUM(('Quantification_Results'!AO13*'Quantification_Config'!$R$15))/SUM('Quantification_Config'!$R$15)),'Quantification_Config'!$U$2),""),"")</x:f>
        <x:v>50</x:v>
      </x:c>
      <x:c r="AV13" t="n">
        <x:f>IF((COUNT('Quantification_Results'!AU13)=1),IFERROR(ROUND((SUM(('Quantification_Results'!AU13*'Quantification_Config'!$R$14))/SUM('Quantification_Config'!$R$14)),'Quantification_Config'!$U$2),""),"")</x:f>
        <x:v>50</x:v>
      </x:c>
      <x:c r="AW13" t="n">
        <x:v>1</x:v>
      </x:c>
      <x:c r="AX13" t="n">
        <x:v>5</x:v>
      </x:c>
      <x:c r="AY13"/>
      <x:c r="AZ13" t="n">
        <x:f>IF(('Quantification_Results'!AW13&lt;&gt;1),"",IF(('Quantification_Results'!AY13=""),IF(ISNUMBER('Quantification_Results'!AX13),IF(('Quantification_Results'!AX13&lt;'Quantification_Config'!$S$19),"",IF(('Quantification_Results'!AX13&gt;'Quantification_Config'!$T$19),"",'Quantification_Results'!AX13)),""),IF(ISNUMBER('Quantification_Results'!AY13),IF(('Quantification_Results'!AY13&lt;'Quantification_Config'!$S$19),"",IF(('Quantification_Results'!AY13&gt;'Quantification_Config'!$T$19),"",'Quantification_Results'!AY13)),"")))</x:f>
        <x:v>5</x:v>
      </x:c>
      <x:c r="BA13" t="n">
        <x:f>IF(ISNUMBER('Quantification_Results'!AZ13),IFERROR(ROUND(((('Quantification_Results'!AZ13-'Quantification_Config'!$S$19)/('Quantification_Config'!$T$19-'Quantification_Config'!$S$19))*100),'Quantification_Config'!$U$2),""),"")</x:f>
        <x:v>50</x:v>
      </x:c>
      <x:c r="BB13" t="inlineStr">
        <x:is>
          <x:t xml:space="preserve">SYSTEM-TEST-ONLY-NO-NETWORK-NOT-AN-EDUCATIONAL-EVALUATION</x:t>
        </x:is>
      </x:c>
      <x:c r="BC13" t="inlineStr">
        <x:is>
          <x:t xml:space="preserve"/>
        </x:is>
      </x:c>
      <x:c r="BD13" t="inlineStr">
        <x:is>
          <x:t xml:space="preserve">NONE</x:t>
        </x:is>
      </x:c>
      <x:c r="BE13" t="inlineStr">
        <x:is>
          <x:t xml:space="preserve"/>
        </x:is>
      </x:c>
      <x:c r="BF13" t="inlineStr">
        <x:is>
          <x:t xml:space="preserve">SUCCESS</x:t>
        </x:is>
      </x:c>
      <x:c r="BG13" t="n">
        <x:f>IF((COUNT('Quantification_Results'!BA13)=1),IFERROR(ROUND((SUM(('Quantification_Results'!BA13*'Quantification_Config'!$R$19))/SUM('Quantification_Config'!$R$19)),'Quantification_Config'!$U$2),""),"")</x:f>
        <x:v>50</x:v>
      </x:c>
      <x:c r="BH13" t="n">
        <x:f>IF((COUNT('Quantification_Results'!BG13)=1),IFERROR(ROUND((SUM(('Quantification_Results'!BG13*'Quantification_Config'!$R$18))/SUM('Quantification_Config'!$R$18)),'Quantification_Config'!$U$2),""),"")</x:f>
        <x:v>50</x:v>
      </x:c>
      <x:c r="BI13" t="n">
        <x:f>IF((COUNT('Quantification_Results'!L13,'Quantification_Results'!X13,'Quantification_Results'!AJ13,'Quantification_Results'!AV13,'Quantification_Results'!BH13)=5),IFERROR(ROUND((SUM(('Quantification_Results'!L13*'Quantification_Config'!$R$4),('Quantification_Results'!X13*'Quantification_Config'!$R$7),('Quantification_Results'!AJ13*'Quantification_Config'!$R$10),('Quantification_Results'!AV13*'Quantification_Config'!$R$13),('Quantification_Results'!BH13*'Quantification_Config'!$R$16))/SUM('Quantification_Config'!$R$4,'Quantification_Config'!$R$7,'Quantification_Config'!$R$10,'Quantification_Config'!$R$13,'Quantification_Config'!$R$16)),'Quantification_Config'!$U$2),""),"")</x:f>
        <x:v>50</x:v>
      </x:c>
    </x:row>
    <x:row r="14">
      <x:c r="A14" t="n">
        <x:v>1</x:v>
      </x:c>
      <x:c r="B14" t="n">
        <x:v>5</x:v>
      </x:c>
      <x:c r="C14"/>
      <x:c r="D14" t="n">
        <x:f>IF(('Quantification_Results'!A14&lt;&gt;1),"",IF(('Quantification_Results'!C14=""),IF(ISNUMBER('Quantification_Results'!B14),IF(('Quantification_Results'!B14&lt;'Quantification_Config'!$S$6),"",IF(('Quantification_Results'!B14&gt;'Quantification_Config'!$T$6),"",'Quantification_Results'!B14)),""),IF(ISNUMBER('Quantification_Results'!C14),IF(('Quantification_Results'!C14&lt;'Quantification_Config'!$S$6),"",IF(('Quantification_Results'!C14&gt;'Quantification_Config'!$T$6),"",'Quantification_Results'!C14)),"")))</x:f>
        <x:v>5</x:v>
      </x:c>
      <x:c r="E14" t="n">
        <x:f>IF(ISNUMBER('Quantification_Results'!D14),IFERROR(ROUND(((('Quantification_Results'!D14-'Quantification_Config'!$S$6)/('Quantification_Config'!$T$6-'Quantification_Config'!$S$6))*100),'Quantification_Config'!$U$2),""),"")</x:f>
        <x:v>50</x:v>
      </x:c>
      <x:c r="F14" t="inlineStr">
        <x:is>
          <x:t xml:space="preserve">SYSTEM-TEST-ONLY-NO-NETWORK-NOT-AN-EDUCATIONAL-EVALUATION</x:t>
        </x:is>
      </x:c>
      <x:c r="G14" t="inlineStr">
        <x:is>
          <x:t xml:space="preserve"/>
        </x:is>
      </x:c>
      <x:c r="H14" t="inlineStr">
        <x:is>
          <x:t xml:space="preserve">NONE</x:t>
        </x:is>
      </x:c>
      <x:c r="I14" t="inlineStr">
        <x:is>
          <x:t xml:space="preserve"/>
        </x:is>
      </x:c>
      <x:c r="J14" t="inlineStr">
        <x:is>
          <x:t xml:space="preserve">SUCCESS</x:t>
        </x:is>
      </x:c>
      <x:c r="K14" t="n">
        <x:f>IF((COUNT('Quantification_Results'!E14)=1),IFERROR(ROUND((SUM(('Quantification_Results'!E14*'Quantification_Config'!$R$6))/SUM('Quantification_Config'!$R$6)),'Quantification_Config'!$U$2),""),"")</x:f>
        <x:v>50</x:v>
      </x:c>
      <x:c r="L14" t="n">
        <x:f>IF((COUNT('Quantification_Results'!K14)=1),IFERROR(ROUND((SUM(('Quantification_Results'!K14*'Quantification_Config'!$R$5))/SUM('Quantification_Config'!$R$5)),'Quantification_Config'!$U$2),""),"")</x:f>
        <x:v>50</x:v>
      </x:c>
      <x:c r="M14" t="n">
        <x:v>1</x:v>
      </x:c>
      <x:c r="N14" t="n">
        <x:v>5</x:v>
      </x:c>
      <x:c r="O14"/>
      <x:c r="P14" t="n">
        <x:f>IF(('Quantification_Results'!M14&lt;&gt;1),"",IF(('Quantification_Results'!O14=""),IF(ISNUMBER('Quantification_Results'!N14),IF(('Quantification_Results'!N14&lt;'Quantification_Config'!$S$9),"",IF(('Quantification_Results'!N14&gt;'Quantification_Config'!$T$9),"",'Quantification_Results'!N14)),""),IF(ISNUMBER('Quantification_Results'!O14),IF(('Quantification_Results'!O14&lt;'Quantification_Config'!$S$9),"",IF(('Quantification_Results'!O14&gt;'Quantification_Config'!$T$9),"",'Quantification_Results'!O14)),"")))</x:f>
        <x:v>5</x:v>
      </x:c>
      <x:c r="Q14" t="n">
        <x:f>IF(ISNUMBER('Quantification_Results'!P14),IFERROR(ROUND(((('Quantification_Results'!P14-'Quantification_Config'!$S$9)/('Quantification_Config'!$T$9-'Quantification_Config'!$S$9))*100),'Quantification_Config'!$U$2),""),"")</x:f>
        <x:v>50</x:v>
      </x:c>
      <x:c r="R14" t="inlineStr">
        <x:is>
          <x:t xml:space="preserve">SYSTEM-TEST-ONLY-NO-NETWORK-NOT-AN-EDUCATIONAL-EVALUATION</x:t>
        </x:is>
      </x:c>
      <x:c r="S14" t="inlineStr">
        <x:is>
          <x:t xml:space="preserve"/>
        </x:is>
      </x:c>
      <x:c r="T14" t="inlineStr">
        <x:is>
          <x:t xml:space="preserve">NONE</x:t>
        </x:is>
      </x:c>
      <x:c r="U14" t="inlineStr">
        <x:is>
          <x:t xml:space="preserve"/>
        </x:is>
      </x:c>
      <x:c r="V14" t="inlineStr">
        <x:is>
          <x:t xml:space="preserve">SUCCESS</x:t>
        </x:is>
      </x:c>
      <x:c r="W14" t="n">
        <x:f>IF((COUNT('Quantification_Results'!Q14)=1),IFERROR(ROUND((SUM(('Quantification_Results'!Q14*'Quantification_Config'!$R$9))/SUM('Quantification_Config'!$R$9)),'Quantification_Config'!$U$2),""),"")</x:f>
        <x:v>50</x:v>
      </x:c>
      <x:c r="X14" t="n">
        <x:f>IF((COUNT('Quantification_Results'!W14)=1),IFERROR(ROUND((SUM(('Quantification_Results'!W14*'Quantification_Config'!$R$8))/SUM('Quantification_Config'!$R$8)),'Quantification_Config'!$U$2),""),"")</x:f>
        <x:v>50</x:v>
      </x:c>
      <x:c r="Y14" t="n">
        <x:v>1</x:v>
      </x:c>
      <x:c r="Z14" t="n">
        <x:v>5</x:v>
      </x:c>
      <x:c r="AA14"/>
      <x:c r="AB14" t="n">
        <x:f>IF(('Quantification_Results'!Y14&lt;&gt;1),"",IF(('Quantification_Results'!AA14=""),IF(ISNUMBER('Quantification_Results'!Z14),IF(('Quantification_Results'!Z14&lt;'Quantification_Config'!$S$12),"",IF(('Quantification_Results'!Z14&gt;'Quantification_Config'!$T$12),"",'Quantification_Results'!Z14)),""),IF(ISNUMBER('Quantification_Results'!AA14),IF(('Quantification_Results'!AA14&lt;'Quantification_Config'!$S$12),"",IF(('Quantification_Results'!AA14&gt;'Quantification_Config'!$T$12),"",'Quantification_Results'!AA14)),"")))</x:f>
        <x:v>5</x:v>
      </x:c>
      <x:c r="AC14" t="n">
        <x:f>IF(ISNUMBER('Quantification_Results'!AB14),IFERROR(ROUND(((('Quantification_Results'!AB14-'Quantification_Config'!$S$12)/('Quantification_Config'!$T$12-'Quantification_Config'!$S$12))*100),'Quantification_Config'!$U$2),""),"")</x:f>
        <x:v>50</x:v>
      </x:c>
      <x:c r="AD14" t="inlineStr">
        <x:is>
          <x:t xml:space="preserve">SYSTEM-TEST-ONLY-NO-NETWORK-NOT-AN-EDUCATIONAL-EVALUATION</x:t>
        </x:is>
      </x:c>
      <x:c r="AE14" t="inlineStr">
        <x:is>
          <x:t xml:space="preserve"/>
        </x:is>
      </x:c>
      <x:c r="AF14" t="inlineStr">
        <x:is>
          <x:t xml:space="preserve">NONE</x:t>
        </x:is>
      </x:c>
      <x:c r="AG14" t="inlineStr">
        <x:is>
          <x:t xml:space="preserve"/>
        </x:is>
      </x:c>
      <x:c r="AH14" t="inlineStr">
        <x:is>
          <x:t xml:space="preserve">SUCCESS</x:t>
        </x:is>
      </x:c>
      <x:c r="AI14" t="n">
        <x:f>IF((COUNT('Quantification_Results'!AC14)=1),IFERROR(ROUND((SUM(('Quantification_Results'!AC14*'Quantification_Config'!$R$12))/SUM('Quantification_Config'!$R$12)),'Quantification_Config'!$U$2),""),"")</x:f>
        <x:v>50</x:v>
      </x:c>
      <x:c r="AJ14" t="n">
        <x:f>IF((COUNT('Quantification_Results'!AI14)=1),IFERROR(ROUND((SUM(('Quantification_Results'!AI14*'Quantification_Config'!$R$11))/SUM('Quantification_Config'!$R$11)),'Quantification_Config'!$U$2),""),"")</x:f>
        <x:v>50</x:v>
      </x:c>
      <x:c r="AK14" t="n">
        <x:v>1</x:v>
      </x:c>
      <x:c r="AL14" t="n">
        <x:v>5</x:v>
      </x:c>
      <x:c r="AM14"/>
      <x:c r="AN14" t="n">
        <x:f>IF(('Quantification_Results'!AK14&lt;&gt;1),"",IF(('Quantification_Results'!AM14=""),IF(ISNUMBER('Quantification_Results'!AL14),IF(('Quantification_Results'!AL14&lt;'Quantification_Config'!$S$15),"",IF(('Quantification_Results'!AL14&gt;'Quantification_Config'!$T$15),"",'Quantification_Results'!AL14)),""),IF(ISNUMBER('Quantification_Results'!AM14),IF(('Quantification_Results'!AM14&lt;'Quantification_Config'!$S$15),"",IF(('Quantification_Results'!AM14&gt;'Quantification_Config'!$T$15),"",'Quantification_Results'!AM14)),"")))</x:f>
        <x:v>5</x:v>
      </x:c>
      <x:c r="AO14" t="n">
        <x:f>IF(ISNUMBER('Quantification_Results'!AN14),IFERROR(ROUND(((('Quantification_Results'!AN14-'Quantification_Config'!$S$15)/('Quantification_Config'!$T$15-'Quantification_Config'!$S$15))*100),'Quantification_Config'!$U$2),""),"")</x:f>
        <x:v>50</x:v>
      </x:c>
      <x:c r="AP14" t="inlineStr">
        <x:is>
          <x:t xml:space="preserve">SYSTEM-TEST-ONLY-NO-NETWORK-NOT-AN-EDUCATIONAL-EVALUATION</x:t>
        </x:is>
      </x:c>
      <x:c r="AQ14" t="inlineStr">
        <x:is>
          <x:t xml:space="preserve"/>
        </x:is>
      </x:c>
      <x:c r="AR14" t="inlineStr">
        <x:is>
          <x:t xml:space="preserve">NONE</x:t>
        </x:is>
      </x:c>
      <x:c r="AS14" t="inlineStr">
        <x:is>
          <x:t xml:space="preserve"/>
        </x:is>
      </x:c>
      <x:c r="AT14" t="inlineStr">
        <x:is>
          <x:t xml:space="preserve">SUCCESS</x:t>
        </x:is>
      </x:c>
      <x:c r="AU14" t="n">
        <x:f>IF((COUNT('Quantification_Results'!AO14)=1),IFERROR(ROUND((SUM(('Quantification_Results'!AO14*'Quantification_Config'!$R$15))/SUM('Quantification_Config'!$R$15)),'Quantification_Config'!$U$2),""),"")</x:f>
        <x:v>50</x:v>
      </x:c>
      <x:c r="AV14" t="n">
        <x:f>IF((COUNT('Quantification_Results'!AU14)=1),IFERROR(ROUND((SUM(('Quantification_Results'!AU14*'Quantification_Config'!$R$14))/SUM('Quantification_Config'!$R$14)),'Quantification_Config'!$U$2),""),"")</x:f>
        <x:v>50</x:v>
      </x:c>
      <x:c r="AW14" t="n">
        <x:v>1</x:v>
      </x:c>
      <x:c r="AX14" t="n">
        <x:v>5</x:v>
      </x:c>
      <x:c r="AY14"/>
      <x:c r="AZ14" t="n">
        <x:f>IF(('Quantification_Results'!AW14&lt;&gt;1),"",IF(('Quantification_Results'!AY14=""),IF(ISNUMBER('Quantification_Results'!AX14),IF(('Quantification_Results'!AX14&lt;'Quantification_Config'!$S$19),"",IF(('Quantification_Results'!AX14&gt;'Quantification_Config'!$T$19),"",'Quantification_Results'!AX14)),""),IF(ISNUMBER('Quantification_Results'!AY14),IF(('Quantification_Results'!AY14&lt;'Quantification_Config'!$S$19),"",IF(('Quantification_Results'!AY14&gt;'Quantification_Config'!$T$19),"",'Quantification_Results'!AY14)),"")))</x:f>
        <x:v>5</x:v>
      </x:c>
      <x:c r="BA14" t="n">
        <x:f>IF(ISNUMBER('Quantification_Results'!AZ14),IFERROR(ROUND(((('Quantification_Results'!AZ14-'Quantification_Config'!$S$19)/('Quantification_Config'!$T$19-'Quantification_Config'!$S$19))*100),'Quantification_Config'!$U$2),""),"")</x:f>
        <x:v>50</x:v>
      </x:c>
      <x:c r="BB14" t="inlineStr">
        <x:is>
          <x:t xml:space="preserve">SYSTEM-TEST-ONLY-NO-NETWORK-NOT-AN-EDUCATIONAL-EVALUATION</x:t>
        </x:is>
      </x:c>
      <x:c r="BC14" t="inlineStr">
        <x:is>
          <x:t xml:space="preserve"/>
        </x:is>
      </x:c>
      <x:c r="BD14" t="inlineStr">
        <x:is>
          <x:t xml:space="preserve">NONE</x:t>
        </x:is>
      </x:c>
      <x:c r="BE14" t="inlineStr">
        <x:is>
          <x:t xml:space="preserve"/>
        </x:is>
      </x:c>
      <x:c r="BF14" t="inlineStr">
        <x:is>
          <x:t xml:space="preserve">SUCCESS</x:t>
        </x:is>
      </x:c>
      <x:c r="BG14" t="n">
        <x:f>IF((COUNT('Quantification_Results'!BA14)=1),IFERROR(ROUND((SUM(('Quantification_Results'!BA14*'Quantification_Config'!$R$19))/SUM('Quantification_Config'!$R$19)),'Quantification_Config'!$U$2),""),"")</x:f>
        <x:v>50</x:v>
      </x:c>
      <x:c r="BH14" t="n">
        <x:f>IF((COUNT('Quantification_Results'!BG14)=1),IFERROR(ROUND((SUM(('Quantification_Results'!BG14*'Quantification_Config'!$R$18))/SUM('Quantification_Config'!$R$18)),'Quantification_Config'!$U$2),""),"")</x:f>
        <x:v>50</x:v>
      </x:c>
      <x:c r="BI14" t="n">
        <x:f>IF((COUNT('Quantification_Results'!L14,'Quantification_Results'!X14,'Quantification_Results'!AJ14,'Quantification_Results'!AV14,'Quantification_Results'!BH14)=5),IFERROR(ROUND((SUM(('Quantification_Results'!L14*'Quantification_Config'!$R$4),('Quantification_Results'!X14*'Quantification_Config'!$R$7),('Quantification_Results'!AJ14*'Quantification_Config'!$R$10),('Quantification_Results'!AV14*'Quantification_Config'!$R$13),('Quantification_Results'!BH14*'Quantification_Config'!$R$16))/SUM('Quantification_Config'!$R$4,'Quantification_Config'!$R$7,'Quantification_Config'!$R$10,'Quantification_Config'!$R$13,'Quantification_Config'!$R$16)),'Quantification_Config'!$U$2),""),"")</x:f>
        <x:v>50</x:v>
      </x:c>
    </x:row>
    <x:row r="15">
      <x:c r="A15" t="n">
        <x:v>1</x:v>
      </x:c>
      <x:c r="B15" t="n">
        <x:v>5</x:v>
      </x:c>
      <x:c r="C15"/>
      <x:c r="D15" t="n">
        <x:f>IF(('Quantification_Results'!A15&lt;&gt;1),"",IF(('Quantification_Results'!C15=""),IF(ISNUMBER('Quantification_Results'!B15),IF(('Quantification_Results'!B15&lt;'Quantification_Config'!$S$6),"",IF(('Quantification_Results'!B15&gt;'Quantification_Config'!$T$6),"",'Quantification_Results'!B15)),""),IF(ISNUMBER('Quantification_Results'!C15),IF(('Quantification_Results'!C15&lt;'Quantification_Config'!$S$6),"",IF(('Quantification_Results'!C15&gt;'Quantification_Config'!$T$6),"",'Quantification_Results'!C15)),"")))</x:f>
        <x:v>5</x:v>
      </x:c>
      <x:c r="E15" t="n">
        <x:f>IF(ISNUMBER('Quantification_Results'!D15),IFERROR(ROUND(((('Quantification_Results'!D15-'Quantification_Config'!$S$6)/('Quantification_Config'!$T$6-'Quantification_Config'!$S$6))*100),'Quantification_Config'!$U$2),""),"")</x:f>
        <x:v>50</x:v>
      </x:c>
      <x:c r="F15" t="inlineStr">
        <x:is>
          <x:t xml:space="preserve">SYSTEM-TEST-ONLY-NO-NETWORK-NOT-AN-EDUCATIONAL-EVALUATION</x:t>
        </x:is>
      </x:c>
      <x:c r="G15" t="inlineStr">
        <x:is>
          <x:t xml:space="preserve"/>
        </x:is>
      </x:c>
      <x:c r="H15" t="inlineStr">
        <x:is>
          <x:t xml:space="preserve">NONE</x:t>
        </x:is>
      </x:c>
      <x:c r="I15" t="inlineStr">
        <x:is>
          <x:t xml:space="preserve"/>
        </x:is>
      </x:c>
      <x:c r="J15" t="inlineStr">
        <x:is>
          <x:t xml:space="preserve">SUCCESS</x:t>
        </x:is>
      </x:c>
      <x:c r="K15" t="n">
        <x:f>IF((COUNT('Quantification_Results'!E15)=1),IFERROR(ROUND((SUM(('Quantification_Results'!E15*'Quantification_Config'!$R$6))/SUM('Quantification_Config'!$R$6)),'Quantification_Config'!$U$2),""),"")</x:f>
        <x:v>50</x:v>
      </x:c>
      <x:c r="L15" t="n">
        <x:f>IF((COUNT('Quantification_Results'!K15)=1),IFERROR(ROUND((SUM(('Quantification_Results'!K15*'Quantification_Config'!$R$5))/SUM('Quantification_Config'!$R$5)),'Quantification_Config'!$U$2),""),"")</x:f>
        <x:v>50</x:v>
      </x:c>
      <x:c r="M15" t="n">
        <x:v>1</x:v>
      </x:c>
      <x:c r="N15" t="n">
        <x:v>5</x:v>
      </x:c>
      <x:c r="O15"/>
      <x:c r="P15" t="n">
        <x:f>IF(('Quantification_Results'!M15&lt;&gt;1),"",IF(('Quantification_Results'!O15=""),IF(ISNUMBER('Quantification_Results'!N15),IF(('Quantification_Results'!N15&lt;'Quantification_Config'!$S$9),"",IF(('Quantification_Results'!N15&gt;'Quantification_Config'!$T$9),"",'Quantification_Results'!N15)),""),IF(ISNUMBER('Quantification_Results'!O15),IF(('Quantification_Results'!O15&lt;'Quantification_Config'!$S$9),"",IF(('Quantification_Results'!O15&gt;'Quantification_Config'!$T$9),"",'Quantification_Results'!O15)),"")))</x:f>
        <x:v>5</x:v>
      </x:c>
      <x:c r="Q15" t="n">
        <x:f>IF(ISNUMBER('Quantification_Results'!P15),IFERROR(ROUND(((('Quantification_Results'!P15-'Quantification_Config'!$S$9)/('Quantification_Config'!$T$9-'Quantification_Config'!$S$9))*100),'Quantification_Config'!$U$2),""),"")</x:f>
        <x:v>50</x:v>
      </x:c>
      <x:c r="R15" t="inlineStr">
        <x:is>
          <x:t xml:space="preserve">SYSTEM-TEST-ONLY-NO-NETWORK-NOT-AN-EDUCATIONAL-EVALUATION</x:t>
        </x:is>
      </x:c>
      <x:c r="S15" t="inlineStr">
        <x:is>
          <x:t xml:space="preserve"/>
        </x:is>
      </x:c>
      <x:c r="T15" t="inlineStr">
        <x:is>
          <x:t xml:space="preserve">NONE</x:t>
        </x:is>
      </x:c>
      <x:c r="U15" t="inlineStr">
        <x:is>
          <x:t xml:space="preserve"/>
        </x:is>
      </x:c>
      <x:c r="V15" t="inlineStr">
        <x:is>
          <x:t xml:space="preserve">SUCCESS</x:t>
        </x:is>
      </x:c>
      <x:c r="W15" t="n">
        <x:f>IF((COUNT('Quantification_Results'!Q15)=1),IFERROR(ROUND((SUM(('Quantification_Results'!Q15*'Quantification_Config'!$R$9))/SUM('Quantification_Config'!$R$9)),'Quantification_Config'!$U$2),""),"")</x:f>
        <x:v>50</x:v>
      </x:c>
      <x:c r="X15" t="n">
        <x:f>IF((COUNT('Quantification_Results'!W15)=1),IFERROR(ROUND((SUM(('Quantification_Results'!W15*'Quantification_Config'!$R$8))/SUM('Quantification_Config'!$R$8)),'Quantification_Config'!$U$2),""),"")</x:f>
        <x:v>50</x:v>
      </x:c>
      <x:c r="Y15" t="n">
        <x:v>0</x:v>
      </x:c>
      <x:c r="Z15"/>
      <x:c r="AA15"/>
      <x:c r="AB15">
        <x:f>IF(('Quantification_Results'!Y15&lt;&gt;1),"",IF(('Quantification_Results'!AA15=""),IF(ISNUMBER('Quantification_Results'!Z15),IF(('Quantification_Results'!Z15&lt;'Quantification_Config'!$S$12),"",IF(('Quantification_Results'!Z15&gt;'Quantification_Config'!$T$12),"",'Quantification_Results'!Z15)),""),IF(ISNUMBER('Quantification_Results'!AA15),IF(('Quantification_Results'!AA15&lt;'Quantification_Config'!$S$12),"",IF(('Quantification_Results'!AA15&gt;'Quantification_Config'!$T$12),"",'Quantification_Results'!AA15)),"")))</x:f>
      </x:c>
      <x:c r="AC15">
        <x:f>IF(ISNUMBER('Quantification_Results'!AB15),IFERROR(ROUND(((('Quantification_Results'!AB15-'Quantification_Config'!$S$12)/('Quantification_Config'!$T$12-'Quantification_Config'!$S$12))*100),'Quantification_Config'!$U$2),""),"")</x:f>
      </x:c>
      <x:c r="AD15" t="inlineStr">
        <x:is>
          <x:t xml:space="preserve"/>
        </x:is>
      </x:c>
      <x:c r="AE15" t="inlineStr">
        <x:is>
          <x:t xml:space="preserve"/>
        </x:is>
      </x:c>
      <x:c r="AF15" t="inlineStr">
        <x:is>
          <x:t xml:space="preserve"/>
        </x:is>
      </x:c>
      <x:c r="AG15" t="inlineStr">
        <x:is>
          <x:t xml:space="preserve"/>
        </x:is>
      </x:c>
      <x:c r="AH15" t="inlineStr">
        <x:is>
          <x:t xml:space="preserve">EMPTY</x:t>
        </x:is>
      </x:c>
      <x:c r="AI15">
        <x:f>IF((COUNT('Quantification_Results'!AC15)=1),IFERROR(ROUND((SUM(('Quantification_Results'!AC15*'Quantification_Config'!$R$12))/SUM('Quantification_Config'!$R$12)),'Quantification_Config'!$U$2),""),"")</x:f>
      </x:c>
      <x:c r="AJ15">
        <x:f>IF((COUNT('Quantification_Results'!AI15)=1),IFERROR(ROUND((SUM(('Quantification_Results'!AI15*'Quantification_Config'!$R$11))/SUM('Quantification_Config'!$R$11)),'Quantification_Config'!$U$2),""),"")</x:f>
      </x:c>
      <x:c r="AK15" t="n">
        <x:v>1</x:v>
      </x:c>
      <x:c r="AL15" t="n">
        <x:v>5</x:v>
      </x:c>
      <x:c r="AM15"/>
      <x:c r="AN15" t="n">
        <x:f>IF(('Quantification_Results'!AK15&lt;&gt;1),"",IF(('Quantification_Results'!AM15=""),IF(ISNUMBER('Quantification_Results'!AL15),IF(('Quantification_Results'!AL15&lt;'Quantification_Config'!$S$15),"",IF(('Quantification_Results'!AL15&gt;'Quantification_Config'!$T$15),"",'Quantification_Results'!AL15)),""),IF(ISNUMBER('Quantification_Results'!AM15),IF(('Quantification_Results'!AM15&lt;'Quantification_Config'!$S$15),"",IF(('Quantification_Results'!AM15&gt;'Quantification_Config'!$T$15),"",'Quantification_Results'!AM15)),"")))</x:f>
        <x:v>5</x:v>
      </x:c>
      <x:c r="AO15" t="n">
        <x:f>IF(ISNUMBER('Quantification_Results'!AN15),IFERROR(ROUND(((('Quantification_Results'!AN15-'Quantification_Config'!$S$15)/('Quantification_Config'!$T$15-'Quantification_Config'!$S$15))*100),'Quantification_Config'!$U$2),""),"")</x:f>
        <x:v>50</x:v>
      </x:c>
      <x:c r="AP15" t="inlineStr">
        <x:is>
          <x:t xml:space="preserve">SYSTEM-TEST-ONLY-NO-NETWORK-NOT-AN-EDUCATIONAL-EVALUATION</x:t>
        </x:is>
      </x:c>
      <x:c r="AQ15" t="inlineStr">
        <x:is>
          <x:t xml:space="preserve"/>
        </x:is>
      </x:c>
      <x:c r="AR15" t="inlineStr">
        <x:is>
          <x:t xml:space="preserve">NONE</x:t>
        </x:is>
      </x:c>
      <x:c r="AS15" t="inlineStr">
        <x:is>
          <x:t xml:space="preserve"/>
        </x:is>
      </x:c>
      <x:c r="AT15" t="inlineStr">
        <x:is>
          <x:t xml:space="preserve">SUCCESS</x:t>
        </x:is>
      </x:c>
      <x:c r="AU15" t="n">
        <x:f>IF((COUNT('Quantification_Results'!AO15)=1),IFERROR(ROUND((SUM(('Quantification_Results'!AO15*'Quantification_Config'!$R$15))/SUM('Quantification_Config'!$R$15)),'Quantification_Config'!$U$2),""),"")</x:f>
        <x:v>50</x:v>
      </x:c>
      <x:c r="AV15" t="n">
        <x:f>IF((COUNT('Quantification_Results'!AU15)=1),IFERROR(ROUND((SUM(('Quantification_Results'!AU15*'Quantification_Config'!$R$14))/SUM('Quantification_Config'!$R$14)),'Quantification_Config'!$U$2),""),"")</x:f>
        <x:v>50</x:v>
      </x:c>
      <x:c r="AW15" t="n">
        <x:v>1</x:v>
      </x:c>
      <x:c r="AX15" t="n">
        <x:v>5</x:v>
      </x:c>
      <x:c r="AY15"/>
      <x:c r="AZ15" t="n">
        <x:f>IF(('Quantification_Results'!AW15&lt;&gt;1),"",IF(('Quantification_Results'!AY15=""),IF(ISNUMBER('Quantification_Results'!AX15),IF(('Quantification_Results'!AX15&lt;'Quantification_Config'!$S$19),"",IF(('Quantification_Results'!AX15&gt;'Quantification_Config'!$T$19),"",'Quantification_Results'!AX15)),""),IF(ISNUMBER('Quantification_Results'!AY15),IF(('Quantification_Results'!AY15&lt;'Quantification_Config'!$S$19),"",IF(('Quantification_Results'!AY15&gt;'Quantification_Config'!$T$19),"",'Quantification_Results'!AY15)),"")))</x:f>
        <x:v>5</x:v>
      </x:c>
      <x:c r="BA15" t="n">
        <x:f>IF(ISNUMBER('Quantification_Results'!AZ15),IFERROR(ROUND(((('Quantification_Results'!AZ15-'Quantification_Config'!$S$19)/('Quantification_Config'!$T$19-'Quantification_Config'!$S$19))*100),'Quantification_Config'!$U$2),""),"")</x:f>
        <x:v>50</x:v>
      </x:c>
      <x:c r="BB15" t="inlineStr">
        <x:is>
          <x:t xml:space="preserve">SYSTEM-TEST-ONLY-NO-NETWORK-NOT-AN-EDUCATIONAL-EVALUATION</x:t>
        </x:is>
      </x:c>
      <x:c r="BC15" t="inlineStr">
        <x:is>
          <x:t xml:space="preserve"/>
        </x:is>
      </x:c>
      <x:c r="BD15" t="inlineStr">
        <x:is>
          <x:t xml:space="preserve">NONE</x:t>
        </x:is>
      </x:c>
      <x:c r="BE15" t="inlineStr">
        <x:is>
          <x:t xml:space="preserve"/>
        </x:is>
      </x:c>
      <x:c r="BF15" t="inlineStr">
        <x:is>
          <x:t xml:space="preserve">SUCCESS</x:t>
        </x:is>
      </x:c>
      <x:c r="BG15" t="n">
        <x:f>IF((COUNT('Quantification_Results'!BA15)=1),IFERROR(ROUND((SUM(('Quantification_Results'!BA15*'Quantification_Config'!$R$19))/SUM('Quantification_Config'!$R$19)),'Quantification_Config'!$U$2),""),"")</x:f>
        <x:v>50</x:v>
      </x:c>
      <x:c r="BH15" t="n">
        <x:f>IF((COUNT('Quantification_Results'!BG15)=1),IFERROR(ROUND((SUM(('Quantification_Results'!BG15*'Quantification_Config'!$R$18))/SUM('Quantification_Config'!$R$18)),'Quantification_Config'!$U$2),""),"")</x:f>
        <x:v>50</x:v>
      </x:c>
      <x:c r="BI15">
        <x:f>IF((COUNT('Quantification_Results'!L15,'Quantification_Results'!X15,'Quantification_Results'!AJ15,'Quantification_Results'!AV15,'Quantification_Results'!BH15)=5),IFERROR(ROUND((SUM(('Quantification_Results'!L15*'Quantification_Config'!$R$4),('Quantification_Results'!X15*'Quantification_Config'!$R$7),('Quantification_Results'!AJ15*'Quantification_Config'!$R$10),('Quantification_Results'!AV15*'Quantification_Config'!$R$13),('Quantification_Results'!BH15*'Quantification_Config'!$R$16))/SUM('Quantification_Config'!$R$4,'Quantification_Config'!$R$7,'Quantification_Config'!$R$10,'Quantification_Config'!$R$13,'Quantification_Config'!$R$16)),'Quantification_Config'!$U$2),""),"")</x:f>
      </x:c>
    </x:row>
    <x:row r="16">
      <x:c r="A16" t="n">
        <x:v>1</x:v>
      </x:c>
      <x:c r="B16" t="n">
        <x:v>5</x:v>
      </x:c>
      <x:c r="C16"/>
      <x:c r="D16" t="n">
        <x:f>IF(('Quantification_Results'!A16&lt;&gt;1),"",IF(('Quantification_Results'!C16=""),IF(ISNUMBER('Quantification_Results'!B16),IF(('Quantification_Results'!B16&lt;'Quantification_Config'!$S$6),"",IF(('Quantification_Results'!B16&gt;'Quantification_Config'!$T$6),"",'Quantification_Results'!B16)),""),IF(ISNUMBER('Quantification_Results'!C16),IF(('Quantification_Results'!C16&lt;'Quantification_Config'!$S$6),"",IF(('Quantification_Results'!C16&gt;'Quantification_Config'!$T$6),"",'Quantification_Results'!C16)),"")))</x:f>
        <x:v>5</x:v>
      </x:c>
      <x:c r="E16" t="n">
        <x:f>IF(ISNUMBER('Quantification_Results'!D16),IFERROR(ROUND(((('Quantification_Results'!D16-'Quantification_Config'!$S$6)/('Quantification_Config'!$T$6-'Quantification_Config'!$S$6))*100),'Quantification_Config'!$U$2),""),"")</x:f>
        <x:v>50</x:v>
      </x:c>
      <x:c r="F16" t="inlineStr">
        <x:is>
          <x:t xml:space="preserve">SYSTEM-TEST-ONLY-NO-NETWORK-NOT-AN-EDUCATIONAL-EVALUATION</x:t>
        </x:is>
      </x:c>
      <x:c r="G16" t="inlineStr">
        <x:is>
          <x:t xml:space="preserve"/>
        </x:is>
      </x:c>
      <x:c r="H16" t="inlineStr">
        <x:is>
          <x:t xml:space="preserve">NONE</x:t>
        </x:is>
      </x:c>
      <x:c r="I16" t="inlineStr">
        <x:is>
          <x:t xml:space="preserve"/>
        </x:is>
      </x:c>
      <x:c r="J16" t="inlineStr">
        <x:is>
          <x:t xml:space="preserve">SUCCESS</x:t>
        </x:is>
      </x:c>
      <x:c r="K16" t="n">
        <x:f>IF((COUNT('Quantification_Results'!E16)=1),IFERROR(ROUND((SUM(('Quantification_Results'!E16*'Quantification_Config'!$R$6))/SUM('Quantification_Config'!$R$6)),'Quantification_Config'!$U$2),""),"")</x:f>
        <x:v>50</x:v>
      </x:c>
      <x:c r="L16" t="n">
        <x:f>IF((COUNT('Quantification_Results'!K16)=1),IFERROR(ROUND((SUM(('Quantification_Results'!K16*'Quantification_Config'!$R$5))/SUM('Quantification_Config'!$R$5)),'Quantification_Config'!$U$2),""),"")</x:f>
        <x:v>50</x:v>
      </x:c>
      <x:c r="M16" t="n">
        <x:v>1</x:v>
      </x:c>
      <x:c r="N16" t="n">
        <x:v>5</x:v>
      </x:c>
      <x:c r="O16"/>
      <x:c r="P16" t="n">
        <x:f>IF(('Quantification_Results'!M16&lt;&gt;1),"",IF(('Quantification_Results'!O16=""),IF(ISNUMBER('Quantification_Results'!N16),IF(('Quantification_Results'!N16&lt;'Quantification_Config'!$S$9),"",IF(('Quantification_Results'!N16&gt;'Quantification_Config'!$T$9),"",'Quantification_Results'!N16)),""),IF(ISNUMBER('Quantification_Results'!O16),IF(('Quantification_Results'!O16&lt;'Quantification_Config'!$S$9),"",IF(('Quantification_Results'!O16&gt;'Quantification_Config'!$T$9),"",'Quantification_Results'!O16)),"")))</x:f>
        <x:v>5</x:v>
      </x:c>
      <x:c r="Q16" t="n">
        <x:f>IF(ISNUMBER('Quantification_Results'!P16),IFERROR(ROUND(((('Quantification_Results'!P16-'Quantification_Config'!$S$9)/('Quantification_Config'!$T$9-'Quantification_Config'!$S$9))*100),'Quantification_Config'!$U$2),""),"")</x:f>
        <x:v>50</x:v>
      </x:c>
      <x:c r="R16" t="inlineStr">
        <x:is>
          <x:t xml:space="preserve">SYSTEM-TEST-ONLY-NO-NETWORK-NOT-AN-EDUCATIONAL-EVALUATION</x:t>
        </x:is>
      </x:c>
      <x:c r="S16" t="inlineStr">
        <x:is>
          <x:t xml:space="preserve"/>
        </x:is>
      </x:c>
      <x:c r="T16" t="inlineStr">
        <x:is>
          <x:t xml:space="preserve">NONE</x:t>
        </x:is>
      </x:c>
      <x:c r="U16" t="inlineStr">
        <x:is>
          <x:t xml:space="preserve"/>
        </x:is>
      </x:c>
      <x:c r="V16" t="inlineStr">
        <x:is>
          <x:t xml:space="preserve">SUCCESS</x:t>
        </x:is>
      </x:c>
      <x:c r="W16" t="n">
        <x:f>IF((COUNT('Quantification_Results'!Q16)=1),IFERROR(ROUND((SUM(('Quantification_Results'!Q16*'Quantification_Config'!$R$9))/SUM('Quantification_Config'!$R$9)),'Quantification_Config'!$U$2),""),"")</x:f>
        <x:v>50</x:v>
      </x:c>
      <x:c r="X16" t="n">
        <x:f>IF((COUNT('Quantification_Results'!W16)=1),IFERROR(ROUND((SUM(('Quantification_Results'!W16*'Quantification_Config'!$R$8))/SUM('Quantification_Config'!$R$8)),'Quantification_Config'!$U$2),""),"")</x:f>
        <x:v>50</x:v>
      </x:c>
      <x:c r="Y16" t="n">
        <x:v>1</x:v>
      </x:c>
      <x:c r="Z16" t="n">
        <x:v>5</x:v>
      </x:c>
      <x:c r="AA16"/>
      <x:c r="AB16" t="n">
        <x:f>IF(('Quantification_Results'!Y16&lt;&gt;1),"",IF(('Quantification_Results'!AA16=""),IF(ISNUMBER('Quantification_Results'!Z16),IF(('Quantification_Results'!Z16&lt;'Quantification_Config'!$S$12),"",IF(('Quantification_Results'!Z16&gt;'Quantification_Config'!$T$12),"",'Quantification_Results'!Z16)),""),IF(ISNUMBER('Quantification_Results'!AA16),IF(('Quantification_Results'!AA16&lt;'Quantification_Config'!$S$12),"",IF(('Quantification_Results'!AA16&gt;'Quantification_Config'!$T$12),"",'Quantification_Results'!AA16)),"")))</x:f>
        <x:v>5</x:v>
      </x:c>
      <x:c r="AC16" t="n">
        <x:f>IF(ISNUMBER('Quantification_Results'!AB16),IFERROR(ROUND(((('Quantification_Results'!AB16-'Quantification_Config'!$S$12)/('Quantification_Config'!$T$12-'Quantification_Config'!$S$12))*100),'Quantification_Config'!$U$2),""),"")</x:f>
        <x:v>50</x:v>
      </x:c>
      <x:c r="AD16" t="inlineStr">
        <x:is>
          <x:t xml:space="preserve">SYSTEM-TEST-ONLY-NO-NETWORK-NOT-AN-EDUCATIONAL-EVALUATION</x:t>
        </x:is>
      </x:c>
      <x:c r="AE16" t="inlineStr">
        <x:is>
          <x:t xml:space="preserve"/>
        </x:is>
      </x:c>
      <x:c r="AF16" t="inlineStr">
        <x:is>
          <x:t xml:space="preserve">NONE</x:t>
        </x:is>
      </x:c>
      <x:c r="AG16" t="inlineStr">
        <x:is>
          <x:t xml:space="preserve"/>
        </x:is>
      </x:c>
      <x:c r="AH16" t="inlineStr">
        <x:is>
          <x:t xml:space="preserve">SUCCESS</x:t>
        </x:is>
      </x:c>
      <x:c r="AI16" t="n">
        <x:f>IF((COUNT('Quantification_Results'!AC16)=1),IFERROR(ROUND((SUM(('Quantification_Results'!AC16*'Quantification_Config'!$R$12))/SUM('Quantification_Config'!$R$12)),'Quantification_Config'!$U$2),""),"")</x:f>
        <x:v>50</x:v>
      </x:c>
      <x:c r="AJ16" t="n">
        <x:f>IF((COUNT('Quantification_Results'!AI16)=1),IFERROR(ROUND((SUM(('Quantification_Results'!AI16*'Quantification_Config'!$R$11))/SUM('Quantification_Config'!$R$11)),'Quantification_Config'!$U$2),""),"")</x:f>
        <x:v>50</x:v>
      </x:c>
      <x:c r="AK16" t="n">
        <x:v>1</x:v>
      </x:c>
      <x:c r="AL16" t="n">
        <x:v>5</x:v>
      </x:c>
      <x:c r="AM16"/>
      <x:c r="AN16" t="n">
        <x:f>IF(('Quantification_Results'!AK16&lt;&gt;1),"",IF(('Quantification_Results'!AM16=""),IF(ISNUMBER('Quantification_Results'!AL16),IF(('Quantification_Results'!AL16&lt;'Quantification_Config'!$S$15),"",IF(('Quantification_Results'!AL16&gt;'Quantification_Config'!$T$15),"",'Quantification_Results'!AL16)),""),IF(ISNUMBER('Quantification_Results'!AM16),IF(('Quantification_Results'!AM16&lt;'Quantification_Config'!$S$15),"",IF(('Quantification_Results'!AM16&gt;'Quantification_Config'!$T$15),"",'Quantification_Results'!AM16)),"")))</x:f>
        <x:v>5</x:v>
      </x:c>
      <x:c r="AO16" t="n">
        <x:f>IF(ISNUMBER('Quantification_Results'!AN16),IFERROR(ROUND(((('Quantification_Results'!AN16-'Quantification_Config'!$S$15)/('Quantification_Config'!$T$15-'Quantification_Config'!$S$15))*100),'Quantification_Config'!$U$2),""),"")</x:f>
        <x:v>50</x:v>
      </x:c>
      <x:c r="AP16" t="inlineStr">
        <x:is>
          <x:t xml:space="preserve">SYSTEM-TEST-ONLY-NO-NETWORK-NOT-AN-EDUCATIONAL-EVALUATION</x:t>
        </x:is>
      </x:c>
      <x:c r="AQ16" t="inlineStr">
        <x:is>
          <x:t xml:space="preserve"/>
        </x:is>
      </x:c>
      <x:c r="AR16" t="inlineStr">
        <x:is>
          <x:t xml:space="preserve">NONE</x:t>
        </x:is>
      </x:c>
      <x:c r="AS16" t="inlineStr">
        <x:is>
          <x:t xml:space="preserve"/>
        </x:is>
      </x:c>
      <x:c r="AT16" t="inlineStr">
        <x:is>
          <x:t xml:space="preserve">SUCCESS</x:t>
        </x:is>
      </x:c>
      <x:c r="AU16" t="n">
        <x:f>IF((COUNT('Quantification_Results'!AO16)=1),IFERROR(ROUND((SUM(('Quantification_Results'!AO16*'Quantification_Config'!$R$15))/SUM('Quantification_Config'!$R$15)),'Quantification_Config'!$U$2),""),"")</x:f>
        <x:v>50</x:v>
      </x:c>
      <x:c r="AV16" t="n">
        <x:f>IF((COUNT('Quantification_Results'!AU16)=1),IFERROR(ROUND((SUM(('Quantification_Results'!AU16*'Quantification_Config'!$R$14))/SUM('Quantification_Config'!$R$14)),'Quantification_Config'!$U$2),""),"")</x:f>
        <x:v>50</x:v>
      </x:c>
      <x:c r="AW16" t="n">
        <x:v>1</x:v>
      </x:c>
      <x:c r="AX16" t="n">
        <x:v>5</x:v>
      </x:c>
      <x:c r="AY16"/>
      <x:c r="AZ16" t="n">
        <x:f>IF(('Quantification_Results'!AW16&lt;&gt;1),"",IF(('Quantification_Results'!AY16=""),IF(ISNUMBER('Quantification_Results'!AX16),IF(('Quantification_Results'!AX16&lt;'Quantification_Config'!$S$19),"",IF(('Quantification_Results'!AX16&gt;'Quantification_Config'!$T$19),"",'Quantification_Results'!AX16)),""),IF(ISNUMBER('Quantification_Results'!AY16),IF(('Quantification_Results'!AY16&lt;'Quantification_Config'!$S$19),"",IF(('Quantification_Results'!AY16&gt;'Quantification_Config'!$T$19),"",'Quantification_Results'!AY16)),"")))</x:f>
        <x:v>5</x:v>
      </x:c>
      <x:c r="BA16" t="n">
        <x:f>IF(ISNUMBER('Quantification_Results'!AZ16),IFERROR(ROUND(((('Quantification_Results'!AZ16-'Quantification_Config'!$S$19)/('Quantification_Config'!$T$19-'Quantification_Config'!$S$19))*100),'Quantification_Config'!$U$2),""),"")</x:f>
        <x:v>50</x:v>
      </x:c>
      <x:c r="BB16" t="inlineStr">
        <x:is>
          <x:t xml:space="preserve">SYSTEM-TEST-ONLY-NO-NETWORK-NOT-AN-EDUCATIONAL-EVALUATION</x:t>
        </x:is>
      </x:c>
      <x:c r="BC16" t="inlineStr">
        <x:is>
          <x:t xml:space="preserve"/>
        </x:is>
      </x:c>
      <x:c r="BD16" t="inlineStr">
        <x:is>
          <x:t xml:space="preserve">NONE</x:t>
        </x:is>
      </x:c>
      <x:c r="BE16" t="inlineStr">
        <x:is>
          <x:t xml:space="preserve"/>
        </x:is>
      </x:c>
      <x:c r="BF16" t="inlineStr">
        <x:is>
          <x:t xml:space="preserve">SUCCESS</x:t>
        </x:is>
      </x:c>
      <x:c r="BG16" t="n">
        <x:f>IF((COUNT('Quantification_Results'!BA16)=1),IFERROR(ROUND((SUM(('Quantification_Results'!BA16*'Quantification_Config'!$R$19))/SUM('Quantification_Config'!$R$19)),'Quantification_Config'!$U$2),""),"")</x:f>
        <x:v>50</x:v>
      </x:c>
      <x:c r="BH16" t="n">
        <x:f>IF((COUNT('Quantification_Results'!BG16)=1),IFERROR(ROUND((SUM(('Quantification_Results'!BG16*'Quantification_Config'!$R$18))/SUM('Quantification_Config'!$R$18)),'Quantification_Config'!$U$2),""),"")</x:f>
        <x:v>50</x:v>
      </x:c>
      <x:c r="BI16" t="n">
        <x:f>IF((COUNT('Quantification_Results'!L16,'Quantification_Results'!X16,'Quantification_Results'!AJ16,'Quantification_Results'!AV16,'Quantification_Results'!BH16)=5),IFERROR(ROUND((SUM(('Quantification_Results'!L16*'Quantification_Config'!$R$4),('Quantification_Results'!X16*'Quantification_Config'!$R$7),('Quantification_Results'!AJ16*'Quantification_Config'!$R$10),('Quantification_Results'!AV16*'Quantification_Config'!$R$13),('Quantification_Results'!BH16*'Quantification_Config'!$R$16))/SUM('Quantification_Config'!$R$4,'Quantification_Config'!$R$7,'Quantification_Config'!$R$10,'Quantification_Config'!$R$13,'Quantification_Config'!$R$16)),'Quantification_Config'!$U$2),""),"")</x:f>
        <x:v>50</x:v>
      </x:c>
    </x:row>
    <x:row r="17">
      <x:c r="A17" t="n">
        <x:v>1</x:v>
      </x:c>
      <x:c r="B17" t="n">
        <x:v>5</x:v>
      </x:c>
      <x:c r="C17"/>
      <x:c r="D17" t="n">
        <x:f>IF(('Quantification_Results'!A17&lt;&gt;1),"",IF(('Quantification_Results'!C17=""),IF(ISNUMBER('Quantification_Results'!B17),IF(('Quantification_Results'!B17&lt;'Quantification_Config'!$S$6),"",IF(('Quantification_Results'!B17&gt;'Quantification_Config'!$T$6),"",'Quantification_Results'!B17)),""),IF(ISNUMBER('Quantification_Results'!C17),IF(('Quantification_Results'!C17&lt;'Quantification_Config'!$S$6),"",IF(('Quantification_Results'!C17&gt;'Quantification_Config'!$T$6),"",'Quantification_Results'!C17)),"")))</x:f>
        <x:v>5</x:v>
      </x:c>
      <x:c r="E17" t="n">
        <x:f>IF(ISNUMBER('Quantification_Results'!D17),IFERROR(ROUND(((('Quantification_Results'!D17-'Quantification_Config'!$S$6)/('Quantification_Config'!$T$6-'Quantification_Config'!$S$6))*100),'Quantification_Config'!$U$2),""),"")</x:f>
        <x:v>50</x:v>
      </x:c>
      <x:c r="F17" t="inlineStr">
        <x:is>
          <x:t xml:space="preserve">SYSTEM-TEST-ONLY-NO-NETWORK-NOT-AN-EDUCATIONAL-EVALUATION</x:t>
        </x:is>
      </x:c>
      <x:c r="G17" t="inlineStr">
        <x:is>
          <x:t xml:space="preserve"/>
        </x:is>
      </x:c>
      <x:c r="H17" t="inlineStr">
        <x:is>
          <x:t xml:space="preserve">NONE</x:t>
        </x:is>
      </x:c>
      <x:c r="I17" t="inlineStr">
        <x:is>
          <x:t xml:space="preserve"/>
        </x:is>
      </x:c>
      <x:c r="J17" t="inlineStr">
        <x:is>
          <x:t xml:space="preserve">SUCCESS</x:t>
        </x:is>
      </x:c>
      <x:c r="K17" t="n">
        <x:f>IF((COUNT('Quantification_Results'!E17)=1),IFERROR(ROUND((SUM(('Quantification_Results'!E17*'Quantification_Config'!$R$6))/SUM('Quantification_Config'!$R$6)),'Quantification_Config'!$U$2),""),"")</x:f>
        <x:v>50</x:v>
      </x:c>
      <x:c r="L17" t="n">
        <x:f>IF((COUNT('Quantification_Results'!K17)=1),IFERROR(ROUND((SUM(('Quantification_Results'!K17*'Quantification_Config'!$R$5))/SUM('Quantification_Config'!$R$5)),'Quantification_Config'!$U$2),""),"")</x:f>
        <x:v>50</x:v>
      </x:c>
      <x:c r="M17" t="n">
        <x:v>1</x:v>
      </x:c>
      <x:c r="N17" t="n">
        <x:v>5</x:v>
      </x:c>
      <x:c r="O17"/>
      <x:c r="P17" t="n">
        <x:f>IF(('Quantification_Results'!M17&lt;&gt;1),"",IF(('Quantification_Results'!O17=""),IF(ISNUMBER('Quantification_Results'!N17),IF(('Quantification_Results'!N17&lt;'Quantification_Config'!$S$9),"",IF(('Quantification_Results'!N17&gt;'Quantification_Config'!$T$9),"",'Quantification_Results'!N17)),""),IF(ISNUMBER('Quantification_Results'!O17),IF(('Quantification_Results'!O17&lt;'Quantification_Config'!$S$9),"",IF(('Quantification_Results'!O17&gt;'Quantification_Config'!$T$9),"",'Quantification_Results'!O17)),"")))</x:f>
        <x:v>5</x:v>
      </x:c>
      <x:c r="Q17" t="n">
        <x:f>IF(ISNUMBER('Quantification_Results'!P17),IFERROR(ROUND(((('Quantification_Results'!P17-'Quantification_Config'!$S$9)/('Quantification_Config'!$T$9-'Quantification_Config'!$S$9))*100),'Quantification_Config'!$U$2),""),"")</x:f>
        <x:v>50</x:v>
      </x:c>
      <x:c r="R17" t="inlineStr">
        <x:is>
          <x:t xml:space="preserve">SYSTEM-TEST-ONLY-NO-NETWORK-NOT-AN-EDUCATIONAL-EVALUATION</x:t>
        </x:is>
      </x:c>
      <x:c r="S17" t="inlineStr">
        <x:is>
          <x:t xml:space="preserve"/>
        </x:is>
      </x:c>
      <x:c r="T17" t="inlineStr">
        <x:is>
          <x:t xml:space="preserve">NONE</x:t>
        </x:is>
      </x:c>
      <x:c r="U17" t="inlineStr">
        <x:is>
          <x:t xml:space="preserve"/>
        </x:is>
      </x:c>
      <x:c r="V17" t="inlineStr">
        <x:is>
          <x:t xml:space="preserve">SUCCESS</x:t>
        </x:is>
      </x:c>
      <x:c r="W17" t="n">
        <x:f>IF((COUNT('Quantification_Results'!Q17)=1),IFERROR(ROUND((SUM(('Quantification_Results'!Q17*'Quantification_Config'!$R$9))/SUM('Quantification_Config'!$R$9)),'Quantification_Config'!$U$2),""),"")</x:f>
        <x:v>50</x:v>
      </x:c>
      <x:c r="X17" t="n">
        <x:f>IF((COUNT('Quantification_Results'!W17)=1),IFERROR(ROUND((SUM(('Quantification_Results'!W17*'Quantification_Config'!$R$8))/SUM('Quantification_Config'!$R$8)),'Quantification_Config'!$U$2),""),"")</x:f>
        <x:v>50</x:v>
      </x:c>
      <x:c r="Y17" t="n">
        <x:v>0</x:v>
      </x:c>
      <x:c r="Z17"/>
      <x:c r="AA17"/>
      <x:c r="AB17">
        <x:f>IF(('Quantification_Results'!Y17&lt;&gt;1),"",IF(('Quantification_Results'!AA17=""),IF(ISNUMBER('Quantification_Results'!Z17),IF(('Quantification_Results'!Z17&lt;'Quantification_Config'!$S$12),"",IF(('Quantification_Results'!Z17&gt;'Quantification_Config'!$T$12),"",'Quantification_Results'!Z17)),""),IF(ISNUMBER('Quantification_Results'!AA17),IF(('Quantification_Results'!AA17&lt;'Quantification_Config'!$S$12),"",IF(('Quantification_Results'!AA17&gt;'Quantification_Config'!$T$12),"",'Quantification_Results'!AA17)),"")))</x:f>
      </x:c>
      <x:c r="AC17">
        <x:f>IF(ISNUMBER('Quantification_Results'!AB17),IFERROR(ROUND(((('Quantification_Results'!AB17-'Quantification_Config'!$S$12)/('Quantification_Config'!$T$12-'Quantification_Config'!$S$12))*100),'Quantification_Config'!$U$2),""),"")</x:f>
      </x:c>
      <x:c r="AD17" t="inlineStr">
        <x:is>
          <x:t xml:space="preserve"/>
        </x:is>
      </x:c>
      <x:c r="AE17" t="inlineStr">
        <x:is>
          <x:t xml:space="preserve"/>
        </x:is>
      </x:c>
      <x:c r="AF17" t="inlineStr">
        <x:is>
          <x:t xml:space="preserve"/>
        </x:is>
      </x:c>
      <x:c r="AG17" t="inlineStr">
        <x:is>
          <x:t xml:space="preserve"/>
        </x:is>
      </x:c>
      <x:c r="AH17" t="inlineStr">
        <x:is>
          <x:t xml:space="preserve">EMPTY</x:t>
        </x:is>
      </x:c>
      <x:c r="AI17">
        <x:f>IF((COUNT('Quantification_Results'!AC17)=1),IFERROR(ROUND((SUM(('Quantification_Results'!AC17*'Quantification_Config'!$R$12))/SUM('Quantification_Config'!$R$12)),'Quantification_Config'!$U$2),""),"")</x:f>
      </x:c>
      <x:c r="AJ17">
        <x:f>IF((COUNT('Quantification_Results'!AI17)=1),IFERROR(ROUND((SUM(('Quantification_Results'!AI17*'Quantification_Config'!$R$11))/SUM('Quantification_Config'!$R$11)),'Quantification_Config'!$U$2),""),"")</x:f>
      </x:c>
      <x:c r="AK17" t="n">
        <x:v>1</x:v>
      </x:c>
      <x:c r="AL17" t="n">
        <x:v>5</x:v>
      </x:c>
      <x:c r="AM17"/>
      <x:c r="AN17" t="n">
        <x:f>IF(('Quantification_Results'!AK17&lt;&gt;1),"",IF(('Quantification_Results'!AM17=""),IF(ISNUMBER('Quantification_Results'!AL17),IF(('Quantification_Results'!AL17&lt;'Quantification_Config'!$S$15),"",IF(('Quantification_Results'!AL17&gt;'Quantification_Config'!$T$15),"",'Quantification_Results'!AL17)),""),IF(ISNUMBER('Quantification_Results'!AM17),IF(('Quantification_Results'!AM17&lt;'Quantification_Config'!$S$15),"",IF(('Quantification_Results'!AM17&gt;'Quantification_Config'!$T$15),"",'Quantification_Results'!AM17)),"")))</x:f>
        <x:v>5</x:v>
      </x:c>
      <x:c r="AO17" t="n">
        <x:f>IF(ISNUMBER('Quantification_Results'!AN17),IFERROR(ROUND(((('Quantification_Results'!AN17-'Quantification_Config'!$S$15)/('Quantification_Config'!$T$15-'Quantification_Config'!$S$15))*100),'Quantification_Config'!$U$2),""),"")</x:f>
        <x:v>50</x:v>
      </x:c>
      <x:c r="AP17" t="inlineStr">
        <x:is>
          <x:t xml:space="preserve">SYSTEM-TEST-ONLY-NO-NETWORK-NOT-AN-EDUCATIONAL-EVALUATION</x:t>
        </x:is>
      </x:c>
      <x:c r="AQ17" t="inlineStr">
        <x:is>
          <x:t xml:space="preserve"/>
        </x:is>
      </x:c>
      <x:c r="AR17" t="inlineStr">
        <x:is>
          <x:t xml:space="preserve">NONE</x:t>
        </x:is>
      </x:c>
      <x:c r="AS17" t="inlineStr">
        <x:is>
          <x:t xml:space="preserve"/>
        </x:is>
      </x:c>
      <x:c r="AT17" t="inlineStr">
        <x:is>
          <x:t xml:space="preserve">SUCCESS</x:t>
        </x:is>
      </x:c>
      <x:c r="AU17" t="n">
        <x:f>IF((COUNT('Quantification_Results'!AO17)=1),IFERROR(ROUND((SUM(('Quantification_Results'!AO17*'Quantification_Config'!$R$15))/SUM('Quantification_Config'!$R$15)),'Quantification_Config'!$U$2),""),"")</x:f>
        <x:v>50</x:v>
      </x:c>
      <x:c r="AV17" t="n">
        <x:f>IF((COUNT('Quantification_Results'!AU17)=1),IFERROR(ROUND((SUM(('Quantification_Results'!AU17*'Quantification_Config'!$R$14))/SUM('Quantification_Config'!$R$14)),'Quantification_Config'!$U$2),""),"")</x:f>
        <x:v>50</x:v>
      </x:c>
      <x:c r="AW17" t="n">
        <x:v>1</x:v>
      </x:c>
      <x:c r="AX17" t="n">
        <x:v>5</x:v>
      </x:c>
      <x:c r="AY17"/>
      <x:c r="AZ17" t="n">
        <x:f>IF(('Quantification_Results'!AW17&lt;&gt;1),"",IF(('Quantification_Results'!AY17=""),IF(ISNUMBER('Quantification_Results'!AX17),IF(('Quantification_Results'!AX17&lt;'Quantification_Config'!$S$19),"",IF(('Quantification_Results'!AX17&gt;'Quantification_Config'!$T$19),"",'Quantification_Results'!AX17)),""),IF(ISNUMBER('Quantification_Results'!AY17),IF(('Quantification_Results'!AY17&lt;'Quantification_Config'!$S$19),"",IF(('Quantification_Results'!AY17&gt;'Quantification_Config'!$T$19),"",'Quantification_Results'!AY17)),"")))</x:f>
        <x:v>5</x:v>
      </x:c>
      <x:c r="BA17" t="n">
        <x:f>IF(ISNUMBER('Quantification_Results'!AZ17),IFERROR(ROUND(((('Quantification_Results'!AZ17-'Quantification_Config'!$S$19)/('Quantification_Config'!$T$19-'Quantification_Config'!$S$19))*100),'Quantification_Config'!$U$2),""),"")</x:f>
        <x:v>50</x:v>
      </x:c>
      <x:c r="BB17" t="inlineStr">
        <x:is>
          <x:t xml:space="preserve">SYSTEM-TEST-ONLY-NO-NETWORK-NOT-AN-EDUCATIONAL-EVALUATION</x:t>
        </x:is>
      </x:c>
      <x:c r="BC17" t="inlineStr">
        <x:is>
          <x:t xml:space="preserve"/>
        </x:is>
      </x:c>
      <x:c r="BD17" t="inlineStr">
        <x:is>
          <x:t xml:space="preserve">NONE</x:t>
        </x:is>
      </x:c>
      <x:c r="BE17" t="inlineStr">
        <x:is>
          <x:t xml:space="preserve"/>
        </x:is>
      </x:c>
      <x:c r="BF17" t="inlineStr">
        <x:is>
          <x:t xml:space="preserve">SUCCESS</x:t>
        </x:is>
      </x:c>
      <x:c r="BG17" t="n">
        <x:f>IF((COUNT('Quantification_Results'!BA17)=1),IFERROR(ROUND((SUM(('Quantification_Results'!BA17*'Quantification_Config'!$R$19))/SUM('Quantification_Config'!$R$19)),'Quantification_Config'!$U$2),""),"")</x:f>
        <x:v>50</x:v>
      </x:c>
      <x:c r="BH17" t="n">
        <x:f>IF((COUNT('Quantification_Results'!BG17)=1),IFERROR(ROUND((SUM(('Quantification_Results'!BG17*'Quantification_Config'!$R$18))/SUM('Quantification_Config'!$R$18)),'Quantification_Config'!$U$2),""),"")</x:f>
        <x:v>50</x:v>
      </x:c>
      <x:c r="BI17">
        <x:f>IF((COUNT('Quantification_Results'!L17,'Quantification_Results'!X17,'Quantification_Results'!AJ17,'Quantification_Results'!AV17,'Quantification_Results'!BH17)=5),IFERROR(ROUND((SUM(('Quantification_Results'!L17*'Quantification_Config'!$R$4),('Quantification_Results'!X17*'Quantification_Config'!$R$7),('Quantification_Results'!AJ17*'Quantification_Config'!$R$10),('Quantification_Results'!AV17*'Quantification_Config'!$R$13),('Quantification_Results'!BH17*'Quantification_Config'!$R$16))/SUM('Quantification_Config'!$R$4,'Quantification_Config'!$R$7,'Quantification_Config'!$R$10,'Quantification_Config'!$R$13,'Quantification_Config'!$R$16)),'Quantification_Config'!$U$2),""),"")</x:f>
      </x:c>
    </x:row>
    <x:row r="18">
      <x:c r="A18" t="n">
        <x:v>1</x:v>
      </x:c>
      <x:c r="B18" t="n">
        <x:v>5</x:v>
      </x:c>
      <x:c r="C18"/>
      <x:c r="D18" t="n">
        <x:f>IF(('Quantification_Results'!A18&lt;&gt;1),"",IF(('Quantification_Results'!C18=""),IF(ISNUMBER('Quantification_Results'!B18),IF(('Quantification_Results'!B18&lt;'Quantification_Config'!$S$6),"",IF(('Quantification_Results'!B18&gt;'Quantification_Config'!$T$6),"",'Quantification_Results'!B18)),""),IF(ISNUMBER('Quantification_Results'!C18),IF(('Quantification_Results'!C18&lt;'Quantification_Config'!$S$6),"",IF(('Quantification_Results'!C18&gt;'Quantification_Config'!$T$6),"",'Quantification_Results'!C18)),"")))</x:f>
        <x:v>5</x:v>
      </x:c>
      <x:c r="E18" t="n">
        <x:f>IF(ISNUMBER('Quantification_Results'!D18),IFERROR(ROUND(((('Quantification_Results'!D18-'Quantification_Config'!$S$6)/('Quantification_Config'!$T$6-'Quantification_Config'!$S$6))*100),'Quantification_Config'!$U$2),""),"")</x:f>
        <x:v>50</x:v>
      </x:c>
      <x:c r="F18" t="inlineStr">
        <x:is>
          <x:t xml:space="preserve">SYSTEM-TEST-ONLY-NO-NETWORK-NOT-AN-EDUCATIONAL-EVALUATION</x:t>
        </x:is>
      </x:c>
      <x:c r="G18" t="inlineStr">
        <x:is>
          <x:t xml:space="preserve"/>
        </x:is>
      </x:c>
      <x:c r="H18" t="inlineStr">
        <x:is>
          <x:t xml:space="preserve">NONE</x:t>
        </x:is>
      </x:c>
      <x:c r="I18" t="inlineStr">
        <x:is>
          <x:t xml:space="preserve"/>
        </x:is>
      </x:c>
      <x:c r="J18" t="inlineStr">
        <x:is>
          <x:t xml:space="preserve">SUCCESS</x:t>
        </x:is>
      </x:c>
      <x:c r="K18" t="n">
        <x:f>IF((COUNT('Quantification_Results'!E18)=1),IFERROR(ROUND((SUM(('Quantification_Results'!E18*'Quantification_Config'!$R$6))/SUM('Quantification_Config'!$R$6)),'Quantification_Config'!$U$2),""),"")</x:f>
        <x:v>50</x:v>
      </x:c>
      <x:c r="L18" t="n">
        <x:f>IF((COUNT('Quantification_Results'!K18)=1),IFERROR(ROUND((SUM(('Quantification_Results'!K18*'Quantification_Config'!$R$5))/SUM('Quantification_Config'!$R$5)),'Quantification_Config'!$U$2),""),"")</x:f>
        <x:v>50</x:v>
      </x:c>
      <x:c r="M18" t="n">
        <x:v>1</x:v>
      </x:c>
      <x:c r="N18" t="n">
        <x:v>5</x:v>
      </x:c>
      <x:c r="O18"/>
      <x:c r="P18" t="n">
        <x:f>IF(('Quantification_Results'!M18&lt;&gt;1),"",IF(('Quantification_Results'!O18=""),IF(ISNUMBER('Quantification_Results'!N18),IF(('Quantification_Results'!N18&lt;'Quantification_Config'!$S$9),"",IF(('Quantification_Results'!N18&gt;'Quantification_Config'!$T$9),"",'Quantification_Results'!N18)),""),IF(ISNUMBER('Quantification_Results'!O18),IF(('Quantification_Results'!O18&lt;'Quantification_Config'!$S$9),"",IF(('Quantification_Results'!O18&gt;'Quantification_Config'!$T$9),"",'Quantification_Results'!O18)),"")))</x:f>
        <x:v>5</x:v>
      </x:c>
      <x:c r="Q18" t="n">
        <x:f>IF(ISNUMBER('Quantification_Results'!P18),IFERROR(ROUND(((('Quantification_Results'!P18-'Quantification_Config'!$S$9)/('Quantification_Config'!$T$9-'Quantification_Config'!$S$9))*100),'Quantification_Config'!$U$2),""),"")</x:f>
        <x:v>50</x:v>
      </x:c>
      <x:c r="R18" t="inlineStr">
        <x:is>
          <x:t xml:space="preserve">SYSTEM-TEST-ONLY-NO-NETWORK-NOT-AN-EDUCATIONAL-EVALUATION</x:t>
        </x:is>
      </x:c>
      <x:c r="S18" t="inlineStr">
        <x:is>
          <x:t xml:space="preserve"/>
        </x:is>
      </x:c>
      <x:c r="T18" t="inlineStr">
        <x:is>
          <x:t xml:space="preserve">NONE</x:t>
        </x:is>
      </x:c>
      <x:c r="U18" t="inlineStr">
        <x:is>
          <x:t xml:space="preserve"/>
        </x:is>
      </x:c>
      <x:c r="V18" t="inlineStr">
        <x:is>
          <x:t xml:space="preserve">SUCCESS</x:t>
        </x:is>
      </x:c>
      <x:c r="W18" t="n">
        <x:f>IF((COUNT('Quantification_Results'!Q18)=1),IFERROR(ROUND((SUM(('Quantification_Results'!Q18*'Quantification_Config'!$R$9))/SUM('Quantification_Config'!$R$9)),'Quantification_Config'!$U$2),""),"")</x:f>
        <x:v>50</x:v>
      </x:c>
      <x:c r="X18" t="n">
        <x:f>IF((COUNT('Quantification_Results'!W18)=1),IFERROR(ROUND((SUM(('Quantification_Results'!W18*'Quantification_Config'!$R$8))/SUM('Quantification_Config'!$R$8)),'Quantification_Config'!$U$2),""),"")</x:f>
        <x:v>50</x:v>
      </x:c>
      <x:c r="Y18" t="n">
        <x:v>0</x:v>
      </x:c>
      <x:c r="Z18"/>
      <x:c r="AA18"/>
      <x:c r="AB18">
        <x:f>IF(('Quantification_Results'!Y18&lt;&gt;1),"",IF(('Quantification_Results'!AA18=""),IF(ISNUMBER('Quantification_Results'!Z18),IF(('Quantification_Results'!Z18&lt;'Quantification_Config'!$S$12),"",IF(('Quantification_Results'!Z18&gt;'Quantification_Config'!$T$12),"",'Quantification_Results'!Z18)),""),IF(ISNUMBER('Quantification_Results'!AA18),IF(('Quantification_Results'!AA18&lt;'Quantification_Config'!$S$12),"",IF(('Quantification_Results'!AA18&gt;'Quantification_Config'!$T$12),"",'Quantification_Results'!AA18)),"")))</x:f>
      </x:c>
      <x:c r="AC18">
        <x:f>IF(ISNUMBER('Quantification_Results'!AB18),IFERROR(ROUND(((('Quantification_Results'!AB18-'Quantification_Config'!$S$12)/('Quantification_Config'!$T$12-'Quantification_Config'!$S$12))*100),'Quantification_Config'!$U$2),""),"")</x:f>
      </x:c>
      <x:c r="AD18" t="inlineStr">
        <x:is>
          <x:t xml:space="preserve"/>
        </x:is>
      </x:c>
      <x:c r="AE18" t="inlineStr">
        <x:is>
          <x:t xml:space="preserve"/>
        </x:is>
      </x:c>
      <x:c r="AF18" t="inlineStr">
        <x:is>
          <x:t xml:space="preserve"/>
        </x:is>
      </x:c>
      <x:c r="AG18" t="inlineStr">
        <x:is>
          <x:t xml:space="preserve"/>
        </x:is>
      </x:c>
      <x:c r="AH18" t="inlineStr">
        <x:is>
          <x:t xml:space="preserve">EMPTY</x:t>
        </x:is>
      </x:c>
      <x:c r="AI18">
        <x:f>IF((COUNT('Quantification_Results'!AC18)=1),IFERROR(ROUND((SUM(('Quantification_Results'!AC18*'Quantification_Config'!$R$12))/SUM('Quantification_Config'!$R$12)),'Quantification_Config'!$U$2),""),"")</x:f>
      </x:c>
      <x:c r="AJ18">
        <x:f>IF((COUNT('Quantification_Results'!AI18)=1),IFERROR(ROUND((SUM(('Quantification_Results'!AI18*'Quantification_Config'!$R$11))/SUM('Quantification_Config'!$R$11)),'Quantification_Config'!$U$2),""),"")</x:f>
      </x:c>
      <x:c r="AK18" t="n">
        <x:v>1</x:v>
      </x:c>
      <x:c r="AL18" t="n">
        <x:v>5</x:v>
      </x:c>
      <x:c r="AM18"/>
      <x:c r="AN18" t="n">
        <x:f>IF(('Quantification_Results'!AK18&lt;&gt;1),"",IF(('Quantification_Results'!AM18=""),IF(ISNUMBER('Quantification_Results'!AL18),IF(('Quantification_Results'!AL18&lt;'Quantification_Config'!$S$15),"",IF(('Quantification_Results'!AL18&gt;'Quantification_Config'!$T$15),"",'Quantification_Results'!AL18)),""),IF(ISNUMBER('Quantification_Results'!AM18),IF(('Quantification_Results'!AM18&lt;'Quantification_Config'!$S$15),"",IF(('Quantification_Results'!AM18&gt;'Quantification_Config'!$T$15),"",'Quantification_Results'!AM18)),"")))</x:f>
        <x:v>5</x:v>
      </x:c>
      <x:c r="AO18" t="n">
        <x:f>IF(ISNUMBER('Quantification_Results'!AN18),IFERROR(ROUND(((('Quantification_Results'!AN18-'Quantification_Config'!$S$15)/('Quantification_Config'!$T$15-'Quantification_Config'!$S$15))*100),'Quantification_Config'!$U$2),""),"")</x:f>
        <x:v>50</x:v>
      </x:c>
      <x:c r="AP18" t="inlineStr">
        <x:is>
          <x:t xml:space="preserve">SYSTEM-TEST-ONLY-NO-NETWORK-NOT-AN-EDUCATIONAL-EVALUATION</x:t>
        </x:is>
      </x:c>
      <x:c r="AQ18" t="inlineStr">
        <x:is>
          <x:t xml:space="preserve"/>
        </x:is>
      </x:c>
      <x:c r="AR18" t="inlineStr">
        <x:is>
          <x:t xml:space="preserve">NONE</x:t>
        </x:is>
      </x:c>
      <x:c r="AS18" t="inlineStr">
        <x:is>
          <x:t xml:space="preserve"/>
        </x:is>
      </x:c>
      <x:c r="AT18" t="inlineStr">
        <x:is>
          <x:t xml:space="preserve">SUCCESS</x:t>
        </x:is>
      </x:c>
      <x:c r="AU18" t="n">
        <x:f>IF((COUNT('Quantification_Results'!AO18)=1),IFERROR(ROUND((SUM(('Quantification_Results'!AO18*'Quantification_Config'!$R$15))/SUM('Quantification_Config'!$R$15)),'Quantification_Config'!$U$2),""),"")</x:f>
        <x:v>50</x:v>
      </x:c>
      <x:c r="AV18" t="n">
        <x:f>IF((COUNT('Quantification_Results'!AU18)=1),IFERROR(ROUND((SUM(('Quantification_Results'!AU18*'Quantification_Config'!$R$14))/SUM('Quantification_Config'!$R$14)),'Quantification_Config'!$U$2),""),"")</x:f>
        <x:v>50</x:v>
      </x:c>
      <x:c r="AW18" t="n">
        <x:v>1</x:v>
      </x:c>
      <x:c r="AX18" t="n">
        <x:v>5</x:v>
      </x:c>
      <x:c r="AY18"/>
      <x:c r="AZ18" t="n">
        <x:f>IF(('Quantification_Results'!AW18&lt;&gt;1),"",IF(('Quantification_Results'!AY18=""),IF(ISNUMBER('Quantification_Results'!AX18),IF(('Quantification_Results'!AX18&lt;'Quantification_Config'!$S$19),"",IF(('Quantification_Results'!AX18&gt;'Quantification_Config'!$T$19),"",'Quantification_Results'!AX18)),""),IF(ISNUMBER('Quantification_Results'!AY18),IF(('Quantification_Results'!AY18&lt;'Quantification_Config'!$S$19),"",IF(('Quantification_Results'!AY18&gt;'Quantification_Config'!$T$19),"",'Quantification_Results'!AY18)),"")))</x:f>
        <x:v>5</x:v>
      </x:c>
      <x:c r="BA18" t="n">
        <x:f>IF(ISNUMBER('Quantification_Results'!AZ18),IFERROR(ROUND(((('Quantification_Results'!AZ18-'Quantification_Config'!$S$19)/('Quantification_Config'!$T$19-'Quantification_Config'!$S$19))*100),'Quantification_Config'!$U$2),""),"")</x:f>
        <x:v>50</x:v>
      </x:c>
      <x:c r="BB18" t="inlineStr">
        <x:is>
          <x:t xml:space="preserve">SYSTEM-TEST-ONLY-NO-NETWORK-NOT-AN-EDUCATIONAL-EVALUATION</x:t>
        </x:is>
      </x:c>
      <x:c r="BC18" t="inlineStr">
        <x:is>
          <x:t xml:space="preserve"/>
        </x:is>
      </x:c>
      <x:c r="BD18" t="inlineStr">
        <x:is>
          <x:t xml:space="preserve">NONE</x:t>
        </x:is>
      </x:c>
      <x:c r="BE18" t="inlineStr">
        <x:is>
          <x:t xml:space="preserve"/>
        </x:is>
      </x:c>
      <x:c r="BF18" t="inlineStr">
        <x:is>
          <x:t xml:space="preserve">SUCCESS</x:t>
        </x:is>
      </x:c>
      <x:c r="BG18" t="n">
        <x:f>IF((COUNT('Quantification_Results'!BA18)=1),IFERROR(ROUND((SUM(('Quantification_Results'!BA18*'Quantification_Config'!$R$19))/SUM('Quantification_Config'!$R$19)),'Quantification_Config'!$U$2),""),"")</x:f>
        <x:v>50</x:v>
      </x:c>
      <x:c r="BH18" t="n">
        <x:f>IF((COUNT('Quantification_Results'!BG18)=1),IFERROR(ROUND((SUM(('Quantification_Results'!BG18*'Quantification_Config'!$R$18))/SUM('Quantification_Config'!$R$18)),'Quantification_Config'!$U$2),""),"")</x:f>
        <x:v>50</x:v>
      </x:c>
      <x:c r="BI18">
        <x:f>IF((COUNT('Quantification_Results'!L18,'Quantification_Results'!X18,'Quantification_Results'!AJ18,'Quantification_Results'!AV18,'Quantification_Results'!BH18)=5),IFERROR(ROUND((SUM(('Quantification_Results'!L18*'Quantification_Config'!$R$4),('Quantification_Results'!X18*'Quantification_Config'!$R$7),('Quantification_Results'!AJ18*'Quantification_Config'!$R$10),('Quantification_Results'!AV18*'Quantification_Config'!$R$13),('Quantification_Results'!BH18*'Quantification_Config'!$R$16))/SUM('Quantification_Config'!$R$4,'Quantification_Config'!$R$7,'Quantification_Config'!$R$10,'Quantification_Config'!$R$13,'Quantification_Config'!$R$16)),'Quantification_Config'!$U$2),""),"")</x:f>
      </x:c>
    </x:row>
    <x:row r="19">
      <x:c r="A19" t="n">
        <x:v>1</x:v>
      </x:c>
      <x:c r="B19" t="n">
        <x:v>5</x:v>
      </x:c>
      <x:c r="C19"/>
      <x:c r="D19" t="n">
        <x:f>IF(('Quantification_Results'!A19&lt;&gt;1),"",IF(('Quantification_Results'!C19=""),IF(ISNUMBER('Quantification_Results'!B19),IF(('Quantification_Results'!B19&lt;'Quantification_Config'!$S$6),"",IF(('Quantification_Results'!B19&gt;'Quantification_Config'!$T$6),"",'Quantification_Results'!B19)),""),IF(ISNUMBER('Quantification_Results'!C19),IF(('Quantification_Results'!C19&lt;'Quantification_Config'!$S$6),"",IF(('Quantification_Results'!C19&gt;'Quantification_Config'!$T$6),"",'Quantification_Results'!C19)),"")))</x:f>
        <x:v>5</x:v>
      </x:c>
      <x:c r="E19" t="n">
        <x:f>IF(ISNUMBER('Quantification_Results'!D19),IFERROR(ROUND(((('Quantification_Results'!D19-'Quantification_Config'!$S$6)/('Quantification_Config'!$T$6-'Quantification_Config'!$S$6))*100),'Quantification_Config'!$U$2),""),"")</x:f>
        <x:v>50</x:v>
      </x:c>
      <x:c r="F19" t="inlineStr">
        <x:is>
          <x:t xml:space="preserve">SYSTEM-TEST-ONLY-NO-NETWORK-NOT-AN-EDUCATIONAL-EVALUATION</x:t>
        </x:is>
      </x:c>
      <x:c r="G19" t="inlineStr">
        <x:is>
          <x:t xml:space="preserve"/>
        </x:is>
      </x:c>
      <x:c r="H19" t="inlineStr">
        <x:is>
          <x:t xml:space="preserve">NONE</x:t>
        </x:is>
      </x:c>
      <x:c r="I19" t="inlineStr">
        <x:is>
          <x:t xml:space="preserve"/>
        </x:is>
      </x:c>
      <x:c r="J19" t="inlineStr">
        <x:is>
          <x:t xml:space="preserve">SUCCESS</x:t>
        </x:is>
      </x:c>
      <x:c r="K19" t="n">
        <x:f>IF((COUNT('Quantification_Results'!E19)=1),IFERROR(ROUND((SUM(('Quantification_Results'!E19*'Quantification_Config'!$R$6))/SUM('Quantification_Config'!$R$6)),'Quantification_Config'!$U$2),""),"")</x:f>
        <x:v>50</x:v>
      </x:c>
      <x:c r="L19" t="n">
        <x:f>IF((COUNT('Quantification_Results'!K19)=1),IFERROR(ROUND((SUM(('Quantification_Results'!K19*'Quantification_Config'!$R$5))/SUM('Quantification_Config'!$R$5)),'Quantification_Config'!$U$2),""),"")</x:f>
        <x:v>50</x:v>
      </x:c>
      <x:c r="M19" t="n">
        <x:v>1</x:v>
      </x:c>
      <x:c r="N19" t="n">
        <x:v>5</x:v>
      </x:c>
      <x:c r="O19"/>
      <x:c r="P19" t="n">
        <x:f>IF(('Quantification_Results'!M19&lt;&gt;1),"",IF(('Quantification_Results'!O19=""),IF(ISNUMBER('Quantification_Results'!N19),IF(('Quantification_Results'!N19&lt;'Quantification_Config'!$S$9),"",IF(('Quantification_Results'!N19&gt;'Quantification_Config'!$T$9),"",'Quantification_Results'!N19)),""),IF(ISNUMBER('Quantification_Results'!O19),IF(('Quantification_Results'!O19&lt;'Quantification_Config'!$S$9),"",IF(('Quantification_Results'!O19&gt;'Quantification_Config'!$T$9),"",'Quantification_Results'!O19)),"")))</x:f>
        <x:v>5</x:v>
      </x:c>
      <x:c r="Q19" t="n">
        <x:f>IF(ISNUMBER('Quantification_Results'!P19),IFERROR(ROUND(((('Quantification_Results'!P19-'Quantification_Config'!$S$9)/('Quantification_Config'!$T$9-'Quantification_Config'!$S$9))*100),'Quantification_Config'!$U$2),""),"")</x:f>
        <x:v>50</x:v>
      </x:c>
      <x:c r="R19" t="inlineStr">
        <x:is>
          <x:t xml:space="preserve">SYSTEM-TEST-ONLY-NO-NETWORK-NOT-AN-EDUCATIONAL-EVALUATION</x:t>
        </x:is>
      </x:c>
      <x:c r="S19" t="inlineStr">
        <x:is>
          <x:t xml:space="preserve"/>
        </x:is>
      </x:c>
      <x:c r="T19" t="inlineStr">
        <x:is>
          <x:t xml:space="preserve">NONE</x:t>
        </x:is>
      </x:c>
      <x:c r="U19" t="inlineStr">
        <x:is>
          <x:t xml:space="preserve"/>
        </x:is>
      </x:c>
      <x:c r="V19" t="inlineStr">
        <x:is>
          <x:t xml:space="preserve">SUCCESS</x:t>
        </x:is>
      </x:c>
      <x:c r="W19" t="n">
        <x:f>IF((COUNT('Quantification_Results'!Q19)=1),IFERROR(ROUND((SUM(('Quantification_Results'!Q19*'Quantification_Config'!$R$9))/SUM('Quantification_Config'!$R$9)),'Quantification_Config'!$U$2),""),"")</x:f>
        <x:v>50</x:v>
      </x:c>
      <x:c r="X19" t="n">
        <x:f>IF((COUNT('Quantification_Results'!W19)=1),IFERROR(ROUND((SUM(('Quantification_Results'!W19*'Quantification_Config'!$R$8))/SUM('Quantification_Config'!$R$8)),'Quantification_Config'!$U$2),""),"")</x:f>
        <x:v>50</x:v>
      </x:c>
      <x:c r="Y19" t="n">
        <x:v>0</x:v>
      </x:c>
      <x:c r="Z19"/>
      <x:c r="AA19"/>
      <x:c r="AB19">
        <x:f>IF(('Quantification_Results'!Y19&lt;&gt;1),"",IF(('Quantification_Results'!AA19=""),IF(ISNUMBER('Quantification_Results'!Z19),IF(('Quantification_Results'!Z19&lt;'Quantification_Config'!$S$12),"",IF(('Quantification_Results'!Z19&gt;'Quantification_Config'!$T$12),"",'Quantification_Results'!Z19)),""),IF(ISNUMBER('Quantification_Results'!AA19),IF(('Quantification_Results'!AA19&lt;'Quantification_Config'!$S$12),"",IF(('Quantification_Results'!AA19&gt;'Quantification_Config'!$T$12),"",'Quantification_Results'!AA19)),"")))</x:f>
      </x:c>
      <x:c r="AC19">
        <x:f>IF(ISNUMBER('Quantification_Results'!AB19),IFERROR(ROUND(((('Quantification_Results'!AB19-'Quantification_Config'!$S$12)/('Quantification_Config'!$T$12-'Quantification_Config'!$S$12))*100),'Quantification_Config'!$U$2),""),"")</x:f>
      </x:c>
      <x:c r="AD19" t="inlineStr">
        <x:is>
          <x:t xml:space="preserve"/>
        </x:is>
      </x:c>
      <x:c r="AE19" t="inlineStr">
        <x:is>
          <x:t xml:space="preserve"/>
        </x:is>
      </x:c>
      <x:c r="AF19" t="inlineStr">
        <x:is>
          <x:t xml:space="preserve"/>
        </x:is>
      </x:c>
      <x:c r="AG19" t="inlineStr">
        <x:is>
          <x:t xml:space="preserve"/>
        </x:is>
      </x:c>
      <x:c r="AH19" t="inlineStr">
        <x:is>
          <x:t xml:space="preserve">EMPTY</x:t>
        </x:is>
      </x:c>
      <x:c r="AI19">
        <x:f>IF((COUNT('Quantification_Results'!AC19)=1),IFERROR(ROUND((SUM(('Quantification_Results'!AC19*'Quantification_Config'!$R$12))/SUM('Quantification_Config'!$R$12)),'Quantification_Config'!$U$2),""),"")</x:f>
      </x:c>
      <x:c r="AJ19">
        <x:f>IF((COUNT('Quantification_Results'!AI19)=1),IFERROR(ROUND((SUM(('Quantification_Results'!AI19*'Quantification_Config'!$R$11))/SUM('Quantification_Config'!$R$11)),'Quantification_Config'!$U$2),""),"")</x:f>
      </x:c>
      <x:c r="AK19" t="n">
        <x:v>1</x:v>
      </x:c>
      <x:c r="AL19" t="n">
        <x:v>5</x:v>
      </x:c>
      <x:c r="AM19"/>
      <x:c r="AN19" t="n">
        <x:f>IF(('Quantification_Results'!AK19&lt;&gt;1),"",IF(('Quantification_Results'!AM19=""),IF(ISNUMBER('Quantification_Results'!AL19),IF(('Quantification_Results'!AL19&lt;'Quantification_Config'!$S$15),"",IF(('Quantification_Results'!AL19&gt;'Quantification_Config'!$T$15),"",'Quantification_Results'!AL19)),""),IF(ISNUMBER('Quantification_Results'!AM19),IF(('Quantification_Results'!AM19&lt;'Quantification_Config'!$S$15),"",IF(('Quantification_Results'!AM19&gt;'Quantification_Config'!$T$15),"",'Quantification_Results'!AM19)),"")))</x:f>
        <x:v>5</x:v>
      </x:c>
      <x:c r="AO19" t="n">
        <x:f>IF(ISNUMBER('Quantification_Results'!AN19),IFERROR(ROUND(((('Quantification_Results'!AN19-'Quantification_Config'!$S$15)/('Quantification_Config'!$T$15-'Quantification_Config'!$S$15))*100),'Quantification_Config'!$U$2),""),"")</x:f>
        <x:v>50</x:v>
      </x:c>
      <x:c r="AP19" t="inlineStr">
        <x:is>
          <x:t xml:space="preserve">SYSTEM-TEST-ONLY-NO-NETWORK-NOT-AN-EDUCATIONAL-EVALUATION</x:t>
        </x:is>
      </x:c>
      <x:c r="AQ19" t="inlineStr">
        <x:is>
          <x:t xml:space="preserve"/>
        </x:is>
      </x:c>
      <x:c r="AR19" t="inlineStr">
        <x:is>
          <x:t xml:space="preserve">NONE</x:t>
        </x:is>
      </x:c>
      <x:c r="AS19" t="inlineStr">
        <x:is>
          <x:t xml:space="preserve"/>
        </x:is>
      </x:c>
      <x:c r="AT19" t="inlineStr">
        <x:is>
          <x:t xml:space="preserve">SUCCESS</x:t>
        </x:is>
      </x:c>
      <x:c r="AU19" t="n">
        <x:f>IF((COUNT('Quantification_Results'!AO19)=1),IFERROR(ROUND((SUM(('Quantification_Results'!AO19*'Quantification_Config'!$R$15))/SUM('Quantification_Config'!$R$15)),'Quantification_Config'!$U$2),""),"")</x:f>
        <x:v>50</x:v>
      </x:c>
      <x:c r="AV19" t="n">
        <x:f>IF((COUNT('Quantification_Results'!AU19)=1),IFERROR(ROUND((SUM(('Quantification_Results'!AU19*'Quantification_Config'!$R$14))/SUM('Quantification_Config'!$R$14)),'Quantification_Config'!$U$2),""),"")</x:f>
        <x:v>50</x:v>
      </x:c>
      <x:c r="AW19" t="n">
        <x:v>1</x:v>
      </x:c>
      <x:c r="AX19" t="n">
        <x:v>5</x:v>
      </x:c>
      <x:c r="AY19"/>
      <x:c r="AZ19" t="n">
        <x:f>IF(('Quantification_Results'!AW19&lt;&gt;1),"",IF(('Quantification_Results'!AY19=""),IF(ISNUMBER('Quantification_Results'!AX19),IF(('Quantification_Results'!AX19&lt;'Quantification_Config'!$S$19),"",IF(('Quantification_Results'!AX19&gt;'Quantification_Config'!$T$19),"",'Quantification_Results'!AX19)),""),IF(ISNUMBER('Quantification_Results'!AY19),IF(('Quantification_Results'!AY19&lt;'Quantification_Config'!$S$19),"",IF(('Quantification_Results'!AY19&gt;'Quantification_Config'!$T$19),"",'Quantification_Results'!AY19)),"")))</x:f>
        <x:v>5</x:v>
      </x:c>
      <x:c r="BA19" t="n">
        <x:f>IF(ISNUMBER('Quantification_Results'!AZ19),IFERROR(ROUND(((('Quantification_Results'!AZ19-'Quantification_Config'!$S$19)/('Quantification_Config'!$T$19-'Quantification_Config'!$S$19))*100),'Quantification_Config'!$U$2),""),"")</x:f>
        <x:v>50</x:v>
      </x:c>
      <x:c r="BB19" t="inlineStr">
        <x:is>
          <x:t xml:space="preserve">SYSTEM-TEST-ONLY-NO-NETWORK-NOT-AN-EDUCATIONAL-EVALUATION</x:t>
        </x:is>
      </x:c>
      <x:c r="BC19" t="inlineStr">
        <x:is>
          <x:t xml:space="preserve"/>
        </x:is>
      </x:c>
      <x:c r="BD19" t="inlineStr">
        <x:is>
          <x:t xml:space="preserve">NONE</x:t>
        </x:is>
      </x:c>
      <x:c r="BE19" t="inlineStr">
        <x:is>
          <x:t xml:space="preserve"/>
        </x:is>
      </x:c>
      <x:c r="BF19" t="inlineStr">
        <x:is>
          <x:t xml:space="preserve">SUCCESS</x:t>
        </x:is>
      </x:c>
      <x:c r="BG19" t="n">
        <x:f>IF((COUNT('Quantification_Results'!BA19)=1),IFERROR(ROUND((SUM(('Quantification_Results'!BA19*'Quantification_Config'!$R$19))/SUM('Quantification_Config'!$R$19)),'Quantification_Config'!$U$2),""),"")</x:f>
        <x:v>50</x:v>
      </x:c>
      <x:c r="BH19" t="n">
        <x:f>IF((COUNT('Quantification_Results'!BG19)=1),IFERROR(ROUND((SUM(('Quantification_Results'!BG19*'Quantification_Config'!$R$18))/SUM('Quantification_Config'!$R$18)),'Quantification_Config'!$U$2),""),"")</x:f>
        <x:v>50</x:v>
      </x:c>
      <x:c r="BI19">
        <x:f>IF((COUNT('Quantification_Results'!L19,'Quantification_Results'!X19,'Quantification_Results'!AJ19,'Quantification_Results'!AV19,'Quantification_Results'!BH19)=5),IFERROR(ROUND((SUM(('Quantification_Results'!L19*'Quantification_Config'!$R$4),('Quantification_Results'!X19*'Quantification_Config'!$R$7),('Quantification_Results'!AJ19*'Quantification_Config'!$R$10),('Quantification_Results'!AV19*'Quantification_Config'!$R$13),('Quantification_Results'!BH19*'Quantification_Config'!$R$16))/SUM('Quantification_Config'!$R$4,'Quantification_Config'!$R$7,'Quantification_Config'!$R$10,'Quantification_Config'!$R$13,'Quantification_Config'!$R$16)),'Quantification_Config'!$U$2),""),"")</x:f>
      </x:c>
    </x:row>
    <x:row r="20">
      <x:c r="A20" t="n">
        <x:v>1</x:v>
      </x:c>
      <x:c r="B20" t="n">
        <x:v>5</x:v>
      </x:c>
      <x:c r="C20"/>
      <x:c r="D20" t="n">
        <x:f>IF(('Quantification_Results'!A20&lt;&gt;1),"",IF(('Quantification_Results'!C20=""),IF(ISNUMBER('Quantification_Results'!B20),IF(('Quantification_Results'!B20&lt;'Quantification_Config'!$S$6),"",IF(('Quantification_Results'!B20&gt;'Quantification_Config'!$T$6),"",'Quantification_Results'!B20)),""),IF(ISNUMBER('Quantification_Results'!C20),IF(('Quantification_Results'!C20&lt;'Quantification_Config'!$S$6),"",IF(('Quantification_Results'!C20&gt;'Quantification_Config'!$T$6),"",'Quantification_Results'!C20)),"")))</x:f>
        <x:v>5</x:v>
      </x:c>
      <x:c r="E20" t="n">
        <x:f>IF(ISNUMBER('Quantification_Results'!D20),IFERROR(ROUND(((('Quantification_Results'!D20-'Quantification_Config'!$S$6)/('Quantification_Config'!$T$6-'Quantification_Config'!$S$6))*100),'Quantification_Config'!$U$2),""),"")</x:f>
        <x:v>50</x:v>
      </x:c>
      <x:c r="F20" t="inlineStr">
        <x:is>
          <x:t xml:space="preserve">SYSTEM-TEST-ONLY-NO-NETWORK-NOT-AN-EDUCATIONAL-EVALUATION</x:t>
        </x:is>
      </x:c>
      <x:c r="G20" t="inlineStr">
        <x:is>
          <x:t xml:space="preserve"/>
        </x:is>
      </x:c>
      <x:c r="H20" t="inlineStr">
        <x:is>
          <x:t xml:space="preserve">NONE</x:t>
        </x:is>
      </x:c>
      <x:c r="I20" t="inlineStr">
        <x:is>
          <x:t xml:space="preserve"/>
        </x:is>
      </x:c>
      <x:c r="J20" t="inlineStr">
        <x:is>
          <x:t xml:space="preserve">SUCCESS</x:t>
        </x:is>
      </x:c>
      <x:c r="K20" t="n">
        <x:f>IF((COUNT('Quantification_Results'!E20)=1),IFERROR(ROUND((SUM(('Quantification_Results'!E20*'Quantification_Config'!$R$6))/SUM('Quantification_Config'!$R$6)),'Quantification_Config'!$U$2),""),"")</x:f>
        <x:v>50</x:v>
      </x:c>
      <x:c r="L20" t="n">
        <x:f>IF((COUNT('Quantification_Results'!K20)=1),IFERROR(ROUND((SUM(('Quantification_Results'!K20*'Quantification_Config'!$R$5))/SUM('Quantification_Config'!$R$5)),'Quantification_Config'!$U$2),""),"")</x:f>
        <x:v>50</x:v>
      </x:c>
      <x:c r="M20" t="n">
        <x:v>1</x:v>
      </x:c>
      <x:c r="N20" t="n">
        <x:v>5</x:v>
      </x:c>
      <x:c r="O20"/>
      <x:c r="P20" t="n">
        <x:f>IF(('Quantification_Results'!M20&lt;&gt;1),"",IF(('Quantification_Results'!O20=""),IF(ISNUMBER('Quantification_Results'!N20),IF(('Quantification_Results'!N20&lt;'Quantification_Config'!$S$9),"",IF(('Quantification_Results'!N20&gt;'Quantification_Config'!$T$9),"",'Quantification_Results'!N20)),""),IF(ISNUMBER('Quantification_Results'!O20),IF(('Quantification_Results'!O20&lt;'Quantification_Config'!$S$9),"",IF(('Quantification_Results'!O20&gt;'Quantification_Config'!$T$9),"",'Quantification_Results'!O20)),"")))</x:f>
        <x:v>5</x:v>
      </x:c>
      <x:c r="Q20" t="n">
        <x:f>IF(ISNUMBER('Quantification_Results'!P20),IFERROR(ROUND(((('Quantification_Results'!P20-'Quantification_Config'!$S$9)/('Quantification_Config'!$T$9-'Quantification_Config'!$S$9))*100),'Quantification_Config'!$U$2),""),"")</x:f>
        <x:v>50</x:v>
      </x:c>
      <x:c r="R20" t="inlineStr">
        <x:is>
          <x:t xml:space="preserve">SYSTEM-TEST-ONLY-NO-NETWORK-NOT-AN-EDUCATIONAL-EVALUATION</x:t>
        </x:is>
      </x:c>
      <x:c r="S20" t="inlineStr">
        <x:is>
          <x:t xml:space="preserve"/>
        </x:is>
      </x:c>
      <x:c r="T20" t="inlineStr">
        <x:is>
          <x:t xml:space="preserve">NONE</x:t>
        </x:is>
      </x:c>
      <x:c r="U20" t="inlineStr">
        <x:is>
          <x:t xml:space="preserve"/>
        </x:is>
      </x:c>
      <x:c r="V20" t="inlineStr">
        <x:is>
          <x:t xml:space="preserve">SUCCESS</x:t>
        </x:is>
      </x:c>
      <x:c r="W20" t="n">
        <x:f>IF((COUNT('Quantification_Results'!Q20)=1),IFERROR(ROUND((SUM(('Quantification_Results'!Q20*'Quantification_Config'!$R$9))/SUM('Quantification_Config'!$R$9)),'Quantification_Config'!$U$2),""),"")</x:f>
        <x:v>50</x:v>
      </x:c>
      <x:c r="X20" t="n">
        <x:f>IF((COUNT('Quantification_Results'!W20)=1),IFERROR(ROUND((SUM(('Quantification_Results'!W20*'Quantification_Config'!$R$8))/SUM('Quantification_Config'!$R$8)),'Quantification_Config'!$U$2),""),"")</x:f>
        <x:v>50</x:v>
      </x:c>
      <x:c r="Y20" t="n">
        <x:v>0</x:v>
      </x:c>
      <x:c r="Z20"/>
      <x:c r="AA20"/>
      <x:c r="AB20">
        <x:f>IF(('Quantification_Results'!Y20&lt;&gt;1),"",IF(('Quantification_Results'!AA20=""),IF(ISNUMBER('Quantification_Results'!Z20),IF(('Quantification_Results'!Z20&lt;'Quantification_Config'!$S$12),"",IF(('Quantification_Results'!Z20&gt;'Quantification_Config'!$T$12),"",'Quantification_Results'!Z20)),""),IF(ISNUMBER('Quantification_Results'!AA20),IF(('Quantification_Results'!AA20&lt;'Quantification_Config'!$S$12),"",IF(('Quantification_Results'!AA20&gt;'Quantification_Config'!$T$12),"",'Quantification_Results'!AA20)),"")))</x:f>
      </x:c>
      <x:c r="AC20">
        <x:f>IF(ISNUMBER('Quantification_Results'!AB20),IFERROR(ROUND(((('Quantification_Results'!AB20-'Quantification_Config'!$S$12)/('Quantification_Config'!$T$12-'Quantification_Config'!$S$12))*100),'Quantification_Config'!$U$2),""),"")</x:f>
      </x:c>
      <x:c r="AD20" t="inlineStr">
        <x:is>
          <x:t xml:space="preserve"/>
        </x:is>
      </x:c>
      <x:c r="AE20" t="inlineStr">
        <x:is>
          <x:t xml:space="preserve"/>
        </x:is>
      </x:c>
      <x:c r="AF20" t="inlineStr">
        <x:is>
          <x:t xml:space="preserve"/>
        </x:is>
      </x:c>
      <x:c r="AG20" t="inlineStr">
        <x:is>
          <x:t xml:space="preserve"/>
        </x:is>
      </x:c>
      <x:c r="AH20" t="inlineStr">
        <x:is>
          <x:t xml:space="preserve">EMPTY</x:t>
        </x:is>
      </x:c>
      <x:c r="AI20">
        <x:f>IF((COUNT('Quantification_Results'!AC20)=1),IFERROR(ROUND((SUM(('Quantification_Results'!AC20*'Quantification_Config'!$R$12))/SUM('Quantification_Config'!$R$12)),'Quantification_Config'!$U$2),""),"")</x:f>
      </x:c>
      <x:c r="AJ20">
        <x:f>IF((COUNT('Quantification_Results'!AI20)=1),IFERROR(ROUND((SUM(('Quantification_Results'!AI20*'Quantification_Config'!$R$11))/SUM('Quantification_Config'!$R$11)),'Quantification_Config'!$U$2),""),"")</x:f>
      </x:c>
      <x:c r="AK20" t="n">
        <x:v>1</x:v>
      </x:c>
      <x:c r="AL20" t="n">
        <x:v>5</x:v>
      </x:c>
      <x:c r="AM20"/>
      <x:c r="AN20" t="n">
        <x:f>IF(('Quantification_Results'!AK20&lt;&gt;1),"",IF(('Quantification_Results'!AM20=""),IF(ISNUMBER('Quantification_Results'!AL20),IF(('Quantification_Results'!AL20&lt;'Quantification_Config'!$S$15),"",IF(('Quantification_Results'!AL20&gt;'Quantification_Config'!$T$15),"",'Quantification_Results'!AL20)),""),IF(ISNUMBER('Quantification_Results'!AM20),IF(('Quantification_Results'!AM20&lt;'Quantification_Config'!$S$15),"",IF(('Quantification_Results'!AM20&gt;'Quantification_Config'!$T$15),"",'Quantification_Results'!AM20)),"")))</x:f>
        <x:v>5</x:v>
      </x:c>
      <x:c r="AO20" t="n">
        <x:f>IF(ISNUMBER('Quantification_Results'!AN20),IFERROR(ROUND(((('Quantification_Results'!AN20-'Quantification_Config'!$S$15)/('Quantification_Config'!$T$15-'Quantification_Config'!$S$15))*100),'Quantification_Config'!$U$2),""),"")</x:f>
        <x:v>50</x:v>
      </x:c>
      <x:c r="AP20" t="inlineStr">
        <x:is>
          <x:t xml:space="preserve">SYSTEM-TEST-ONLY-NO-NETWORK-NOT-AN-EDUCATIONAL-EVALUATION</x:t>
        </x:is>
      </x:c>
      <x:c r="AQ20" t="inlineStr">
        <x:is>
          <x:t xml:space="preserve"/>
        </x:is>
      </x:c>
      <x:c r="AR20" t="inlineStr">
        <x:is>
          <x:t xml:space="preserve">NONE</x:t>
        </x:is>
      </x:c>
      <x:c r="AS20" t="inlineStr">
        <x:is>
          <x:t xml:space="preserve"/>
        </x:is>
      </x:c>
      <x:c r="AT20" t="inlineStr">
        <x:is>
          <x:t xml:space="preserve">SUCCESS</x:t>
        </x:is>
      </x:c>
      <x:c r="AU20" t="n">
        <x:f>IF((COUNT('Quantification_Results'!AO20)=1),IFERROR(ROUND((SUM(('Quantification_Results'!AO20*'Quantification_Config'!$R$15))/SUM('Quantification_Config'!$R$15)),'Quantification_Config'!$U$2),""),"")</x:f>
        <x:v>50</x:v>
      </x:c>
      <x:c r="AV20" t="n">
        <x:f>IF((COUNT('Quantification_Results'!AU20)=1),IFERROR(ROUND((SUM(('Quantification_Results'!AU20*'Quantification_Config'!$R$14))/SUM('Quantification_Config'!$R$14)),'Quantification_Config'!$U$2),""),"")</x:f>
        <x:v>50</x:v>
      </x:c>
      <x:c r="AW20" t="n">
        <x:v>1</x:v>
      </x:c>
      <x:c r="AX20" t="n">
        <x:v>5</x:v>
      </x:c>
      <x:c r="AY20"/>
      <x:c r="AZ20" t="n">
        <x:f>IF(('Quantification_Results'!AW20&lt;&gt;1),"",IF(('Quantification_Results'!AY20=""),IF(ISNUMBER('Quantification_Results'!AX20),IF(('Quantification_Results'!AX20&lt;'Quantification_Config'!$S$19),"",IF(('Quantification_Results'!AX20&gt;'Quantification_Config'!$T$19),"",'Quantification_Results'!AX20)),""),IF(ISNUMBER('Quantification_Results'!AY20),IF(('Quantification_Results'!AY20&lt;'Quantification_Config'!$S$19),"",IF(('Quantification_Results'!AY20&gt;'Quantification_Config'!$T$19),"",'Quantification_Results'!AY20)),"")))</x:f>
        <x:v>5</x:v>
      </x:c>
      <x:c r="BA20" t="n">
        <x:f>IF(ISNUMBER('Quantification_Results'!AZ20),IFERROR(ROUND(((('Quantification_Results'!AZ20-'Quantification_Config'!$S$19)/('Quantification_Config'!$T$19-'Quantification_Config'!$S$19))*100),'Quantification_Config'!$U$2),""),"")</x:f>
        <x:v>50</x:v>
      </x:c>
      <x:c r="BB20" t="inlineStr">
        <x:is>
          <x:t xml:space="preserve">SYSTEM-TEST-ONLY-NO-NETWORK-NOT-AN-EDUCATIONAL-EVALUATION</x:t>
        </x:is>
      </x:c>
      <x:c r="BC20" t="inlineStr">
        <x:is>
          <x:t xml:space="preserve"/>
        </x:is>
      </x:c>
      <x:c r="BD20" t="inlineStr">
        <x:is>
          <x:t xml:space="preserve">NONE</x:t>
        </x:is>
      </x:c>
      <x:c r="BE20" t="inlineStr">
        <x:is>
          <x:t xml:space="preserve"/>
        </x:is>
      </x:c>
      <x:c r="BF20" t="inlineStr">
        <x:is>
          <x:t xml:space="preserve">SUCCESS</x:t>
        </x:is>
      </x:c>
      <x:c r="BG20" t="n">
        <x:f>IF((COUNT('Quantification_Results'!BA20)=1),IFERROR(ROUND((SUM(('Quantification_Results'!BA20*'Quantification_Config'!$R$19))/SUM('Quantification_Config'!$R$19)),'Quantification_Config'!$U$2),""),"")</x:f>
        <x:v>50</x:v>
      </x:c>
      <x:c r="BH20" t="n">
        <x:f>IF((COUNT('Quantification_Results'!BG20)=1),IFERROR(ROUND((SUM(('Quantification_Results'!BG20*'Quantification_Config'!$R$18))/SUM('Quantification_Config'!$R$18)),'Quantification_Config'!$U$2),""),"")</x:f>
        <x:v>50</x:v>
      </x:c>
      <x:c r="BI20">
        <x:f>IF((COUNT('Quantification_Results'!L20,'Quantification_Results'!X20,'Quantification_Results'!AJ20,'Quantification_Results'!AV20,'Quantification_Results'!BH20)=5),IFERROR(ROUND((SUM(('Quantification_Results'!L20*'Quantification_Config'!$R$4),('Quantification_Results'!X20*'Quantification_Config'!$R$7),('Quantification_Results'!AJ20*'Quantification_Config'!$R$10),('Quantification_Results'!AV20*'Quantification_Config'!$R$13),('Quantification_Results'!BH20*'Quantification_Config'!$R$16))/SUM('Quantification_Config'!$R$4,'Quantification_Config'!$R$7,'Quantification_Config'!$R$10,'Quantification_Config'!$R$13,'Quantification_Config'!$R$16)),'Quantification_Config'!$U$2),""),"")</x:f>
      </x:c>
    </x:row>
    <x:row r="21">
      <x:c r="A21" t="n">
        <x:v>1</x:v>
      </x:c>
      <x:c r="B21" t="n">
        <x:v>5</x:v>
      </x:c>
      <x:c r="C21"/>
      <x:c r="D21" t="n">
        <x:f>IF(('Quantification_Results'!A21&lt;&gt;1),"",IF(('Quantification_Results'!C21=""),IF(ISNUMBER('Quantification_Results'!B21),IF(('Quantification_Results'!B21&lt;'Quantification_Config'!$S$6),"",IF(('Quantification_Results'!B21&gt;'Quantification_Config'!$T$6),"",'Quantification_Results'!B21)),""),IF(ISNUMBER('Quantification_Results'!C21),IF(('Quantification_Results'!C21&lt;'Quantification_Config'!$S$6),"",IF(('Quantification_Results'!C21&gt;'Quantification_Config'!$T$6),"",'Quantification_Results'!C21)),"")))</x:f>
        <x:v>5</x:v>
      </x:c>
      <x:c r="E21" t="n">
        <x:f>IF(ISNUMBER('Quantification_Results'!D21),IFERROR(ROUND(((('Quantification_Results'!D21-'Quantification_Config'!$S$6)/('Quantification_Config'!$T$6-'Quantification_Config'!$S$6))*100),'Quantification_Config'!$U$2),""),"")</x:f>
        <x:v>50</x:v>
      </x:c>
      <x:c r="F21" t="inlineStr">
        <x:is>
          <x:t xml:space="preserve">SYSTEM-TEST-ONLY-NO-NETWORK-NOT-AN-EDUCATIONAL-EVALUATION</x:t>
        </x:is>
      </x:c>
      <x:c r="G21" t="inlineStr">
        <x:is>
          <x:t xml:space="preserve"/>
        </x:is>
      </x:c>
      <x:c r="H21" t="inlineStr">
        <x:is>
          <x:t xml:space="preserve">NONE</x:t>
        </x:is>
      </x:c>
      <x:c r="I21" t="inlineStr">
        <x:is>
          <x:t xml:space="preserve"/>
        </x:is>
      </x:c>
      <x:c r="J21" t="inlineStr">
        <x:is>
          <x:t xml:space="preserve">SUCCESS</x:t>
        </x:is>
      </x:c>
      <x:c r="K21" t="n">
        <x:f>IF((COUNT('Quantification_Results'!E21)=1),IFERROR(ROUND((SUM(('Quantification_Results'!E21*'Quantification_Config'!$R$6))/SUM('Quantification_Config'!$R$6)),'Quantification_Config'!$U$2),""),"")</x:f>
        <x:v>50</x:v>
      </x:c>
      <x:c r="L21" t="n">
        <x:f>IF((COUNT('Quantification_Results'!K21)=1),IFERROR(ROUND((SUM(('Quantification_Results'!K21*'Quantification_Config'!$R$5))/SUM('Quantification_Config'!$R$5)),'Quantification_Config'!$U$2),""),"")</x:f>
        <x:v>50</x:v>
      </x:c>
      <x:c r="M21" t="n">
        <x:v>0</x:v>
      </x:c>
      <x:c r="N21"/>
      <x:c r="O21"/>
      <x:c r="P21">
        <x:f>IF(('Quantification_Results'!M21&lt;&gt;1),"",IF(('Quantification_Results'!O21=""),IF(ISNUMBER('Quantification_Results'!N21),IF(('Quantification_Results'!N21&lt;'Quantification_Config'!$S$9),"",IF(('Quantification_Results'!N21&gt;'Quantification_Config'!$T$9),"",'Quantification_Results'!N21)),""),IF(ISNUMBER('Quantification_Results'!O21),IF(('Quantification_Results'!O21&lt;'Quantification_Config'!$S$9),"",IF(('Quantification_Results'!O21&gt;'Quantification_Config'!$T$9),"",'Quantification_Results'!O21)),"")))</x:f>
      </x:c>
      <x:c r="Q21">
        <x:f>IF(ISNUMBER('Quantification_Results'!P21),IFERROR(ROUND(((('Quantification_Results'!P21-'Quantification_Config'!$S$9)/('Quantification_Config'!$T$9-'Quantification_Config'!$S$9))*100),'Quantification_Config'!$U$2),""),"")</x:f>
      </x:c>
      <x:c r="R21" t="inlineStr">
        <x:is>
          <x:t xml:space="preserve"/>
        </x:is>
      </x:c>
      <x:c r="S21" t="inlineStr">
        <x:is>
          <x:t xml:space="preserve"/>
        </x:is>
      </x:c>
      <x:c r="T21" t="inlineStr">
        <x:is>
          <x:t xml:space="preserve"/>
        </x:is>
      </x:c>
      <x:c r="U21" t="inlineStr">
        <x:is>
          <x:t xml:space="preserve"/>
        </x:is>
      </x:c>
      <x:c r="V21" t="inlineStr">
        <x:is>
          <x:t xml:space="preserve">EMPTY</x:t>
        </x:is>
      </x:c>
      <x:c r="W21">
        <x:f>IF((COUNT('Quantification_Results'!Q21)=1),IFERROR(ROUND((SUM(('Quantification_Results'!Q21*'Quantification_Config'!$R$9))/SUM('Quantification_Config'!$R$9)),'Quantification_Config'!$U$2),""),"")</x:f>
      </x:c>
      <x:c r="X21">
        <x:f>IF((COUNT('Quantification_Results'!W21)=1),IFERROR(ROUND((SUM(('Quantification_Results'!W21*'Quantification_Config'!$R$8))/SUM('Quantification_Config'!$R$8)),'Quantification_Config'!$U$2),""),"")</x:f>
      </x:c>
      <x:c r="Y21" t="n">
        <x:v>0</x:v>
      </x:c>
      <x:c r="Z21"/>
      <x:c r="AA21"/>
      <x:c r="AB21">
        <x:f>IF(('Quantification_Results'!Y21&lt;&gt;1),"",IF(('Quantification_Results'!AA21=""),IF(ISNUMBER('Quantification_Results'!Z21),IF(('Quantification_Results'!Z21&lt;'Quantification_Config'!$S$12),"",IF(('Quantification_Results'!Z21&gt;'Quantification_Config'!$T$12),"",'Quantification_Results'!Z21)),""),IF(ISNUMBER('Quantification_Results'!AA21),IF(('Quantification_Results'!AA21&lt;'Quantification_Config'!$S$12),"",IF(('Quantification_Results'!AA21&gt;'Quantification_Config'!$T$12),"",'Quantification_Results'!AA21)),"")))</x:f>
      </x:c>
      <x:c r="AC21">
        <x:f>IF(ISNUMBER('Quantification_Results'!AB21),IFERROR(ROUND(((('Quantification_Results'!AB21-'Quantification_Config'!$S$12)/('Quantification_Config'!$T$12-'Quantification_Config'!$S$12))*100),'Quantification_Config'!$U$2),""),"")</x:f>
      </x:c>
      <x:c r="AD21" t="inlineStr">
        <x:is>
          <x:t xml:space="preserve"/>
        </x:is>
      </x:c>
      <x:c r="AE21" t="inlineStr">
        <x:is>
          <x:t xml:space="preserve"/>
        </x:is>
      </x:c>
      <x:c r="AF21" t="inlineStr">
        <x:is>
          <x:t xml:space="preserve"/>
        </x:is>
      </x:c>
      <x:c r="AG21" t="inlineStr">
        <x:is>
          <x:t xml:space="preserve"/>
        </x:is>
      </x:c>
      <x:c r="AH21" t="inlineStr">
        <x:is>
          <x:t xml:space="preserve">EMPTY</x:t>
        </x:is>
      </x:c>
      <x:c r="AI21">
        <x:f>IF((COUNT('Quantification_Results'!AC21)=1),IFERROR(ROUND((SUM(('Quantification_Results'!AC21*'Quantification_Config'!$R$12))/SUM('Quantification_Config'!$R$12)),'Quantification_Config'!$U$2),""),"")</x:f>
      </x:c>
      <x:c r="AJ21">
        <x:f>IF((COUNT('Quantification_Results'!AI21)=1),IFERROR(ROUND((SUM(('Quantification_Results'!AI21*'Quantification_Config'!$R$11))/SUM('Quantification_Config'!$R$11)),'Quantification_Config'!$U$2),""),"")</x:f>
      </x:c>
      <x:c r="AK21" t="n">
        <x:v>1</x:v>
      </x:c>
      <x:c r="AL21" t="n">
        <x:v>5</x:v>
      </x:c>
      <x:c r="AM21"/>
      <x:c r="AN21" t="n">
        <x:f>IF(('Quantification_Results'!AK21&lt;&gt;1),"",IF(('Quantification_Results'!AM21=""),IF(ISNUMBER('Quantification_Results'!AL21),IF(('Quantification_Results'!AL21&lt;'Quantification_Config'!$S$15),"",IF(('Quantification_Results'!AL21&gt;'Quantification_Config'!$T$15),"",'Quantification_Results'!AL21)),""),IF(ISNUMBER('Quantification_Results'!AM21),IF(('Quantification_Results'!AM21&lt;'Quantification_Config'!$S$15),"",IF(('Quantification_Results'!AM21&gt;'Quantification_Config'!$T$15),"",'Quantification_Results'!AM21)),"")))</x:f>
        <x:v>5</x:v>
      </x:c>
      <x:c r="AO21" t="n">
        <x:f>IF(ISNUMBER('Quantification_Results'!AN21),IFERROR(ROUND(((('Quantification_Results'!AN21-'Quantification_Config'!$S$15)/('Quantification_Config'!$T$15-'Quantification_Config'!$S$15))*100),'Quantification_Config'!$U$2),""),"")</x:f>
        <x:v>50</x:v>
      </x:c>
      <x:c r="AP21" t="inlineStr">
        <x:is>
          <x:t xml:space="preserve">SYSTEM-TEST-ONLY-NO-NETWORK-NOT-AN-EDUCATIONAL-EVALUATION</x:t>
        </x:is>
      </x:c>
      <x:c r="AQ21" t="inlineStr">
        <x:is>
          <x:t xml:space="preserve"/>
        </x:is>
      </x:c>
      <x:c r="AR21" t="inlineStr">
        <x:is>
          <x:t xml:space="preserve">NONE</x:t>
        </x:is>
      </x:c>
      <x:c r="AS21" t="inlineStr">
        <x:is>
          <x:t xml:space="preserve"/>
        </x:is>
      </x:c>
      <x:c r="AT21" t="inlineStr">
        <x:is>
          <x:t xml:space="preserve">SUCCESS</x:t>
        </x:is>
      </x:c>
      <x:c r="AU21" t="n">
        <x:f>IF((COUNT('Quantification_Results'!AO21)=1),IFERROR(ROUND((SUM(('Quantification_Results'!AO21*'Quantification_Config'!$R$15))/SUM('Quantification_Config'!$R$15)),'Quantification_Config'!$U$2),""),"")</x:f>
        <x:v>50</x:v>
      </x:c>
      <x:c r="AV21" t="n">
        <x:f>IF((COUNT('Quantification_Results'!AU21)=1),IFERROR(ROUND((SUM(('Quantification_Results'!AU21*'Quantification_Config'!$R$14))/SUM('Quantification_Config'!$R$14)),'Quantification_Config'!$U$2),""),"")</x:f>
        <x:v>50</x:v>
      </x:c>
      <x:c r="AW21" t="n">
        <x:v>0</x:v>
      </x:c>
      <x:c r="AX21"/>
      <x:c r="AY21"/>
      <x:c r="AZ21">
        <x:f>IF(('Quantification_Results'!AW21&lt;&gt;1),"",IF(('Quantification_Results'!AY21=""),IF(ISNUMBER('Quantification_Results'!AX21),IF(('Quantification_Results'!AX21&lt;'Quantification_Config'!$S$19),"",IF(('Quantification_Results'!AX21&gt;'Quantification_Config'!$T$19),"",'Quantification_Results'!AX21)),""),IF(ISNUMBER('Quantification_Results'!AY21),IF(('Quantification_Results'!AY21&lt;'Quantification_Config'!$S$19),"",IF(('Quantification_Results'!AY21&gt;'Quantification_Config'!$T$19),"",'Quantification_Results'!AY21)),"")))</x:f>
      </x:c>
      <x:c r="BA21">
        <x:f>IF(ISNUMBER('Quantification_Results'!AZ21),IFERROR(ROUND(((('Quantification_Results'!AZ21-'Quantification_Config'!$S$19)/('Quantification_Config'!$T$19-'Quantification_Config'!$S$19))*100),'Quantification_Config'!$U$2),""),"")</x:f>
      </x:c>
      <x:c r="BB21" t="inlineStr">
        <x:is>
          <x:t xml:space="preserve"/>
        </x:is>
      </x:c>
      <x:c r="BC21" t="inlineStr">
        <x:is>
          <x:t xml:space="preserve"/>
        </x:is>
      </x:c>
      <x:c r="BD21" t="inlineStr">
        <x:is>
          <x:t xml:space="preserve"/>
        </x:is>
      </x:c>
      <x:c r="BE21" t="inlineStr">
        <x:is>
          <x:t xml:space="preserve"/>
        </x:is>
      </x:c>
      <x:c r="BF21" t="inlineStr">
        <x:is>
          <x:t xml:space="preserve">EMPTY</x:t>
        </x:is>
      </x:c>
      <x:c r="BG21">
        <x:f>IF((COUNT('Quantification_Results'!BA21)=1),IFERROR(ROUND((SUM(('Quantification_Results'!BA21*'Quantification_Config'!$R$19))/SUM('Quantification_Config'!$R$19)),'Quantification_Config'!$U$2),""),"")</x:f>
      </x:c>
      <x:c r="BH21">
        <x:f>IF((COUNT('Quantification_Results'!BG21)=1),IFERROR(ROUND((SUM(('Quantification_Results'!BG21*'Quantification_Config'!$R$18))/SUM('Quantification_Config'!$R$18)),'Quantification_Config'!$U$2),""),"")</x:f>
      </x:c>
      <x:c r="BI21">
        <x:f>IF((COUNT('Quantification_Results'!L21,'Quantification_Results'!X21,'Quantification_Results'!AJ21,'Quantification_Results'!AV21,'Quantification_Results'!BH21)=5),IFERROR(ROUND((SUM(('Quantification_Results'!L21*'Quantification_Config'!$R$4),('Quantification_Results'!X21*'Quantification_Config'!$R$7),('Quantification_Results'!AJ21*'Quantification_Config'!$R$10),('Quantification_Results'!AV21*'Quantification_Config'!$R$13),('Quantification_Results'!BH21*'Quantification_Config'!$R$16))/SUM('Quantification_Config'!$R$4,'Quantification_Config'!$R$7,'Quantification_Config'!$R$10,'Quantification_Config'!$R$13,'Quantification_Config'!$R$16)),'Quantification_Config'!$U$2),""),"")</x:f>
      </x:c>
    </x:row>
    <x:row r="22">
      <x:c r="A22" t="n">
        <x:v>1</x:v>
      </x:c>
      <x:c r="B22" t="n">
        <x:v>5</x:v>
      </x:c>
      <x:c r="C22"/>
      <x:c r="D22" t="n">
        <x:f>IF(('Quantification_Results'!A22&lt;&gt;1),"",IF(('Quantification_Results'!C22=""),IF(ISNUMBER('Quantification_Results'!B22),IF(('Quantification_Results'!B22&lt;'Quantification_Config'!$S$6),"",IF(('Quantification_Results'!B22&gt;'Quantification_Config'!$T$6),"",'Quantification_Results'!B22)),""),IF(ISNUMBER('Quantification_Results'!C22),IF(('Quantification_Results'!C22&lt;'Quantification_Config'!$S$6),"",IF(('Quantification_Results'!C22&gt;'Quantification_Config'!$T$6),"",'Quantification_Results'!C22)),"")))</x:f>
        <x:v>5</x:v>
      </x:c>
      <x:c r="E22" t="n">
        <x:f>IF(ISNUMBER('Quantification_Results'!D22),IFERROR(ROUND(((('Quantification_Results'!D22-'Quantification_Config'!$S$6)/('Quantification_Config'!$T$6-'Quantification_Config'!$S$6))*100),'Quantification_Config'!$U$2),""),"")</x:f>
        <x:v>50</x:v>
      </x:c>
      <x:c r="F22" t="inlineStr">
        <x:is>
          <x:t xml:space="preserve">SYSTEM-TEST-ONLY-NO-NETWORK-NOT-AN-EDUCATIONAL-EVALUATION</x:t>
        </x:is>
      </x:c>
      <x:c r="G22" t="inlineStr">
        <x:is>
          <x:t xml:space="preserve"/>
        </x:is>
      </x:c>
      <x:c r="H22" t="inlineStr">
        <x:is>
          <x:t xml:space="preserve">NONE</x:t>
        </x:is>
      </x:c>
      <x:c r="I22" t="inlineStr">
        <x:is>
          <x:t xml:space="preserve"/>
        </x:is>
      </x:c>
      <x:c r="J22" t="inlineStr">
        <x:is>
          <x:t xml:space="preserve">SUCCESS</x:t>
        </x:is>
      </x:c>
      <x:c r="K22" t="n">
        <x:f>IF((COUNT('Quantification_Results'!E22)=1),IFERROR(ROUND((SUM(('Quantification_Results'!E22*'Quantification_Config'!$R$6))/SUM('Quantification_Config'!$R$6)),'Quantification_Config'!$U$2),""),"")</x:f>
        <x:v>50</x:v>
      </x:c>
      <x:c r="L22" t="n">
        <x:f>IF((COUNT('Quantification_Results'!K22)=1),IFERROR(ROUND((SUM(('Quantification_Results'!K22*'Quantification_Config'!$R$5))/SUM('Quantification_Config'!$R$5)),'Quantification_Config'!$U$2),""),"")</x:f>
        <x:v>50</x:v>
      </x:c>
      <x:c r="M22" t="n">
        <x:v>1</x:v>
      </x:c>
      <x:c r="N22" t="n">
        <x:v>5</x:v>
      </x:c>
      <x:c r="O22"/>
      <x:c r="P22" t="n">
        <x:f>IF(('Quantification_Results'!M22&lt;&gt;1),"",IF(('Quantification_Results'!O22=""),IF(ISNUMBER('Quantification_Results'!N22),IF(('Quantification_Results'!N22&lt;'Quantification_Config'!$S$9),"",IF(('Quantification_Results'!N22&gt;'Quantification_Config'!$T$9),"",'Quantification_Results'!N22)),""),IF(ISNUMBER('Quantification_Results'!O22),IF(('Quantification_Results'!O22&lt;'Quantification_Config'!$S$9),"",IF(('Quantification_Results'!O22&gt;'Quantification_Config'!$T$9),"",'Quantification_Results'!O22)),"")))</x:f>
        <x:v>5</x:v>
      </x:c>
      <x:c r="Q22" t="n">
        <x:f>IF(ISNUMBER('Quantification_Results'!P22),IFERROR(ROUND(((('Quantification_Results'!P22-'Quantification_Config'!$S$9)/('Quantification_Config'!$T$9-'Quantification_Config'!$S$9))*100),'Quantification_Config'!$U$2),""),"")</x:f>
        <x:v>50</x:v>
      </x:c>
      <x:c r="R22" t="inlineStr">
        <x:is>
          <x:t xml:space="preserve">SYSTEM-TEST-ONLY-NO-NETWORK-NOT-AN-EDUCATIONAL-EVALUATION</x:t>
        </x:is>
      </x:c>
      <x:c r="S22" t="inlineStr">
        <x:is>
          <x:t xml:space="preserve"/>
        </x:is>
      </x:c>
      <x:c r="T22" t="inlineStr">
        <x:is>
          <x:t xml:space="preserve">NONE</x:t>
        </x:is>
      </x:c>
      <x:c r="U22" t="inlineStr">
        <x:is>
          <x:t xml:space="preserve"/>
        </x:is>
      </x:c>
      <x:c r="V22" t="inlineStr">
        <x:is>
          <x:t xml:space="preserve">SUCCESS</x:t>
        </x:is>
      </x:c>
      <x:c r="W22" t="n">
        <x:f>IF((COUNT('Quantification_Results'!Q22)=1),IFERROR(ROUND((SUM(('Quantification_Results'!Q22*'Quantification_Config'!$R$9))/SUM('Quantification_Config'!$R$9)),'Quantification_Config'!$U$2),""),"")</x:f>
        <x:v>50</x:v>
      </x:c>
      <x:c r="X22" t="n">
        <x:f>IF((COUNT('Quantification_Results'!W22)=1),IFERROR(ROUND((SUM(('Quantification_Results'!W22*'Quantification_Config'!$R$8))/SUM('Quantification_Config'!$R$8)),'Quantification_Config'!$U$2),""),"")</x:f>
        <x:v>50</x:v>
      </x:c>
      <x:c r="Y22" t="n">
        <x:v>0</x:v>
      </x:c>
      <x:c r="Z22"/>
      <x:c r="AA22"/>
      <x:c r="AB22">
        <x:f>IF(('Quantification_Results'!Y22&lt;&gt;1),"",IF(('Quantification_Results'!AA22=""),IF(ISNUMBER('Quantification_Results'!Z22),IF(('Quantification_Results'!Z22&lt;'Quantification_Config'!$S$12),"",IF(('Quantification_Results'!Z22&gt;'Quantification_Config'!$T$12),"",'Quantification_Results'!Z22)),""),IF(ISNUMBER('Quantification_Results'!AA22),IF(('Quantification_Results'!AA22&lt;'Quantification_Config'!$S$12),"",IF(('Quantification_Results'!AA22&gt;'Quantification_Config'!$T$12),"",'Quantification_Results'!AA22)),"")))</x:f>
      </x:c>
      <x:c r="AC22">
        <x:f>IF(ISNUMBER('Quantification_Results'!AB22),IFERROR(ROUND(((('Quantification_Results'!AB22-'Quantification_Config'!$S$12)/('Quantification_Config'!$T$12-'Quantification_Config'!$S$12))*100),'Quantification_Config'!$U$2),""),"")</x:f>
      </x:c>
      <x:c r="AD22" t="inlineStr">
        <x:is>
          <x:t xml:space="preserve"/>
        </x:is>
      </x:c>
      <x:c r="AE22" t="inlineStr">
        <x:is>
          <x:t xml:space="preserve"/>
        </x:is>
      </x:c>
      <x:c r="AF22" t="inlineStr">
        <x:is>
          <x:t xml:space="preserve"/>
        </x:is>
      </x:c>
      <x:c r="AG22" t="inlineStr">
        <x:is>
          <x:t xml:space="preserve"/>
        </x:is>
      </x:c>
      <x:c r="AH22" t="inlineStr">
        <x:is>
          <x:t xml:space="preserve">EMPTY</x:t>
        </x:is>
      </x:c>
      <x:c r="AI22">
        <x:f>IF((COUNT('Quantification_Results'!AC22)=1),IFERROR(ROUND((SUM(('Quantification_Results'!AC22*'Quantification_Config'!$R$12))/SUM('Quantification_Config'!$R$12)),'Quantification_Config'!$U$2),""),"")</x:f>
      </x:c>
      <x:c r="AJ22">
        <x:f>IF((COUNT('Quantification_Results'!AI22)=1),IFERROR(ROUND((SUM(('Quantification_Results'!AI22*'Quantification_Config'!$R$11))/SUM('Quantification_Config'!$R$11)),'Quantification_Config'!$U$2),""),"")</x:f>
      </x:c>
      <x:c r="AK22" t="n">
        <x:v>1</x:v>
      </x:c>
      <x:c r="AL22" t="n">
        <x:v>5</x:v>
      </x:c>
      <x:c r="AM22"/>
      <x:c r="AN22" t="n">
        <x:f>IF(('Quantification_Results'!AK22&lt;&gt;1),"",IF(('Quantification_Results'!AM22=""),IF(ISNUMBER('Quantification_Results'!AL22),IF(('Quantification_Results'!AL22&lt;'Quantification_Config'!$S$15),"",IF(('Quantification_Results'!AL22&gt;'Quantification_Config'!$T$15),"",'Quantification_Results'!AL22)),""),IF(ISNUMBER('Quantification_Results'!AM22),IF(('Quantification_Results'!AM22&lt;'Quantification_Config'!$S$15),"",IF(('Quantification_Results'!AM22&gt;'Quantification_Config'!$T$15),"",'Quantification_Results'!AM22)),"")))</x:f>
        <x:v>5</x:v>
      </x:c>
      <x:c r="AO22" t="n">
        <x:f>IF(ISNUMBER('Quantification_Results'!AN22),IFERROR(ROUND(((('Quantification_Results'!AN22-'Quantification_Config'!$S$15)/('Quantification_Config'!$T$15-'Quantification_Config'!$S$15))*100),'Quantification_Config'!$U$2),""),"")</x:f>
        <x:v>50</x:v>
      </x:c>
      <x:c r="AP22" t="inlineStr">
        <x:is>
          <x:t xml:space="preserve">SYSTEM-TEST-ONLY-NO-NETWORK-NOT-AN-EDUCATIONAL-EVALUATION</x:t>
        </x:is>
      </x:c>
      <x:c r="AQ22" t="inlineStr">
        <x:is>
          <x:t xml:space="preserve"/>
        </x:is>
      </x:c>
      <x:c r="AR22" t="inlineStr">
        <x:is>
          <x:t xml:space="preserve">NONE</x:t>
        </x:is>
      </x:c>
      <x:c r="AS22" t="inlineStr">
        <x:is>
          <x:t xml:space="preserve"/>
        </x:is>
      </x:c>
      <x:c r="AT22" t="inlineStr">
        <x:is>
          <x:t xml:space="preserve">SUCCESS</x:t>
        </x:is>
      </x:c>
      <x:c r="AU22" t="n">
        <x:f>IF((COUNT('Quantification_Results'!AO22)=1),IFERROR(ROUND((SUM(('Quantification_Results'!AO22*'Quantification_Config'!$R$15))/SUM('Quantification_Config'!$R$15)),'Quantification_Config'!$U$2),""),"")</x:f>
        <x:v>50</x:v>
      </x:c>
      <x:c r="AV22" t="n">
        <x:f>IF((COUNT('Quantification_Results'!AU22)=1),IFERROR(ROUND((SUM(('Quantification_Results'!AU22*'Quantification_Config'!$R$14))/SUM('Quantification_Config'!$R$14)),'Quantification_Config'!$U$2),""),"")</x:f>
        <x:v>50</x:v>
      </x:c>
      <x:c r="AW22" t="n">
        <x:v>1</x:v>
      </x:c>
      <x:c r="AX22" t="n">
        <x:v>5</x:v>
      </x:c>
      <x:c r="AY22"/>
      <x:c r="AZ22" t="n">
        <x:f>IF(('Quantification_Results'!AW22&lt;&gt;1),"",IF(('Quantification_Results'!AY22=""),IF(ISNUMBER('Quantification_Results'!AX22),IF(('Quantification_Results'!AX22&lt;'Quantification_Config'!$S$19),"",IF(('Quantification_Results'!AX22&gt;'Quantification_Config'!$T$19),"",'Quantification_Results'!AX22)),""),IF(ISNUMBER('Quantification_Results'!AY22),IF(('Quantification_Results'!AY22&lt;'Quantification_Config'!$S$19),"",IF(('Quantification_Results'!AY22&gt;'Quantification_Config'!$T$19),"",'Quantification_Results'!AY22)),"")))</x:f>
        <x:v>5</x:v>
      </x:c>
      <x:c r="BA22" t="n">
        <x:f>IF(ISNUMBER('Quantification_Results'!AZ22),IFERROR(ROUND(((('Quantification_Results'!AZ22-'Quantification_Config'!$S$19)/('Quantification_Config'!$T$19-'Quantification_Config'!$S$19))*100),'Quantification_Config'!$U$2),""),"")</x:f>
        <x:v>50</x:v>
      </x:c>
      <x:c r="BB22" t="inlineStr">
        <x:is>
          <x:t xml:space="preserve">SYSTEM-TEST-ONLY-NO-NETWORK-NOT-AN-EDUCATIONAL-EVALUATION</x:t>
        </x:is>
      </x:c>
      <x:c r="BC22" t="inlineStr">
        <x:is>
          <x:t xml:space="preserve"/>
        </x:is>
      </x:c>
      <x:c r="BD22" t="inlineStr">
        <x:is>
          <x:t xml:space="preserve">NONE</x:t>
        </x:is>
      </x:c>
      <x:c r="BE22" t="inlineStr">
        <x:is>
          <x:t xml:space="preserve"/>
        </x:is>
      </x:c>
      <x:c r="BF22" t="inlineStr">
        <x:is>
          <x:t xml:space="preserve">SUCCESS</x:t>
        </x:is>
      </x:c>
      <x:c r="BG22" t="n">
        <x:f>IF((COUNT('Quantification_Results'!BA22)=1),IFERROR(ROUND((SUM(('Quantification_Results'!BA22*'Quantification_Config'!$R$19))/SUM('Quantification_Config'!$R$19)),'Quantification_Config'!$U$2),""),"")</x:f>
        <x:v>50</x:v>
      </x:c>
      <x:c r="BH22" t="n">
        <x:f>IF((COUNT('Quantification_Results'!BG22)=1),IFERROR(ROUND((SUM(('Quantification_Results'!BG22*'Quantification_Config'!$R$18))/SUM('Quantification_Config'!$R$18)),'Quantification_Config'!$U$2),""),"")</x:f>
        <x:v>50</x:v>
      </x:c>
      <x:c r="BI22">
        <x:f>IF((COUNT('Quantification_Results'!L22,'Quantification_Results'!X22,'Quantification_Results'!AJ22,'Quantification_Results'!AV22,'Quantification_Results'!BH22)=5),IFERROR(ROUND((SUM(('Quantification_Results'!L22*'Quantification_Config'!$R$4),('Quantification_Results'!X22*'Quantification_Config'!$R$7),('Quantification_Results'!AJ22*'Quantification_Config'!$R$10),('Quantification_Results'!AV22*'Quantification_Config'!$R$13),('Quantification_Results'!BH22*'Quantification_Config'!$R$16))/SUM('Quantification_Config'!$R$4,'Quantification_Config'!$R$7,'Quantification_Config'!$R$10,'Quantification_Config'!$R$13,'Quantification_Config'!$R$16)),'Quantification_Config'!$U$2),""),"")</x:f>
      </x:c>
    </x:row>
    <x:row r="23">
      <x:c r="A23" t="n">
        <x:v>1</x:v>
      </x:c>
      <x:c r="B23" t="n">
        <x:v>5</x:v>
      </x:c>
      <x:c r="C23"/>
      <x:c r="D23" t="n">
        <x:f>IF(('Quantification_Results'!A23&lt;&gt;1),"",IF(('Quantification_Results'!C23=""),IF(ISNUMBER('Quantification_Results'!B23),IF(('Quantification_Results'!B23&lt;'Quantification_Config'!$S$6),"",IF(('Quantification_Results'!B23&gt;'Quantification_Config'!$T$6),"",'Quantification_Results'!B23)),""),IF(ISNUMBER('Quantification_Results'!C23),IF(('Quantification_Results'!C23&lt;'Quantification_Config'!$S$6),"",IF(('Quantification_Results'!C23&gt;'Quantification_Config'!$T$6),"",'Quantification_Results'!C23)),"")))</x:f>
        <x:v>5</x:v>
      </x:c>
      <x:c r="E23" t="n">
        <x:f>IF(ISNUMBER('Quantification_Results'!D23),IFERROR(ROUND(((('Quantification_Results'!D23-'Quantification_Config'!$S$6)/('Quantification_Config'!$T$6-'Quantification_Config'!$S$6))*100),'Quantification_Config'!$U$2),""),"")</x:f>
        <x:v>50</x:v>
      </x:c>
      <x:c r="F23" t="inlineStr">
        <x:is>
          <x:t xml:space="preserve">SYSTEM-TEST-ONLY-NO-NETWORK-NOT-AN-EDUCATIONAL-EVALUATION</x:t>
        </x:is>
      </x:c>
      <x:c r="G23" t="inlineStr">
        <x:is>
          <x:t xml:space="preserve"/>
        </x:is>
      </x:c>
      <x:c r="H23" t="inlineStr">
        <x:is>
          <x:t xml:space="preserve">NONE</x:t>
        </x:is>
      </x:c>
      <x:c r="I23" t="inlineStr">
        <x:is>
          <x:t xml:space="preserve"/>
        </x:is>
      </x:c>
      <x:c r="J23" t="inlineStr">
        <x:is>
          <x:t xml:space="preserve">SUCCESS</x:t>
        </x:is>
      </x:c>
      <x:c r="K23" t="n">
        <x:f>IF((COUNT('Quantification_Results'!E23)=1),IFERROR(ROUND((SUM(('Quantification_Results'!E23*'Quantification_Config'!$R$6))/SUM('Quantification_Config'!$R$6)),'Quantification_Config'!$U$2),""),"")</x:f>
        <x:v>50</x:v>
      </x:c>
      <x:c r="L23" t="n">
        <x:f>IF((COUNT('Quantification_Results'!K23)=1),IFERROR(ROUND((SUM(('Quantification_Results'!K23*'Quantification_Config'!$R$5))/SUM('Quantification_Config'!$R$5)),'Quantification_Config'!$U$2),""),"")</x:f>
        <x:v>50</x:v>
      </x:c>
      <x:c r="M23" t="n">
        <x:v>1</x:v>
      </x:c>
      <x:c r="N23" t="n">
        <x:v>5</x:v>
      </x:c>
      <x:c r="O23"/>
      <x:c r="P23" t="n">
        <x:f>IF(('Quantification_Results'!M23&lt;&gt;1),"",IF(('Quantification_Results'!O23=""),IF(ISNUMBER('Quantification_Results'!N23),IF(('Quantification_Results'!N23&lt;'Quantification_Config'!$S$9),"",IF(('Quantification_Results'!N23&gt;'Quantification_Config'!$T$9),"",'Quantification_Results'!N23)),""),IF(ISNUMBER('Quantification_Results'!O23),IF(('Quantification_Results'!O23&lt;'Quantification_Config'!$S$9),"",IF(('Quantification_Results'!O23&gt;'Quantification_Config'!$T$9),"",'Quantification_Results'!O23)),"")))</x:f>
        <x:v>5</x:v>
      </x:c>
      <x:c r="Q23" t="n">
        <x:f>IF(ISNUMBER('Quantification_Results'!P23),IFERROR(ROUND(((('Quantification_Results'!P23-'Quantification_Config'!$S$9)/('Quantification_Config'!$T$9-'Quantification_Config'!$S$9))*100),'Quantification_Config'!$U$2),""),"")</x:f>
        <x:v>50</x:v>
      </x:c>
      <x:c r="R23" t="inlineStr">
        <x:is>
          <x:t xml:space="preserve">SYSTEM-TEST-ONLY-NO-NETWORK-NOT-AN-EDUCATIONAL-EVALUATION</x:t>
        </x:is>
      </x:c>
      <x:c r="S23" t="inlineStr">
        <x:is>
          <x:t xml:space="preserve"/>
        </x:is>
      </x:c>
      <x:c r="T23" t="inlineStr">
        <x:is>
          <x:t xml:space="preserve">NONE</x:t>
        </x:is>
      </x:c>
      <x:c r="U23" t="inlineStr">
        <x:is>
          <x:t xml:space="preserve"/>
        </x:is>
      </x:c>
      <x:c r="V23" t="inlineStr">
        <x:is>
          <x:t xml:space="preserve">SUCCESS</x:t>
        </x:is>
      </x:c>
      <x:c r="W23" t="n">
        <x:f>IF((COUNT('Quantification_Results'!Q23)=1),IFERROR(ROUND((SUM(('Quantification_Results'!Q23*'Quantification_Config'!$R$9))/SUM('Quantification_Config'!$R$9)),'Quantification_Config'!$U$2),""),"")</x:f>
        <x:v>50</x:v>
      </x:c>
      <x:c r="X23" t="n">
        <x:f>IF((COUNT('Quantification_Results'!W23)=1),IFERROR(ROUND((SUM(('Quantification_Results'!W23*'Quantification_Config'!$R$8))/SUM('Quantification_Config'!$R$8)),'Quantification_Config'!$U$2),""),"")</x:f>
        <x:v>50</x:v>
      </x:c>
      <x:c r="Y23" t="n">
        <x:v>0</x:v>
      </x:c>
      <x:c r="Z23"/>
      <x:c r="AA23"/>
      <x:c r="AB23">
        <x:f>IF(('Quantification_Results'!Y23&lt;&gt;1),"",IF(('Quantification_Results'!AA23=""),IF(ISNUMBER('Quantification_Results'!Z23),IF(('Quantification_Results'!Z23&lt;'Quantification_Config'!$S$12),"",IF(('Quantification_Results'!Z23&gt;'Quantification_Config'!$T$12),"",'Quantification_Results'!Z23)),""),IF(ISNUMBER('Quantification_Results'!AA23),IF(('Quantification_Results'!AA23&lt;'Quantification_Config'!$S$12),"",IF(('Quantification_Results'!AA23&gt;'Quantification_Config'!$T$12),"",'Quantification_Results'!AA23)),"")))</x:f>
      </x:c>
      <x:c r="AC23">
        <x:f>IF(ISNUMBER('Quantification_Results'!AB23),IFERROR(ROUND(((('Quantification_Results'!AB23-'Quantification_Config'!$S$12)/('Quantification_Config'!$T$12-'Quantification_Config'!$S$12))*100),'Quantification_Config'!$U$2),""),"")</x:f>
      </x:c>
      <x:c r="AD23" t="inlineStr">
        <x:is>
          <x:t xml:space="preserve"/>
        </x:is>
      </x:c>
      <x:c r="AE23" t="inlineStr">
        <x:is>
          <x:t xml:space="preserve"/>
        </x:is>
      </x:c>
      <x:c r="AF23" t="inlineStr">
        <x:is>
          <x:t xml:space="preserve"/>
        </x:is>
      </x:c>
      <x:c r="AG23" t="inlineStr">
        <x:is>
          <x:t xml:space="preserve"/>
        </x:is>
      </x:c>
      <x:c r="AH23" t="inlineStr">
        <x:is>
          <x:t xml:space="preserve">EMPTY</x:t>
        </x:is>
      </x:c>
      <x:c r="AI23">
        <x:f>IF((COUNT('Quantification_Results'!AC23)=1),IFERROR(ROUND((SUM(('Quantification_Results'!AC23*'Quantification_Config'!$R$12))/SUM('Quantification_Config'!$R$12)),'Quantification_Config'!$U$2),""),"")</x:f>
      </x:c>
      <x:c r="AJ23">
        <x:f>IF((COUNT('Quantification_Results'!AI23)=1),IFERROR(ROUND((SUM(('Quantification_Results'!AI23*'Quantification_Config'!$R$11))/SUM('Quantification_Config'!$R$11)),'Quantification_Config'!$U$2),""),"")</x:f>
      </x:c>
      <x:c r="AK23" t="n">
        <x:v>1</x:v>
      </x:c>
      <x:c r="AL23" t="n">
        <x:v>5</x:v>
      </x:c>
      <x:c r="AM23"/>
      <x:c r="AN23" t="n">
        <x:f>IF(('Quantification_Results'!AK23&lt;&gt;1),"",IF(('Quantification_Results'!AM23=""),IF(ISNUMBER('Quantification_Results'!AL23),IF(('Quantification_Results'!AL23&lt;'Quantification_Config'!$S$15),"",IF(('Quantification_Results'!AL23&gt;'Quantification_Config'!$T$15),"",'Quantification_Results'!AL23)),""),IF(ISNUMBER('Quantification_Results'!AM23),IF(('Quantification_Results'!AM23&lt;'Quantification_Config'!$S$15),"",IF(('Quantification_Results'!AM23&gt;'Quantification_Config'!$T$15),"",'Quantification_Results'!AM23)),"")))</x:f>
        <x:v>5</x:v>
      </x:c>
      <x:c r="AO23" t="n">
        <x:f>IF(ISNUMBER('Quantification_Results'!AN23),IFERROR(ROUND(((('Quantification_Results'!AN23-'Quantification_Config'!$S$15)/('Quantification_Config'!$T$15-'Quantification_Config'!$S$15))*100),'Quantification_Config'!$U$2),""),"")</x:f>
        <x:v>50</x:v>
      </x:c>
      <x:c r="AP23" t="inlineStr">
        <x:is>
          <x:t xml:space="preserve">SYSTEM-TEST-ONLY-NO-NETWORK-NOT-AN-EDUCATIONAL-EVALUATION</x:t>
        </x:is>
      </x:c>
      <x:c r="AQ23" t="inlineStr">
        <x:is>
          <x:t xml:space="preserve"/>
        </x:is>
      </x:c>
      <x:c r="AR23" t="inlineStr">
        <x:is>
          <x:t xml:space="preserve">NONE</x:t>
        </x:is>
      </x:c>
      <x:c r="AS23" t="inlineStr">
        <x:is>
          <x:t xml:space="preserve"/>
        </x:is>
      </x:c>
      <x:c r="AT23" t="inlineStr">
        <x:is>
          <x:t xml:space="preserve">SUCCESS</x:t>
        </x:is>
      </x:c>
      <x:c r="AU23" t="n">
        <x:f>IF((COUNT('Quantification_Results'!AO23)=1),IFERROR(ROUND((SUM(('Quantification_Results'!AO23*'Quantification_Config'!$R$15))/SUM('Quantification_Config'!$R$15)),'Quantification_Config'!$U$2),""),"")</x:f>
        <x:v>50</x:v>
      </x:c>
      <x:c r="AV23" t="n">
        <x:f>IF((COUNT('Quantification_Results'!AU23)=1),IFERROR(ROUND((SUM(('Quantification_Results'!AU23*'Quantification_Config'!$R$14))/SUM('Quantification_Config'!$R$14)),'Quantification_Config'!$U$2),""),"")</x:f>
        <x:v>50</x:v>
      </x:c>
      <x:c r="AW23" t="n">
        <x:v>1</x:v>
      </x:c>
      <x:c r="AX23" t="n">
        <x:v>5</x:v>
      </x:c>
      <x:c r="AY23"/>
      <x:c r="AZ23" t="n">
        <x:f>IF(('Quantification_Results'!AW23&lt;&gt;1),"",IF(('Quantification_Results'!AY23=""),IF(ISNUMBER('Quantification_Results'!AX23),IF(('Quantification_Results'!AX23&lt;'Quantification_Config'!$S$19),"",IF(('Quantification_Results'!AX23&gt;'Quantification_Config'!$T$19),"",'Quantification_Results'!AX23)),""),IF(ISNUMBER('Quantification_Results'!AY23),IF(('Quantification_Results'!AY23&lt;'Quantification_Config'!$S$19),"",IF(('Quantification_Results'!AY23&gt;'Quantification_Config'!$T$19),"",'Quantification_Results'!AY23)),"")))</x:f>
        <x:v>5</x:v>
      </x:c>
      <x:c r="BA23" t="n">
        <x:f>IF(ISNUMBER('Quantification_Results'!AZ23),IFERROR(ROUND(((('Quantification_Results'!AZ23-'Quantification_Config'!$S$19)/('Quantification_Config'!$T$19-'Quantification_Config'!$S$19))*100),'Quantification_Config'!$U$2),""),"")</x:f>
        <x:v>50</x:v>
      </x:c>
      <x:c r="BB23" t="inlineStr">
        <x:is>
          <x:t xml:space="preserve">SYSTEM-TEST-ONLY-NO-NETWORK-NOT-AN-EDUCATIONAL-EVALUATION</x:t>
        </x:is>
      </x:c>
      <x:c r="BC23" t="inlineStr">
        <x:is>
          <x:t xml:space="preserve"/>
        </x:is>
      </x:c>
      <x:c r="BD23" t="inlineStr">
        <x:is>
          <x:t xml:space="preserve">NONE</x:t>
        </x:is>
      </x:c>
      <x:c r="BE23" t="inlineStr">
        <x:is>
          <x:t xml:space="preserve"/>
        </x:is>
      </x:c>
      <x:c r="BF23" t="inlineStr">
        <x:is>
          <x:t xml:space="preserve">SUCCESS</x:t>
        </x:is>
      </x:c>
      <x:c r="BG23" t="n">
        <x:f>IF((COUNT('Quantification_Results'!BA23)=1),IFERROR(ROUND((SUM(('Quantification_Results'!BA23*'Quantification_Config'!$R$19))/SUM('Quantification_Config'!$R$19)),'Quantification_Config'!$U$2),""),"")</x:f>
        <x:v>50</x:v>
      </x:c>
      <x:c r="BH23" t="n">
        <x:f>IF((COUNT('Quantification_Results'!BG23)=1),IFERROR(ROUND((SUM(('Quantification_Results'!BG23*'Quantification_Config'!$R$18))/SUM('Quantification_Config'!$R$18)),'Quantification_Config'!$U$2),""),"")</x:f>
        <x:v>50</x:v>
      </x:c>
      <x:c r="BI23">
        <x:f>IF((COUNT('Quantification_Results'!L23,'Quantification_Results'!X23,'Quantification_Results'!AJ23,'Quantification_Results'!AV23,'Quantification_Results'!BH23)=5),IFERROR(ROUND((SUM(('Quantification_Results'!L23*'Quantification_Config'!$R$4),('Quantification_Results'!X23*'Quantification_Config'!$R$7),('Quantification_Results'!AJ23*'Quantification_Config'!$R$10),('Quantification_Results'!AV23*'Quantification_Config'!$R$13),('Quantification_Results'!BH23*'Quantification_Config'!$R$16))/SUM('Quantification_Config'!$R$4,'Quantification_Config'!$R$7,'Quantification_Config'!$R$10,'Quantification_Config'!$R$13,'Quantification_Config'!$R$16)),'Quantification_Config'!$U$2),""),"")</x:f>
      </x:c>
    </x:row>
    <x:row r="24">
      <x:c r="A24" t="n">
        <x:v>1</x:v>
      </x:c>
      <x:c r="B24" t="n">
        <x:v>5</x:v>
      </x:c>
      <x:c r="C24"/>
      <x:c r="D24" t="n">
        <x:f>IF(('Quantification_Results'!A24&lt;&gt;1),"",IF(('Quantification_Results'!C24=""),IF(ISNUMBER('Quantification_Results'!B24),IF(('Quantification_Results'!B24&lt;'Quantification_Config'!$S$6),"",IF(('Quantification_Results'!B24&gt;'Quantification_Config'!$T$6),"",'Quantification_Results'!B24)),""),IF(ISNUMBER('Quantification_Results'!C24),IF(('Quantification_Results'!C24&lt;'Quantification_Config'!$S$6),"",IF(('Quantification_Results'!C24&gt;'Quantification_Config'!$T$6),"",'Quantification_Results'!C24)),"")))</x:f>
        <x:v>5</x:v>
      </x:c>
      <x:c r="E24" t="n">
        <x:f>IF(ISNUMBER('Quantification_Results'!D24),IFERROR(ROUND(((('Quantification_Results'!D24-'Quantification_Config'!$S$6)/('Quantification_Config'!$T$6-'Quantification_Config'!$S$6))*100),'Quantification_Config'!$U$2),""),"")</x:f>
        <x:v>50</x:v>
      </x:c>
      <x:c r="F24" t="inlineStr">
        <x:is>
          <x:t xml:space="preserve">SYSTEM-TEST-ONLY-NO-NETWORK-NOT-AN-EDUCATIONAL-EVALUATION</x:t>
        </x:is>
      </x:c>
      <x:c r="G24" t="inlineStr">
        <x:is>
          <x:t xml:space="preserve"/>
        </x:is>
      </x:c>
      <x:c r="H24" t="inlineStr">
        <x:is>
          <x:t xml:space="preserve">NONE</x:t>
        </x:is>
      </x:c>
      <x:c r="I24" t="inlineStr">
        <x:is>
          <x:t xml:space="preserve"/>
        </x:is>
      </x:c>
      <x:c r="J24" t="inlineStr">
        <x:is>
          <x:t xml:space="preserve">SUCCESS</x:t>
        </x:is>
      </x:c>
      <x:c r="K24" t="n">
        <x:f>IF((COUNT('Quantification_Results'!E24)=1),IFERROR(ROUND((SUM(('Quantification_Results'!E24*'Quantification_Config'!$R$6))/SUM('Quantification_Config'!$R$6)),'Quantification_Config'!$U$2),""),"")</x:f>
        <x:v>50</x:v>
      </x:c>
      <x:c r="L24" t="n">
        <x:f>IF((COUNT('Quantification_Results'!K24)=1),IFERROR(ROUND((SUM(('Quantification_Results'!K24*'Quantification_Config'!$R$5))/SUM('Quantification_Config'!$R$5)),'Quantification_Config'!$U$2),""),"")</x:f>
        <x:v>50</x:v>
      </x:c>
      <x:c r="M24" t="n">
        <x:v>1</x:v>
      </x:c>
      <x:c r="N24" t="n">
        <x:v>5</x:v>
      </x:c>
      <x:c r="O24"/>
      <x:c r="P24" t="n">
        <x:f>IF(('Quantification_Results'!M24&lt;&gt;1),"",IF(('Quantification_Results'!O24=""),IF(ISNUMBER('Quantification_Results'!N24),IF(('Quantification_Results'!N24&lt;'Quantification_Config'!$S$9),"",IF(('Quantification_Results'!N24&gt;'Quantification_Config'!$T$9),"",'Quantification_Results'!N24)),""),IF(ISNUMBER('Quantification_Results'!O24),IF(('Quantification_Results'!O24&lt;'Quantification_Config'!$S$9),"",IF(('Quantification_Results'!O24&gt;'Quantification_Config'!$T$9),"",'Quantification_Results'!O24)),"")))</x:f>
        <x:v>5</x:v>
      </x:c>
      <x:c r="Q24" t="n">
        <x:f>IF(ISNUMBER('Quantification_Results'!P24),IFERROR(ROUND(((('Quantification_Results'!P24-'Quantification_Config'!$S$9)/('Quantification_Config'!$T$9-'Quantification_Config'!$S$9))*100),'Quantification_Config'!$U$2),""),"")</x:f>
        <x:v>50</x:v>
      </x:c>
      <x:c r="R24" t="inlineStr">
        <x:is>
          <x:t xml:space="preserve">SYSTEM-TEST-ONLY-NO-NETWORK-NOT-AN-EDUCATIONAL-EVALUATION</x:t>
        </x:is>
      </x:c>
      <x:c r="S24" t="inlineStr">
        <x:is>
          <x:t xml:space="preserve"/>
        </x:is>
      </x:c>
      <x:c r="T24" t="inlineStr">
        <x:is>
          <x:t xml:space="preserve">NONE</x:t>
        </x:is>
      </x:c>
      <x:c r="U24" t="inlineStr">
        <x:is>
          <x:t xml:space="preserve"/>
        </x:is>
      </x:c>
      <x:c r="V24" t="inlineStr">
        <x:is>
          <x:t xml:space="preserve">SUCCESS</x:t>
        </x:is>
      </x:c>
      <x:c r="W24" t="n">
        <x:f>IF((COUNT('Quantification_Results'!Q24)=1),IFERROR(ROUND((SUM(('Quantification_Results'!Q24*'Quantification_Config'!$R$9))/SUM('Quantification_Config'!$R$9)),'Quantification_Config'!$U$2),""),"")</x:f>
        <x:v>50</x:v>
      </x:c>
      <x:c r="X24" t="n">
        <x:f>IF((COUNT('Quantification_Results'!W24)=1),IFERROR(ROUND((SUM(('Quantification_Results'!W24*'Quantification_Config'!$R$8))/SUM('Quantification_Config'!$R$8)),'Quantification_Config'!$U$2),""),"")</x:f>
        <x:v>50</x:v>
      </x:c>
      <x:c r="Y24" t="n">
        <x:v>0</x:v>
      </x:c>
      <x:c r="Z24"/>
      <x:c r="AA24"/>
      <x:c r="AB24">
        <x:f>IF(('Quantification_Results'!Y24&lt;&gt;1),"",IF(('Quantification_Results'!AA24=""),IF(ISNUMBER('Quantification_Results'!Z24),IF(('Quantification_Results'!Z24&lt;'Quantification_Config'!$S$12),"",IF(('Quantification_Results'!Z24&gt;'Quantification_Config'!$T$12),"",'Quantification_Results'!Z24)),""),IF(ISNUMBER('Quantification_Results'!AA24),IF(('Quantification_Results'!AA24&lt;'Quantification_Config'!$S$12),"",IF(('Quantification_Results'!AA24&gt;'Quantification_Config'!$T$12),"",'Quantification_Results'!AA24)),"")))</x:f>
      </x:c>
      <x:c r="AC24">
        <x:f>IF(ISNUMBER('Quantification_Results'!AB24),IFERROR(ROUND(((('Quantification_Results'!AB24-'Quantification_Config'!$S$12)/('Quantification_Config'!$T$12-'Quantification_Config'!$S$12))*100),'Quantification_Config'!$U$2),""),"")</x:f>
      </x:c>
      <x:c r="AD24" t="inlineStr">
        <x:is>
          <x:t xml:space="preserve"/>
        </x:is>
      </x:c>
      <x:c r="AE24" t="inlineStr">
        <x:is>
          <x:t xml:space="preserve"/>
        </x:is>
      </x:c>
      <x:c r="AF24" t="inlineStr">
        <x:is>
          <x:t xml:space="preserve"/>
        </x:is>
      </x:c>
      <x:c r="AG24" t="inlineStr">
        <x:is>
          <x:t xml:space="preserve"/>
        </x:is>
      </x:c>
      <x:c r="AH24" t="inlineStr">
        <x:is>
          <x:t xml:space="preserve">EMPTY</x:t>
        </x:is>
      </x:c>
      <x:c r="AI24">
        <x:f>IF((COUNT('Quantification_Results'!AC24)=1),IFERROR(ROUND((SUM(('Quantification_Results'!AC24*'Quantification_Config'!$R$12))/SUM('Quantification_Config'!$R$12)),'Quantification_Config'!$U$2),""),"")</x:f>
      </x:c>
      <x:c r="AJ24">
        <x:f>IF((COUNT('Quantification_Results'!AI24)=1),IFERROR(ROUND((SUM(('Quantification_Results'!AI24*'Quantification_Config'!$R$11))/SUM('Quantification_Config'!$R$11)),'Quantification_Config'!$U$2),""),"")</x:f>
      </x:c>
      <x:c r="AK24" t="n">
        <x:v>1</x:v>
      </x:c>
      <x:c r="AL24" t="n">
        <x:v>5</x:v>
      </x:c>
      <x:c r="AM24"/>
      <x:c r="AN24" t="n">
        <x:f>IF(('Quantification_Results'!AK24&lt;&gt;1),"",IF(('Quantification_Results'!AM24=""),IF(ISNUMBER('Quantification_Results'!AL24),IF(('Quantification_Results'!AL24&lt;'Quantification_Config'!$S$15),"",IF(('Quantification_Results'!AL24&gt;'Quantification_Config'!$T$15),"",'Quantification_Results'!AL24)),""),IF(ISNUMBER('Quantification_Results'!AM24),IF(('Quantification_Results'!AM24&lt;'Quantification_Config'!$S$15),"",IF(('Quantification_Results'!AM24&gt;'Quantification_Config'!$T$15),"",'Quantification_Results'!AM24)),"")))</x:f>
        <x:v>5</x:v>
      </x:c>
      <x:c r="AO24" t="n">
        <x:f>IF(ISNUMBER('Quantification_Results'!AN24),IFERROR(ROUND(((('Quantification_Results'!AN24-'Quantification_Config'!$S$15)/('Quantification_Config'!$T$15-'Quantification_Config'!$S$15))*100),'Quantification_Config'!$U$2),""),"")</x:f>
        <x:v>50</x:v>
      </x:c>
      <x:c r="AP24" t="inlineStr">
        <x:is>
          <x:t xml:space="preserve">SYSTEM-TEST-ONLY-NO-NETWORK-NOT-AN-EDUCATIONAL-EVALUATION</x:t>
        </x:is>
      </x:c>
      <x:c r="AQ24" t="inlineStr">
        <x:is>
          <x:t xml:space="preserve"/>
        </x:is>
      </x:c>
      <x:c r="AR24" t="inlineStr">
        <x:is>
          <x:t xml:space="preserve">NONE</x:t>
        </x:is>
      </x:c>
      <x:c r="AS24" t="inlineStr">
        <x:is>
          <x:t xml:space="preserve"/>
        </x:is>
      </x:c>
      <x:c r="AT24" t="inlineStr">
        <x:is>
          <x:t xml:space="preserve">SUCCESS</x:t>
        </x:is>
      </x:c>
      <x:c r="AU24" t="n">
        <x:f>IF((COUNT('Quantification_Results'!AO24)=1),IFERROR(ROUND((SUM(('Quantification_Results'!AO24*'Quantification_Config'!$R$15))/SUM('Quantification_Config'!$R$15)),'Quantification_Config'!$U$2),""),"")</x:f>
        <x:v>50</x:v>
      </x:c>
      <x:c r="AV24" t="n">
        <x:f>IF((COUNT('Quantification_Results'!AU24)=1),IFERROR(ROUND((SUM(('Quantification_Results'!AU24*'Quantification_Config'!$R$14))/SUM('Quantification_Config'!$R$14)),'Quantification_Config'!$U$2),""),"")</x:f>
        <x:v>50</x:v>
      </x:c>
      <x:c r="AW24" t="n">
        <x:v>0</x:v>
      </x:c>
      <x:c r="AX24"/>
      <x:c r="AY24"/>
      <x:c r="AZ24">
        <x:f>IF(('Quantification_Results'!AW24&lt;&gt;1),"",IF(('Quantification_Results'!AY24=""),IF(ISNUMBER('Quantification_Results'!AX24),IF(('Quantification_Results'!AX24&lt;'Quantification_Config'!$S$19),"",IF(('Quantification_Results'!AX24&gt;'Quantification_Config'!$T$19),"",'Quantification_Results'!AX24)),""),IF(ISNUMBER('Quantification_Results'!AY24),IF(('Quantification_Results'!AY24&lt;'Quantification_Config'!$S$19),"",IF(('Quantification_Results'!AY24&gt;'Quantification_Config'!$T$19),"",'Quantification_Results'!AY24)),"")))</x:f>
      </x:c>
      <x:c r="BA24">
        <x:f>IF(ISNUMBER('Quantification_Results'!AZ24),IFERROR(ROUND(((('Quantification_Results'!AZ24-'Quantification_Config'!$S$19)/('Quantification_Config'!$T$19-'Quantification_Config'!$S$19))*100),'Quantification_Config'!$U$2),""),"")</x:f>
      </x:c>
      <x:c r="BB24" t="inlineStr">
        <x:is>
          <x:t xml:space="preserve"/>
        </x:is>
      </x:c>
      <x:c r="BC24" t="inlineStr">
        <x:is>
          <x:t xml:space="preserve"/>
        </x:is>
      </x:c>
      <x:c r="BD24" t="inlineStr">
        <x:is>
          <x:t xml:space="preserve"/>
        </x:is>
      </x:c>
      <x:c r="BE24" t="inlineStr">
        <x:is>
          <x:t xml:space="preserve"/>
        </x:is>
      </x:c>
      <x:c r="BF24" t="inlineStr">
        <x:is>
          <x:t xml:space="preserve">EMPTY</x:t>
        </x:is>
      </x:c>
      <x:c r="BG24">
        <x:f>IF((COUNT('Quantification_Results'!BA24)=1),IFERROR(ROUND((SUM(('Quantification_Results'!BA24*'Quantification_Config'!$R$19))/SUM('Quantification_Config'!$R$19)),'Quantification_Config'!$U$2),""),"")</x:f>
      </x:c>
      <x:c r="BH24">
        <x:f>IF((COUNT('Quantification_Results'!BG24)=1),IFERROR(ROUND((SUM(('Quantification_Results'!BG24*'Quantification_Config'!$R$18))/SUM('Quantification_Config'!$R$18)),'Quantification_Config'!$U$2),""),"")</x:f>
      </x:c>
      <x:c r="BI24">
        <x:f>IF((COUNT('Quantification_Results'!L24,'Quantification_Results'!X24,'Quantification_Results'!AJ24,'Quantification_Results'!AV24,'Quantification_Results'!BH24)=5),IFERROR(ROUND((SUM(('Quantification_Results'!L24*'Quantification_Config'!$R$4),('Quantification_Results'!X24*'Quantification_Config'!$R$7),('Quantification_Results'!AJ24*'Quantification_Config'!$R$10),('Quantification_Results'!AV24*'Quantification_Config'!$R$13),('Quantification_Results'!BH24*'Quantification_Config'!$R$16))/SUM('Quantification_Config'!$R$4,'Quantification_Config'!$R$7,'Quantification_Config'!$R$10,'Quantification_Config'!$R$13,'Quantification_Config'!$R$16)),'Quantification_Config'!$U$2),""),"")</x:f>
      </x:c>
    </x:row>
    <x:row r="25">
      <x:c r="A25" t="n">
        <x:v>1</x:v>
      </x:c>
      <x:c r="B25" t="n">
        <x:v>5</x:v>
      </x:c>
      <x:c r="C25"/>
      <x:c r="D25" t="n">
        <x:f>IF(('Quantification_Results'!A25&lt;&gt;1),"",IF(('Quantification_Results'!C25=""),IF(ISNUMBER('Quantification_Results'!B25),IF(('Quantification_Results'!B25&lt;'Quantification_Config'!$S$6),"",IF(('Quantification_Results'!B25&gt;'Quantification_Config'!$T$6),"",'Quantification_Results'!B25)),""),IF(ISNUMBER('Quantification_Results'!C25),IF(('Quantification_Results'!C25&lt;'Quantification_Config'!$S$6),"",IF(('Quantification_Results'!C25&gt;'Quantification_Config'!$T$6),"",'Quantification_Results'!C25)),"")))</x:f>
        <x:v>5</x:v>
      </x:c>
      <x:c r="E25" t="n">
        <x:f>IF(ISNUMBER('Quantification_Results'!D25),IFERROR(ROUND(((('Quantification_Results'!D25-'Quantification_Config'!$S$6)/('Quantification_Config'!$T$6-'Quantification_Config'!$S$6))*100),'Quantification_Config'!$U$2),""),"")</x:f>
        <x:v>50</x:v>
      </x:c>
      <x:c r="F25" t="inlineStr">
        <x:is>
          <x:t xml:space="preserve">SYSTEM-TEST-ONLY-NO-NETWORK-NOT-AN-EDUCATIONAL-EVALUATION</x:t>
        </x:is>
      </x:c>
      <x:c r="G25" t="inlineStr">
        <x:is>
          <x:t xml:space="preserve"/>
        </x:is>
      </x:c>
      <x:c r="H25" t="inlineStr">
        <x:is>
          <x:t xml:space="preserve">NONE</x:t>
        </x:is>
      </x:c>
      <x:c r="I25" t="inlineStr">
        <x:is>
          <x:t xml:space="preserve"/>
        </x:is>
      </x:c>
      <x:c r="J25" t="inlineStr">
        <x:is>
          <x:t xml:space="preserve">SUCCESS</x:t>
        </x:is>
      </x:c>
      <x:c r="K25" t="n">
        <x:f>IF((COUNT('Quantification_Results'!E25)=1),IFERROR(ROUND((SUM(('Quantification_Results'!E25*'Quantification_Config'!$R$6))/SUM('Quantification_Config'!$R$6)),'Quantification_Config'!$U$2),""),"")</x:f>
        <x:v>50</x:v>
      </x:c>
      <x:c r="L25" t="n">
        <x:f>IF((COUNT('Quantification_Results'!K25)=1),IFERROR(ROUND((SUM(('Quantification_Results'!K25*'Quantification_Config'!$R$5))/SUM('Quantification_Config'!$R$5)),'Quantification_Config'!$U$2),""),"")</x:f>
        <x:v>50</x:v>
      </x:c>
      <x:c r="M25" t="n">
        <x:v>1</x:v>
      </x:c>
      <x:c r="N25" t="n">
        <x:v>5</x:v>
      </x:c>
      <x:c r="O25"/>
      <x:c r="P25" t="n">
        <x:f>IF(('Quantification_Results'!M25&lt;&gt;1),"",IF(('Quantification_Results'!O25=""),IF(ISNUMBER('Quantification_Results'!N25),IF(('Quantification_Results'!N25&lt;'Quantification_Config'!$S$9),"",IF(('Quantification_Results'!N25&gt;'Quantification_Config'!$T$9),"",'Quantification_Results'!N25)),""),IF(ISNUMBER('Quantification_Results'!O25),IF(('Quantification_Results'!O25&lt;'Quantification_Config'!$S$9),"",IF(('Quantification_Results'!O25&gt;'Quantification_Config'!$T$9),"",'Quantification_Results'!O25)),"")))</x:f>
        <x:v>5</x:v>
      </x:c>
      <x:c r="Q25" t="n">
        <x:f>IF(ISNUMBER('Quantification_Results'!P25),IFERROR(ROUND(((('Quantification_Results'!P25-'Quantification_Config'!$S$9)/('Quantification_Config'!$T$9-'Quantification_Config'!$S$9))*100),'Quantification_Config'!$U$2),""),"")</x:f>
        <x:v>50</x:v>
      </x:c>
      <x:c r="R25" t="inlineStr">
        <x:is>
          <x:t xml:space="preserve">SYSTEM-TEST-ONLY-NO-NETWORK-NOT-AN-EDUCATIONAL-EVALUATION</x:t>
        </x:is>
      </x:c>
      <x:c r="S25" t="inlineStr">
        <x:is>
          <x:t xml:space="preserve"/>
        </x:is>
      </x:c>
      <x:c r="T25" t="inlineStr">
        <x:is>
          <x:t xml:space="preserve">NONE</x:t>
        </x:is>
      </x:c>
      <x:c r="U25" t="inlineStr">
        <x:is>
          <x:t xml:space="preserve"/>
        </x:is>
      </x:c>
      <x:c r="V25" t="inlineStr">
        <x:is>
          <x:t xml:space="preserve">SUCCESS</x:t>
        </x:is>
      </x:c>
      <x:c r="W25" t="n">
        <x:f>IF((COUNT('Quantification_Results'!Q25)=1),IFERROR(ROUND((SUM(('Quantification_Results'!Q25*'Quantification_Config'!$R$9))/SUM('Quantification_Config'!$R$9)),'Quantification_Config'!$U$2),""),"")</x:f>
        <x:v>50</x:v>
      </x:c>
      <x:c r="X25" t="n">
        <x:f>IF((COUNT('Quantification_Results'!W25)=1),IFERROR(ROUND((SUM(('Quantification_Results'!W25*'Quantification_Config'!$R$8))/SUM('Quantification_Config'!$R$8)),'Quantification_Config'!$U$2),""),"")</x:f>
        <x:v>50</x:v>
      </x:c>
      <x:c r="Y25" t="n">
        <x:v>0</x:v>
      </x:c>
      <x:c r="Z25"/>
      <x:c r="AA25"/>
      <x:c r="AB25">
        <x:f>IF(('Quantification_Results'!Y25&lt;&gt;1),"",IF(('Quantification_Results'!AA25=""),IF(ISNUMBER('Quantification_Results'!Z25),IF(('Quantification_Results'!Z25&lt;'Quantification_Config'!$S$12),"",IF(('Quantification_Results'!Z25&gt;'Quantification_Config'!$T$12),"",'Quantification_Results'!Z25)),""),IF(ISNUMBER('Quantification_Results'!AA25),IF(('Quantification_Results'!AA25&lt;'Quantification_Config'!$S$12),"",IF(('Quantification_Results'!AA25&gt;'Quantification_Config'!$T$12),"",'Quantification_Results'!AA25)),"")))</x:f>
      </x:c>
      <x:c r="AC25">
        <x:f>IF(ISNUMBER('Quantification_Results'!AB25),IFERROR(ROUND(((('Quantification_Results'!AB25-'Quantification_Config'!$S$12)/('Quantification_Config'!$T$12-'Quantification_Config'!$S$12))*100),'Quantification_Config'!$U$2),""),"")</x:f>
      </x:c>
      <x:c r="AD25" t="inlineStr">
        <x:is>
          <x:t xml:space="preserve"/>
        </x:is>
      </x:c>
      <x:c r="AE25" t="inlineStr">
        <x:is>
          <x:t xml:space="preserve"/>
        </x:is>
      </x:c>
      <x:c r="AF25" t="inlineStr">
        <x:is>
          <x:t xml:space="preserve"/>
        </x:is>
      </x:c>
      <x:c r="AG25" t="inlineStr">
        <x:is>
          <x:t xml:space="preserve"/>
        </x:is>
      </x:c>
      <x:c r="AH25" t="inlineStr">
        <x:is>
          <x:t xml:space="preserve">EMPTY</x:t>
        </x:is>
      </x:c>
      <x:c r="AI25">
        <x:f>IF((COUNT('Quantification_Results'!AC25)=1),IFERROR(ROUND((SUM(('Quantification_Results'!AC25*'Quantification_Config'!$R$12))/SUM('Quantification_Config'!$R$12)),'Quantification_Config'!$U$2),""),"")</x:f>
      </x:c>
      <x:c r="AJ25">
        <x:f>IF((COUNT('Quantification_Results'!AI25)=1),IFERROR(ROUND((SUM(('Quantification_Results'!AI25*'Quantification_Config'!$R$11))/SUM('Quantification_Config'!$R$11)),'Quantification_Config'!$U$2),""),"")</x:f>
      </x:c>
      <x:c r="AK25" t="n">
        <x:v>1</x:v>
      </x:c>
      <x:c r="AL25" t="n">
        <x:v>5</x:v>
      </x:c>
      <x:c r="AM25"/>
      <x:c r="AN25" t="n">
        <x:f>IF(('Quantification_Results'!AK25&lt;&gt;1),"",IF(('Quantification_Results'!AM25=""),IF(ISNUMBER('Quantification_Results'!AL25),IF(('Quantification_Results'!AL25&lt;'Quantification_Config'!$S$15),"",IF(('Quantification_Results'!AL25&gt;'Quantification_Config'!$T$15),"",'Quantification_Results'!AL25)),""),IF(ISNUMBER('Quantification_Results'!AM25),IF(('Quantification_Results'!AM25&lt;'Quantification_Config'!$S$15),"",IF(('Quantification_Results'!AM25&gt;'Quantification_Config'!$T$15),"",'Quantification_Results'!AM25)),"")))</x:f>
        <x:v>5</x:v>
      </x:c>
      <x:c r="AO25" t="n">
        <x:f>IF(ISNUMBER('Quantification_Results'!AN25),IFERROR(ROUND(((('Quantification_Results'!AN25-'Quantification_Config'!$S$15)/('Quantification_Config'!$T$15-'Quantification_Config'!$S$15))*100),'Quantification_Config'!$U$2),""),"")</x:f>
        <x:v>50</x:v>
      </x:c>
      <x:c r="AP25" t="inlineStr">
        <x:is>
          <x:t xml:space="preserve">SYSTEM-TEST-ONLY-NO-NETWORK-NOT-AN-EDUCATIONAL-EVALUATION</x:t>
        </x:is>
      </x:c>
      <x:c r="AQ25" t="inlineStr">
        <x:is>
          <x:t xml:space="preserve"/>
        </x:is>
      </x:c>
      <x:c r="AR25" t="inlineStr">
        <x:is>
          <x:t xml:space="preserve">NONE</x:t>
        </x:is>
      </x:c>
      <x:c r="AS25" t="inlineStr">
        <x:is>
          <x:t xml:space="preserve"/>
        </x:is>
      </x:c>
      <x:c r="AT25" t="inlineStr">
        <x:is>
          <x:t xml:space="preserve">SUCCESS</x:t>
        </x:is>
      </x:c>
      <x:c r="AU25" t="n">
        <x:f>IF((COUNT('Quantification_Results'!AO25)=1),IFERROR(ROUND((SUM(('Quantification_Results'!AO25*'Quantification_Config'!$R$15))/SUM('Quantification_Config'!$R$15)),'Quantification_Config'!$U$2),""),"")</x:f>
        <x:v>50</x:v>
      </x:c>
      <x:c r="AV25" t="n">
        <x:f>IF((COUNT('Quantification_Results'!AU25)=1),IFERROR(ROUND((SUM(('Quantification_Results'!AU25*'Quantification_Config'!$R$14))/SUM('Quantification_Config'!$R$14)),'Quantification_Config'!$U$2),""),"")</x:f>
        <x:v>50</x:v>
      </x:c>
      <x:c r="AW25" t="n">
        <x:v>1</x:v>
      </x:c>
      <x:c r="AX25" t="n">
        <x:v>5</x:v>
      </x:c>
      <x:c r="AY25"/>
      <x:c r="AZ25" t="n">
        <x:f>IF(('Quantification_Results'!AW25&lt;&gt;1),"",IF(('Quantification_Results'!AY25=""),IF(ISNUMBER('Quantification_Results'!AX25),IF(('Quantification_Results'!AX25&lt;'Quantification_Config'!$S$19),"",IF(('Quantification_Results'!AX25&gt;'Quantification_Config'!$T$19),"",'Quantification_Results'!AX25)),""),IF(ISNUMBER('Quantification_Results'!AY25),IF(('Quantification_Results'!AY25&lt;'Quantification_Config'!$S$19),"",IF(('Quantification_Results'!AY25&gt;'Quantification_Config'!$T$19),"",'Quantification_Results'!AY25)),"")))</x:f>
        <x:v>5</x:v>
      </x:c>
      <x:c r="BA25" t="n">
        <x:f>IF(ISNUMBER('Quantification_Results'!AZ25),IFERROR(ROUND(((('Quantification_Results'!AZ25-'Quantification_Config'!$S$19)/('Quantification_Config'!$T$19-'Quantification_Config'!$S$19))*100),'Quantification_Config'!$U$2),""),"")</x:f>
        <x:v>50</x:v>
      </x:c>
      <x:c r="BB25" t="inlineStr">
        <x:is>
          <x:t xml:space="preserve">SYSTEM-TEST-ONLY-NO-NETWORK-NOT-AN-EDUCATIONAL-EVALUATION</x:t>
        </x:is>
      </x:c>
      <x:c r="BC25" t="inlineStr">
        <x:is>
          <x:t xml:space="preserve"/>
        </x:is>
      </x:c>
      <x:c r="BD25" t="inlineStr">
        <x:is>
          <x:t xml:space="preserve">NONE</x:t>
        </x:is>
      </x:c>
      <x:c r="BE25" t="inlineStr">
        <x:is>
          <x:t xml:space="preserve"/>
        </x:is>
      </x:c>
      <x:c r="BF25" t="inlineStr">
        <x:is>
          <x:t xml:space="preserve">SUCCESS</x:t>
        </x:is>
      </x:c>
      <x:c r="BG25" t="n">
        <x:f>IF((COUNT('Quantification_Results'!BA25)=1),IFERROR(ROUND((SUM(('Quantification_Results'!BA25*'Quantification_Config'!$R$19))/SUM('Quantification_Config'!$R$19)),'Quantification_Config'!$U$2),""),"")</x:f>
        <x:v>50</x:v>
      </x:c>
      <x:c r="BH25" t="n">
        <x:f>IF((COUNT('Quantification_Results'!BG25)=1),IFERROR(ROUND((SUM(('Quantification_Results'!BG25*'Quantification_Config'!$R$18))/SUM('Quantification_Config'!$R$18)),'Quantification_Config'!$U$2),""),"")</x:f>
        <x:v>50</x:v>
      </x:c>
      <x:c r="BI25">
        <x:f>IF((COUNT('Quantification_Results'!L25,'Quantification_Results'!X25,'Quantification_Results'!AJ25,'Quantification_Results'!AV25,'Quantification_Results'!BH25)=5),IFERROR(ROUND((SUM(('Quantification_Results'!L25*'Quantification_Config'!$R$4),('Quantification_Results'!X25*'Quantification_Config'!$R$7),('Quantification_Results'!AJ25*'Quantification_Config'!$R$10),('Quantification_Results'!AV25*'Quantification_Config'!$R$13),('Quantification_Results'!BH25*'Quantification_Config'!$R$16))/SUM('Quantification_Config'!$R$4,'Quantification_Config'!$R$7,'Quantification_Config'!$R$10,'Quantification_Config'!$R$13,'Quantification_Config'!$R$16)),'Quantification_Config'!$U$2),""),"")</x:f>
      </x:c>
    </x:row>
    <x:row r="26">
      <x:c r="A26" t="n">
        <x:v>1</x:v>
      </x:c>
      <x:c r="B26" t="n">
        <x:v>5</x:v>
      </x:c>
      <x:c r="C26"/>
      <x:c r="D26" t="n">
        <x:f>IF(('Quantification_Results'!A26&lt;&gt;1),"",IF(('Quantification_Results'!C26=""),IF(ISNUMBER('Quantification_Results'!B26),IF(('Quantification_Results'!B26&lt;'Quantification_Config'!$S$6),"",IF(('Quantification_Results'!B26&gt;'Quantification_Config'!$T$6),"",'Quantification_Results'!B26)),""),IF(ISNUMBER('Quantification_Results'!C26),IF(('Quantification_Results'!C26&lt;'Quantification_Config'!$S$6),"",IF(('Quantification_Results'!C26&gt;'Quantification_Config'!$T$6),"",'Quantification_Results'!C26)),"")))</x:f>
        <x:v>5</x:v>
      </x:c>
      <x:c r="E26" t="n">
        <x:f>IF(ISNUMBER('Quantification_Results'!D26),IFERROR(ROUND(((('Quantification_Results'!D26-'Quantification_Config'!$S$6)/('Quantification_Config'!$T$6-'Quantification_Config'!$S$6))*100),'Quantification_Config'!$U$2),""),"")</x:f>
        <x:v>50</x:v>
      </x:c>
      <x:c r="F26" t="inlineStr">
        <x:is>
          <x:t xml:space="preserve">SYSTEM-TEST-ONLY-NO-NETWORK-NOT-AN-EDUCATIONAL-EVALUATION</x:t>
        </x:is>
      </x:c>
      <x:c r="G26" t="inlineStr">
        <x:is>
          <x:t xml:space="preserve"/>
        </x:is>
      </x:c>
      <x:c r="H26" t="inlineStr">
        <x:is>
          <x:t xml:space="preserve">NONE</x:t>
        </x:is>
      </x:c>
      <x:c r="I26" t="inlineStr">
        <x:is>
          <x:t xml:space="preserve"/>
        </x:is>
      </x:c>
      <x:c r="J26" t="inlineStr">
        <x:is>
          <x:t xml:space="preserve">SUCCESS</x:t>
        </x:is>
      </x:c>
      <x:c r="K26" t="n">
        <x:f>IF((COUNT('Quantification_Results'!E26)=1),IFERROR(ROUND((SUM(('Quantification_Results'!E26*'Quantification_Config'!$R$6))/SUM('Quantification_Config'!$R$6)),'Quantification_Config'!$U$2),""),"")</x:f>
        <x:v>50</x:v>
      </x:c>
      <x:c r="L26" t="n">
        <x:f>IF((COUNT('Quantification_Results'!K26)=1),IFERROR(ROUND((SUM(('Quantification_Results'!K26*'Quantification_Config'!$R$5))/SUM('Quantification_Config'!$R$5)),'Quantification_Config'!$U$2),""),"")</x:f>
        <x:v>50</x:v>
      </x:c>
      <x:c r="M26" t="n">
        <x:v>1</x:v>
      </x:c>
      <x:c r="N26" t="n">
        <x:v>5</x:v>
      </x:c>
      <x:c r="O26"/>
      <x:c r="P26" t="n">
        <x:f>IF(('Quantification_Results'!M26&lt;&gt;1),"",IF(('Quantification_Results'!O26=""),IF(ISNUMBER('Quantification_Results'!N26),IF(('Quantification_Results'!N26&lt;'Quantification_Config'!$S$9),"",IF(('Quantification_Results'!N26&gt;'Quantification_Config'!$T$9),"",'Quantification_Results'!N26)),""),IF(ISNUMBER('Quantification_Results'!O26),IF(('Quantification_Results'!O26&lt;'Quantification_Config'!$S$9),"",IF(('Quantification_Results'!O26&gt;'Quantification_Config'!$T$9),"",'Quantification_Results'!O26)),"")))</x:f>
        <x:v>5</x:v>
      </x:c>
      <x:c r="Q26" t="n">
        <x:f>IF(ISNUMBER('Quantification_Results'!P26),IFERROR(ROUND(((('Quantification_Results'!P26-'Quantification_Config'!$S$9)/('Quantification_Config'!$T$9-'Quantification_Config'!$S$9))*100),'Quantification_Config'!$U$2),""),"")</x:f>
        <x:v>50</x:v>
      </x:c>
      <x:c r="R26" t="inlineStr">
        <x:is>
          <x:t xml:space="preserve">SYSTEM-TEST-ONLY-NO-NETWORK-NOT-AN-EDUCATIONAL-EVALUATION</x:t>
        </x:is>
      </x:c>
      <x:c r="S26" t="inlineStr">
        <x:is>
          <x:t xml:space="preserve"/>
        </x:is>
      </x:c>
      <x:c r="T26" t="inlineStr">
        <x:is>
          <x:t xml:space="preserve">NONE</x:t>
        </x:is>
      </x:c>
      <x:c r="U26" t="inlineStr">
        <x:is>
          <x:t xml:space="preserve"/>
        </x:is>
      </x:c>
      <x:c r="V26" t="inlineStr">
        <x:is>
          <x:t xml:space="preserve">SUCCESS</x:t>
        </x:is>
      </x:c>
      <x:c r="W26" t="n">
        <x:f>IF((COUNT('Quantification_Results'!Q26)=1),IFERROR(ROUND((SUM(('Quantification_Results'!Q26*'Quantification_Config'!$R$9))/SUM('Quantification_Config'!$R$9)),'Quantification_Config'!$U$2),""),"")</x:f>
        <x:v>50</x:v>
      </x:c>
      <x:c r="X26" t="n">
        <x:f>IF((COUNT('Quantification_Results'!W26)=1),IFERROR(ROUND((SUM(('Quantification_Results'!W26*'Quantification_Config'!$R$8))/SUM('Quantification_Config'!$R$8)),'Quantification_Config'!$U$2),""),"")</x:f>
        <x:v>50</x:v>
      </x:c>
      <x:c r="Y26" t="n">
        <x:v>0</x:v>
      </x:c>
      <x:c r="Z26"/>
      <x:c r="AA26"/>
      <x:c r="AB26">
        <x:f>IF(('Quantification_Results'!Y26&lt;&gt;1),"",IF(('Quantification_Results'!AA26=""),IF(ISNUMBER('Quantification_Results'!Z26),IF(('Quantification_Results'!Z26&lt;'Quantification_Config'!$S$12),"",IF(('Quantification_Results'!Z26&gt;'Quantification_Config'!$T$12),"",'Quantification_Results'!Z26)),""),IF(ISNUMBER('Quantification_Results'!AA26),IF(('Quantification_Results'!AA26&lt;'Quantification_Config'!$S$12),"",IF(('Quantification_Results'!AA26&gt;'Quantification_Config'!$T$12),"",'Quantification_Results'!AA26)),"")))</x:f>
      </x:c>
      <x:c r="AC26">
        <x:f>IF(ISNUMBER('Quantification_Results'!AB26),IFERROR(ROUND(((('Quantification_Results'!AB26-'Quantification_Config'!$S$12)/('Quantification_Config'!$T$12-'Quantification_Config'!$S$12))*100),'Quantification_Config'!$U$2),""),"")</x:f>
      </x:c>
      <x:c r="AD26" t="inlineStr">
        <x:is>
          <x:t xml:space="preserve"/>
        </x:is>
      </x:c>
      <x:c r="AE26" t="inlineStr">
        <x:is>
          <x:t xml:space="preserve"/>
        </x:is>
      </x:c>
      <x:c r="AF26" t="inlineStr">
        <x:is>
          <x:t xml:space="preserve"/>
        </x:is>
      </x:c>
      <x:c r="AG26" t="inlineStr">
        <x:is>
          <x:t xml:space="preserve"/>
        </x:is>
      </x:c>
      <x:c r="AH26" t="inlineStr">
        <x:is>
          <x:t xml:space="preserve">EMPTY</x:t>
        </x:is>
      </x:c>
      <x:c r="AI26">
        <x:f>IF((COUNT('Quantification_Results'!AC26)=1),IFERROR(ROUND((SUM(('Quantification_Results'!AC26*'Quantification_Config'!$R$12))/SUM('Quantification_Config'!$R$12)),'Quantification_Config'!$U$2),""),"")</x:f>
      </x:c>
      <x:c r="AJ26">
        <x:f>IF((COUNT('Quantification_Results'!AI26)=1),IFERROR(ROUND((SUM(('Quantification_Results'!AI26*'Quantification_Config'!$R$11))/SUM('Quantification_Config'!$R$11)),'Quantification_Config'!$U$2),""),"")</x:f>
      </x:c>
      <x:c r="AK26" t="n">
        <x:v>1</x:v>
      </x:c>
      <x:c r="AL26" t="n">
        <x:v>5</x:v>
      </x:c>
      <x:c r="AM26"/>
      <x:c r="AN26" t="n">
        <x:f>IF(('Quantification_Results'!AK26&lt;&gt;1),"",IF(('Quantification_Results'!AM26=""),IF(ISNUMBER('Quantification_Results'!AL26),IF(('Quantification_Results'!AL26&lt;'Quantification_Config'!$S$15),"",IF(('Quantification_Results'!AL26&gt;'Quantification_Config'!$T$15),"",'Quantification_Results'!AL26)),""),IF(ISNUMBER('Quantification_Results'!AM26),IF(('Quantification_Results'!AM26&lt;'Quantification_Config'!$S$15),"",IF(('Quantification_Results'!AM26&gt;'Quantification_Config'!$T$15),"",'Quantification_Results'!AM26)),"")))</x:f>
        <x:v>5</x:v>
      </x:c>
      <x:c r="AO26" t="n">
        <x:f>IF(ISNUMBER('Quantification_Results'!AN26),IFERROR(ROUND(((('Quantification_Results'!AN26-'Quantification_Config'!$S$15)/('Quantification_Config'!$T$15-'Quantification_Config'!$S$15))*100),'Quantification_Config'!$U$2),""),"")</x:f>
        <x:v>50</x:v>
      </x:c>
      <x:c r="AP26" t="inlineStr">
        <x:is>
          <x:t xml:space="preserve">SYSTEM-TEST-ONLY-NO-NETWORK-NOT-AN-EDUCATIONAL-EVALUATION</x:t>
        </x:is>
      </x:c>
      <x:c r="AQ26" t="inlineStr">
        <x:is>
          <x:t xml:space="preserve"/>
        </x:is>
      </x:c>
      <x:c r="AR26" t="inlineStr">
        <x:is>
          <x:t xml:space="preserve">NONE</x:t>
        </x:is>
      </x:c>
      <x:c r="AS26" t="inlineStr">
        <x:is>
          <x:t xml:space="preserve"/>
        </x:is>
      </x:c>
      <x:c r="AT26" t="inlineStr">
        <x:is>
          <x:t xml:space="preserve">SUCCESS</x:t>
        </x:is>
      </x:c>
      <x:c r="AU26" t="n">
        <x:f>IF((COUNT('Quantification_Results'!AO26)=1),IFERROR(ROUND((SUM(('Quantification_Results'!AO26*'Quantification_Config'!$R$15))/SUM('Quantification_Config'!$R$15)),'Quantification_Config'!$U$2),""),"")</x:f>
        <x:v>50</x:v>
      </x:c>
      <x:c r="AV26" t="n">
        <x:f>IF((COUNT('Quantification_Results'!AU26)=1),IFERROR(ROUND((SUM(('Quantification_Results'!AU26*'Quantification_Config'!$R$14))/SUM('Quantification_Config'!$R$14)),'Quantification_Config'!$U$2),""),"")</x:f>
        <x:v>50</x:v>
      </x:c>
      <x:c r="AW26" t="n">
        <x:v>1</x:v>
      </x:c>
      <x:c r="AX26" t="n">
        <x:v>5</x:v>
      </x:c>
      <x:c r="AY26"/>
      <x:c r="AZ26" t="n">
        <x:f>IF(('Quantification_Results'!AW26&lt;&gt;1),"",IF(('Quantification_Results'!AY26=""),IF(ISNUMBER('Quantification_Results'!AX26),IF(('Quantification_Results'!AX26&lt;'Quantification_Config'!$S$19),"",IF(('Quantification_Results'!AX26&gt;'Quantification_Config'!$T$19),"",'Quantification_Results'!AX26)),""),IF(ISNUMBER('Quantification_Results'!AY26),IF(('Quantification_Results'!AY26&lt;'Quantification_Config'!$S$19),"",IF(('Quantification_Results'!AY26&gt;'Quantification_Config'!$T$19),"",'Quantification_Results'!AY26)),"")))</x:f>
        <x:v>5</x:v>
      </x:c>
      <x:c r="BA26" t="n">
        <x:f>IF(ISNUMBER('Quantification_Results'!AZ26),IFERROR(ROUND(((('Quantification_Results'!AZ26-'Quantification_Config'!$S$19)/('Quantification_Config'!$T$19-'Quantification_Config'!$S$19))*100),'Quantification_Config'!$U$2),""),"")</x:f>
        <x:v>50</x:v>
      </x:c>
      <x:c r="BB26" t="inlineStr">
        <x:is>
          <x:t xml:space="preserve">SYSTEM-TEST-ONLY-NO-NETWORK-NOT-AN-EDUCATIONAL-EVALUATION</x:t>
        </x:is>
      </x:c>
      <x:c r="BC26" t="inlineStr">
        <x:is>
          <x:t xml:space="preserve"/>
        </x:is>
      </x:c>
      <x:c r="BD26" t="inlineStr">
        <x:is>
          <x:t xml:space="preserve">NONE</x:t>
        </x:is>
      </x:c>
      <x:c r="BE26" t="inlineStr">
        <x:is>
          <x:t xml:space="preserve"/>
        </x:is>
      </x:c>
      <x:c r="BF26" t="inlineStr">
        <x:is>
          <x:t xml:space="preserve">SUCCESS</x:t>
        </x:is>
      </x:c>
      <x:c r="BG26" t="n">
        <x:f>IF((COUNT('Quantification_Results'!BA26)=1),IFERROR(ROUND((SUM(('Quantification_Results'!BA26*'Quantification_Config'!$R$19))/SUM('Quantification_Config'!$R$19)),'Quantification_Config'!$U$2),""),"")</x:f>
        <x:v>50</x:v>
      </x:c>
      <x:c r="BH26" t="n">
        <x:f>IF((COUNT('Quantification_Results'!BG26)=1),IFERROR(ROUND((SUM(('Quantification_Results'!BG26*'Quantification_Config'!$R$18))/SUM('Quantification_Config'!$R$18)),'Quantification_Config'!$U$2),""),"")</x:f>
        <x:v>50</x:v>
      </x:c>
      <x:c r="BI26">
        <x:f>IF((COUNT('Quantification_Results'!L26,'Quantification_Results'!X26,'Quantification_Results'!AJ26,'Quantification_Results'!AV26,'Quantification_Results'!BH26)=5),IFERROR(ROUND((SUM(('Quantification_Results'!L26*'Quantification_Config'!$R$4),('Quantification_Results'!X26*'Quantification_Config'!$R$7),('Quantification_Results'!AJ26*'Quantification_Config'!$R$10),('Quantification_Results'!AV26*'Quantification_Config'!$R$13),('Quantification_Results'!BH26*'Quantification_Config'!$R$16))/SUM('Quantification_Config'!$R$4,'Quantification_Config'!$R$7,'Quantification_Config'!$R$10,'Quantification_Config'!$R$13,'Quantification_Config'!$R$16)),'Quantification_Config'!$U$2),""),"")</x:f>
      </x:c>
    </x:row>
    <x:row r="27">
      <x:c r="A27" t="n">
        <x:v>1</x:v>
      </x:c>
      <x:c r="B27" t="n">
        <x:v>5</x:v>
      </x:c>
      <x:c r="C27"/>
      <x:c r="D27" t="n">
        <x:f>IF(('Quantification_Results'!A27&lt;&gt;1),"",IF(('Quantification_Results'!C27=""),IF(ISNUMBER('Quantification_Results'!B27),IF(('Quantification_Results'!B27&lt;'Quantification_Config'!$S$6),"",IF(('Quantification_Results'!B27&gt;'Quantification_Config'!$T$6),"",'Quantification_Results'!B27)),""),IF(ISNUMBER('Quantification_Results'!C27),IF(('Quantification_Results'!C27&lt;'Quantification_Config'!$S$6),"",IF(('Quantification_Results'!C27&gt;'Quantification_Config'!$T$6),"",'Quantification_Results'!C27)),"")))</x:f>
        <x:v>5</x:v>
      </x:c>
      <x:c r="E27" t="n">
        <x:f>IF(ISNUMBER('Quantification_Results'!D27),IFERROR(ROUND(((('Quantification_Results'!D27-'Quantification_Config'!$S$6)/('Quantification_Config'!$T$6-'Quantification_Config'!$S$6))*100),'Quantification_Config'!$U$2),""),"")</x:f>
        <x:v>50</x:v>
      </x:c>
      <x:c r="F27" t="inlineStr">
        <x:is>
          <x:t xml:space="preserve">SYSTEM-TEST-ONLY-NO-NETWORK-NOT-AN-EDUCATIONAL-EVALUATION</x:t>
        </x:is>
      </x:c>
      <x:c r="G27" t="inlineStr">
        <x:is>
          <x:t xml:space="preserve"/>
        </x:is>
      </x:c>
      <x:c r="H27" t="inlineStr">
        <x:is>
          <x:t xml:space="preserve">NONE</x:t>
        </x:is>
      </x:c>
      <x:c r="I27" t="inlineStr">
        <x:is>
          <x:t xml:space="preserve"/>
        </x:is>
      </x:c>
      <x:c r="J27" t="inlineStr">
        <x:is>
          <x:t xml:space="preserve">SUCCESS</x:t>
        </x:is>
      </x:c>
      <x:c r="K27" t="n">
        <x:f>IF((COUNT('Quantification_Results'!E27)=1),IFERROR(ROUND((SUM(('Quantification_Results'!E27*'Quantification_Config'!$R$6))/SUM('Quantification_Config'!$R$6)),'Quantification_Config'!$U$2),""),"")</x:f>
        <x:v>50</x:v>
      </x:c>
      <x:c r="L27" t="n">
        <x:f>IF((COUNT('Quantification_Results'!K27)=1),IFERROR(ROUND((SUM(('Quantification_Results'!K27*'Quantification_Config'!$R$5))/SUM('Quantification_Config'!$R$5)),'Quantification_Config'!$U$2),""),"")</x:f>
        <x:v>50</x:v>
      </x:c>
      <x:c r="M27" t="n">
        <x:v>1</x:v>
      </x:c>
      <x:c r="N27" t="n">
        <x:v>5</x:v>
      </x:c>
      <x:c r="O27"/>
      <x:c r="P27" t="n">
        <x:f>IF(('Quantification_Results'!M27&lt;&gt;1),"",IF(('Quantification_Results'!O27=""),IF(ISNUMBER('Quantification_Results'!N27),IF(('Quantification_Results'!N27&lt;'Quantification_Config'!$S$9),"",IF(('Quantification_Results'!N27&gt;'Quantification_Config'!$T$9),"",'Quantification_Results'!N27)),""),IF(ISNUMBER('Quantification_Results'!O27),IF(('Quantification_Results'!O27&lt;'Quantification_Config'!$S$9),"",IF(('Quantification_Results'!O27&gt;'Quantification_Config'!$T$9),"",'Quantification_Results'!O27)),"")))</x:f>
        <x:v>5</x:v>
      </x:c>
      <x:c r="Q27" t="n">
        <x:f>IF(ISNUMBER('Quantification_Results'!P27),IFERROR(ROUND(((('Quantification_Results'!P27-'Quantification_Config'!$S$9)/('Quantification_Config'!$T$9-'Quantification_Config'!$S$9))*100),'Quantification_Config'!$U$2),""),"")</x:f>
        <x:v>50</x:v>
      </x:c>
      <x:c r="R27" t="inlineStr">
        <x:is>
          <x:t xml:space="preserve">SYSTEM-TEST-ONLY-NO-NETWORK-NOT-AN-EDUCATIONAL-EVALUATION</x:t>
        </x:is>
      </x:c>
      <x:c r="S27" t="inlineStr">
        <x:is>
          <x:t xml:space="preserve"/>
        </x:is>
      </x:c>
      <x:c r="T27" t="inlineStr">
        <x:is>
          <x:t xml:space="preserve">NONE</x:t>
        </x:is>
      </x:c>
      <x:c r="U27" t="inlineStr">
        <x:is>
          <x:t xml:space="preserve"/>
        </x:is>
      </x:c>
      <x:c r="V27" t="inlineStr">
        <x:is>
          <x:t xml:space="preserve">SUCCESS</x:t>
        </x:is>
      </x:c>
      <x:c r="W27" t="n">
        <x:f>IF((COUNT('Quantification_Results'!Q27)=1),IFERROR(ROUND((SUM(('Quantification_Results'!Q27*'Quantification_Config'!$R$9))/SUM('Quantification_Config'!$R$9)),'Quantification_Config'!$U$2),""),"")</x:f>
        <x:v>50</x:v>
      </x:c>
      <x:c r="X27" t="n">
        <x:f>IF((COUNT('Quantification_Results'!W27)=1),IFERROR(ROUND((SUM(('Quantification_Results'!W27*'Quantification_Config'!$R$8))/SUM('Quantification_Config'!$R$8)),'Quantification_Config'!$U$2),""),"")</x:f>
        <x:v>50</x:v>
      </x:c>
      <x:c r="Y27" t="n">
        <x:v>0</x:v>
      </x:c>
      <x:c r="Z27"/>
      <x:c r="AA27"/>
      <x:c r="AB27">
        <x:f>IF(('Quantification_Results'!Y27&lt;&gt;1),"",IF(('Quantification_Results'!AA27=""),IF(ISNUMBER('Quantification_Results'!Z27),IF(('Quantification_Results'!Z27&lt;'Quantification_Config'!$S$12),"",IF(('Quantification_Results'!Z27&gt;'Quantification_Config'!$T$12),"",'Quantification_Results'!Z27)),""),IF(ISNUMBER('Quantification_Results'!AA27),IF(('Quantification_Results'!AA27&lt;'Quantification_Config'!$S$12),"",IF(('Quantification_Results'!AA27&gt;'Quantification_Config'!$T$12),"",'Quantification_Results'!AA27)),"")))</x:f>
      </x:c>
      <x:c r="AC27">
        <x:f>IF(ISNUMBER('Quantification_Results'!AB27),IFERROR(ROUND(((('Quantification_Results'!AB27-'Quantification_Config'!$S$12)/('Quantification_Config'!$T$12-'Quantification_Config'!$S$12))*100),'Quantification_Config'!$U$2),""),"")</x:f>
      </x:c>
      <x:c r="AD27" t="inlineStr">
        <x:is>
          <x:t xml:space="preserve"/>
        </x:is>
      </x:c>
      <x:c r="AE27" t="inlineStr">
        <x:is>
          <x:t xml:space="preserve"/>
        </x:is>
      </x:c>
      <x:c r="AF27" t="inlineStr">
        <x:is>
          <x:t xml:space="preserve"/>
        </x:is>
      </x:c>
      <x:c r="AG27" t="inlineStr">
        <x:is>
          <x:t xml:space="preserve"/>
        </x:is>
      </x:c>
      <x:c r="AH27" t="inlineStr">
        <x:is>
          <x:t xml:space="preserve">EMPTY</x:t>
        </x:is>
      </x:c>
      <x:c r="AI27">
        <x:f>IF((COUNT('Quantification_Results'!AC27)=1),IFERROR(ROUND((SUM(('Quantification_Results'!AC27*'Quantification_Config'!$R$12))/SUM('Quantification_Config'!$R$12)),'Quantification_Config'!$U$2),""),"")</x:f>
      </x:c>
      <x:c r="AJ27">
        <x:f>IF((COUNT('Quantification_Results'!AI27)=1),IFERROR(ROUND((SUM(('Quantification_Results'!AI27*'Quantification_Config'!$R$11))/SUM('Quantification_Config'!$R$11)),'Quantification_Config'!$U$2),""),"")</x:f>
      </x:c>
      <x:c r="AK27" t="n">
        <x:v>1</x:v>
      </x:c>
      <x:c r="AL27" t="n">
        <x:v>5</x:v>
      </x:c>
      <x:c r="AM27"/>
      <x:c r="AN27" t="n">
        <x:f>IF(('Quantification_Results'!AK27&lt;&gt;1),"",IF(('Quantification_Results'!AM27=""),IF(ISNUMBER('Quantification_Results'!AL27),IF(('Quantification_Results'!AL27&lt;'Quantification_Config'!$S$15),"",IF(('Quantification_Results'!AL27&gt;'Quantification_Config'!$T$15),"",'Quantification_Results'!AL27)),""),IF(ISNUMBER('Quantification_Results'!AM27),IF(('Quantification_Results'!AM27&lt;'Quantification_Config'!$S$15),"",IF(('Quantification_Results'!AM27&gt;'Quantification_Config'!$T$15),"",'Quantification_Results'!AM27)),"")))</x:f>
        <x:v>5</x:v>
      </x:c>
      <x:c r="AO27" t="n">
        <x:f>IF(ISNUMBER('Quantification_Results'!AN27),IFERROR(ROUND(((('Quantification_Results'!AN27-'Quantification_Config'!$S$15)/('Quantification_Config'!$T$15-'Quantification_Config'!$S$15))*100),'Quantification_Config'!$U$2),""),"")</x:f>
        <x:v>50</x:v>
      </x:c>
      <x:c r="AP27" t="inlineStr">
        <x:is>
          <x:t xml:space="preserve">SYSTEM-TEST-ONLY-NO-NETWORK-NOT-AN-EDUCATIONAL-EVALUATION</x:t>
        </x:is>
      </x:c>
      <x:c r="AQ27" t="inlineStr">
        <x:is>
          <x:t xml:space="preserve"/>
        </x:is>
      </x:c>
      <x:c r="AR27" t="inlineStr">
        <x:is>
          <x:t xml:space="preserve">NONE</x:t>
        </x:is>
      </x:c>
      <x:c r="AS27" t="inlineStr">
        <x:is>
          <x:t xml:space="preserve"/>
        </x:is>
      </x:c>
      <x:c r="AT27" t="inlineStr">
        <x:is>
          <x:t xml:space="preserve">SUCCESS</x:t>
        </x:is>
      </x:c>
      <x:c r="AU27" t="n">
        <x:f>IF((COUNT('Quantification_Results'!AO27)=1),IFERROR(ROUND((SUM(('Quantification_Results'!AO27*'Quantification_Config'!$R$15))/SUM('Quantification_Config'!$R$15)),'Quantification_Config'!$U$2),""),"")</x:f>
        <x:v>50</x:v>
      </x:c>
      <x:c r="AV27" t="n">
        <x:f>IF((COUNT('Quantification_Results'!AU27)=1),IFERROR(ROUND((SUM(('Quantification_Results'!AU27*'Quantification_Config'!$R$14))/SUM('Quantification_Config'!$R$14)),'Quantification_Config'!$U$2),""),"")</x:f>
        <x:v>50</x:v>
      </x:c>
      <x:c r="AW27" t="n">
        <x:v>1</x:v>
      </x:c>
      <x:c r="AX27" t="n">
        <x:v>5</x:v>
      </x:c>
      <x:c r="AY27"/>
      <x:c r="AZ27" t="n">
        <x:f>IF(('Quantification_Results'!AW27&lt;&gt;1),"",IF(('Quantification_Results'!AY27=""),IF(ISNUMBER('Quantification_Results'!AX27),IF(('Quantification_Results'!AX27&lt;'Quantification_Config'!$S$19),"",IF(('Quantification_Results'!AX27&gt;'Quantification_Config'!$T$19),"",'Quantification_Results'!AX27)),""),IF(ISNUMBER('Quantification_Results'!AY27),IF(('Quantification_Results'!AY27&lt;'Quantification_Config'!$S$19),"",IF(('Quantification_Results'!AY27&gt;'Quantification_Config'!$T$19),"",'Quantification_Results'!AY27)),"")))</x:f>
        <x:v>5</x:v>
      </x:c>
      <x:c r="BA27" t="n">
        <x:f>IF(ISNUMBER('Quantification_Results'!AZ27),IFERROR(ROUND(((('Quantification_Results'!AZ27-'Quantification_Config'!$S$19)/('Quantification_Config'!$T$19-'Quantification_Config'!$S$19))*100),'Quantification_Config'!$U$2),""),"")</x:f>
        <x:v>50</x:v>
      </x:c>
      <x:c r="BB27" t="inlineStr">
        <x:is>
          <x:t xml:space="preserve">SYSTEM-TEST-ONLY-NO-NETWORK-NOT-AN-EDUCATIONAL-EVALUATION</x:t>
        </x:is>
      </x:c>
      <x:c r="BC27" t="inlineStr">
        <x:is>
          <x:t xml:space="preserve"/>
        </x:is>
      </x:c>
      <x:c r="BD27" t="inlineStr">
        <x:is>
          <x:t xml:space="preserve">NONE</x:t>
        </x:is>
      </x:c>
      <x:c r="BE27" t="inlineStr">
        <x:is>
          <x:t xml:space="preserve"/>
        </x:is>
      </x:c>
      <x:c r="BF27" t="inlineStr">
        <x:is>
          <x:t xml:space="preserve">SUCCESS</x:t>
        </x:is>
      </x:c>
      <x:c r="BG27" t="n">
        <x:f>IF((COUNT('Quantification_Results'!BA27)=1),IFERROR(ROUND((SUM(('Quantification_Results'!BA27*'Quantification_Config'!$R$19))/SUM('Quantification_Config'!$R$19)),'Quantification_Config'!$U$2),""),"")</x:f>
        <x:v>50</x:v>
      </x:c>
      <x:c r="BH27" t="n">
        <x:f>IF((COUNT('Quantification_Results'!BG27)=1),IFERROR(ROUND((SUM(('Quantification_Results'!BG27*'Quantification_Config'!$R$18))/SUM('Quantification_Config'!$R$18)),'Quantification_Config'!$U$2),""),"")</x:f>
        <x:v>50</x:v>
      </x:c>
      <x:c r="BI27">
        <x:f>IF((COUNT('Quantification_Results'!L27,'Quantification_Results'!X27,'Quantification_Results'!AJ27,'Quantification_Results'!AV27,'Quantification_Results'!BH27)=5),IFERROR(ROUND((SUM(('Quantification_Results'!L27*'Quantification_Config'!$R$4),('Quantification_Results'!X27*'Quantification_Config'!$R$7),('Quantification_Results'!AJ27*'Quantification_Config'!$R$10),('Quantification_Results'!AV27*'Quantification_Config'!$R$13),('Quantification_Results'!BH27*'Quantification_Config'!$R$16))/SUM('Quantification_Config'!$R$4,'Quantification_Config'!$R$7,'Quantification_Config'!$R$10,'Quantification_Config'!$R$13,'Quantification_Config'!$R$16)),'Quantification_Config'!$U$2),""),"")</x:f>
      </x:c>
    </x:row>
    <x:row r="28">
      <x:c r="A28" t="n">
        <x:v>1</x:v>
      </x:c>
      <x:c r="B28" t="n">
        <x:v>5</x:v>
      </x:c>
      <x:c r="C28"/>
      <x:c r="D28" t="n">
        <x:f>IF(('Quantification_Results'!A28&lt;&gt;1),"",IF(('Quantification_Results'!C28=""),IF(ISNUMBER('Quantification_Results'!B28),IF(('Quantification_Results'!B28&lt;'Quantification_Config'!$S$6),"",IF(('Quantification_Results'!B28&gt;'Quantification_Config'!$T$6),"",'Quantification_Results'!B28)),""),IF(ISNUMBER('Quantification_Results'!C28),IF(('Quantification_Results'!C28&lt;'Quantification_Config'!$S$6),"",IF(('Quantification_Results'!C28&gt;'Quantification_Config'!$T$6),"",'Quantification_Results'!C28)),"")))</x:f>
        <x:v>5</x:v>
      </x:c>
      <x:c r="E28" t="n">
        <x:f>IF(ISNUMBER('Quantification_Results'!D28),IFERROR(ROUND(((('Quantification_Results'!D28-'Quantification_Config'!$S$6)/('Quantification_Config'!$T$6-'Quantification_Config'!$S$6))*100),'Quantification_Config'!$U$2),""),"")</x:f>
        <x:v>50</x:v>
      </x:c>
      <x:c r="F28" t="inlineStr">
        <x:is>
          <x:t xml:space="preserve">SYSTEM-TEST-ONLY-NO-NETWORK-NOT-AN-EDUCATIONAL-EVALUATION</x:t>
        </x:is>
      </x:c>
      <x:c r="G28" t="inlineStr">
        <x:is>
          <x:t xml:space="preserve"/>
        </x:is>
      </x:c>
      <x:c r="H28" t="inlineStr">
        <x:is>
          <x:t xml:space="preserve">NONE</x:t>
        </x:is>
      </x:c>
      <x:c r="I28" t="inlineStr">
        <x:is>
          <x:t xml:space="preserve"/>
        </x:is>
      </x:c>
      <x:c r="J28" t="inlineStr">
        <x:is>
          <x:t xml:space="preserve">SUCCESS</x:t>
        </x:is>
      </x:c>
      <x:c r="K28" t="n">
        <x:f>IF((COUNT('Quantification_Results'!E28)=1),IFERROR(ROUND((SUM(('Quantification_Results'!E28*'Quantification_Config'!$R$6))/SUM('Quantification_Config'!$R$6)),'Quantification_Config'!$U$2),""),"")</x:f>
        <x:v>50</x:v>
      </x:c>
      <x:c r="L28" t="n">
        <x:f>IF((COUNT('Quantification_Results'!K28)=1),IFERROR(ROUND((SUM(('Quantification_Results'!K28*'Quantification_Config'!$R$5))/SUM('Quantification_Config'!$R$5)),'Quantification_Config'!$U$2),""),"")</x:f>
        <x:v>50</x:v>
      </x:c>
      <x:c r="M28" t="n">
        <x:v>0</x:v>
      </x:c>
      <x:c r="N28"/>
      <x:c r="O28"/>
      <x:c r="P28">
        <x:f>IF(('Quantification_Results'!M28&lt;&gt;1),"",IF(('Quantification_Results'!O28=""),IF(ISNUMBER('Quantification_Results'!N28),IF(('Quantification_Results'!N28&lt;'Quantification_Config'!$S$9),"",IF(('Quantification_Results'!N28&gt;'Quantification_Config'!$T$9),"",'Quantification_Results'!N28)),""),IF(ISNUMBER('Quantification_Results'!O28),IF(('Quantification_Results'!O28&lt;'Quantification_Config'!$S$9),"",IF(('Quantification_Results'!O28&gt;'Quantification_Config'!$T$9),"",'Quantification_Results'!O28)),"")))</x:f>
      </x:c>
      <x:c r="Q28">
        <x:f>IF(ISNUMBER('Quantification_Results'!P28),IFERROR(ROUND(((('Quantification_Results'!P28-'Quantification_Config'!$S$9)/('Quantification_Config'!$T$9-'Quantification_Config'!$S$9))*100),'Quantification_Config'!$U$2),""),"")</x:f>
      </x:c>
      <x:c r="R28" t="inlineStr">
        <x:is>
          <x:t xml:space="preserve"/>
        </x:is>
      </x:c>
      <x:c r="S28" t="inlineStr">
        <x:is>
          <x:t xml:space="preserve"/>
        </x:is>
      </x:c>
      <x:c r="T28" t="inlineStr">
        <x:is>
          <x:t xml:space="preserve"/>
        </x:is>
      </x:c>
      <x:c r="U28" t="inlineStr">
        <x:is>
          <x:t xml:space="preserve"/>
        </x:is>
      </x:c>
      <x:c r="V28" t="inlineStr">
        <x:is>
          <x:t xml:space="preserve">EMPTY</x:t>
        </x:is>
      </x:c>
      <x:c r="W28">
        <x:f>IF((COUNT('Quantification_Results'!Q28)=1),IFERROR(ROUND((SUM(('Quantification_Results'!Q28*'Quantification_Config'!$R$9))/SUM('Quantification_Config'!$R$9)),'Quantification_Config'!$U$2),""),"")</x:f>
      </x:c>
      <x:c r="X28">
        <x:f>IF((COUNT('Quantification_Results'!W28)=1),IFERROR(ROUND((SUM(('Quantification_Results'!W28*'Quantification_Config'!$R$8))/SUM('Quantification_Config'!$R$8)),'Quantification_Config'!$U$2),""),"")</x:f>
      </x:c>
      <x:c r="Y28" t="n">
        <x:v>0</x:v>
      </x:c>
      <x:c r="Z28"/>
      <x:c r="AA28"/>
      <x:c r="AB28">
        <x:f>IF(('Quantification_Results'!Y28&lt;&gt;1),"",IF(('Quantification_Results'!AA28=""),IF(ISNUMBER('Quantification_Results'!Z28),IF(('Quantification_Results'!Z28&lt;'Quantification_Config'!$S$12),"",IF(('Quantification_Results'!Z28&gt;'Quantification_Config'!$T$12),"",'Quantification_Results'!Z28)),""),IF(ISNUMBER('Quantification_Results'!AA28),IF(('Quantification_Results'!AA28&lt;'Quantification_Config'!$S$12),"",IF(('Quantification_Results'!AA28&gt;'Quantification_Config'!$T$12),"",'Quantification_Results'!AA28)),"")))</x:f>
      </x:c>
      <x:c r="AC28">
        <x:f>IF(ISNUMBER('Quantification_Results'!AB28),IFERROR(ROUND(((('Quantification_Results'!AB28-'Quantification_Config'!$S$12)/('Quantification_Config'!$T$12-'Quantification_Config'!$S$12))*100),'Quantification_Config'!$U$2),""),"")</x:f>
      </x:c>
      <x:c r="AD28" t="inlineStr">
        <x:is>
          <x:t xml:space="preserve"/>
        </x:is>
      </x:c>
      <x:c r="AE28" t="inlineStr">
        <x:is>
          <x:t xml:space="preserve"/>
        </x:is>
      </x:c>
      <x:c r="AF28" t="inlineStr">
        <x:is>
          <x:t xml:space="preserve"/>
        </x:is>
      </x:c>
      <x:c r="AG28" t="inlineStr">
        <x:is>
          <x:t xml:space="preserve"/>
        </x:is>
      </x:c>
      <x:c r="AH28" t="inlineStr">
        <x:is>
          <x:t xml:space="preserve">EMPTY</x:t>
        </x:is>
      </x:c>
      <x:c r="AI28">
        <x:f>IF((COUNT('Quantification_Results'!AC28)=1),IFERROR(ROUND((SUM(('Quantification_Results'!AC28*'Quantification_Config'!$R$12))/SUM('Quantification_Config'!$R$12)),'Quantification_Config'!$U$2),""),"")</x:f>
      </x:c>
      <x:c r="AJ28">
        <x:f>IF((COUNT('Quantification_Results'!AI28)=1),IFERROR(ROUND((SUM(('Quantification_Results'!AI28*'Quantification_Config'!$R$11))/SUM('Quantification_Config'!$R$11)),'Quantification_Config'!$U$2),""),"")</x:f>
      </x:c>
      <x:c r="AK28" t="n">
        <x:v>1</x:v>
      </x:c>
      <x:c r="AL28" t="n">
        <x:v>5</x:v>
      </x:c>
      <x:c r="AM28"/>
      <x:c r="AN28" t="n">
        <x:f>IF(('Quantification_Results'!AK28&lt;&gt;1),"",IF(('Quantification_Results'!AM28=""),IF(ISNUMBER('Quantification_Results'!AL28),IF(('Quantification_Results'!AL28&lt;'Quantification_Config'!$S$15),"",IF(('Quantification_Results'!AL28&gt;'Quantification_Config'!$T$15),"",'Quantification_Results'!AL28)),""),IF(ISNUMBER('Quantification_Results'!AM28),IF(('Quantification_Results'!AM28&lt;'Quantification_Config'!$S$15),"",IF(('Quantification_Results'!AM28&gt;'Quantification_Config'!$T$15),"",'Quantification_Results'!AM28)),"")))</x:f>
        <x:v>5</x:v>
      </x:c>
      <x:c r="AO28" t="n">
        <x:f>IF(ISNUMBER('Quantification_Results'!AN28),IFERROR(ROUND(((('Quantification_Results'!AN28-'Quantification_Config'!$S$15)/('Quantification_Config'!$T$15-'Quantification_Config'!$S$15))*100),'Quantification_Config'!$U$2),""),"")</x:f>
        <x:v>50</x:v>
      </x:c>
      <x:c r="AP28" t="inlineStr">
        <x:is>
          <x:t xml:space="preserve">SYSTEM-TEST-ONLY-NO-NETWORK-NOT-AN-EDUCATIONAL-EVALUATION</x:t>
        </x:is>
      </x:c>
      <x:c r="AQ28" t="inlineStr">
        <x:is>
          <x:t xml:space="preserve"/>
        </x:is>
      </x:c>
      <x:c r="AR28" t="inlineStr">
        <x:is>
          <x:t xml:space="preserve">NONE</x:t>
        </x:is>
      </x:c>
      <x:c r="AS28" t="inlineStr">
        <x:is>
          <x:t xml:space="preserve"/>
        </x:is>
      </x:c>
      <x:c r="AT28" t="inlineStr">
        <x:is>
          <x:t xml:space="preserve">SUCCESS</x:t>
        </x:is>
      </x:c>
      <x:c r="AU28" t="n">
        <x:f>IF((COUNT('Quantification_Results'!AO28)=1),IFERROR(ROUND((SUM(('Quantification_Results'!AO28*'Quantification_Config'!$R$15))/SUM('Quantification_Config'!$R$15)),'Quantification_Config'!$U$2),""),"")</x:f>
        <x:v>50</x:v>
      </x:c>
      <x:c r="AV28" t="n">
        <x:f>IF((COUNT('Quantification_Results'!AU28)=1),IFERROR(ROUND((SUM(('Quantification_Results'!AU28*'Quantification_Config'!$R$14))/SUM('Quantification_Config'!$R$14)),'Quantification_Config'!$U$2),""),"")</x:f>
        <x:v>50</x:v>
      </x:c>
      <x:c r="AW28" t="n">
        <x:v>0</x:v>
      </x:c>
      <x:c r="AX28"/>
      <x:c r="AY28"/>
      <x:c r="AZ28">
        <x:f>IF(('Quantification_Results'!AW28&lt;&gt;1),"",IF(('Quantification_Results'!AY28=""),IF(ISNUMBER('Quantification_Results'!AX28),IF(('Quantification_Results'!AX28&lt;'Quantification_Config'!$S$19),"",IF(('Quantification_Results'!AX28&gt;'Quantification_Config'!$T$19),"",'Quantification_Results'!AX28)),""),IF(ISNUMBER('Quantification_Results'!AY28),IF(('Quantification_Results'!AY28&lt;'Quantification_Config'!$S$19),"",IF(('Quantification_Results'!AY28&gt;'Quantification_Config'!$T$19),"",'Quantification_Results'!AY28)),"")))</x:f>
      </x:c>
      <x:c r="BA28">
        <x:f>IF(ISNUMBER('Quantification_Results'!AZ28),IFERROR(ROUND(((('Quantification_Results'!AZ28-'Quantification_Config'!$S$19)/('Quantification_Config'!$T$19-'Quantification_Config'!$S$19))*100),'Quantification_Config'!$U$2),""),"")</x:f>
      </x:c>
      <x:c r="BB28" t="inlineStr">
        <x:is>
          <x:t xml:space="preserve"/>
        </x:is>
      </x:c>
      <x:c r="BC28" t="inlineStr">
        <x:is>
          <x:t xml:space="preserve"/>
        </x:is>
      </x:c>
      <x:c r="BD28" t="inlineStr">
        <x:is>
          <x:t xml:space="preserve"/>
        </x:is>
      </x:c>
      <x:c r="BE28" t="inlineStr">
        <x:is>
          <x:t xml:space="preserve"/>
        </x:is>
      </x:c>
      <x:c r="BF28" t="inlineStr">
        <x:is>
          <x:t xml:space="preserve">EMPTY</x:t>
        </x:is>
      </x:c>
      <x:c r="BG28">
        <x:f>IF((COUNT('Quantification_Results'!BA28)=1),IFERROR(ROUND((SUM(('Quantification_Results'!BA28*'Quantification_Config'!$R$19))/SUM('Quantification_Config'!$R$19)),'Quantification_Config'!$U$2),""),"")</x:f>
      </x:c>
      <x:c r="BH28">
        <x:f>IF((COUNT('Quantification_Results'!BG28)=1),IFERROR(ROUND((SUM(('Quantification_Results'!BG28*'Quantification_Config'!$R$18))/SUM('Quantification_Config'!$R$18)),'Quantification_Config'!$U$2),""),"")</x:f>
      </x:c>
      <x:c r="BI28">
        <x:f>IF((COUNT('Quantification_Results'!L28,'Quantification_Results'!X28,'Quantification_Results'!AJ28,'Quantification_Results'!AV28,'Quantification_Results'!BH28)=5),IFERROR(ROUND((SUM(('Quantification_Results'!L28*'Quantification_Config'!$R$4),('Quantification_Results'!X28*'Quantification_Config'!$R$7),('Quantification_Results'!AJ28*'Quantification_Config'!$R$10),('Quantification_Results'!AV28*'Quantification_Config'!$R$13),('Quantification_Results'!BH28*'Quantification_Config'!$R$16))/SUM('Quantification_Config'!$R$4,'Quantification_Config'!$R$7,'Quantification_Config'!$R$10,'Quantification_Config'!$R$13,'Quantification_Config'!$R$16)),'Quantification_Config'!$U$2),""),"")</x:f>
      </x:c>
    </x:row>
    <x:row r="29">
      <x:c r="A29" t="n">
        <x:v>1</x:v>
      </x:c>
      <x:c r="B29" t="n">
        <x:v>5</x:v>
      </x:c>
      <x:c r="C29"/>
      <x:c r="D29" t="n">
        <x:f>IF(('Quantification_Results'!A29&lt;&gt;1),"",IF(('Quantification_Results'!C29=""),IF(ISNUMBER('Quantification_Results'!B29),IF(('Quantification_Results'!B29&lt;'Quantification_Config'!$S$6),"",IF(('Quantification_Results'!B29&gt;'Quantification_Config'!$T$6),"",'Quantification_Results'!B29)),""),IF(ISNUMBER('Quantification_Results'!C29),IF(('Quantification_Results'!C29&lt;'Quantification_Config'!$S$6),"",IF(('Quantification_Results'!C29&gt;'Quantification_Config'!$T$6),"",'Quantification_Results'!C29)),"")))</x:f>
        <x:v>5</x:v>
      </x:c>
      <x:c r="E29" t="n">
        <x:f>IF(ISNUMBER('Quantification_Results'!D29),IFERROR(ROUND(((('Quantification_Results'!D29-'Quantification_Config'!$S$6)/('Quantification_Config'!$T$6-'Quantification_Config'!$S$6))*100),'Quantification_Config'!$U$2),""),"")</x:f>
        <x:v>50</x:v>
      </x:c>
      <x:c r="F29" t="inlineStr">
        <x:is>
          <x:t xml:space="preserve">SYSTEM-TEST-ONLY-NO-NETWORK-NOT-AN-EDUCATIONAL-EVALUATION</x:t>
        </x:is>
      </x:c>
      <x:c r="G29" t="inlineStr">
        <x:is>
          <x:t xml:space="preserve"/>
        </x:is>
      </x:c>
      <x:c r="H29" t="inlineStr">
        <x:is>
          <x:t xml:space="preserve">NONE</x:t>
        </x:is>
      </x:c>
      <x:c r="I29" t="inlineStr">
        <x:is>
          <x:t xml:space="preserve"/>
        </x:is>
      </x:c>
      <x:c r="J29" t="inlineStr">
        <x:is>
          <x:t xml:space="preserve">SUCCESS</x:t>
        </x:is>
      </x:c>
      <x:c r="K29" t="n">
        <x:f>IF((COUNT('Quantification_Results'!E29)=1),IFERROR(ROUND((SUM(('Quantification_Results'!E29*'Quantification_Config'!$R$6))/SUM('Quantification_Config'!$R$6)),'Quantification_Config'!$U$2),""),"")</x:f>
        <x:v>50</x:v>
      </x:c>
      <x:c r="L29" t="n">
        <x:f>IF((COUNT('Quantification_Results'!K29)=1),IFERROR(ROUND((SUM(('Quantification_Results'!K29*'Quantification_Config'!$R$5))/SUM('Quantification_Config'!$R$5)),'Quantification_Config'!$U$2),""),"")</x:f>
        <x:v>50</x:v>
      </x:c>
      <x:c r="M29" t="n">
        <x:v>1</x:v>
      </x:c>
      <x:c r="N29" t="n">
        <x:v>5</x:v>
      </x:c>
      <x:c r="O29"/>
      <x:c r="P29" t="n">
        <x:f>IF(('Quantification_Results'!M29&lt;&gt;1),"",IF(('Quantification_Results'!O29=""),IF(ISNUMBER('Quantification_Results'!N29),IF(('Quantification_Results'!N29&lt;'Quantification_Config'!$S$9),"",IF(('Quantification_Results'!N29&gt;'Quantification_Config'!$T$9),"",'Quantification_Results'!N29)),""),IF(ISNUMBER('Quantification_Results'!O29),IF(('Quantification_Results'!O29&lt;'Quantification_Config'!$S$9),"",IF(('Quantification_Results'!O29&gt;'Quantification_Config'!$T$9),"",'Quantification_Results'!O29)),"")))</x:f>
        <x:v>5</x:v>
      </x:c>
      <x:c r="Q29" t="n">
        <x:f>IF(ISNUMBER('Quantification_Results'!P29),IFERROR(ROUND(((('Quantification_Results'!P29-'Quantification_Config'!$S$9)/('Quantification_Config'!$T$9-'Quantification_Config'!$S$9))*100),'Quantification_Config'!$U$2),""),"")</x:f>
        <x:v>50</x:v>
      </x:c>
      <x:c r="R29" t="inlineStr">
        <x:is>
          <x:t xml:space="preserve">SYSTEM-TEST-ONLY-NO-NETWORK-NOT-AN-EDUCATIONAL-EVALUATION</x:t>
        </x:is>
      </x:c>
      <x:c r="S29" t="inlineStr">
        <x:is>
          <x:t xml:space="preserve"/>
        </x:is>
      </x:c>
      <x:c r="T29" t="inlineStr">
        <x:is>
          <x:t xml:space="preserve">NONE</x:t>
        </x:is>
      </x:c>
      <x:c r="U29" t="inlineStr">
        <x:is>
          <x:t xml:space="preserve"/>
        </x:is>
      </x:c>
      <x:c r="V29" t="inlineStr">
        <x:is>
          <x:t xml:space="preserve">SUCCESS</x:t>
        </x:is>
      </x:c>
      <x:c r="W29" t="n">
        <x:f>IF((COUNT('Quantification_Results'!Q29)=1),IFERROR(ROUND((SUM(('Quantification_Results'!Q29*'Quantification_Config'!$R$9))/SUM('Quantification_Config'!$R$9)),'Quantification_Config'!$U$2),""),"")</x:f>
        <x:v>50</x:v>
      </x:c>
      <x:c r="X29" t="n">
        <x:f>IF((COUNT('Quantification_Results'!W29)=1),IFERROR(ROUND((SUM(('Quantification_Results'!W29*'Quantification_Config'!$R$8))/SUM('Quantification_Config'!$R$8)),'Quantification_Config'!$U$2),""),"")</x:f>
        <x:v>50</x:v>
      </x:c>
      <x:c r="Y29" t="n">
        <x:v>0</x:v>
      </x:c>
      <x:c r="Z29"/>
      <x:c r="AA29"/>
      <x:c r="AB29">
        <x:f>IF(('Quantification_Results'!Y29&lt;&gt;1),"",IF(('Quantification_Results'!AA29=""),IF(ISNUMBER('Quantification_Results'!Z29),IF(('Quantification_Results'!Z29&lt;'Quantification_Config'!$S$12),"",IF(('Quantification_Results'!Z29&gt;'Quantification_Config'!$T$12),"",'Quantification_Results'!Z29)),""),IF(ISNUMBER('Quantification_Results'!AA29),IF(('Quantification_Results'!AA29&lt;'Quantification_Config'!$S$12),"",IF(('Quantification_Results'!AA29&gt;'Quantification_Config'!$T$12),"",'Quantification_Results'!AA29)),"")))</x:f>
      </x:c>
      <x:c r="AC29">
        <x:f>IF(ISNUMBER('Quantification_Results'!AB29),IFERROR(ROUND(((('Quantification_Results'!AB29-'Quantification_Config'!$S$12)/('Quantification_Config'!$T$12-'Quantification_Config'!$S$12))*100),'Quantification_Config'!$U$2),""),"")</x:f>
      </x:c>
      <x:c r="AD29" t="inlineStr">
        <x:is>
          <x:t xml:space="preserve"/>
        </x:is>
      </x:c>
      <x:c r="AE29" t="inlineStr">
        <x:is>
          <x:t xml:space="preserve"/>
        </x:is>
      </x:c>
      <x:c r="AF29" t="inlineStr">
        <x:is>
          <x:t xml:space="preserve"/>
        </x:is>
      </x:c>
      <x:c r="AG29" t="inlineStr">
        <x:is>
          <x:t xml:space="preserve"/>
        </x:is>
      </x:c>
      <x:c r="AH29" t="inlineStr">
        <x:is>
          <x:t xml:space="preserve">EMPTY</x:t>
        </x:is>
      </x:c>
      <x:c r="AI29">
        <x:f>IF((COUNT('Quantification_Results'!AC29)=1),IFERROR(ROUND((SUM(('Quantification_Results'!AC29*'Quantification_Config'!$R$12))/SUM('Quantification_Config'!$R$12)),'Quantification_Config'!$U$2),""),"")</x:f>
      </x:c>
      <x:c r="AJ29">
        <x:f>IF((COUNT('Quantification_Results'!AI29)=1),IFERROR(ROUND((SUM(('Quantification_Results'!AI29*'Quantification_Config'!$R$11))/SUM('Quantification_Config'!$R$11)),'Quantification_Config'!$U$2),""),"")</x:f>
      </x:c>
      <x:c r="AK29" t="n">
        <x:v>1</x:v>
      </x:c>
      <x:c r="AL29" t="n">
        <x:v>5</x:v>
      </x:c>
      <x:c r="AM29"/>
      <x:c r="AN29" t="n">
        <x:f>IF(('Quantification_Results'!AK29&lt;&gt;1),"",IF(('Quantification_Results'!AM29=""),IF(ISNUMBER('Quantification_Results'!AL29),IF(('Quantification_Results'!AL29&lt;'Quantification_Config'!$S$15),"",IF(('Quantification_Results'!AL29&gt;'Quantification_Config'!$T$15),"",'Quantification_Results'!AL29)),""),IF(ISNUMBER('Quantification_Results'!AM29),IF(('Quantification_Results'!AM29&lt;'Quantification_Config'!$S$15),"",IF(('Quantification_Results'!AM29&gt;'Quantification_Config'!$T$15),"",'Quantification_Results'!AM29)),"")))</x:f>
        <x:v>5</x:v>
      </x:c>
      <x:c r="AO29" t="n">
        <x:f>IF(ISNUMBER('Quantification_Results'!AN29),IFERROR(ROUND(((('Quantification_Results'!AN29-'Quantification_Config'!$S$15)/('Quantification_Config'!$T$15-'Quantification_Config'!$S$15))*100),'Quantification_Config'!$U$2),""),"")</x:f>
        <x:v>50</x:v>
      </x:c>
      <x:c r="AP29" t="inlineStr">
        <x:is>
          <x:t xml:space="preserve">SYSTEM-TEST-ONLY-NO-NETWORK-NOT-AN-EDUCATIONAL-EVALUATION</x:t>
        </x:is>
      </x:c>
      <x:c r="AQ29" t="inlineStr">
        <x:is>
          <x:t xml:space="preserve"/>
        </x:is>
      </x:c>
      <x:c r="AR29" t="inlineStr">
        <x:is>
          <x:t xml:space="preserve">NONE</x:t>
        </x:is>
      </x:c>
      <x:c r="AS29" t="inlineStr">
        <x:is>
          <x:t xml:space="preserve"/>
        </x:is>
      </x:c>
      <x:c r="AT29" t="inlineStr">
        <x:is>
          <x:t xml:space="preserve">SUCCESS</x:t>
        </x:is>
      </x:c>
      <x:c r="AU29" t="n">
        <x:f>IF((COUNT('Quantification_Results'!AO29)=1),IFERROR(ROUND((SUM(('Quantification_Results'!AO29*'Quantification_Config'!$R$15))/SUM('Quantification_Config'!$R$15)),'Quantification_Config'!$U$2),""),"")</x:f>
        <x:v>50</x:v>
      </x:c>
      <x:c r="AV29" t="n">
        <x:f>IF((COUNT('Quantification_Results'!AU29)=1),IFERROR(ROUND((SUM(('Quantification_Results'!AU29*'Quantification_Config'!$R$14))/SUM('Quantification_Config'!$R$14)),'Quantification_Config'!$U$2),""),"")</x:f>
        <x:v>50</x:v>
      </x:c>
      <x:c r="AW29" t="n">
        <x:v>1</x:v>
      </x:c>
      <x:c r="AX29" t="n">
        <x:v>5</x:v>
      </x:c>
      <x:c r="AY29"/>
      <x:c r="AZ29" t="n">
        <x:f>IF(('Quantification_Results'!AW29&lt;&gt;1),"",IF(('Quantification_Results'!AY29=""),IF(ISNUMBER('Quantification_Results'!AX29),IF(('Quantification_Results'!AX29&lt;'Quantification_Config'!$S$19),"",IF(('Quantification_Results'!AX29&gt;'Quantification_Config'!$T$19),"",'Quantification_Results'!AX29)),""),IF(ISNUMBER('Quantification_Results'!AY29),IF(('Quantification_Results'!AY29&lt;'Quantification_Config'!$S$19),"",IF(('Quantification_Results'!AY29&gt;'Quantification_Config'!$T$19),"",'Quantification_Results'!AY29)),"")))</x:f>
        <x:v>5</x:v>
      </x:c>
      <x:c r="BA29" t="n">
        <x:f>IF(ISNUMBER('Quantification_Results'!AZ29),IFERROR(ROUND(((('Quantification_Results'!AZ29-'Quantification_Config'!$S$19)/('Quantification_Config'!$T$19-'Quantification_Config'!$S$19))*100),'Quantification_Config'!$U$2),""),"")</x:f>
        <x:v>50</x:v>
      </x:c>
      <x:c r="BB29" t="inlineStr">
        <x:is>
          <x:t xml:space="preserve">SYSTEM-TEST-ONLY-NO-NETWORK-NOT-AN-EDUCATIONAL-EVALUATION</x:t>
        </x:is>
      </x:c>
      <x:c r="BC29" t="inlineStr">
        <x:is>
          <x:t xml:space="preserve"/>
        </x:is>
      </x:c>
      <x:c r="BD29" t="inlineStr">
        <x:is>
          <x:t xml:space="preserve">NONE</x:t>
        </x:is>
      </x:c>
      <x:c r="BE29" t="inlineStr">
        <x:is>
          <x:t xml:space="preserve"/>
        </x:is>
      </x:c>
      <x:c r="BF29" t="inlineStr">
        <x:is>
          <x:t xml:space="preserve">SUCCESS</x:t>
        </x:is>
      </x:c>
      <x:c r="BG29" t="n">
        <x:f>IF((COUNT('Quantification_Results'!BA29)=1),IFERROR(ROUND((SUM(('Quantification_Results'!BA29*'Quantification_Config'!$R$19))/SUM('Quantification_Config'!$R$19)),'Quantification_Config'!$U$2),""),"")</x:f>
        <x:v>50</x:v>
      </x:c>
      <x:c r="BH29" t="n">
        <x:f>IF((COUNT('Quantification_Results'!BG29)=1),IFERROR(ROUND((SUM(('Quantification_Results'!BG29*'Quantification_Config'!$R$18))/SUM('Quantification_Config'!$R$18)),'Quantification_Config'!$U$2),""),"")</x:f>
        <x:v>50</x:v>
      </x:c>
      <x:c r="BI29">
        <x:f>IF((COUNT('Quantification_Results'!L29,'Quantification_Results'!X29,'Quantification_Results'!AJ29,'Quantification_Results'!AV29,'Quantification_Results'!BH29)=5),IFERROR(ROUND((SUM(('Quantification_Results'!L29*'Quantification_Config'!$R$4),('Quantification_Results'!X29*'Quantification_Config'!$R$7),('Quantification_Results'!AJ29*'Quantification_Config'!$R$10),('Quantification_Results'!AV29*'Quantification_Config'!$R$13),('Quantification_Results'!BH29*'Quantification_Config'!$R$16))/SUM('Quantification_Config'!$R$4,'Quantification_Config'!$R$7,'Quantification_Config'!$R$10,'Quantification_Config'!$R$13,'Quantification_Config'!$R$16)),'Quantification_Config'!$U$2),""),"")</x:f>
      </x:c>
    </x:row>
    <x:row r="30">
      <x:c r="A30" t="n">
        <x:v>1</x:v>
      </x:c>
      <x:c r="B30" t="n">
        <x:v>5</x:v>
      </x:c>
      <x:c r="C30"/>
      <x:c r="D30" t="n">
        <x:f>IF(('Quantification_Results'!A30&lt;&gt;1),"",IF(('Quantification_Results'!C30=""),IF(ISNUMBER('Quantification_Results'!B30),IF(('Quantification_Results'!B30&lt;'Quantification_Config'!$S$6),"",IF(('Quantification_Results'!B30&gt;'Quantification_Config'!$T$6),"",'Quantification_Results'!B30)),""),IF(ISNUMBER('Quantification_Results'!C30),IF(('Quantification_Results'!C30&lt;'Quantification_Config'!$S$6),"",IF(('Quantification_Results'!C30&gt;'Quantification_Config'!$T$6),"",'Quantification_Results'!C30)),"")))</x:f>
        <x:v>5</x:v>
      </x:c>
      <x:c r="E30" t="n">
        <x:f>IF(ISNUMBER('Quantification_Results'!D30),IFERROR(ROUND(((('Quantification_Results'!D30-'Quantification_Config'!$S$6)/('Quantification_Config'!$T$6-'Quantification_Config'!$S$6))*100),'Quantification_Config'!$U$2),""),"")</x:f>
        <x:v>50</x:v>
      </x:c>
      <x:c r="F30" t="inlineStr">
        <x:is>
          <x:t xml:space="preserve">SYSTEM-TEST-ONLY-NO-NETWORK-NOT-AN-EDUCATIONAL-EVALUATION</x:t>
        </x:is>
      </x:c>
      <x:c r="G30" t="inlineStr">
        <x:is>
          <x:t xml:space="preserve"/>
        </x:is>
      </x:c>
      <x:c r="H30" t="inlineStr">
        <x:is>
          <x:t xml:space="preserve">NONE</x:t>
        </x:is>
      </x:c>
      <x:c r="I30" t="inlineStr">
        <x:is>
          <x:t xml:space="preserve"/>
        </x:is>
      </x:c>
      <x:c r="J30" t="inlineStr">
        <x:is>
          <x:t xml:space="preserve">SUCCESS</x:t>
        </x:is>
      </x:c>
      <x:c r="K30" t="n">
        <x:f>IF((COUNT('Quantification_Results'!E30)=1),IFERROR(ROUND((SUM(('Quantification_Results'!E30*'Quantification_Config'!$R$6))/SUM('Quantification_Config'!$R$6)),'Quantification_Config'!$U$2),""),"")</x:f>
        <x:v>50</x:v>
      </x:c>
      <x:c r="L30" t="n">
        <x:f>IF((COUNT('Quantification_Results'!K30)=1),IFERROR(ROUND((SUM(('Quantification_Results'!K30*'Quantification_Config'!$R$5))/SUM('Quantification_Config'!$R$5)),'Quantification_Config'!$U$2),""),"")</x:f>
        <x:v>50</x:v>
      </x:c>
      <x:c r="M30" t="n">
        <x:v>1</x:v>
      </x:c>
      <x:c r="N30" t="n">
        <x:v>5</x:v>
      </x:c>
      <x:c r="O30"/>
      <x:c r="P30" t="n">
        <x:f>IF(('Quantification_Results'!M30&lt;&gt;1),"",IF(('Quantification_Results'!O30=""),IF(ISNUMBER('Quantification_Results'!N30),IF(('Quantification_Results'!N30&lt;'Quantification_Config'!$S$9),"",IF(('Quantification_Results'!N30&gt;'Quantification_Config'!$T$9),"",'Quantification_Results'!N30)),""),IF(ISNUMBER('Quantification_Results'!O30),IF(('Quantification_Results'!O30&lt;'Quantification_Config'!$S$9),"",IF(('Quantification_Results'!O30&gt;'Quantification_Config'!$T$9),"",'Quantification_Results'!O30)),"")))</x:f>
        <x:v>5</x:v>
      </x:c>
      <x:c r="Q30" t="n">
        <x:f>IF(ISNUMBER('Quantification_Results'!P30),IFERROR(ROUND(((('Quantification_Results'!P30-'Quantification_Config'!$S$9)/('Quantification_Config'!$T$9-'Quantification_Config'!$S$9))*100),'Quantification_Config'!$U$2),""),"")</x:f>
        <x:v>50</x:v>
      </x:c>
      <x:c r="R30" t="inlineStr">
        <x:is>
          <x:t xml:space="preserve">SYSTEM-TEST-ONLY-NO-NETWORK-NOT-AN-EDUCATIONAL-EVALUATION</x:t>
        </x:is>
      </x:c>
      <x:c r="S30" t="inlineStr">
        <x:is>
          <x:t xml:space="preserve"/>
        </x:is>
      </x:c>
      <x:c r="T30" t="inlineStr">
        <x:is>
          <x:t xml:space="preserve">NONE</x:t>
        </x:is>
      </x:c>
      <x:c r="U30" t="inlineStr">
        <x:is>
          <x:t xml:space="preserve"/>
        </x:is>
      </x:c>
      <x:c r="V30" t="inlineStr">
        <x:is>
          <x:t xml:space="preserve">SUCCESS</x:t>
        </x:is>
      </x:c>
      <x:c r="W30" t="n">
        <x:f>IF((COUNT('Quantification_Results'!Q30)=1),IFERROR(ROUND((SUM(('Quantification_Results'!Q30*'Quantification_Config'!$R$9))/SUM('Quantification_Config'!$R$9)),'Quantification_Config'!$U$2),""),"")</x:f>
        <x:v>50</x:v>
      </x:c>
      <x:c r="X30" t="n">
        <x:f>IF((COUNT('Quantification_Results'!W30)=1),IFERROR(ROUND((SUM(('Quantification_Results'!W30*'Quantification_Config'!$R$8))/SUM('Quantification_Config'!$R$8)),'Quantification_Config'!$U$2),""),"")</x:f>
        <x:v>50</x:v>
      </x:c>
      <x:c r="Y30" t="n">
        <x:v>0</x:v>
      </x:c>
      <x:c r="Z30"/>
      <x:c r="AA30"/>
      <x:c r="AB30">
        <x:f>IF(('Quantification_Results'!Y30&lt;&gt;1),"",IF(('Quantification_Results'!AA30=""),IF(ISNUMBER('Quantification_Results'!Z30),IF(('Quantification_Results'!Z30&lt;'Quantification_Config'!$S$12),"",IF(('Quantification_Results'!Z30&gt;'Quantification_Config'!$T$12),"",'Quantification_Results'!Z30)),""),IF(ISNUMBER('Quantification_Results'!AA30),IF(('Quantification_Results'!AA30&lt;'Quantification_Config'!$S$12),"",IF(('Quantification_Results'!AA30&gt;'Quantification_Config'!$T$12),"",'Quantification_Results'!AA30)),"")))</x:f>
      </x:c>
      <x:c r="AC30">
        <x:f>IF(ISNUMBER('Quantification_Results'!AB30),IFERROR(ROUND(((('Quantification_Results'!AB30-'Quantification_Config'!$S$12)/('Quantification_Config'!$T$12-'Quantification_Config'!$S$12))*100),'Quantification_Config'!$U$2),""),"")</x:f>
      </x:c>
      <x:c r="AD30" t="inlineStr">
        <x:is>
          <x:t xml:space="preserve"/>
        </x:is>
      </x:c>
      <x:c r="AE30" t="inlineStr">
        <x:is>
          <x:t xml:space="preserve"/>
        </x:is>
      </x:c>
      <x:c r="AF30" t="inlineStr">
        <x:is>
          <x:t xml:space="preserve"/>
        </x:is>
      </x:c>
      <x:c r="AG30" t="inlineStr">
        <x:is>
          <x:t xml:space="preserve"/>
        </x:is>
      </x:c>
      <x:c r="AH30" t="inlineStr">
        <x:is>
          <x:t xml:space="preserve">EMPTY</x:t>
        </x:is>
      </x:c>
      <x:c r="AI30">
        <x:f>IF((COUNT('Quantification_Results'!AC30)=1),IFERROR(ROUND((SUM(('Quantification_Results'!AC30*'Quantification_Config'!$R$12))/SUM('Quantification_Config'!$R$12)),'Quantification_Config'!$U$2),""),"")</x:f>
      </x:c>
      <x:c r="AJ30">
        <x:f>IF((COUNT('Quantification_Results'!AI30)=1),IFERROR(ROUND((SUM(('Quantification_Results'!AI30*'Quantification_Config'!$R$11))/SUM('Quantification_Config'!$R$11)),'Quantification_Config'!$U$2),""),"")</x:f>
      </x:c>
      <x:c r="AK30" t="n">
        <x:v>1</x:v>
      </x:c>
      <x:c r="AL30" t="n">
        <x:v>5</x:v>
      </x:c>
      <x:c r="AM30"/>
      <x:c r="AN30" t="n">
        <x:f>IF(('Quantification_Results'!AK30&lt;&gt;1),"",IF(('Quantification_Results'!AM30=""),IF(ISNUMBER('Quantification_Results'!AL30),IF(('Quantification_Results'!AL30&lt;'Quantification_Config'!$S$15),"",IF(('Quantification_Results'!AL30&gt;'Quantification_Config'!$T$15),"",'Quantification_Results'!AL30)),""),IF(ISNUMBER('Quantification_Results'!AM30),IF(('Quantification_Results'!AM30&lt;'Quantification_Config'!$S$15),"",IF(('Quantification_Results'!AM30&gt;'Quantification_Config'!$T$15),"",'Quantification_Results'!AM30)),"")))</x:f>
        <x:v>5</x:v>
      </x:c>
      <x:c r="AO30" t="n">
        <x:f>IF(ISNUMBER('Quantification_Results'!AN30),IFERROR(ROUND(((('Quantification_Results'!AN30-'Quantification_Config'!$S$15)/('Quantification_Config'!$T$15-'Quantification_Config'!$S$15))*100),'Quantification_Config'!$U$2),""),"")</x:f>
        <x:v>50</x:v>
      </x:c>
      <x:c r="AP30" t="inlineStr">
        <x:is>
          <x:t xml:space="preserve">SYSTEM-TEST-ONLY-NO-NETWORK-NOT-AN-EDUCATIONAL-EVALUATION</x:t>
        </x:is>
      </x:c>
      <x:c r="AQ30" t="inlineStr">
        <x:is>
          <x:t xml:space="preserve"/>
        </x:is>
      </x:c>
      <x:c r="AR30" t="inlineStr">
        <x:is>
          <x:t xml:space="preserve">NONE</x:t>
        </x:is>
      </x:c>
      <x:c r="AS30" t="inlineStr">
        <x:is>
          <x:t xml:space="preserve"/>
        </x:is>
      </x:c>
      <x:c r="AT30" t="inlineStr">
        <x:is>
          <x:t xml:space="preserve">SUCCESS</x:t>
        </x:is>
      </x:c>
      <x:c r="AU30" t="n">
        <x:f>IF((COUNT('Quantification_Results'!AO30)=1),IFERROR(ROUND((SUM(('Quantification_Results'!AO30*'Quantification_Config'!$R$15))/SUM('Quantification_Config'!$R$15)),'Quantification_Config'!$U$2),""),"")</x:f>
        <x:v>50</x:v>
      </x:c>
      <x:c r="AV30" t="n">
        <x:f>IF((COUNT('Quantification_Results'!AU30)=1),IFERROR(ROUND((SUM(('Quantification_Results'!AU30*'Quantification_Config'!$R$14))/SUM('Quantification_Config'!$R$14)),'Quantification_Config'!$U$2),""),"")</x:f>
        <x:v>50</x:v>
      </x:c>
      <x:c r="AW30" t="n">
        <x:v>1</x:v>
      </x:c>
      <x:c r="AX30" t="n">
        <x:v>5</x:v>
      </x:c>
      <x:c r="AY30"/>
      <x:c r="AZ30" t="n">
        <x:f>IF(('Quantification_Results'!AW30&lt;&gt;1),"",IF(('Quantification_Results'!AY30=""),IF(ISNUMBER('Quantification_Results'!AX30),IF(('Quantification_Results'!AX30&lt;'Quantification_Config'!$S$19),"",IF(('Quantification_Results'!AX30&gt;'Quantification_Config'!$T$19),"",'Quantification_Results'!AX30)),""),IF(ISNUMBER('Quantification_Results'!AY30),IF(('Quantification_Results'!AY30&lt;'Quantification_Config'!$S$19),"",IF(('Quantification_Results'!AY30&gt;'Quantification_Config'!$T$19),"",'Quantification_Results'!AY30)),"")))</x:f>
        <x:v>5</x:v>
      </x:c>
      <x:c r="BA30" t="n">
        <x:f>IF(ISNUMBER('Quantification_Results'!AZ30),IFERROR(ROUND(((('Quantification_Results'!AZ30-'Quantification_Config'!$S$19)/('Quantification_Config'!$T$19-'Quantification_Config'!$S$19))*100),'Quantification_Config'!$U$2),""),"")</x:f>
        <x:v>50</x:v>
      </x:c>
      <x:c r="BB30" t="inlineStr">
        <x:is>
          <x:t xml:space="preserve">SYSTEM-TEST-ONLY-NO-NETWORK-NOT-AN-EDUCATIONAL-EVALUATION</x:t>
        </x:is>
      </x:c>
      <x:c r="BC30" t="inlineStr">
        <x:is>
          <x:t xml:space="preserve"/>
        </x:is>
      </x:c>
      <x:c r="BD30" t="inlineStr">
        <x:is>
          <x:t xml:space="preserve">NONE</x:t>
        </x:is>
      </x:c>
      <x:c r="BE30" t="inlineStr">
        <x:is>
          <x:t xml:space="preserve"/>
        </x:is>
      </x:c>
      <x:c r="BF30" t="inlineStr">
        <x:is>
          <x:t xml:space="preserve">SUCCESS</x:t>
        </x:is>
      </x:c>
      <x:c r="BG30" t="n">
        <x:f>IF((COUNT('Quantification_Results'!BA30)=1),IFERROR(ROUND((SUM(('Quantification_Results'!BA30*'Quantification_Config'!$R$19))/SUM('Quantification_Config'!$R$19)),'Quantification_Config'!$U$2),""),"")</x:f>
        <x:v>50</x:v>
      </x:c>
      <x:c r="BH30" t="n">
        <x:f>IF((COUNT('Quantification_Results'!BG30)=1),IFERROR(ROUND((SUM(('Quantification_Results'!BG30*'Quantification_Config'!$R$18))/SUM('Quantification_Config'!$R$18)),'Quantification_Config'!$U$2),""),"")</x:f>
        <x:v>50</x:v>
      </x:c>
      <x:c r="BI30">
        <x:f>IF((COUNT('Quantification_Results'!L30,'Quantification_Results'!X30,'Quantification_Results'!AJ30,'Quantification_Results'!AV30,'Quantification_Results'!BH30)=5),IFERROR(ROUND((SUM(('Quantification_Results'!L30*'Quantification_Config'!$R$4),('Quantification_Results'!X30*'Quantification_Config'!$R$7),('Quantification_Results'!AJ30*'Quantification_Config'!$R$10),('Quantification_Results'!AV30*'Quantification_Config'!$R$13),('Quantification_Results'!BH30*'Quantification_Config'!$R$16))/SUM('Quantification_Config'!$R$4,'Quantification_Config'!$R$7,'Quantification_Config'!$R$10,'Quantification_Config'!$R$13,'Quantification_Config'!$R$16)),'Quantification_Config'!$U$2),""),"")</x:f>
      </x:c>
    </x:row>
    <x:row r="31">
      <x:c r="A31" t="n">
        <x:v>1</x:v>
      </x:c>
      <x:c r="B31" t="n">
        <x:v>5</x:v>
      </x:c>
      <x:c r="C31"/>
      <x:c r="D31" t="n">
        <x:f>IF(('Quantification_Results'!A31&lt;&gt;1),"",IF(('Quantification_Results'!C31=""),IF(ISNUMBER('Quantification_Results'!B31),IF(('Quantification_Results'!B31&lt;'Quantification_Config'!$S$6),"",IF(('Quantification_Results'!B31&gt;'Quantification_Config'!$T$6),"",'Quantification_Results'!B31)),""),IF(ISNUMBER('Quantification_Results'!C31),IF(('Quantification_Results'!C31&lt;'Quantification_Config'!$S$6),"",IF(('Quantification_Results'!C31&gt;'Quantification_Config'!$T$6),"",'Quantification_Results'!C31)),"")))</x:f>
        <x:v>5</x:v>
      </x:c>
      <x:c r="E31" t="n">
        <x:f>IF(ISNUMBER('Quantification_Results'!D31),IFERROR(ROUND(((('Quantification_Results'!D31-'Quantification_Config'!$S$6)/('Quantification_Config'!$T$6-'Quantification_Config'!$S$6))*100),'Quantification_Config'!$U$2),""),"")</x:f>
        <x:v>50</x:v>
      </x:c>
      <x:c r="F31" t="inlineStr">
        <x:is>
          <x:t xml:space="preserve">SYSTEM-TEST-ONLY-NO-NETWORK-NOT-AN-EDUCATIONAL-EVALUATION</x:t>
        </x:is>
      </x:c>
      <x:c r="G31" t="inlineStr">
        <x:is>
          <x:t xml:space="preserve"/>
        </x:is>
      </x:c>
      <x:c r="H31" t="inlineStr">
        <x:is>
          <x:t xml:space="preserve">NONE</x:t>
        </x:is>
      </x:c>
      <x:c r="I31" t="inlineStr">
        <x:is>
          <x:t xml:space="preserve"/>
        </x:is>
      </x:c>
      <x:c r="J31" t="inlineStr">
        <x:is>
          <x:t xml:space="preserve">SUCCESS</x:t>
        </x:is>
      </x:c>
      <x:c r="K31" t="n">
        <x:f>IF((COUNT('Quantification_Results'!E31)=1),IFERROR(ROUND((SUM(('Quantification_Results'!E31*'Quantification_Config'!$R$6))/SUM('Quantification_Config'!$R$6)),'Quantification_Config'!$U$2),""),"")</x:f>
        <x:v>50</x:v>
      </x:c>
      <x:c r="L31" t="n">
        <x:f>IF((COUNT('Quantification_Results'!K31)=1),IFERROR(ROUND((SUM(('Quantification_Results'!K31*'Quantification_Config'!$R$5))/SUM('Quantification_Config'!$R$5)),'Quantification_Config'!$U$2),""),"")</x:f>
        <x:v>50</x:v>
      </x:c>
      <x:c r="M31" t="n">
        <x:v>1</x:v>
      </x:c>
      <x:c r="N31" t="n">
        <x:v>5</x:v>
      </x:c>
      <x:c r="O31"/>
      <x:c r="P31" t="n">
        <x:f>IF(('Quantification_Results'!M31&lt;&gt;1),"",IF(('Quantification_Results'!O31=""),IF(ISNUMBER('Quantification_Results'!N31),IF(('Quantification_Results'!N31&lt;'Quantification_Config'!$S$9),"",IF(('Quantification_Results'!N31&gt;'Quantification_Config'!$T$9),"",'Quantification_Results'!N31)),""),IF(ISNUMBER('Quantification_Results'!O31),IF(('Quantification_Results'!O31&lt;'Quantification_Config'!$S$9),"",IF(('Quantification_Results'!O31&gt;'Quantification_Config'!$T$9),"",'Quantification_Results'!O31)),"")))</x:f>
        <x:v>5</x:v>
      </x:c>
      <x:c r="Q31" t="n">
        <x:f>IF(ISNUMBER('Quantification_Results'!P31),IFERROR(ROUND(((('Quantification_Results'!P31-'Quantification_Config'!$S$9)/('Quantification_Config'!$T$9-'Quantification_Config'!$S$9))*100),'Quantification_Config'!$U$2),""),"")</x:f>
        <x:v>50</x:v>
      </x:c>
      <x:c r="R31" t="inlineStr">
        <x:is>
          <x:t xml:space="preserve">SYSTEM-TEST-ONLY-NO-NETWORK-NOT-AN-EDUCATIONAL-EVALUATION</x:t>
        </x:is>
      </x:c>
      <x:c r="S31" t="inlineStr">
        <x:is>
          <x:t xml:space="preserve"/>
        </x:is>
      </x:c>
      <x:c r="T31" t="inlineStr">
        <x:is>
          <x:t xml:space="preserve">NONE</x:t>
        </x:is>
      </x:c>
      <x:c r="U31" t="inlineStr">
        <x:is>
          <x:t xml:space="preserve"/>
        </x:is>
      </x:c>
      <x:c r="V31" t="inlineStr">
        <x:is>
          <x:t xml:space="preserve">SUCCESS</x:t>
        </x:is>
      </x:c>
      <x:c r="W31" t="n">
        <x:f>IF((COUNT('Quantification_Results'!Q31)=1),IFERROR(ROUND((SUM(('Quantification_Results'!Q31*'Quantification_Config'!$R$9))/SUM('Quantification_Config'!$R$9)),'Quantification_Config'!$U$2),""),"")</x:f>
        <x:v>50</x:v>
      </x:c>
      <x:c r="X31" t="n">
        <x:f>IF((COUNT('Quantification_Results'!W31)=1),IFERROR(ROUND((SUM(('Quantification_Results'!W31*'Quantification_Config'!$R$8))/SUM('Quantification_Config'!$R$8)),'Quantification_Config'!$U$2),""),"")</x:f>
        <x:v>50</x:v>
      </x:c>
      <x:c r="Y31" t="n">
        <x:v>1</x:v>
      </x:c>
      <x:c r="Z31" t="n">
        <x:v>5</x:v>
      </x:c>
      <x:c r="AA31"/>
      <x:c r="AB31" t="n">
        <x:f>IF(('Quantification_Results'!Y31&lt;&gt;1),"",IF(('Quantification_Results'!AA31=""),IF(ISNUMBER('Quantification_Results'!Z31),IF(('Quantification_Results'!Z31&lt;'Quantification_Config'!$S$12),"",IF(('Quantification_Results'!Z31&gt;'Quantification_Config'!$T$12),"",'Quantification_Results'!Z31)),""),IF(ISNUMBER('Quantification_Results'!AA31),IF(('Quantification_Results'!AA31&lt;'Quantification_Config'!$S$12),"",IF(('Quantification_Results'!AA31&gt;'Quantification_Config'!$T$12),"",'Quantification_Results'!AA31)),"")))</x:f>
        <x:v>5</x:v>
      </x:c>
      <x:c r="AC31" t="n">
        <x:f>IF(ISNUMBER('Quantification_Results'!AB31),IFERROR(ROUND(((('Quantification_Results'!AB31-'Quantification_Config'!$S$12)/('Quantification_Config'!$T$12-'Quantification_Config'!$S$12))*100),'Quantification_Config'!$U$2),""),"")</x:f>
        <x:v>50</x:v>
      </x:c>
      <x:c r="AD31" t="inlineStr">
        <x:is>
          <x:t xml:space="preserve">SYSTEM-TEST-ONLY-NO-NETWORK-NOT-AN-EDUCATIONAL-EVALUATION</x:t>
        </x:is>
      </x:c>
      <x:c r="AE31" t="inlineStr">
        <x:is>
          <x:t xml:space="preserve"/>
        </x:is>
      </x:c>
      <x:c r="AF31" t="inlineStr">
        <x:is>
          <x:t xml:space="preserve">NONE</x:t>
        </x:is>
      </x:c>
      <x:c r="AG31" t="inlineStr">
        <x:is>
          <x:t xml:space="preserve"/>
        </x:is>
      </x:c>
      <x:c r="AH31" t="inlineStr">
        <x:is>
          <x:t xml:space="preserve">SUCCESS</x:t>
        </x:is>
      </x:c>
      <x:c r="AI31" t="n">
        <x:f>IF((COUNT('Quantification_Results'!AC31)=1),IFERROR(ROUND((SUM(('Quantification_Results'!AC31*'Quantification_Config'!$R$12))/SUM('Quantification_Config'!$R$12)),'Quantification_Config'!$U$2),""),"")</x:f>
        <x:v>50</x:v>
      </x:c>
      <x:c r="AJ31" t="n">
        <x:f>IF((COUNT('Quantification_Results'!AI31)=1),IFERROR(ROUND((SUM(('Quantification_Results'!AI31*'Quantification_Config'!$R$11))/SUM('Quantification_Config'!$R$11)),'Quantification_Config'!$U$2),""),"")</x:f>
        <x:v>50</x:v>
      </x:c>
      <x:c r="AK31" t="n">
        <x:v>1</x:v>
      </x:c>
      <x:c r="AL31" t="n">
        <x:v>5</x:v>
      </x:c>
      <x:c r="AM31"/>
      <x:c r="AN31" t="n">
        <x:f>IF(('Quantification_Results'!AK31&lt;&gt;1),"",IF(('Quantification_Results'!AM31=""),IF(ISNUMBER('Quantification_Results'!AL31),IF(('Quantification_Results'!AL31&lt;'Quantification_Config'!$S$15),"",IF(('Quantification_Results'!AL31&gt;'Quantification_Config'!$T$15),"",'Quantification_Results'!AL31)),""),IF(ISNUMBER('Quantification_Results'!AM31),IF(('Quantification_Results'!AM31&lt;'Quantification_Config'!$S$15),"",IF(('Quantification_Results'!AM31&gt;'Quantification_Config'!$T$15),"",'Quantification_Results'!AM31)),"")))</x:f>
        <x:v>5</x:v>
      </x:c>
      <x:c r="AO31" t="n">
        <x:f>IF(ISNUMBER('Quantification_Results'!AN31),IFERROR(ROUND(((('Quantification_Results'!AN31-'Quantification_Config'!$S$15)/('Quantification_Config'!$T$15-'Quantification_Config'!$S$15))*100),'Quantification_Config'!$U$2),""),"")</x:f>
        <x:v>50</x:v>
      </x:c>
      <x:c r="AP31" t="inlineStr">
        <x:is>
          <x:t xml:space="preserve">SYSTEM-TEST-ONLY-NO-NETWORK-NOT-AN-EDUCATIONAL-EVALUATION</x:t>
        </x:is>
      </x:c>
      <x:c r="AQ31" t="inlineStr">
        <x:is>
          <x:t xml:space="preserve"/>
        </x:is>
      </x:c>
      <x:c r="AR31" t="inlineStr">
        <x:is>
          <x:t xml:space="preserve">NONE</x:t>
        </x:is>
      </x:c>
      <x:c r="AS31" t="inlineStr">
        <x:is>
          <x:t xml:space="preserve"/>
        </x:is>
      </x:c>
      <x:c r="AT31" t="inlineStr">
        <x:is>
          <x:t xml:space="preserve">SUCCESS</x:t>
        </x:is>
      </x:c>
      <x:c r="AU31" t="n">
        <x:f>IF((COUNT('Quantification_Results'!AO31)=1),IFERROR(ROUND((SUM(('Quantification_Results'!AO31*'Quantification_Config'!$R$15))/SUM('Quantification_Config'!$R$15)),'Quantification_Config'!$U$2),""),"")</x:f>
        <x:v>50</x:v>
      </x:c>
      <x:c r="AV31" t="n">
        <x:f>IF((COUNT('Quantification_Results'!AU31)=1),IFERROR(ROUND((SUM(('Quantification_Results'!AU31*'Quantification_Config'!$R$14))/SUM('Quantification_Config'!$R$14)),'Quantification_Config'!$U$2),""),"")</x:f>
        <x:v>50</x:v>
      </x:c>
      <x:c r="AW31" t="n">
        <x:v>1</x:v>
      </x:c>
      <x:c r="AX31" t="n">
        <x:v>5</x:v>
      </x:c>
      <x:c r="AY31"/>
      <x:c r="AZ31" t="n">
        <x:f>IF(('Quantification_Results'!AW31&lt;&gt;1),"",IF(('Quantification_Results'!AY31=""),IF(ISNUMBER('Quantification_Results'!AX31),IF(('Quantification_Results'!AX31&lt;'Quantification_Config'!$S$19),"",IF(('Quantification_Results'!AX31&gt;'Quantification_Config'!$T$19),"",'Quantification_Results'!AX31)),""),IF(ISNUMBER('Quantification_Results'!AY31),IF(('Quantification_Results'!AY31&lt;'Quantification_Config'!$S$19),"",IF(('Quantification_Results'!AY31&gt;'Quantification_Config'!$T$19),"",'Quantification_Results'!AY31)),"")))</x:f>
        <x:v>5</x:v>
      </x:c>
      <x:c r="BA31" t="n">
        <x:f>IF(ISNUMBER('Quantification_Results'!AZ31),IFERROR(ROUND(((('Quantification_Results'!AZ31-'Quantification_Config'!$S$19)/('Quantification_Config'!$T$19-'Quantification_Config'!$S$19))*100),'Quantification_Config'!$U$2),""),"")</x:f>
        <x:v>50</x:v>
      </x:c>
      <x:c r="BB31" t="inlineStr">
        <x:is>
          <x:t xml:space="preserve">SYSTEM-TEST-ONLY-NO-NETWORK-NOT-AN-EDUCATIONAL-EVALUATION</x:t>
        </x:is>
      </x:c>
      <x:c r="BC31" t="inlineStr">
        <x:is>
          <x:t xml:space="preserve"/>
        </x:is>
      </x:c>
      <x:c r="BD31" t="inlineStr">
        <x:is>
          <x:t xml:space="preserve">NONE</x:t>
        </x:is>
      </x:c>
      <x:c r="BE31" t="inlineStr">
        <x:is>
          <x:t xml:space="preserve"/>
        </x:is>
      </x:c>
      <x:c r="BF31" t="inlineStr">
        <x:is>
          <x:t xml:space="preserve">SUCCESS</x:t>
        </x:is>
      </x:c>
      <x:c r="BG31" t="n">
        <x:f>IF((COUNT('Quantification_Results'!BA31)=1),IFERROR(ROUND((SUM(('Quantification_Results'!BA31*'Quantification_Config'!$R$19))/SUM('Quantification_Config'!$R$19)),'Quantification_Config'!$U$2),""),"")</x:f>
        <x:v>50</x:v>
      </x:c>
      <x:c r="BH31" t="n">
        <x:f>IF((COUNT('Quantification_Results'!BG31)=1),IFERROR(ROUND((SUM(('Quantification_Results'!BG31*'Quantification_Config'!$R$18))/SUM('Quantification_Config'!$R$18)),'Quantification_Config'!$U$2),""),"")</x:f>
        <x:v>50</x:v>
      </x:c>
      <x:c r="BI31" t="n">
        <x:f>IF((COUNT('Quantification_Results'!L31,'Quantification_Results'!X31,'Quantification_Results'!AJ31,'Quantification_Results'!AV31,'Quantification_Results'!BH31)=5),IFERROR(ROUND((SUM(('Quantification_Results'!L31*'Quantification_Config'!$R$4),('Quantification_Results'!X31*'Quantification_Config'!$R$7),('Quantification_Results'!AJ31*'Quantification_Config'!$R$10),('Quantification_Results'!AV31*'Quantification_Config'!$R$13),('Quantification_Results'!BH31*'Quantification_Config'!$R$16))/SUM('Quantification_Config'!$R$4,'Quantification_Config'!$R$7,'Quantification_Config'!$R$10,'Quantification_Config'!$R$13,'Quantification_Config'!$R$16)),'Quantification_Config'!$U$2),""),"")</x:f>
        <x:v>50</x:v>
      </x:c>
    </x:row>
    <x:row r="32">
      <x:c r="A32" t="n">
        <x:v>1</x:v>
      </x:c>
      <x:c r="B32" t="n">
        <x:v>5</x:v>
      </x:c>
      <x:c r="C32"/>
      <x:c r="D32" t="n">
        <x:f>IF(('Quantification_Results'!A32&lt;&gt;1),"",IF(('Quantification_Results'!C32=""),IF(ISNUMBER('Quantification_Results'!B32),IF(('Quantification_Results'!B32&lt;'Quantification_Config'!$S$6),"",IF(('Quantification_Results'!B32&gt;'Quantification_Config'!$T$6),"",'Quantification_Results'!B32)),""),IF(ISNUMBER('Quantification_Results'!C32),IF(('Quantification_Results'!C32&lt;'Quantification_Config'!$S$6),"",IF(('Quantification_Results'!C32&gt;'Quantification_Config'!$T$6),"",'Quantification_Results'!C32)),"")))</x:f>
        <x:v>5</x:v>
      </x:c>
      <x:c r="E32" t="n">
        <x:f>IF(ISNUMBER('Quantification_Results'!D32),IFERROR(ROUND(((('Quantification_Results'!D32-'Quantification_Config'!$S$6)/('Quantification_Config'!$T$6-'Quantification_Config'!$S$6))*100),'Quantification_Config'!$U$2),""),"")</x:f>
        <x:v>50</x:v>
      </x:c>
      <x:c r="F32" t="inlineStr">
        <x:is>
          <x:t xml:space="preserve">SYSTEM-TEST-ONLY-NO-NETWORK-NOT-AN-EDUCATIONAL-EVALUATION</x:t>
        </x:is>
      </x:c>
      <x:c r="G32" t="inlineStr">
        <x:is>
          <x:t xml:space="preserve"/>
        </x:is>
      </x:c>
      <x:c r="H32" t="inlineStr">
        <x:is>
          <x:t xml:space="preserve">NONE</x:t>
        </x:is>
      </x:c>
      <x:c r="I32" t="inlineStr">
        <x:is>
          <x:t xml:space="preserve"/>
        </x:is>
      </x:c>
      <x:c r="J32" t="inlineStr">
        <x:is>
          <x:t xml:space="preserve">SUCCESS</x:t>
        </x:is>
      </x:c>
      <x:c r="K32" t="n">
        <x:f>IF((COUNT('Quantification_Results'!E32)=1),IFERROR(ROUND((SUM(('Quantification_Results'!E32*'Quantification_Config'!$R$6))/SUM('Quantification_Config'!$R$6)),'Quantification_Config'!$U$2),""),"")</x:f>
        <x:v>50</x:v>
      </x:c>
      <x:c r="L32" t="n">
        <x:f>IF((COUNT('Quantification_Results'!K32)=1),IFERROR(ROUND((SUM(('Quantification_Results'!K32*'Quantification_Config'!$R$5))/SUM('Quantification_Config'!$R$5)),'Quantification_Config'!$U$2),""),"")</x:f>
        <x:v>50</x:v>
      </x:c>
      <x:c r="M32" t="n">
        <x:v>0</x:v>
      </x:c>
      <x:c r="N32"/>
      <x:c r="O32"/>
      <x:c r="P32">
        <x:f>IF(('Quantification_Results'!M32&lt;&gt;1),"",IF(('Quantification_Results'!O32=""),IF(ISNUMBER('Quantification_Results'!N32),IF(('Quantification_Results'!N32&lt;'Quantification_Config'!$S$9),"",IF(('Quantification_Results'!N32&gt;'Quantification_Config'!$T$9),"",'Quantification_Results'!N32)),""),IF(ISNUMBER('Quantification_Results'!O32),IF(('Quantification_Results'!O32&lt;'Quantification_Config'!$S$9),"",IF(('Quantification_Results'!O32&gt;'Quantification_Config'!$T$9),"",'Quantification_Results'!O32)),"")))</x:f>
      </x:c>
      <x:c r="Q32">
        <x:f>IF(ISNUMBER('Quantification_Results'!P32),IFERROR(ROUND(((('Quantification_Results'!P32-'Quantification_Config'!$S$9)/('Quantification_Config'!$T$9-'Quantification_Config'!$S$9))*100),'Quantification_Config'!$U$2),""),"")</x:f>
      </x:c>
      <x:c r="R32" t="inlineStr">
        <x:is>
          <x:t xml:space="preserve"/>
        </x:is>
      </x:c>
      <x:c r="S32" t="inlineStr">
        <x:is>
          <x:t xml:space="preserve"/>
        </x:is>
      </x:c>
      <x:c r="T32" t="inlineStr">
        <x:is>
          <x:t xml:space="preserve"/>
        </x:is>
      </x:c>
      <x:c r="U32" t="inlineStr">
        <x:is>
          <x:t xml:space="preserve"/>
        </x:is>
      </x:c>
      <x:c r="V32" t="inlineStr">
        <x:is>
          <x:t xml:space="preserve">EMPTY</x:t>
        </x:is>
      </x:c>
      <x:c r="W32">
        <x:f>IF((COUNT('Quantification_Results'!Q32)=1),IFERROR(ROUND((SUM(('Quantification_Results'!Q32*'Quantification_Config'!$R$9))/SUM('Quantification_Config'!$R$9)),'Quantification_Config'!$U$2),""),"")</x:f>
      </x:c>
      <x:c r="X32">
        <x:f>IF((COUNT('Quantification_Results'!W32)=1),IFERROR(ROUND((SUM(('Quantification_Results'!W32*'Quantification_Config'!$R$8))/SUM('Quantification_Config'!$R$8)),'Quantification_Config'!$U$2),""),"")</x:f>
      </x:c>
      <x:c r="Y32" t="n">
        <x:v>0</x:v>
      </x:c>
      <x:c r="Z32"/>
      <x:c r="AA32"/>
      <x:c r="AB32">
        <x:f>IF(('Quantification_Results'!Y32&lt;&gt;1),"",IF(('Quantification_Results'!AA32=""),IF(ISNUMBER('Quantification_Results'!Z32),IF(('Quantification_Results'!Z32&lt;'Quantification_Config'!$S$12),"",IF(('Quantification_Results'!Z32&gt;'Quantification_Config'!$T$12),"",'Quantification_Results'!Z32)),""),IF(ISNUMBER('Quantification_Results'!AA32),IF(('Quantification_Results'!AA32&lt;'Quantification_Config'!$S$12),"",IF(('Quantification_Results'!AA32&gt;'Quantification_Config'!$T$12),"",'Quantification_Results'!AA32)),"")))</x:f>
      </x:c>
      <x:c r="AC32">
        <x:f>IF(ISNUMBER('Quantification_Results'!AB32),IFERROR(ROUND(((('Quantification_Results'!AB32-'Quantification_Config'!$S$12)/('Quantification_Config'!$T$12-'Quantification_Config'!$S$12))*100),'Quantification_Config'!$U$2),""),"")</x:f>
      </x:c>
      <x:c r="AD32" t="inlineStr">
        <x:is>
          <x:t xml:space="preserve"/>
        </x:is>
      </x:c>
      <x:c r="AE32" t="inlineStr">
        <x:is>
          <x:t xml:space="preserve"/>
        </x:is>
      </x:c>
      <x:c r="AF32" t="inlineStr">
        <x:is>
          <x:t xml:space="preserve"/>
        </x:is>
      </x:c>
      <x:c r="AG32" t="inlineStr">
        <x:is>
          <x:t xml:space="preserve"/>
        </x:is>
      </x:c>
      <x:c r="AH32" t="inlineStr">
        <x:is>
          <x:t xml:space="preserve">EMPTY</x:t>
        </x:is>
      </x:c>
      <x:c r="AI32">
        <x:f>IF((COUNT('Quantification_Results'!AC32)=1),IFERROR(ROUND((SUM(('Quantification_Results'!AC32*'Quantification_Config'!$R$12))/SUM('Quantification_Config'!$R$12)),'Quantification_Config'!$U$2),""),"")</x:f>
      </x:c>
      <x:c r="AJ32">
        <x:f>IF((COUNT('Quantification_Results'!AI32)=1),IFERROR(ROUND((SUM(('Quantification_Results'!AI32*'Quantification_Config'!$R$11))/SUM('Quantification_Config'!$R$11)),'Quantification_Config'!$U$2),""),"")</x:f>
      </x:c>
      <x:c r="AK32" t="n">
        <x:v>1</x:v>
      </x:c>
      <x:c r="AL32" t="n">
        <x:v>5</x:v>
      </x:c>
      <x:c r="AM32"/>
      <x:c r="AN32" t="n">
        <x:f>IF(('Quantification_Results'!AK32&lt;&gt;1),"",IF(('Quantification_Results'!AM32=""),IF(ISNUMBER('Quantification_Results'!AL32),IF(('Quantification_Results'!AL32&lt;'Quantification_Config'!$S$15),"",IF(('Quantification_Results'!AL32&gt;'Quantification_Config'!$T$15),"",'Quantification_Results'!AL32)),""),IF(ISNUMBER('Quantification_Results'!AM32),IF(('Quantification_Results'!AM32&lt;'Quantification_Config'!$S$15),"",IF(('Quantification_Results'!AM32&gt;'Quantification_Config'!$T$15),"",'Quantification_Results'!AM32)),"")))</x:f>
        <x:v>5</x:v>
      </x:c>
      <x:c r="AO32" t="n">
        <x:f>IF(ISNUMBER('Quantification_Results'!AN32),IFERROR(ROUND(((('Quantification_Results'!AN32-'Quantification_Config'!$S$15)/('Quantification_Config'!$T$15-'Quantification_Config'!$S$15))*100),'Quantification_Config'!$U$2),""),"")</x:f>
        <x:v>50</x:v>
      </x:c>
      <x:c r="AP32" t="inlineStr">
        <x:is>
          <x:t xml:space="preserve">SYSTEM-TEST-ONLY-NO-NETWORK-NOT-AN-EDUCATIONAL-EVALUATION</x:t>
        </x:is>
      </x:c>
      <x:c r="AQ32" t="inlineStr">
        <x:is>
          <x:t xml:space="preserve"/>
        </x:is>
      </x:c>
      <x:c r="AR32" t="inlineStr">
        <x:is>
          <x:t xml:space="preserve">NONE</x:t>
        </x:is>
      </x:c>
      <x:c r="AS32" t="inlineStr">
        <x:is>
          <x:t xml:space="preserve"/>
        </x:is>
      </x:c>
      <x:c r="AT32" t="inlineStr">
        <x:is>
          <x:t xml:space="preserve">SUCCESS</x:t>
        </x:is>
      </x:c>
      <x:c r="AU32" t="n">
        <x:f>IF((COUNT('Quantification_Results'!AO32)=1),IFERROR(ROUND((SUM(('Quantification_Results'!AO32*'Quantification_Config'!$R$15))/SUM('Quantification_Config'!$R$15)),'Quantification_Config'!$U$2),""),"")</x:f>
        <x:v>50</x:v>
      </x:c>
      <x:c r="AV32" t="n">
        <x:f>IF((COUNT('Quantification_Results'!AU32)=1),IFERROR(ROUND((SUM(('Quantification_Results'!AU32*'Quantification_Config'!$R$14))/SUM('Quantification_Config'!$R$14)),'Quantification_Config'!$U$2),""),"")</x:f>
        <x:v>50</x:v>
      </x:c>
      <x:c r="AW32" t="n">
        <x:v>1</x:v>
      </x:c>
      <x:c r="AX32" t="n">
        <x:v>5</x:v>
      </x:c>
      <x:c r="AY32"/>
      <x:c r="AZ32" t="n">
        <x:f>IF(('Quantification_Results'!AW32&lt;&gt;1),"",IF(('Quantification_Results'!AY32=""),IF(ISNUMBER('Quantification_Results'!AX32),IF(('Quantification_Results'!AX32&lt;'Quantification_Config'!$S$19),"",IF(('Quantification_Results'!AX32&gt;'Quantification_Config'!$T$19),"",'Quantification_Results'!AX32)),""),IF(ISNUMBER('Quantification_Results'!AY32),IF(('Quantification_Results'!AY32&lt;'Quantification_Config'!$S$19),"",IF(('Quantification_Results'!AY32&gt;'Quantification_Config'!$T$19),"",'Quantification_Results'!AY32)),"")))</x:f>
        <x:v>5</x:v>
      </x:c>
      <x:c r="BA32" t="n">
        <x:f>IF(ISNUMBER('Quantification_Results'!AZ32),IFERROR(ROUND(((('Quantification_Results'!AZ32-'Quantification_Config'!$S$19)/('Quantification_Config'!$T$19-'Quantification_Config'!$S$19))*100),'Quantification_Config'!$U$2),""),"")</x:f>
        <x:v>50</x:v>
      </x:c>
      <x:c r="BB32" t="inlineStr">
        <x:is>
          <x:t xml:space="preserve">SYSTEM-TEST-ONLY-NO-NETWORK-NOT-AN-EDUCATIONAL-EVALUATION</x:t>
        </x:is>
      </x:c>
      <x:c r="BC32" t="inlineStr">
        <x:is>
          <x:t xml:space="preserve"/>
        </x:is>
      </x:c>
      <x:c r="BD32" t="inlineStr">
        <x:is>
          <x:t xml:space="preserve">NONE</x:t>
        </x:is>
      </x:c>
      <x:c r="BE32" t="inlineStr">
        <x:is>
          <x:t xml:space="preserve"/>
        </x:is>
      </x:c>
      <x:c r="BF32" t="inlineStr">
        <x:is>
          <x:t xml:space="preserve">SUCCESS</x:t>
        </x:is>
      </x:c>
      <x:c r="BG32" t="n">
        <x:f>IF((COUNT('Quantification_Results'!BA32)=1),IFERROR(ROUND((SUM(('Quantification_Results'!BA32*'Quantification_Config'!$R$19))/SUM('Quantification_Config'!$R$19)),'Quantification_Config'!$U$2),""),"")</x:f>
        <x:v>50</x:v>
      </x:c>
      <x:c r="BH32" t="n">
        <x:f>IF((COUNT('Quantification_Results'!BG32)=1),IFERROR(ROUND((SUM(('Quantification_Results'!BG32*'Quantification_Config'!$R$18))/SUM('Quantification_Config'!$R$18)),'Quantification_Config'!$U$2),""),"")</x:f>
        <x:v>50</x:v>
      </x:c>
      <x:c r="BI32">
        <x:f>IF((COUNT('Quantification_Results'!L32,'Quantification_Results'!X32,'Quantification_Results'!AJ32,'Quantification_Results'!AV32,'Quantification_Results'!BH32)=5),IFERROR(ROUND((SUM(('Quantification_Results'!L32*'Quantification_Config'!$R$4),('Quantification_Results'!X32*'Quantification_Config'!$R$7),('Quantification_Results'!AJ32*'Quantification_Config'!$R$10),('Quantification_Results'!AV32*'Quantification_Config'!$R$13),('Quantification_Results'!BH32*'Quantification_Config'!$R$16))/SUM('Quantification_Config'!$R$4,'Quantification_Config'!$R$7,'Quantification_Config'!$R$10,'Quantification_Config'!$R$13,'Quantification_Config'!$R$16)),'Quantification_Config'!$U$2),""),"")</x:f>
      </x:c>
    </x:row>
    <x:row r="33">
      <x:c r="A33" t="n">
        <x:v>1</x:v>
      </x:c>
      <x:c r="B33" t="n">
        <x:v>5</x:v>
      </x:c>
      <x:c r="C33"/>
      <x:c r="D33" t="n">
        <x:f>IF(('Quantification_Results'!A33&lt;&gt;1),"",IF(('Quantification_Results'!C33=""),IF(ISNUMBER('Quantification_Results'!B33),IF(('Quantification_Results'!B33&lt;'Quantification_Config'!$S$6),"",IF(('Quantification_Results'!B33&gt;'Quantification_Config'!$T$6),"",'Quantification_Results'!B33)),""),IF(ISNUMBER('Quantification_Results'!C33),IF(('Quantification_Results'!C33&lt;'Quantification_Config'!$S$6),"",IF(('Quantification_Results'!C33&gt;'Quantification_Config'!$T$6),"",'Quantification_Results'!C33)),"")))</x:f>
        <x:v>5</x:v>
      </x:c>
      <x:c r="E33" t="n">
        <x:f>IF(ISNUMBER('Quantification_Results'!D33),IFERROR(ROUND(((('Quantification_Results'!D33-'Quantification_Config'!$S$6)/('Quantification_Config'!$T$6-'Quantification_Config'!$S$6))*100),'Quantification_Config'!$U$2),""),"")</x:f>
        <x:v>50</x:v>
      </x:c>
      <x:c r="F33" t="inlineStr">
        <x:is>
          <x:t xml:space="preserve">SYSTEM-TEST-ONLY-NO-NETWORK-NOT-AN-EDUCATIONAL-EVALUATION</x:t>
        </x:is>
      </x:c>
      <x:c r="G33" t="inlineStr">
        <x:is>
          <x:t xml:space="preserve"/>
        </x:is>
      </x:c>
      <x:c r="H33" t="inlineStr">
        <x:is>
          <x:t xml:space="preserve">NONE</x:t>
        </x:is>
      </x:c>
      <x:c r="I33" t="inlineStr">
        <x:is>
          <x:t xml:space="preserve"/>
        </x:is>
      </x:c>
      <x:c r="J33" t="inlineStr">
        <x:is>
          <x:t xml:space="preserve">SUCCESS</x:t>
        </x:is>
      </x:c>
      <x:c r="K33" t="n">
        <x:f>IF((COUNT('Quantification_Results'!E33)=1),IFERROR(ROUND((SUM(('Quantification_Results'!E33*'Quantification_Config'!$R$6))/SUM('Quantification_Config'!$R$6)),'Quantification_Config'!$U$2),""),"")</x:f>
        <x:v>50</x:v>
      </x:c>
      <x:c r="L33" t="n">
        <x:f>IF((COUNT('Quantification_Results'!K33)=1),IFERROR(ROUND((SUM(('Quantification_Results'!K33*'Quantification_Config'!$R$5))/SUM('Quantification_Config'!$R$5)),'Quantification_Config'!$U$2),""),"")</x:f>
        <x:v>50</x:v>
      </x:c>
      <x:c r="M33" t="n">
        <x:v>0</x:v>
      </x:c>
      <x:c r="N33"/>
      <x:c r="O33"/>
      <x:c r="P33">
        <x:f>IF(('Quantification_Results'!M33&lt;&gt;1),"",IF(('Quantification_Results'!O33=""),IF(ISNUMBER('Quantification_Results'!N33),IF(('Quantification_Results'!N33&lt;'Quantification_Config'!$S$9),"",IF(('Quantification_Results'!N33&gt;'Quantification_Config'!$T$9),"",'Quantification_Results'!N33)),""),IF(ISNUMBER('Quantification_Results'!O33),IF(('Quantification_Results'!O33&lt;'Quantification_Config'!$S$9),"",IF(('Quantification_Results'!O33&gt;'Quantification_Config'!$T$9),"",'Quantification_Results'!O33)),"")))</x:f>
      </x:c>
      <x:c r="Q33">
        <x:f>IF(ISNUMBER('Quantification_Results'!P33),IFERROR(ROUND(((('Quantification_Results'!P33-'Quantification_Config'!$S$9)/('Quantification_Config'!$T$9-'Quantification_Config'!$S$9))*100),'Quantification_Config'!$U$2),""),"")</x:f>
      </x:c>
      <x:c r="R33" t="inlineStr">
        <x:is>
          <x:t xml:space="preserve"/>
        </x:is>
      </x:c>
      <x:c r="S33" t="inlineStr">
        <x:is>
          <x:t xml:space="preserve"/>
        </x:is>
      </x:c>
      <x:c r="T33" t="inlineStr">
        <x:is>
          <x:t xml:space="preserve"/>
        </x:is>
      </x:c>
      <x:c r="U33" t="inlineStr">
        <x:is>
          <x:t xml:space="preserve"/>
        </x:is>
      </x:c>
      <x:c r="V33" t="inlineStr">
        <x:is>
          <x:t xml:space="preserve">EMPTY</x:t>
        </x:is>
      </x:c>
      <x:c r="W33">
        <x:f>IF((COUNT('Quantification_Results'!Q33)=1),IFERROR(ROUND((SUM(('Quantification_Results'!Q33*'Quantification_Config'!$R$9))/SUM('Quantification_Config'!$R$9)),'Quantification_Config'!$U$2),""),"")</x:f>
      </x:c>
      <x:c r="X33">
        <x:f>IF((COUNT('Quantification_Results'!W33)=1),IFERROR(ROUND((SUM(('Quantification_Results'!W33*'Quantification_Config'!$R$8))/SUM('Quantification_Config'!$R$8)),'Quantification_Config'!$U$2),""),"")</x:f>
      </x:c>
      <x:c r="Y33" t="n">
        <x:v>0</x:v>
      </x:c>
      <x:c r="Z33"/>
      <x:c r="AA33"/>
      <x:c r="AB33">
        <x:f>IF(('Quantification_Results'!Y33&lt;&gt;1),"",IF(('Quantification_Results'!AA33=""),IF(ISNUMBER('Quantification_Results'!Z33),IF(('Quantification_Results'!Z33&lt;'Quantification_Config'!$S$12),"",IF(('Quantification_Results'!Z33&gt;'Quantification_Config'!$T$12),"",'Quantification_Results'!Z33)),""),IF(ISNUMBER('Quantification_Results'!AA33),IF(('Quantification_Results'!AA33&lt;'Quantification_Config'!$S$12),"",IF(('Quantification_Results'!AA33&gt;'Quantification_Config'!$T$12),"",'Quantification_Results'!AA33)),"")))</x:f>
      </x:c>
      <x:c r="AC33">
        <x:f>IF(ISNUMBER('Quantification_Results'!AB33),IFERROR(ROUND(((('Quantification_Results'!AB33-'Quantification_Config'!$S$12)/('Quantification_Config'!$T$12-'Quantification_Config'!$S$12))*100),'Quantification_Config'!$U$2),""),"")</x:f>
      </x:c>
      <x:c r="AD33" t="inlineStr">
        <x:is>
          <x:t xml:space="preserve"/>
        </x:is>
      </x:c>
      <x:c r="AE33" t="inlineStr">
        <x:is>
          <x:t xml:space="preserve"/>
        </x:is>
      </x:c>
      <x:c r="AF33" t="inlineStr">
        <x:is>
          <x:t xml:space="preserve"/>
        </x:is>
      </x:c>
      <x:c r="AG33" t="inlineStr">
        <x:is>
          <x:t xml:space="preserve"/>
        </x:is>
      </x:c>
      <x:c r="AH33" t="inlineStr">
        <x:is>
          <x:t xml:space="preserve">EMPTY</x:t>
        </x:is>
      </x:c>
      <x:c r="AI33">
        <x:f>IF((COUNT('Quantification_Results'!AC33)=1),IFERROR(ROUND((SUM(('Quantification_Results'!AC33*'Quantification_Config'!$R$12))/SUM('Quantification_Config'!$R$12)),'Quantification_Config'!$U$2),""),"")</x:f>
      </x:c>
      <x:c r="AJ33">
        <x:f>IF((COUNT('Quantification_Results'!AI33)=1),IFERROR(ROUND((SUM(('Quantification_Results'!AI33*'Quantification_Config'!$R$11))/SUM('Quantification_Config'!$R$11)),'Quantification_Config'!$U$2),""),"")</x:f>
      </x:c>
      <x:c r="AK33" t="n">
        <x:v>1</x:v>
      </x:c>
      <x:c r="AL33" t="n">
        <x:v>5</x:v>
      </x:c>
      <x:c r="AM33"/>
      <x:c r="AN33" t="n">
        <x:f>IF(('Quantification_Results'!AK33&lt;&gt;1),"",IF(('Quantification_Results'!AM33=""),IF(ISNUMBER('Quantification_Results'!AL33),IF(('Quantification_Results'!AL33&lt;'Quantification_Config'!$S$15),"",IF(('Quantification_Results'!AL33&gt;'Quantification_Config'!$T$15),"",'Quantification_Results'!AL33)),""),IF(ISNUMBER('Quantification_Results'!AM33),IF(('Quantification_Results'!AM33&lt;'Quantification_Config'!$S$15),"",IF(('Quantification_Results'!AM33&gt;'Quantification_Config'!$T$15),"",'Quantification_Results'!AM33)),"")))</x:f>
        <x:v>5</x:v>
      </x:c>
      <x:c r="AO33" t="n">
        <x:f>IF(ISNUMBER('Quantification_Results'!AN33),IFERROR(ROUND(((('Quantification_Results'!AN33-'Quantification_Config'!$S$15)/('Quantification_Config'!$T$15-'Quantification_Config'!$S$15))*100),'Quantification_Config'!$U$2),""),"")</x:f>
        <x:v>50</x:v>
      </x:c>
      <x:c r="AP33" t="inlineStr">
        <x:is>
          <x:t xml:space="preserve">SYSTEM-TEST-ONLY-NO-NETWORK-NOT-AN-EDUCATIONAL-EVALUATION</x:t>
        </x:is>
      </x:c>
      <x:c r="AQ33" t="inlineStr">
        <x:is>
          <x:t xml:space="preserve"/>
        </x:is>
      </x:c>
      <x:c r="AR33" t="inlineStr">
        <x:is>
          <x:t xml:space="preserve">NONE</x:t>
        </x:is>
      </x:c>
      <x:c r="AS33" t="inlineStr">
        <x:is>
          <x:t xml:space="preserve"/>
        </x:is>
      </x:c>
      <x:c r="AT33" t="inlineStr">
        <x:is>
          <x:t xml:space="preserve">SUCCESS</x:t>
        </x:is>
      </x:c>
      <x:c r="AU33" t="n">
        <x:f>IF((COUNT('Quantification_Results'!AO33)=1),IFERROR(ROUND((SUM(('Quantification_Results'!AO33*'Quantification_Config'!$R$15))/SUM('Quantification_Config'!$R$15)),'Quantification_Config'!$U$2),""),"")</x:f>
        <x:v>50</x:v>
      </x:c>
      <x:c r="AV33" t="n">
        <x:f>IF((COUNT('Quantification_Results'!AU33)=1),IFERROR(ROUND((SUM(('Quantification_Results'!AU33*'Quantification_Config'!$R$14))/SUM('Quantification_Config'!$R$14)),'Quantification_Config'!$U$2),""),"")</x:f>
        <x:v>50</x:v>
      </x:c>
      <x:c r="AW33" t="n">
        <x:v>0</x:v>
      </x:c>
      <x:c r="AX33"/>
      <x:c r="AY33"/>
      <x:c r="AZ33">
        <x:f>IF(('Quantification_Results'!AW33&lt;&gt;1),"",IF(('Quantification_Results'!AY33=""),IF(ISNUMBER('Quantification_Results'!AX33),IF(('Quantification_Results'!AX33&lt;'Quantification_Config'!$S$19),"",IF(('Quantification_Results'!AX33&gt;'Quantification_Config'!$T$19),"",'Quantification_Results'!AX33)),""),IF(ISNUMBER('Quantification_Results'!AY33),IF(('Quantification_Results'!AY33&lt;'Quantification_Config'!$S$19),"",IF(('Quantification_Results'!AY33&gt;'Quantification_Config'!$T$19),"",'Quantification_Results'!AY33)),"")))</x:f>
      </x:c>
      <x:c r="BA33">
        <x:f>IF(ISNUMBER('Quantification_Results'!AZ33),IFERROR(ROUND(((('Quantification_Results'!AZ33-'Quantification_Config'!$S$19)/('Quantification_Config'!$T$19-'Quantification_Config'!$S$19))*100),'Quantification_Config'!$U$2),""),"")</x:f>
      </x:c>
      <x:c r="BB33" t="inlineStr">
        <x:is>
          <x:t xml:space="preserve"/>
        </x:is>
      </x:c>
      <x:c r="BC33" t="inlineStr">
        <x:is>
          <x:t xml:space="preserve"/>
        </x:is>
      </x:c>
      <x:c r="BD33" t="inlineStr">
        <x:is>
          <x:t xml:space="preserve"/>
        </x:is>
      </x:c>
      <x:c r="BE33" t="inlineStr">
        <x:is>
          <x:t xml:space="preserve"/>
        </x:is>
      </x:c>
      <x:c r="BF33" t="inlineStr">
        <x:is>
          <x:t xml:space="preserve">EMPTY</x:t>
        </x:is>
      </x:c>
      <x:c r="BG33">
        <x:f>IF((COUNT('Quantification_Results'!BA33)=1),IFERROR(ROUND((SUM(('Quantification_Results'!BA33*'Quantification_Config'!$R$19))/SUM('Quantification_Config'!$R$19)),'Quantification_Config'!$U$2),""),"")</x:f>
      </x:c>
      <x:c r="BH33">
        <x:f>IF((COUNT('Quantification_Results'!BG33)=1),IFERROR(ROUND((SUM(('Quantification_Results'!BG33*'Quantification_Config'!$R$18))/SUM('Quantification_Config'!$R$18)),'Quantification_Config'!$U$2),""),"")</x:f>
      </x:c>
      <x:c r="BI33">
        <x:f>IF((COUNT('Quantification_Results'!L33,'Quantification_Results'!X33,'Quantification_Results'!AJ33,'Quantification_Results'!AV33,'Quantification_Results'!BH33)=5),IFERROR(ROUND((SUM(('Quantification_Results'!L33*'Quantification_Config'!$R$4),('Quantification_Results'!X33*'Quantification_Config'!$R$7),('Quantification_Results'!AJ33*'Quantification_Config'!$R$10),('Quantification_Results'!AV33*'Quantification_Config'!$R$13),('Quantification_Results'!BH33*'Quantification_Config'!$R$16))/SUM('Quantification_Config'!$R$4,'Quantification_Config'!$R$7,'Quantification_Config'!$R$10,'Quantification_Config'!$R$13,'Quantification_Config'!$R$16)),'Quantification_Config'!$U$2),""),"")</x:f>
      </x:c>
    </x:row>
    <x:row r="34">
      <x:c r="A34" t="n">
        <x:v>1</x:v>
      </x:c>
      <x:c r="B34" t="n">
        <x:v>5</x:v>
      </x:c>
      <x:c r="C34"/>
      <x:c r="D34" t="n">
        <x:f>IF(('Quantification_Results'!A34&lt;&gt;1),"",IF(('Quantification_Results'!C34=""),IF(ISNUMBER('Quantification_Results'!B34),IF(('Quantification_Results'!B34&lt;'Quantification_Config'!$S$6),"",IF(('Quantification_Results'!B34&gt;'Quantification_Config'!$T$6),"",'Quantification_Results'!B34)),""),IF(ISNUMBER('Quantification_Results'!C34),IF(('Quantification_Results'!C34&lt;'Quantification_Config'!$S$6),"",IF(('Quantification_Results'!C34&gt;'Quantification_Config'!$T$6),"",'Quantification_Results'!C34)),"")))</x:f>
        <x:v>5</x:v>
      </x:c>
      <x:c r="E34" t="n">
        <x:f>IF(ISNUMBER('Quantification_Results'!D34),IFERROR(ROUND(((('Quantification_Results'!D34-'Quantification_Config'!$S$6)/('Quantification_Config'!$T$6-'Quantification_Config'!$S$6))*100),'Quantification_Config'!$U$2),""),"")</x:f>
        <x:v>50</x:v>
      </x:c>
      <x:c r="F34" t="inlineStr">
        <x:is>
          <x:t xml:space="preserve">SYSTEM-TEST-ONLY-NO-NETWORK-NOT-AN-EDUCATIONAL-EVALUATION</x:t>
        </x:is>
      </x:c>
      <x:c r="G34" t="inlineStr">
        <x:is>
          <x:t xml:space="preserve"/>
        </x:is>
      </x:c>
      <x:c r="H34" t="inlineStr">
        <x:is>
          <x:t xml:space="preserve">NONE</x:t>
        </x:is>
      </x:c>
      <x:c r="I34" t="inlineStr">
        <x:is>
          <x:t xml:space="preserve"/>
        </x:is>
      </x:c>
      <x:c r="J34" t="inlineStr">
        <x:is>
          <x:t xml:space="preserve">SUCCESS</x:t>
        </x:is>
      </x:c>
      <x:c r="K34" t="n">
        <x:f>IF((COUNT('Quantification_Results'!E34)=1),IFERROR(ROUND((SUM(('Quantification_Results'!E34*'Quantification_Config'!$R$6))/SUM('Quantification_Config'!$R$6)),'Quantification_Config'!$U$2),""),"")</x:f>
        <x:v>50</x:v>
      </x:c>
      <x:c r="L34" t="n">
        <x:f>IF((COUNT('Quantification_Results'!K34)=1),IFERROR(ROUND((SUM(('Quantification_Results'!K34*'Quantification_Config'!$R$5))/SUM('Quantification_Config'!$R$5)),'Quantification_Config'!$U$2),""),"")</x:f>
        <x:v>50</x:v>
      </x:c>
      <x:c r="M34" t="n">
        <x:v>0</x:v>
      </x:c>
      <x:c r="N34"/>
      <x:c r="O34"/>
      <x:c r="P34">
        <x:f>IF(('Quantification_Results'!M34&lt;&gt;1),"",IF(('Quantification_Results'!O34=""),IF(ISNUMBER('Quantification_Results'!N34),IF(('Quantification_Results'!N34&lt;'Quantification_Config'!$S$9),"",IF(('Quantification_Results'!N34&gt;'Quantification_Config'!$T$9),"",'Quantification_Results'!N34)),""),IF(ISNUMBER('Quantification_Results'!O34),IF(('Quantification_Results'!O34&lt;'Quantification_Config'!$S$9),"",IF(('Quantification_Results'!O34&gt;'Quantification_Config'!$T$9),"",'Quantification_Results'!O34)),"")))</x:f>
      </x:c>
      <x:c r="Q34">
        <x:f>IF(ISNUMBER('Quantification_Results'!P34),IFERROR(ROUND(((('Quantification_Results'!P34-'Quantification_Config'!$S$9)/('Quantification_Config'!$T$9-'Quantification_Config'!$S$9))*100),'Quantification_Config'!$U$2),""),"")</x:f>
      </x:c>
      <x:c r="R34" t="inlineStr">
        <x:is>
          <x:t xml:space="preserve"/>
        </x:is>
      </x:c>
      <x:c r="S34" t="inlineStr">
        <x:is>
          <x:t xml:space="preserve"/>
        </x:is>
      </x:c>
      <x:c r="T34" t="inlineStr">
        <x:is>
          <x:t xml:space="preserve"/>
        </x:is>
      </x:c>
      <x:c r="U34" t="inlineStr">
        <x:is>
          <x:t xml:space="preserve"/>
        </x:is>
      </x:c>
      <x:c r="V34" t="inlineStr">
        <x:is>
          <x:t xml:space="preserve">EMPTY</x:t>
        </x:is>
      </x:c>
      <x:c r="W34">
        <x:f>IF((COUNT('Quantification_Results'!Q34)=1),IFERROR(ROUND((SUM(('Quantification_Results'!Q34*'Quantification_Config'!$R$9))/SUM('Quantification_Config'!$R$9)),'Quantification_Config'!$U$2),""),"")</x:f>
      </x:c>
      <x:c r="X34">
        <x:f>IF((COUNT('Quantification_Results'!W34)=1),IFERROR(ROUND((SUM(('Quantification_Results'!W34*'Quantification_Config'!$R$8))/SUM('Quantification_Config'!$R$8)),'Quantification_Config'!$U$2),""),"")</x:f>
      </x:c>
      <x:c r="Y34" t="n">
        <x:v>0</x:v>
      </x:c>
      <x:c r="Z34"/>
      <x:c r="AA34"/>
      <x:c r="AB34">
        <x:f>IF(('Quantification_Results'!Y34&lt;&gt;1),"",IF(('Quantification_Results'!AA34=""),IF(ISNUMBER('Quantification_Results'!Z34),IF(('Quantification_Results'!Z34&lt;'Quantification_Config'!$S$12),"",IF(('Quantification_Results'!Z34&gt;'Quantification_Config'!$T$12),"",'Quantification_Results'!Z34)),""),IF(ISNUMBER('Quantification_Results'!AA34),IF(('Quantification_Results'!AA34&lt;'Quantification_Config'!$S$12),"",IF(('Quantification_Results'!AA34&gt;'Quantification_Config'!$T$12),"",'Quantification_Results'!AA34)),"")))</x:f>
      </x:c>
      <x:c r="AC34">
        <x:f>IF(ISNUMBER('Quantification_Results'!AB34),IFERROR(ROUND(((('Quantification_Results'!AB34-'Quantification_Config'!$S$12)/('Quantification_Config'!$T$12-'Quantification_Config'!$S$12))*100),'Quantification_Config'!$U$2),""),"")</x:f>
      </x:c>
      <x:c r="AD34" t="inlineStr">
        <x:is>
          <x:t xml:space="preserve"/>
        </x:is>
      </x:c>
      <x:c r="AE34" t="inlineStr">
        <x:is>
          <x:t xml:space="preserve"/>
        </x:is>
      </x:c>
      <x:c r="AF34" t="inlineStr">
        <x:is>
          <x:t xml:space="preserve"/>
        </x:is>
      </x:c>
      <x:c r="AG34" t="inlineStr">
        <x:is>
          <x:t xml:space="preserve"/>
        </x:is>
      </x:c>
      <x:c r="AH34" t="inlineStr">
        <x:is>
          <x:t xml:space="preserve">EMPTY</x:t>
        </x:is>
      </x:c>
      <x:c r="AI34">
        <x:f>IF((COUNT('Quantification_Results'!AC34)=1),IFERROR(ROUND((SUM(('Quantification_Results'!AC34*'Quantification_Config'!$R$12))/SUM('Quantification_Config'!$R$12)),'Quantification_Config'!$U$2),""),"")</x:f>
      </x:c>
      <x:c r="AJ34">
        <x:f>IF((COUNT('Quantification_Results'!AI34)=1),IFERROR(ROUND((SUM(('Quantification_Results'!AI34*'Quantification_Config'!$R$11))/SUM('Quantification_Config'!$R$11)),'Quantification_Config'!$U$2),""),"")</x:f>
      </x:c>
      <x:c r="AK34" t="n">
        <x:v>1</x:v>
      </x:c>
      <x:c r="AL34" t="n">
        <x:v>5</x:v>
      </x:c>
      <x:c r="AM34"/>
      <x:c r="AN34" t="n">
        <x:f>IF(('Quantification_Results'!AK34&lt;&gt;1),"",IF(('Quantification_Results'!AM34=""),IF(ISNUMBER('Quantification_Results'!AL34),IF(('Quantification_Results'!AL34&lt;'Quantification_Config'!$S$15),"",IF(('Quantification_Results'!AL34&gt;'Quantification_Config'!$T$15),"",'Quantification_Results'!AL34)),""),IF(ISNUMBER('Quantification_Results'!AM34),IF(('Quantification_Results'!AM34&lt;'Quantification_Config'!$S$15),"",IF(('Quantification_Results'!AM34&gt;'Quantification_Config'!$T$15),"",'Quantification_Results'!AM34)),"")))</x:f>
        <x:v>5</x:v>
      </x:c>
      <x:c r="AO34" t="n">
        <x:f>IF(ISNUMBER('Quantification_Results'!AN34),IFERROR(ROUND(((('Quantification_Results'!AN34-'Quantification_Config'!$S$15)/('Quantification_Config'!$T$15-'Quantification_Config'!$S$15))*100),'Quantification_Config'!$U$2),""),"")</x:f>
        <x:v>50</x:v>
      </x:c>
      <x:c r="AP34" t="inlineStr">
        <x:is>
          <x:t xml:space="preserve">SYSTEM-TEST-ONLY-NO-NETWORK-NOT-AN-EDUCATIONAL-EVALUATION</x:t>
        </x:is>
      </x:c>
      <x:c r="AQ34" t="inlineStr">
        <x:is>
          <x:t xml:space="preserve"/>
        </x:is>
      </x:c>
      <x:c r="AR34" t="inlineStr">
        <x:is>
          <x:t xml:space="preserve">NONE</x:t>
        </x:is>
      </x:c>
      <x:c r="AS34" t="inlineStr">
        <x:is>
          <x:t xml:space="preserve"/>
        </x:is>
      </x:c>
      <x:c r="AT34" t="inlineStr">
        <x:is>
          <x:t xml:space="preserve">SUCCESS</x:t>
        </x:is>
      </x:c>
      <x:c r="AU34" t="n">
        <x:f>IF((COUNT('Quantification_Results'!AO34)=1),IFERROR(ROUND((SUM(('Quantification_Results'!AO34*'Quantification_Config'!$R$15))/SUM('Quantification_Config'!$R$15)),'Quantification_Config'!$U$2),""),"")</x:f>
        <x:v>50</x:v>
      </x:c>
      <x:c r="AV34" t="n">
        <x:f>IF((COUNT('Quantification_Results'!AU34)=1),IFERROR(ROUND((SUM(('Quantification_Results'!AU34*'Quantification_Config'!$R$14))/SUM('Quantification_Config'!$R$14)),'Quantification_Config'!$U$2),""),"")</x:f>
        <x:v>50</x:v>
      </x:c>
      <x:c r="AW34" t="n">
        <x:v>0</x:v>
      </x:c>
      <x:c r="AX34"/>
      <x:c r="AY34"/>
      <x:c r="AZ34">
        <x:f>IF(('Quantification_Results'!AW34&lt;&gt;1),"",IF(('Quantification_Results'!AY34=""),IF(ISNUMBER('Quantification_Results'!AX34),IF(('Quantification_Results'!AX34&lt;'Quantification_Config'!$S$19),"",IF(('Quantification_Results'!AX34&gt;'Quantification_Config'!$T$19),"",'Quantification_Results'!AX34)),""),IF(ISNUMBER('Quantification_Results'!AY34),IF(('Quantification_Results'!AY34&lt;'Quantification_Config'!$S$19),"",IF(('Quantification_Results'!AY34&gt;'Quantification_Config'!$T$19),"",'Quantification_Results'!AY34)),"")))</x:f>
      </x:c>
      <x:c r="BA34">
        <x:f>IF(ISNUMBER('Quantification_Results'!AZ34),IFERROR(ROUND(((('Quantification_Results'!AZ34-'Quantification_Config'!$S$19)/('Quantification_Config'!$T$19-'Quantification_Config'!$S$19))*100),'Quantification_Config'!$U$2),""),"")</x:f>
      </x:c>
      <x:c r="BB34" t="inlineStr">
        <x:is>
          <x:t xml:space="preserve"/>
        </x:is>
      </x:c>
      <x:c r="BC34" t="inlineStr">
        <x:is>
          <x:t xml:space="preserve"/>
        </x:is>
      </x:c>
      <x:c r="BD34" t="inlineStr">
        <x:is>
          <x:t xml:space="preserve"/>
        </x:is>
      </x:c>
      <x:c r="BE34" t="inlineStr">
        <x:is>
          <x:t xml:space="preserve"/>
        </x:is>
      </x:c>
      <x:c r="BF34" t="inlineStr">
        <x:is>
          <x:t xml:space="preserve">EMPTY</x:t>
        </x:is>
      </x:c>
      <x:c r="BG34">
        <x:f>IF((COUNT('Quantification_Results'!BA34)=1),IFERROR(ROUND((SUM(('Quantification_Results'!BA34*'Quantification_Config'!$R$19))/SUM('Quantification_Config'!$R$19)),'Quantification_Config'!$U$2),""),"")</x:f>
      </x:c>
      <x:c r="BH34">
        <x:f>IF((COUNT('Quantification_Results'!BG34)=1),IFERROR(ROUND((SUM(('Quantification_Results'!BG34*'Quantification_Config'!$R$18))/SUM('Quantification_Config'!$R$18)),'Quantification_Config'!$U$2),""),"")</x:f>
      </x:c>
      <x:c r="BI34">
        <x:f>IF((COUNT('Quantification_Results'!L34,'Quantification_Results'!X34,'Quantification_Results'!AJ34,'Quantification_Results'!AV34,'Quantification_Results'!BH34)=5),IFERROR(ROUND((SUM(('Quantification_Results'!L34*'Quantification_Config'!$R$4),('Quantification_Results'!X34*'Quantification_Config'!$R$7),('Quantification_Results'!AJ34*'Quantification_Config'!$R$10),('Quantification_Results'!AV34*'Quantification_Config'!$R$13),('Quantification_Results'!BH34*'Quantification_Config'!$R$16))/SUM('Quantification_Config'!$R$4,'Quantification_Config'!$R$7,'Quantification_Config'!$R$10,'Quantification_Config'!$R$13,'Quantification_Config'!$R$16)),'Quantification_Config'!$U$2),""),"")</x:f>
      </x:c>
    </x:row>
    <x:row r="35">
      <x:c r="A35" t="n">
        <x:v>1</x:v>
      </x:c>
      <x:c r="B35" t="n">
        <x:v>5</x:v>
      </x:c>
      <x:c r="C35"/>
      <x:c r="D35" t="n">
        <x:f>IF(('Quantification_Results'!A35&lt;&gt;1),"",IF(('Quantification_Results'!C35=""),IF(ISNUMBER('Quantification_Results'!B35),IF(('Quantification_Results'!B35&lt;'Quantification_Config'!$S$6),"",IF(('Quantification_Results'!B35&gt;'Quantification_Config'!$T$6),"",'Quantification_Results'!B35)),""),IF(ISNUMBER('Quantification_Results'!C35),IF(('Quantification_Results'!C35&lt;'Quantification_Config'!$S$6),"",IF(('Quantification_Results'!C35&gt;'Quantification_Config'!$T$6),"",'Quantification_Results'!C35)),"")))</x:f>
        <x:v>5</x:v>
      </x:c>
      <x:c r="E35" t="n">
        <x:f>IF(ISNUMBER('Quantification_Results'!D35),IFERROR(ROUND(((('Quantification_Results'!D35-'Quantification_Config'!$S$6)/('Quantification_Config'!$T$6-'Quantification_Config'!$S$6))*100),'Quantification_Config'!$U$2),""),"")</x:f>
        <x:v>50</x:v>
      </x:c>
      <x:c r="F35" t="inlineStr">
        <x:is>
          <x:t xml:space="preserve">SYSTEM-TEST-ONLY-NO-NETWORK-NOT-AN-EDUCATIONAL-EVALUATION</x:t>
        </x:is>
      </x:c>
      <x:c r="G35" t="inlineStr">
        <x:is>
          <x:t xml:space="preserve"/>
        </x:is>
      </x:c>
      <x:c r="H35" t="inlineStr">
        <x:is>
          <x:t xml:space="preserve">NONE</x:t>
        </x:is>
      </x:c>
      <x:c r="I35" t="inlineStr">
        <x:is>
          <x:t xml:space="preserve"/>
        </x:is>
      </x:c>
      <x:c r="J35" t="inlineStr">
        <x:is>
          <x:t xml:space="preserve">SUCCESS</x:t>
        </x:is>
      </x:c>
      <x:c r="K35" t="n">
        <x:f>IF((COUNT('Quantification_Results'!E35)=1),IFERROR(ROUND((SUM(('Quantification_Results'!E35*'Quantification_Config'!$R$6))/SUM('Quantification_Config'!$R$6)),'Quantification_Config'!$U$2),""),"")</x:f>
        <x:v>50</x:v>
      </x:c>
      <x:c r="L35" t="n">
        <x:f>IF((COUNT('Quantification_Results'!K35)=1),IFERROR(ROUND((SUM(('Quantification_Results'!K35*'Quantification_Config'!$R$5))/SUM('Quantification_Config'!$R$5)),'Quantification_Config'!$U$2),""),"")</x:f>
        <x:v>50</x:v>
      </x:c>
      <x:c r="M35" t="n">
        <x:v>1</x:v>
      </x:c>
      <x:c r="N35" t="n">
        <x:v>5</x:v>
      </x:c>
      <x:c r="O35"/>
      <x:c r="P35" t="n">
        <x:f>IF(('Quantification_Results'!M35&lt;&gt;1),"",IF(('Quantification_Results'!O35=""),IF(ISNUMBER('Quantification_Results'!N35),IF(('Quantification_Results'!N35&lt;'Quantification_Config'!$S$9),"",IF(('Quantification_Results'!N35&gt;'Quantification_Config'!$T$9),"",'Quantification_Results'!N35)),""),IF(ISNUMBER('Quantification_Results'!O35),IF(('Quantification_Results'!O35&lt;'Quantification_Config'!$S$9),"",IF(('Quantification_Results'!O35&gt;'Quantification_Config'!$T$9),"",'Quantification_Results'!O35)),"")))</x:f>
        <x:v>5</x:v>
      </x:c>
      <x:c r="Q35" t="n">
        <x:f>IF(ISNUMBER('Quantification_Results'!P35),IFERROR(ROUND(((('Quantification_Results'!P35-'Quantification_Config'!$S$9)/('Quantification_Config'!$T$9-'Quantification_Config'!$S$9))*100),'Quantification_Config'!$U$2),""),"")</x:f>
        <x:v>50</x:v>
      </x:c>
      <x:c r="R35" t="inlineStr">
        <x:is>
          <x:t xml:space="preserve">SYSTEM-TEST-ONLY-NO-NETWORK-NOT-AN-EDUCATIONAL-EVALUATION</x:t>
        </x:is>
      </x:c>
      <x:c r="S35" t="inlineStr">
        <x:is>
          <x:t xml:space="preserve"/>
        </x:is>
      </x:c>
      <x:c r="T35" t="inlineStr">
        <x:is>
          <x:t xml:space="preserve">NONE</x:t>
        </x:is>
      </x:c>
      <x:c r="U35" t="inlineStr">
        <x:is>
          <x:t xml:space="preserve"/>
        </x:is>
      </x:c>
      <x:c r="V35" t="inlineStr">
        <x:is>
          <x:t xml:space="preserve">SUCCESS</x:t>
        </x:is>
      </x:c>
      <x:c r="W35" t="n">
        <x:f>IF((COUNT('Quantification_Results'!Q35)=1),IFERROR(ROUND((SUM(('Quantification_Results'!Q35*'Quantification_Config'!$R$9))/SUM('Quantification_Config'!$R$9)),'Quantification_Config'!$U$2),""),"")</x:f>
        <x:v>50</x:v>
      </x:c>
      <x:c r="X35" t="n">
        <x:f>IF((COUNT('Quantification_Results'!W35)=1),IFERROR(ROUND((SUM(('Quantification_Results'!W35*'Quantification_Config'!$R$8))/SUM('Quantification_Config'!$R$8)),'Quantification_Config'!$U$2),""),"")</x:f>
        <x:v>50</x:v>
      </x:c>
      <x:c r="Y35" t="n">
        <x:v>0</x:v>
      </x:c>
      <x:c r="Z35"/>
      <x:c r="AA35"/>
      <x:c r="AB35">
        <x:f>IF(('Quantification_Results'!Y35&lt;&gt;1),"",IF(('Quantification_Results'!AA35=""),IF(ISNUMBER('Quantification_Results'!Z35),IF(('Quantification_Results'!Z35&lt;'Quantification_Config'!$S$12),"",IF(('Quantification_Results'!Z35&gt;'Quantification_Config'!$T$12),"",'Quantification_Results'!Z35)),""),IF(ISNUMBER('Quantification_Results'!AA35),IF(('Quantification_Results'!AA35&lt;'Quantification_Config'!$S$12),"",IF(('Quantification_Results'!AA35&gt;'Quantification_Config'!$T$12),"",'Quantification_Results'!AA35)),"")))</x:f>
      </x:c>
      <x:c r="AC35">
        <x:f>IF(ISNUMBER('Quantification_Results'!AB35),IFERROR(ROUND(((('Quantification_Results'!AB35-'Quantification_Config'!$S$12)/('Quantification_Config'!$T$12-'Quantification_Config'!$S$12))*100),'Quantification_Config'!$U$2),""),"")</x:f>
      </x:c>
      <x:c r="AD35" t="inlineStr">
        <x:is>
          <x:t xml:space="preserve"/>
        </x:is>
      </x:c>
      <x:c r="AE35" t="inlineStr">
        <x:is>
          <x:t xml:space="preserve"/>
        </x:is>
      </x:c>
      <x:c r="AF35" t="inlineStr">
        <x:is>
          <x:t xml:space="preserve"/>
        </x:is>
      </x:c>
      <x:c r="AG35" t="inlineStr">
        <x:is>
          <x:t xml:space="preserve"/>
        </x:is>
      </x:c>
      <x:c r="AH35" t="inlineStr">
        <x:is>
          <x:t xml:space="preserve">EMPTY</x:t>
        </x:is>
      </x:c>
      <x:c r="AI35">
        <x:f>IF((COUNT('Quantification_Results'!AC35)=1),IFERROR(ROUND((SUM(('Quantification_Results'!AC35*'Quantification_Config'!$R$12))/SUM('Quantification_Config'!$R$12)),'Quantification_Config'!$U$2),""),"")</x:f>
      </x:c>
      <x:c r="AJ35">
        <x:f>IF((COUNT('Quantification_Results'!AI35)=1),IFERROR(ROUND((SUM(('Quantification_Results'!AI35*'Quantification_Config'!$R$11))/SUM('Quantification_Config'!$R$11)),'Quantification_Config'!$U$2),""),"")</x:f>
      </x:c>
      <x:c r="AK35" t="n">
        <x:v>1</x:v>
      </x:c>
      <x:c r="AL35" t="n">
        <x:v>5</x:v>
      </x:c>
      <x:c r="AM35"/>
      <x:c r="AN35" t="n">
        <x:f>IF(('Quantification_Results'!AK35&lt;&gt;1),"",IF(('Quantification_Results'!AM35=""),IF(ISNUMBER('Quantification_Results'!AL35),IF(('Quantification_Results'!AL35&lt;'Quantification_Config'!$S$15),"",IF(('Quantification_Results'!AL35&gt;'Quantification_Config'!$T$15),"",'Quantification_Results'!AL35)),""),IF(ISNUMBER('Quantification_Results'!AM35),IF(('Quantification_Results'!AM35&lt;'Quantification_Config'!$S$15),"",IF(('Quantification_Results'!AM35&gt;'Quantification_Config'!$T$15),"",'Quantification_Results'!AM35)),"")))</x:f>
        <x:v>5</x:v>
      </x:c>
      <x:c r="AO35" t="n">
        <x:f>IF(ISNUMBER('Quantification_Results'!AN35),IFERROR(ROUND(((('Quantification_Results'!AN35-'Quantification_Config'!$S$15)/('Quantification_Config'!$T$15-'Quantification_Config'!$S$15))*100),'Quantification_Config'!$U$2),""),"")</x:f>
        <x:v>50</x:v>
      </x:c>
      <x:c r="AP35" t="inlineStr">
        <x:is>
          <x:t xml:space="preserve">SYSTEM-TEST-ONLY-NO-NETWORK-NOT-AN-EDUCATIONAL-EVALUATION</x:t>
        </x:is>
      </x:c>
      <x:c r="AQ35" t="inlineStr">
        <x:is>
          <x:t xml:space="preserve"/>
        </x:is>
      </x:c>
      <x:c r="AR35" t="inlineStr">
        <x:is>
          <x:t xml:space="preserve">NONE</x:t>
        </x:is>
      </x:c>
      <x:c r="AS35" t="inlineStr">
        <x:is>
          <x:t xml:space="preserve"/>
        </x:is>
      </x:c>
      <x:c r="AT35" t="inlineStr">
        <x:is>
          <x:t xml:space="preserve">SUCCESS</x:t>
        </x:is>
      </x:c>
      <x:c r="AU35" t="n">
        <x:f>IF((COUNT('Quantification_Results'!AO35)=1),IFERROR(ROUND((SUM(('Quantification_Results'!AO35*'Quantification_Config'!$R$15))/SUM('Quantification_Config'!$R$15)),'Quantification_Config'!$U$2),""),"")</x:f>
        <x:v>50</x:v>
      </x:c>
      <x:c r="AV35" t="n">
        <x:f>IF((COUNT('Quantification_Results'!AU35)=1),IFERROR(ROUND((SUM(('Quantification_Results'!AU35*'Quantification_Config'!$R$14))/SUM('Quantification_Config'!$R$14)),'Quantification_Config'!$U$2),""),"")</x:f>
        <x:v>50</x:v>
      </x:c>
      <x:c r="AW35" t="n">
        <x:v>1</x:v>
      </x:c>
      <x:c r="AX35" t="n">
        <x:v>5</x:v>
      </x:c>
      <x:c r="AY35"/>
      <x:c r="AZ35" t="n">
        <x:f>IF(('Quantification_Results'!AW35&lt;&gt;1),"",IF(('Quantification_Results'!AY35=""),IF(ISNUMBER('Quantification_Results'!AX35),IF(('Quantification_Results'!AX35&lt;'Quantification_Config'!$S$19),"",IF(('Quantification_Results'!AX35&gt;'Quantification_Config'!$T$19),"",'Quantification_Results'!AX35)),""),IF(ISNUMBER('Quantification_Results'!AY35),IF(('Quantification_Results'!AY35&lt;'Quantification_Config'!$S$19),"",IF(('Quantification_Results'!AY35&gt;'Quantification_Config'!$T$19),"",'Quantification_Results'!AY35)),"")))</x:f>
        <x:v>5</x:v>
      </x:c>
      <x:c r="BA35" t="n">
        <x:f>IF(ISNUMBER('Quantification_Results'!AZ35),IFERROR(ROUND(((('Quantification_Results'!AZ35-'Quantification_Config'!$S$19)/('Quantification_Config'!$T$19-'Quantification_Config'!$S$19))*100),'Quantification_Config'!$U$2),""),"")</x:f>
        <x:v>50</x:v>
      </x:c>
      <x:c r="BB35" t="inlineStr">
        <x:is>
          <x:t xml:space="preserve">SYSTEM-TEST-ONLY-NO-NETWORK-NOT-AN-EDUCATIONAL-EVALUATION</x:t>
        </x:is>
      </x:c>
      <x:c r="BC35" t="inlineStr">
        <x:is>
          <x:t xml:space="preserve"/>
        </x:is>
      </x:c>
      <x:c r="BD35" t="inlineStr">
        <x:is>
          <x:t xml:space="preserve">NONE</x:t>
        </x:is>
      </x:c>
      <x:c r="BE35" t="inlineStr">
        <x:is>
          <x:t xml:space="preserve"/>
        </x:is>
      </x:c>
      <x:c r="BF35" t="inlineStr">
        <x:is>
          <x:t xml:space="preserve">SUCCESS</x:t>
        </x:is>
      </x:c>
      <x:c r="BG35" t="n">
        <x:f>IF((COUNT('Quantification_Results'!BA35)=1),IFERROR(ROUND((SUM(('Quantification_Results'!BA35*'Quantification_Config'!$R$19))/SUM('Quantification_Config'!$R$19)),'Quantification_Config'!$U$2),""),"")</x:f>
        <x:v>50</x:v>
      </x:c>
      <x:c r="BH35" t="n">
        <x:f>IF((COUNT('Quantification_Results'!BG35)=1),IFERROR(ROUND((SUM(('Quantification_Results'!BG35*'Quantification_Config'!$R$18))/SUM('Quantification_Config'!$R$18)),'Quantification_Config'!$U$2),""),"")</x:f>
        <x:v>50</x:v>
      </x:c>
      <x:c r="BI35">
        <x:f>IF((COUNT('Quantification_Results'!L35,'Quantification_Results'!X35,'Quantification_Results'!AJ35,'Quantification_Results'!AV35,'Quantification_Results'!BH35)=5),IFERROR(ROUND((SUM(('Quantification_Results'!L35*'Quantification_Config'!$R$4),('Quantification_Results'!X35*'Quantification_Config'!$R$7),('Quantification_Results'!AJ35*'Quantification_Config'!$R$10),('Quantification_Results'!AV35*'Quantification_Config'!$R$13),('Quantification_Results'!BH35*'Quantification_Config'!$R$16))/SUM('Quantification_Config'!$R$4,'Quantification_Config'!$R$7,'Quantification_Config'!$R$10,'Quantification_Config'!$R$13,'Quantification_Config'!$R$16)),'Quantification_Config'!$U$2),""),"")</x:f>
      </x:c>
    </x:row>
    <x:row r="36">
      <x:c r="A36" t="n">
        <x:v>1</x:v>
      </x:c>
      <x:c r="B36" t="n">
        <x:v>5</x:v>
      </x:c>
      <x:c r="C36"/>
      <x:c r="D36" t="n">
        <x:f>IF(('Quantification_Results'!A36&lt;&gt;1),"",IF(('Quantification_Results'!C36=""),IF(ISNUMBER('Quantification_Results'!B36),IF(('Quantification_Results'!B36&lt;'Quantification_Config'!$S$6),"",IF(('Quantification_Results'!B36&gt;'Quantification_Config'!$T$6),"",'Quantification_Results'!B36)),""),IF(ISNUMBER('Quantification_Results'!C36),IF(('Quantification_Results'!C36&lt;'Quantification_Config'!$S$6),"",IF(('Quantification_Results'!C36&gt;'Quantification_Config'!$T$6),"",'Quantification_Results'!C36)),"")))</x:f>
        <x:v>5</x:v>
      </x:c>
      <x:c r="E36" t="n">
        <x:f>IF(ISNUMBER('Quantification_Results'!D36),IFERROR(ROUND(((('Quantification_Results'!D36-'Quantification_Config'!$S$6)/('Quantification_Config'!$T$6-'Quantification_Config'!$S$6))*100),'Quantification_Config'!$U$2),""),"")</x:f>
        <x:v>50</x:v>
      </x:c>
      <x:c r="F36" t="inlineStr">
        <x:is>
          <x:t xml:space="preserve">SYSTEM-TEST-ONLY-NO-NETWORK-NOT-AN-EDUCATIONAL-EVALUATION</x:t>
        </x:is>
      </x:c>
      <x:c r="G36" t="inlineStr">
        <x:is>
          <x:t xml:space="preserve"/>
        </x:is>
      </x:c>
      <x:c r="H36" t="inlineStr">
        <x:is>
          <x:t xml:space="preserve">NONE</x:t>
        </x:is>
      </x:c>
      <x:c r="I36" t="inlineStr">
        <x:is>
          <x:t xml:space="preserve"/>
        </x:is>
      </x:c>
      <x:c r="J36" t="inlineStr">
        <x:is>
          <x:t xml:space="preserve">SUCCESS</x:t>
        </x:is>
      </x:c>
      <x:c r="K36" t="n">
        <x:f>IF((COUNT('Quantification_Results'!E36)=1),IFERROR(ROUND((SUM(('Quantification_Results'!E36*'Quantification_Config'!$R$6))/SUM('Quantification_Config'!$R$6)),'Quantification_Config'!$U$2),""),"")</x:f>
        <x:v>50</x:v>
      </x:c>
      <x:c r="L36" t="n">
        <x:f>IF((COUNT('Quantification_Results'!K36)=1),IFERROR(ROUND((SUM(('Quantification_Results'!K36*'Quantification_Config'!$R$5))/SUM('Quantification_Config'!$R$5)),'Quantification_Config'!$U$2),""),"")</x:f>
        <x:v>50</x:v>
      </x:c>
      <x:c r="M36" t="n">
        <x:v>1</x:v>
      </x:c>
      <x:c r="N36" t="n">
        <x:v>5</x:v>
      </x:c>
      <x:c r="O36"/>
      <x:c r="P36" t="n">
        <x:f>IF(('Quantification_Results'!M36&lt;&gt;1),"",IF(('Quantification_Results'!O36=""),IF(ISNUMBER('Quantification_Results'!N36),IF(('Quantification_Results'!N36&lt;'Quantification_Config'!$S$9),"",IF(('Quantification_Results'!N36&gt;'Quantification_Config'!$T$9),"",'Quantification_Results'!N36)),""),IF(ISNUMBER('Quantification_Results'!O36),IF(('Quantification_Results'!O36&lt;'Quantification_Config'!$S$9),"",IF(('Quantification_Results'!O36&gt;'Quantification_Config'!$T$9),"",'Quantification_Results'!O36)),"")))</x:f>
        <x:v>5</x:v>
      </x:c>
      <x:c r="Q36" t="n">
        <x:f>IF(ISNUMBER('Quantification_Results'!P36),IFERROR(ROUND(((('Quantification_Results'!P36-'Quantification_Config'!$S$9)/('Quantification_Config'!$T$9-'Quantification_Config'!$S$9))*100),'Quantification_Config'!$U$2),""),"")</x:f>
        <x:v>50</x:v>
      </x:c>
      <x:c r="R36" t="inlineStr">
        <x:is>
          <x:t xml:space="preserve">SYSTEM-TEST-ONLY-NO-NETWORK-NOT-AN-EDUCATIONAL-EVALUATION</x:t>
        </x:is>
      </x:c>
      <x:c r="S36" t="inlineStr">
        <x:is>
          <x:t xml:space="preserve"/>
        </x:is>
      </x:c>
      <x:c r="T36" t="inlineStr">
        <x:is>
          <x:t xml:space="preserve">NONE</x:t>
        </x:is>
      </x:c>
      <x:c r="U36" t="inlineStr">
        <x:is>
          <x:t xml:space="preserve"/>
        </x:is>
      </x:c>
      <x:c r="V36" t="inlineStr">
        <x:is>
          <x:t xml:space="preserve">SUCCESS</x:t>
        </x:is>
      </x:c>
      <x:c r="W36" t="n">
        <x:f>IF((COUNT('Quantification_Results'!Q36)=1),IFERROR(ROUND((SUM(('Quantification_Results'!Q36*'Quantification_Config'!$R$9))/SUM('Quantification_Config'!$R$9)),'Quantification_Config'!$U$2),""),"")</x:f>
        <x:v>50</x:v>
      </x:c>
      <x:c r="X36" t="n">
        <x:f>IF((COUNT('Quantification_Results'!W36)=1),IFERROR(ROUND((SUM(('Quantification_Results'!W36*'Quantification_Config'!$R$8))/SUM('Quantification_Config'!$R$8)),'Quantification_Config'!$U$2),""),"")</x:f>
        <x:v>50</x:v>
      </x:c>
      <x:c r="Y36" t="n">
        <x:v>0</x:v>
      </x:c>
      <x:c r="Z36"/>
      <x:c r="AA36"/>
      <x:c r="AB36">
        <x:f>IF(('Quantification_Results'!Y36&lt;&gt;1),"",IF(('Quantification_Results'!AA36=""),IF(ISNUMBER('Quantification_Results'!Z36),IF(('Quantification_Results'!Z36&lt;'Quantification_Config'!$S$12),"",IF(('Quantification_Results'!Z36&gt;'Quantification_Config'!$T$12),"",'Quantification_Results'!Z36)),""),IF(ISNUMBER('Quantification_Results'!AA36),IF(('Quantification_Results'!AA36&lt;'Quantification_Config'!$S$12),"",IF(('Quantification_Results'!AA36&gt;'Quantification_Config'!$T$12),"",'Quantification_Results'!AA36)),"")))</x:f>
      </x:c>
      <x:c r="AC36">
        <x:f>IF(ISNUMBER('Quantification_Results'!AB36),IFERROR(ROUND(((('Quantification_Results'!AB36-'Quantification_Config'!$S$12)/('Quantification_Config'!$T$12-'Quantification_Config'!$S$12))*100),'Quantification_Config'!$U$2),""),"")</x:f>
      </x:c>
      <x:c r="AD36" t="inlineStr">
        <x:is>
          <x:t xml:space="preserve"/>
        </x:is>
      </x:c>
      <x:c r="AE36" t="inlineStr">
        <x:is>
          <x:t xml:space="preserve"/>
        </x:is>
      </x:c>
      <x:c r="AF36" t="inlineStr">
        <x:is>
          <x:t xml:space="preserve"/>
        </x:is>
      </x:c>
      <x:c r="AG36" t="inlineStr">
        <x:is>
          <x:t xml:space="preserve"/>
        </x:is>
      </x:c>
      <x:c r="AH36" t="inlineStr">
        <x:is>
          <x:t xml:space="preserve">EMPTY</x:t>
        </x:is>
      </x:c>
      <x:c r="AI36">
        <x:f>IF((COUNT('Quantification_Results'!AC36)=1),IFERROR(ROUND((SUM(('Quantification_Results'!AC36*'Quantification_Config'!$R$12))/SUM('Quantification_Config'!$R$12)),'Quantification_Config'!$U$2),""),"")</x:f>
      </x:c>
      <x:c r="AJ36">
        <x:f>IF((COUNT('Quantification_Results'!AI36)=1),IFERROR(ROUND((SUM(('Quantification_Results'!AI36*'Quantification_Config'!$R$11))/SUM('Quantification_Config'!$R$11)),'Quantification_Config'!$U$2),""),"")</x:f>
      </x:c>
      <x:c r="AK36" t="n">
        <x:v>1</x:v>
      </x:c>
      <x:c r="AL36" t="n">
        <x:v>5</x:v>
      </x:c>
      <x:c r="AM36"/>
      <x:c r="AN36" t="n">
        <x:f>IF(('Quantification_Results'!AK36&lt;&gt;1),"",IF(('Quantification_Results'!AM36=""),IF(ISNUMBER('Quantification_Results'!AL36),IF(('Quantification_Results'!AL36&lt;'Quantification_Config'!$S$15),"",IF(('Quantification_Results'!AL36&gt;'Quantification_Config'!$T$15),"",'Quantification_Results'!AL36)),""),IF(ISNUMBER('Quantification_Results'!AM36),IF(('Quantification_Results'!AM36&lt;'Quantification_Config'!$S$15),"",IF(('Quantification_Results'!AM36&gt;'Quantification_Config'!$T$15),"",'Quantification_Results'!AM36)),"")))</x:f>
        <x:v>5</x:v>
      </x:c>
      <x:c r="AO36" t="n">
        <x:f>IF(ISNUMBER('Quantification_Results'!AN36),IFERROR(ROUND(((('Quantification_Results'!AN36-'Quantification_Config'!$S$15)/('Quantification_Config'!$T$15-'Quantification_Config'!$S$15))*100),'Quantification_Config'!$U$2),""),"")</x:f>
        <x:v>50</x:v>
      </x:c>
      <x:c r="AP36" t="inlineStr">
        <x:is>
          <x:t xml:space="preserve">SYSTEM-TEST-ONLY-NO-NETWORK-NOT-AN-EDUCATIONAL-EVALUATION</x:t>
        </x:is>
      </x:c>
      <x:c r="AQ36" t="inlineStr">
        <x:is>
          <x:t xml:space="preserve"/>
        </x:is>
      </x:c>
      <x:c r="AR36" t="inlineStr">
        <x:is>
          <x:t xml:space="preserve">NONE</x:t>
        </x:is>
      </x:c>
      <x:c r="AS36" t="inlineStr">
        <x:is>
          <x:t xml:space="preserve"/>
        </x:is>
      </x:c>
      <x:c r="AT36" t="inlineStr">
        <x:is>
          <x:t xml:space="preserve">SUCCESS</x:t>
        </x:is>
      </x:c>
      <x:c r="AU36" t="n">
        <x:f>IF((COUNT('Quantification_Results'!AO36)=1),IFERROR(ROUND((SUM(('Quantification_Results'!AO36*'Quantification_Config'!$R$15))/SUM('Quantification_Config'!$R$15)),'Quantification_Config'!$U$2),""),"")</x:f>
        <x:v>50</x:v>
      </x:c>
      <x:c r="AV36" t="n">
        <x:f>IF((COUNT('Quantification_Results'!AU36)=1),IFERROR(ROUND((SUM(('Quantification_Results'!AU36*'Quantification_Config'!$R$14))/SUM('Quantification_Config'!$R$14)),'Quantification_Config'!$U$2),""),"")</x:f>
        <x:v>50</x:v>
      </x:c>
      <x:c r="AW36" t="n">
        <x:v>1</x:v>
      </x:c>
      <x:c r="AX36" t="n">
        <x:v>5</x:v>
      </x:c>
      <x:c r="AY36"/>
      <x:c r="AZ36" t="n">
        <x:f>IF(('Quantification_Results'!AW36&lt;&gt;1),"",IF(('Quantification_Results'!AY36=""),IF(ISNUMBER('Quantification_Results'!AX36),IF(('Quantification_Results'!AX36&lt;'Quantification_Config'!$S$19),"",IF(('Quantification_Results'!AX36&gt;'Quantification_Config'!$T$19),"",'Quantification_Results'!AX36)),""),IF(ISNUMBER('Quantification_Results'!AY36),IF(('Quantification_Results'!AY36&lt;'Quantification_Config'!$S$19),"",IF(('Quantification_Results'!AY36&gt;'Quantification_Config'!$T$19),"",'Quantification_Results'!AY36)),"")))</x:f>
        <x:v>5</x:v>
      </x:c>
      <x:c r="BA36" t="n">
        <x:f>IF(ISNUMBER('Quantification_Results'!AZ36),IFERROR(ROUND(((('Quantification_Results'!AZ36-'Quantification_Config'!$S$19)/('Quantification_Config'!$T$19-'Quantification_Config'!$S$19))*100),'Quantification_Config'!$U$2),""),"")</x:f>
        <x:v>50</x:v>
      </x:c>
      <x:c r="BB36" t="inlineStr">
        <x:is>
          <x:t xml:space="preserve">SYSTEM-TEST-ONLY-NO-NETWORK-NOT-AN-EDUCATIONAL-EVALUATION</x:t>
        </x:is>
      </x:c>
      <x:c r="BC36" t="inlineStr">
        <x:is>
          <x:t xml:space="preserve"/>
        </x:is>
      </x:c>
      <x:c r="BD36" t="inlineStr">
        <x:is>
          <x:t xml:space="preserve">NONE</x:t>
        </x:is>
      </x:c>
      <x:c r="BE36" t="inlineStr">
        <x:is>
          <x:t xml:space="preserve"/>
        </x:is>
      </x:c>
      <x:c r="BF36" t="inlineStr">
        <x:is>
          <x:t xml:space="preserve">SUCCESS</x:t>
        </x:is>
      </x:c>
      <x:c r="BG36" t="n">
        <x:f>IF((COUNT('Quantification_Results'!BA36)=1),IFERROR(ROUND((SUM(('Quantification_Results'!BA36*'Quantification_Config'!$R$19))/SUM('Quantification_Config'!$R$19)),'Quantification_Config'!$U$2),""),"")</x:f>
        <x:v>50</x:v>
      </x:c>
      <x:c r="BH36" t="n">
        <x:f>IF((COUNT('Quantification_Results'!BG36)=1),IFERROR(ROUND((SUM(('Quantification_Results'!BG36*'Quantification_Config'!$R$18))/SUM('Quantification_Config'!$R$18)),'Quantification_Config'!$U$2),""),"")</x:f>
        <x:v>50</x:v>
      </x:c>
      <x:c r="BI36">
        <x:f>IF((COUNT('Quantification_Results'!L36,'Quantification_Results'!X36,'Quantification_Results'!AJ36,'Quantification_Results'!AV36,'Quantification_Results'!BH36)=5),IFERROR(ROUND((SUM(('Quantification_Results'!L36*'Quantification_Config'!$R$4),('Quantification_Results'!X36*'Quantification_Config'!$R$7),('Quantification_Results'!AJ36*'Quantification_Config'!$R$10),('Quantification_Results'!AV36*'Quantification_Config'!$R$13),('Quantification_Results'!BH36*'Quantification_Config'!$R$16))/SUM('Quantification_Config'!$R$4,'Quantification_Config'!$R$7,'Quantification_Config'!$R$10,'Quantification_Config'!$R$13,'Quantification_Config'!$R$16)),'Quantification_Config'!$U$2),""),"")</x:f>
      </x:c>
    </x:row>
    <x:row r="37">
      <x:c r="A37" t="n">
        <x:v>1</x:v>
      </x:c>
      <x:c r="B37" t="n">
        <x:v>5</x:v>
      </x:c>
      <x:c r="C37"/>
      <x:c r="D37" t="n">
        <x:f>IF(('Quantification_Results'!A37&lt;&gt;1),"",IF(('Quantification_Results'!C37=""),IF(ISNUMBER('Quantification_Results'!B37),IF(('Quantification_Results'!B37&lt;'Quantification_Config'!$S$6),"",IF(('Quantification_Results'!B37&gt;'Quantification_Config'!$T$6),"",'Quantification_Results'!B37)),""),IF(ISNUMBER('Quantification_Results'!C37),IF(('Quantification_Results'!C37&lt;'Quantification_Config'!$S$6),"",IF(('Quantification_Results'!C37&gt;'Quantification_Config'!$T$6),"",'Quantification_Results'!C37)),"")))</x:f>
        <x:v>5</x:v>
      </x:c>
      <x:c r="E37" t="n">
        <x:f>IF(ISNUMBER('Quantification_Results'!D37),IFERROR(ROUND(((('Quantification_Results'!D37-'Quantification_Config'!$S$6)/('Quantification_Config'!$T$6-'Quantification_Config'!$S$6))*100),'Quantification_Config'!$U$2),""),"")</x:f>
        <x:v>50</x:v>
      </x:c>
      <x:c r="F37" t="inlineStr">
        <x:is>
          <x:t xml:space="preserve">SYSTEM-TEST-ONLY-NO-NETWORK-NOT-AN-EDUCATIONAL-EVALUATION</x:t>
        </x:is>
      </x:c>
      <x:c r="G37" t="inlineStr">
        <x:is>
          <x:t xml:space="preserve"/>
        </x:is>
      </x:c>
      <x:c r="H37" t="inlineStr">
        <x:is>
          <x:t xml:space="preserve">NONE</x:t>
        </x:is>
      </x:c>
      <x:c r="I37" t="inlineStr">
        <x:is>
          <x:t xml:space="preserve"/>
        </x:is>
      </x:c>
      <x:c r="J37" t="inlineStr">
        <x:is>
          <x:t xml:space="preserve">SUCCESS</x:t>
        </x:is>
      </x:c>
      <x:c r="K37" t="n">
        <x:f>IF((COUNT('Quantification_Results'!E37)=1),IFERROR(ROUND((SUM(('Quantification_Results'!E37*'Quantification_Config'!$R$6))/SUM('Quantification_Config'!$R$6)),'Quantification_Config'!$U$2),""),"")</x:f>
        <x:v>50</x:v>
      </x:c>
      <x:c r="L37" t="n">
        <x:f>IF((COUNT('Quantification_Results'!K37)=1),IFERROR(ROUND((SUM(('Quantification_Results'!K37*'Quantification_Config'!$R$5))/SUM('Quantification_Config'!$R$5)),'Quantification_Config'!$U$2),""),"")</x:f>
        <x:v>50</x:v>
      </x:c>
      <x:c r="M37" t="n">
        <x:v>1</x:v>
      </x:c>
      <x:c r="N37" t="n">
        <x:v>5</x:v>
      </x:c>
      <x:c r="O37"/>
      <x:c r="P37" t="n">
        <x:f>IF(('Quantification_Results'!M37&lt;&gt;1),"",IF(('Quantification_Results'!O37=""),IF(ISNUMBER('Quantification_Results'!N37),IF(('Quantification_Results'!N37&lt;'Quantification_Config'!$S$9),"",IF(('Quantification_Results'!N37&gt;'Quantification_Config'!$T$9),"",'Quantification_Results'!N37)),""),IF(ISNUMBER('Quantification_Results'!O37),IF(('Quantification_Results'!O37&lt;'Quantification_Config'!$S$9),"",IF(('Quantification_Results'!O37&gt;'Quantification_Config'!$T$9),"",'Quantification_Results'!O37)),"")))</x:f>
        <x:v>5</x:v>
      </x:c>
      <x:c r="Q37" t="n">
        <x:f>IF(ISNUMBER('Quantification_Results'!P37),IFERROR(ROUND(((('Quantification_Results'!P37-'Quantification_Config'!$S$9)/('Quantification_Config'!$T$9-'Quantification_Config'!$S$9))*100),'Quantification_Config'!$U$2),""),"")</x:f>
        <x:v>50</x:v>
      </x:c>
      <x:c r="R37" t="inlineStr">
        <x:is>
          <x:t xml:space="preserve">SYSTEM-TEST-ONLY-NO-NETWORK-NOT-AN-EDUCATIONAL-EVALUATION</x:t>
        </x:is>
      </x:c>
      <x:c r="S37" t="inlineStr">
        <x:is>
          <x:t xml:space="preserve"/>
        </x:is>
      </x:c>
      <x:c r="T37" t="inlineStr">
        <x:is>
          <x:t xml:space="preserve">NONE</x:t>
        </x:is>
      </x:c>
      <x:c r="U37" t="inlineStr">
        <x:is>
          <x:t xml:space="preserve"/>
        </x:is>
      </x:c>
      <x:c r="V37" t="inlineStr">
        <x:is>
          <x:t xml:space="preserve">SUCCESS</x:t>
        </x:is>
      </x:c>
      <x:c r="W37" t="n">
        <x:f>IF((COUNT('Quantification_Results'!Q37)=1),IFERROR(ROUND((SUM(('Quantification_Results'!Q37*'Quantification_Config'!$R$9))/SUM('Quantification_Config'!$R$9)),'Quantification_Config'!$U$2),""),"")</x:f>
        <x:v>50</x:v>
      </x:c>
      <x:c r="X37" t="n">
        <x:f>IF((COUNT('Quantification_Results'!W37)=1),IFERROR(ROUND((SUM(('Quantification_Results'!W37*'Quantification_Config'!$R$8))/SUM('Quantification_Config'!$R$8)),'Quantification_Config'!$U$2),""),"")</x:f>
        <x:v>50</x:v>
      </x:c>
      <x:c r="Y37" t="n">
        <x:v>0</x:v>
      </x:c>
      <x:c r="Z37"/>
      <x:c r="AA37"/>
      <x:c r="AB37">
        <x:f>IF(('Quantification_Results'!Y37&lt;&gt;1),"",IF(('Quantification_Results'!AA37=""),IF(ISNUMBER('Quantification_Results'!Z37),IF(('Quantification_Results'!Z37&lt;'Quantification_Config'!$S$12),"",IF(('Quantification_Results'!Z37&gt;'Quantification_Config'!$T$12),"",'Quantification_Results'!Z37)),""),IF(ISNUMBER('Quantification_Results'!AA37),IF(('Quantification_Results'!AA37&lt;'Quantification_Config'!$S$12),"",IF(('Quantification_Results'!AA37&gt;'Quantification_Config'!$T$12),"",'Quantification_Results'!AA37)),"")))</x:f>
      </x:c>
      <x:c r="AC37">
        <x:f>IF(ISNUMBER('Quantification_Results'!AB37),IFERROR(ROUND(((('Quantification_Results'!AB37-'Quantification_Config'!$S$12)/('Quantification_Config'!$T$12-'Quantification_Config'!$S$12))*100),'Quantification_Config'!$U$2),""),"")</x:f>
      </x:c>
      <x:c r="AD37" t="inlineStr">
        <x:is>
          <x:t xml:space="preserve"/>
        </x:is>
      </x:c>
      <x:c r="AE37" t="inlineStr">
        <x:is>
          <x:t xml:space="preserve"/>
        </x:is>
      </x:c>
      <x:c r="AF37" t="inlineStr">
        <x:is>
          <x:t xml:space="preserve"/>
        </x:is>
      </x:c>
      <x:c r="AG37" t="inlineStr">
        <x:is>
          <x:t xml:space="preserve"/>
        </x:is>
      </x:c>
      <x:c r="AH37" t="inlineStr">
        <x:is>
          <x:t xml:space="preserve">EMPTY</x:t>
        </x:is>
      </x:c>
      <x:c r="AI37">
        <x:f>IF((COUNT('Quantification_Results'!AC37)=1),IFERROR(ROUND((SUM(('Quantification_Results'!AC37*'Quantification_Config'!$R$12))/SUM('Quantification_Config'!$R$12)),'Quantification_Config'!$U$2),""),"")</x:f>
      </x:c>
      <x:c r="AJ37">
        <x:f>IF((COUNT('Quantification_Results'!AI37)=1),IFERROR(ROUND((SUM(('Quantification_Results'!AI37*'Quantification_Config'!$R$11))/SUM('Quantification_Config'!$R$11)),'Quantification_Config'!$U$2),""),"")</x:f>
      </x:c>
      <x:c r="AK37" t="n">
        <x:v>1</x:v>
      </x:c>
      <x:c r="AL37" t="n">
        <x:v>5</x:v>
      </x:c>
      <x:c r="AM37"/>
      <x:c r="AN37" t="n">
        <x:f>IF(('Quantification_Results'!AK37&lt;&gt;1),"",IF(('Quantification_Results'!AM37=""),IF(ISNUMBER('Quantification_Results'!AL37),IF(('Quantification_Results'!AL37&lt;'Quantification_Config'!$S$15),"",IF(('Quantification_Results'!AL37&gt;'Quantification_Config'!$T$15),"",'Quantification_Results'!AL37)),""),IF(ISNUMBER('Quantification_Results'!AM37),IF(('Quantification_Results'!AM37&lt;'Quantification_Config'!$S$15),"",IF(('Quantification_Results'!AM37&gt;'Quantification_Config'!$T$15),"",'Quantification_Results'!AM37)),"")))</x:f>
        <x:v>5</x:v>
      </x:c>
      <x:c r="AO37" t="n">
        <x:f>IF(ISNUMBER('Quantification_Results'!AN37),IFERROR(ROUND(((('Quantification_Results'!AN37-'Quantification_Config'!$S$15)/('Quantification_Config'!$T$15-'Quantification_Config'!$S$15))*100),'Quantification_Config'!$U$2),""),"")</x:f>
        <x:v>50</x:v>
      </x:c>
      <x:c r="AP37" t="inlineStr">
        <x:is>
          <x:t xml:space="preserve">SYSTEM-TEST-ONLY-NO-NETWORK-NOT-AN-EDUCATIONAL-EVALUATION</x:t>
        </x:is>
      </x:c>
      <x:c r="AQ37" t="inlineStr">
        <x:is>
          <x:t xml:space="preserve"/>
        </x:is>
      </x:c>
      <x:c r="AR37" t="inlineStr">
        <x:is>
          <x:t xml:space="preserve">NONE</x:t>
        </x:is>
      </x:c>
      <x:c r="AS37" t="inlineStr">
        <x:is>
          <x:t xml:space="preserve"/>
        </x:is>
      </x:c>
      <x:c r="AT37" t="inlineStr">
        <x:is>
          <x:t xml:space="preserve">SUCCESS</x:t>
        </x:is>
      </x:c>
      <x:c r="AU37" t="n">
        <x:f>IF((COUNT('Quantification_Results'!AO37)=1),IFERROR(ROUND((SUM(('Quantification_Results'!AO37*'Quantification_Config'!$R$15))/SUM('Quantification_Config'!$R$15)),'Quantification_Config'!$U$2),""),"")</x:f>
        <x:v>50</x:v>
      </x:c>
      <x:c r="AV37" t="n">
        <x:f>IF((COUNT('Quantification_Results'!AU37)=1),IFERROR(ROUND((SUM(('Quantification_Results'!AU37*'Quantification_Config'!$R$14))/SUM('Quantification_Config'!$R$14)),'Quantification_Config'!$U$2),""),"")</x:f>
        <x:v>50</x:v>
      </x:c>
      <x:c r="AW37" t="n">
        <x:v>1</x:v>
      </x:c>
      <x:c r="AX37" t="n">
        <x:v>5</x:v>
      </x:c>
      <x:c r="AY37"/>
      <x:c r="AZ37" t="n">
        <x:f>IF(('Quantification_Results'!AW37&lt;&gt;1),"",IF(('Quantification_Results'!AY37=""),IF(ISNUMBER('Quantification_Results'!AX37),IF(('Quantification_Results'!AX37&lt;'Quantification_Config'!$S$19),"",IF(('Quantification_Results'!AX37&gt;'Quantification_Config'!$T$19),"",'Quantification_Results'!AX37)),""),IF(ISNUMBER('Quantification_Results'!AY37),IF(('Quantification_Results'!AY37&lt;'Quantification_Config'!$S$19),"",IF(('Quantification_Results'!AY37&gt;'Quantification_Config'!$T$19),"",'Quantification_Results'!AY37)),"")))</x:f>
        <x:v>5</x:v>
      </x:c>
      <x:c r="BA37" t="n">
        <x:f>IF(ISNUMBER('Quantification_Results'!AZ37),IFERROR(ROUND(((('Quantification_Results'!AZ37-'Quantification_Config'!$S$19)/('Quantification_Config'!$T$19-'Quantification_Config'!$S$19))*100),'Quantification_Config'!$U$2),""),"")</x:f>
        <x:v>50</x:v>
      </x:c>
      <x:c r="BB37" t="inlineStr">
        <x:is>
          <x:t xml:space="preserve">SYSTEM-TEST-ONLY-NO-NETWORK-NOT-AN-EDUCATIONAL-EVALUATION</x:t>
        </x:is>
      </x:c>
      <x:c r="BC37" t="inlineStr">
        <x:is>
          <x:t xml:space="preserve"/>
        </x:is>
      </x:c>
      <x:c r="BD37" t="inlineStr">
        <x:is>
          <x:t xml:space="preserve">NONE</x:t>
        </x:is>
      </x:c>
      <x:c r="BE37" t="inlineStr">
        <x:is>
          <x:t xml:space="preserve"/>
        </x:is>
      </x:c>
      <x:c r="BF37" t="inlineStr">
        <x:is>
          <x:t xml:space="preserve">SUCCESS</x:t>
        </x:is>
      </x:c>
      <x:c r="BG37" t="n">
        <x:f>IF((COUNT('Quantification_Results'!BA37)=1),IFERROR(ROUND((SUM(('Quantification_Results'!BA37*'Quantification_Config'!$R$19))/SUM('Quantification_Config'!$R$19)),'Quantification_Config'!$U$2),""),"")</x:f>
        <x:v>50</x:v>
      </x:c>
      <x:c r="BH37" t="n">
        <x:f>IF((COUNT('Quantification_Results'!BG37)=1),IFERROR(ROUND((SUM(('Quantification_Results'!BG37*'Quantification_Config'!$R$18))/SUM('Quantification_Config'!$R$18)),'Quantification_Config'!$U$2),""),"")</x:f>
        <x:v>50</x:v>
      </x:c>
      <x:c r="BI37">
        <x:f>IF((COUNT('Quantification_Results'!L37,'Quantification_Results'!X37,'Quantification_Results'!AJ37,'Quantification_Results'!AV37,'Quantification_Results'!BH37)=5),IFERROR(ROUND((SUM(('Quantification_Results'!L37*'Quantification_Config'!$R$4),('Quantification_Results'!X37*'Quantification_Config'!$R$7),('Quantification_Results'!AJ37*'Quantification_Config'!$R$10),('Quantification_Results'!AV37*'Quantification_Config'!$R$13),('Quantification_Results'!BH37*'Quantification_Config'!$R$16))/SUM('Quantification_Config'!$R$4,'Quantification_Config'!$R$7,'Quantification_Config'!$R$10,'Quantification_Config'!$R$13,'Quantification_Config'!$R$16)),'Quantification_Config'!$U$2),""),"")</x:f>
      </x:c>
    </x:row>
    <x:row r="38">
      <x:c r="A38" t="n">
        <x:v>1</x:v>
      </x:c>
      <x:c r="B38" t="n">
        <x:v>5</x:v>
      </x:c>
      <x:c r="C38"/>
      <x:c r="D38" t="n">
        <x:f>IF(('Quantification_Results'!A38&lt;&gt;1),"",IF(('Quantification_Results'!C38=""),IF(ISNUMBER('Quantification_Results'!B38),IF(('Quantification_Results'!B38&lt;'Quantification_Config'!$S$6),"",IF(('Quantification_Results'!B38&gt;'Quantification_Config'!$T$6),"",'Quantification_Results'!B38)),""),IF(ISNUMBER('Quantification_Results'!C38),IF(('Quantification_Results'!C38&lt;'Quantification_Config'!$S$6),"",IF(('Quantification_Results'!C38&gt;'Quantification_Config'!$T$6),"",'Quantification_Results'!C38)),"")))</x:f>
        <x:v>5</x:v>
      </x:c>
      <x:c r="E38" t="n">
        <x:f>IF(ISNUMBER('Quantification_Results'!D38),IFERROR(ROUND(((('Quantification_Results'!D38-'Quantification_Config'!$S$6)/('Quantification_Config'!$T$6-'Quantification_Config'!$S$6))*100),'Quantification_Config'!$U$2),""),"")</x:f>
        <x:v>50</x:v>
      </x:c>
      <x:c r="F38" t="inlineStr">
        <x:is>
          <x:t xml:space="preserve">SYSTEM-TEST-ONLY-NO-NETWORK-NOT-AN-EDUCATIONAL-EVALUATION</x:t>
        </x:is>
      </x:c>
      <x:c r="G38" t="inlineStr">
        <x:is>
          <x:t xml:space="preserve"/>
        </x:is>
      </x:c>
      <x:c r="H38" t="inlineStr">
        <x:is>
          <x:t xml:space="preserve">NONE</x:t>
        </x:is>
      </x:c>
      <x:c r="I38" t="inlineStr">
        <x:is>
          <x:t xml:space="preserve"/>
        </x:is>
      </x:c>
      <x:c r="J38" t="inlineStr">
        <x:is>
          <x:t xml:space="preserve">SUCCESS</x:t>
        </x:is>
      </x:c>
      <x:c r="K38" t="n">
        <x:f>IF((COUNT('Quantification_Results'!E38)=1),IFERROR(ROUND((SUM(('Quantification_Results'!E38*'Quantification_Config'!$R$6))/SUM('Quantification_Config'!$R$6)),'Quantification_Config'!$U$2),""),"")</x:f>
        <x:v>50</x:v>
      </x:c>
      <x:c r="L38" t="n">
        <x:f>IF((COUNT('Quantification_Results'!K38)=1),IFERROR(ROUND((SUM(('Quantification_Results'!K38*'Quantification_Config'!$R$5))/SUM('Quantification_Config'!$R$5)),'Quantification_Config'!$U$2),""),"")</x:f>
        <x:v>50</x:v>
      </x:c>
      <x:c r="M38" t="n">
        <x:v>1</x:v>
      </x:c>
      <x:c r="N38" t="n">
        <x:v>5</x:v>
      </x:c>
      <x:c r="O38"/>
      <x:c r="P38" t="n">
        <x:f>IF(('Quantification_Results'!M38&lt;&gt;1),"",IF(('Quantification_Results'!O38=""),IF(ISNUMBER('Quantification_Results'!N38),IF(('Quantification_Results'!N38&lt;'Quantification_Config'!$S$9),"",IF(('Quantification_Results'!N38&gt;'Quantification_Config'!$T$9),"",'Quantification_Results'!N38)),""),IF(ISNUMBER('Quantification_Results'!O38),IF(('Quantification_Results'!O38&lt;'Quantification_Config'!$S$9),"",IF(('Quantification_Results'!O38&gt;'Quantification_Config'!$T$9),"",'Quantification_Results'!O38)),"")))</x:f>
        <x:v>5</x:v>
      </x:c>
      <x:c r="Q38" t="n">
        <x:f>IF(ISNUMBER('Quantification_Results'!P38),IFERROR(ROUND(((('Quantification_Results'!P38-'Quantification_Config'!$S$9)/('Quantification_Config'!$T$9-'Quantification_Config'!$S$9))*100),'Quantification_Config'!$U$2),""),"")</x:f>
        <x:v>50</x:v>
      </x:c>
      <x:c r="R38" t="inlineStr">
        <x:is>
          <x:t xml:space="preserve">SYSTEM-TEST-ONLY-NO-NETWORK-NOT-AN-EDUCATIONAL-EVALUATION</x:t>
        </x:is>
      </x:c>
      <x:c r="S38" t="inlineStr">
        <x:is>
          <x:t xml:space="preserve"/>
        </x:is>
      </x:c>
      <x:c r="T38" t="inlineStr">
        <x:is>
          <x:t xml:space="preserve">NONE</x:t>
        </x:is>
      </x:c>
      <x:c r="U38" t="inlineStr">
        <x:is>
          <x:t xml:space="preserve"/>
        </x:is>
      </x:c>
      <x:c r="V38" t="inlineStr">
        <x:is>
          <x:t xml:space="preserve">SUCCESS</x:t>
        </x:is>
      </x:c>
      <x:c r="W38" t="n">
        <x:f>IF((COUNT('Quantification_Results'!Q38)=1),IFERROR(ROUND((SUM(('Quantification_Results'!Q38*'Quantification_Config'!$R$9))/SUM('Quantification_Config'!$R$9)),'Quantification_Config'!$U$2),""),"")</x:f>
        <x:v>50</x:v>
      </x:c>
      <x:c r="X38" t="n">
        <x:f>IF((COUNT('Quantification_Results'!W38)=1),IFERROR(ROUND((SUM(('Quantification_Results'!W38*'Quantification_Config'!$R$8))/SUM('Quantification_Config'!$R$8)),'Quantification_Config'!$U$2),""),"")</x:f>
        <x:v>50</x:v>
      </x:c>
      <x:c r="Y38" t="n">
        <x:v>0</x:v>
      </x:c>
      <x:c r="Z38"/>
      <x:c r="AA38"/>
      <x:c r="AB38">
        <x:f>IF(('Quantification_Results'!Y38&lt;&gt;1),"",IF(('Quantification_Results'!AA38=""),IF(ISNUMBER('Quantification_Results'!Z38),IF(('Quantification_Results'!Z38&lt;'Quantification_Config'!$S$12),"",IF(('Quantification_Results'!Z38&gt;'Quantification_Config'!$T$12),"",'Quantification_Results'!Z38)),""),IF(ISNUMBER('Quantification_Results'!AA38),IF(('Quantification_Results'!AA38&lt;'Quantification_Config'!$S$12),"",IF(('Quantification_Results'!AA38&gt;'Quantification_Config'!$T$12),"",'Quantification_Results'!AA38)),"")))</x:f>
      </x:c>
      <x:c r="AC38">
        <x:f>IF(ISNUMBER('Quantification_Results'!AB38),IFERROR(ROUND(((('Quantification_Results'!AB38-'Quantification_Config'!$S$12)/('Quantification_Config'!$T$12-'Quantification_Config'!$S$12))*100),'Quantification_Config'!$U$2),""),"")</x:f>
      </x:c>
      <x:c r="AD38" t="inlineStr">
        <x:is>
          <x:t xml:space="preserve"/>
        </x:is>
      </x:c>
      <x:c r="AE38" t="inlineStr">
        <x:is>
          <x:t xml:space="preserve"/>
        </x:is>
      </x:c>
      <x:c r="AF38" t="inlineStr">
        <x:is>
          <x:t xml:space="preserve"/>
        </x:is>
      </x:c>
      <x:c r="AG38" t="inlineStr">
        <x:is>
          <x:t xml:space="preserve"/>
        </x:is>
      </x:c>
      <x:c r="AH38" t="inlineStr">
        <x:is>
          <x:t xml:space="preserve">EMPTY</x:t>
        </x:is>
      </x:c>
      <x:c r="AI38">
        <x:f>IF((COUNT('Quantification_Results'!AC38)=1),IFERROR(ROUND((SUM(('Quantification_Results'!AC38*'Quantification_Config'!$R$12))/SUM('Quantification_Config'!$R$12)),'Quantification_Config'!$U$2),""),"")</x:f>
      </x:c>
      <x:c r="AJ38">
        <x:f>IF((COUNT('Quantification_Results'!AI38)=1),IFERROR(ROUND((SUM(('Quantification_Results'!AI38*'Quantification_Config'!$R$11))/SUM('Quantification_Config'!$R$11)),'Quantification_Config'!$U$2),""),"")</x:f>
      </x:c>
      <x:c r="AK38" t="n">
        <x:v>1</x:v>
      </x:c>
      <x:c r="AL38" t="n">
        <x:v>5</x:v>
      </x:c>
      <x:c r="AM38"/>
      <x:c r="AN38" t="n">
        <x:f>IF(('Quantification_Results'!AK38&lt;&gt;1),"",IF(('Quantification_Results'!AM38=""),IF(ISNUMBER('Quantification_Results'!AL38),IF(('Quantification_Results'!AL38&lt;'Quantification_Config'!$S$15),"",IF(('Quantification_Results'!AL38&gt;'Quantification_Config'!$T$15),"",'Quantification_Results'!AL38)),""),IF(ISNUMBER('Quantification_Results'!AM38),IF(('Quantification_Results'!AM38&lt;'Quantification_Config'!$S$15),"",IF(('Quantification_Results'!AM38&gt;'Quantification_Config'!$T$15),"",'Quantification_Results'!AM38)),"")))</x:f>
        <x:v>5</x:v>
      </x:c>
      <x:c r="AO38" t="n">
        <x:f>IF(ISNUMBER('Quantification_Results'!AN38),IFERROR(ROUND(((('Quantification_Results'!AN38-'Quantification_Config'!$S$15)/('Quantification_Config'!$T$15-'Quantification_Config'!$S$15))*100),'Quantification_Config'!$U$2),""),"")</x:f>
        <x:v>50</x:v>
      </x:c>
      <x:c r="AP38" t="inlineStr">
        <x:is>
          <x:t xml:space="preserve">SYSTEM-TEST-ONLY-NO-NETWORK-NOT-AN-EDUCATIONAL-EVALUATION</x:t>
        </x:is>
      </x:c>
      <x:c r="AQ38" t="inlineStr">
        <x:is>
          <x:t xml:space="preserve"/>
        </x:is>
      </x:c>
      <x:c r="AR38" t="inlineStr">
        <x:is>
          <x:t xml:space="preserve">NONE</x:t>
        </x:is>
      </x:c>
      <x:c r="AS38" t="inlineStr">
        <x:is>
          <x:t xml:space="preserve"/>
        </x:is>
      </x:c>
      <x:c r="AT38" t="inlineStr">
        <x:is>
          <x:t xml:space="preserve">SUCCESS</x:t>
        </x:is>
      </x:c>
      <x:c r="AU38" t="n">
        <x:f>IF((COUNT('Quantification_Results'!AO38)=1),IFERROR(ROUND((SUM(('Quantification_Results'!AO38*'Quantification_Config'!$R$15))/SUM('Quantification_Config'!$R$15)),'Quantification_Config'!$U$2),""),"")</x:f>
        <x:v>50</x:v>
      </x:c>
      <x:c r="AV38" t="n">
        <x:f>IF((COUNT('Quantification_Results'!AU38)=1),IFERROR(ROUND((SUM(('Quantification_Results'!AU38*'Quantification_Config'!$R$14))/SUM('Quantification_Config'!$R$14)),'Quantification_Config'!$U$2),""),"")</x:f>
        <x:v>50</x:v>
      </x:c>
      <x:c r="AW38" t="n">
        <x:v>1</x:v>
      </x:c>
      <x:c r="AX38" t="n">
        <x:v>5</x:v>
      </x:c>
      <x:c r="AY38"/>
      <x:c r="AZ38" t="n">
        <x:f>IF(('Quantification_Results'!AW38&lt;&gt;1),"",IF(('Quantification_Results'!AY38=""),IF(ISNUMBER('Quantification_Results'!AX38),IF(('Quantification_Results'!AX38&lt;'Quantification_Config'!$S$19),"",IF(('Quantification_Results'!AX38&gt;'Quantification_Config'!$T$19),"",'Quantification_Results'!AX38)),""),IF(ISNUMBER('Quantification_Results'!AY38),IF(('Quantification_Results'!AY38&lt;'Quantification_Config'!$S$19),"",IF(('Quantification_Results'!AY38&gt;'Quantification_Config'!$T$19),"",'Quantification_Results'!AY38)),"")))</x:f>
        <x:v>5</x:v>
      </x:c>
      <x:c r="BA38" t="n">
        <x:f>IF(ISNUMBER('Quantification_Results'!AZ38),IFERROR(ROUND(((('Quantification_Results'!AZ38-'Quantification_Config'!$S$19)/('Quantification_Config'!$T$19-'Quantification_Config'!$S$19))*100),'Quantification_Config'!$U$2),""),"")</x:f>
        <x:v>50</x:v>
      </x:c>
      <x:c r="BB38" t="inlineStr">
        <x:is>
          <x:t xml:space="preserve">SYSTEM-TEST-ONLY-NO-NETWORK-NOT-AN-EDUCATIONAL-EVALUATION</x:t>
        </x:is>
      </x:c>
      <x:c r="BC38" t="inlineStr">
        <x:is>
          <x:t xml:space="preserve"/>
        </x:is>
      </x:c>
      <x:c r="BD38" t="inlineStr">
        <x:is>
          <x:t xml:space="preserve">NONE</x:t>
        </x:is>
      </x:c>
      <x:c r="BE38" t="inlineStr">
        <x:is>
          <x:t xml:space="preserve"/>
        </x:is>
      </x:c>
      <x:c r="BF38" t="inlineStr">
        <x:is>
          <x:t xml:space="preserve">SUCCESS</x:t>
        </x:is>
      </x:c>
      <x:c r="BG38" t="n">
        <x:f>IF((COUNT('Quantification_Results'!BA38)=1),IFERROR(ROUND((SUM(('Quantification_Results'!BA38*'Quantification_Config'!$R$19))/SUM('Quantification_Config'!$R$19)),'Quantification_Config'!$U$2),""),"")</x:f>
        <x:v>50</x:v>
      </x:c>
      <x:c r="BH38" t="n">
        <x:f>IF((COUNT('Quantification_Results'!BG38)=1),IFERROR(ROUND((SUM(('Quantification_Results'!BG38*'Quantification_Config'!$R$18))/SUM('Quantification_Config'!$R$18)),'Quantification_Config'!$U$2),""),"")</x:f>
        <x:v>50</x:v>
      </x:c>
      <x:c r="BI38">
        <x:f>IF((COUNT('Quantification_Results'!L38,'Quantification_Results'!X38,'Quantification_Results'!AJ38,'Quantification_Results'!AV38,'Quantification_Results'!BH38)=5),IFERROR(ROUND((SUM(('Quantification_Results'!L38*'Quantification_Config'!$R$4),('Quantification_Results'!X38*'Quantification_Config'!$R$7),('Quantification_Results'!AJ38*'Quantification_Config'!$R$10),('Quantification_Results'!AV38*'Quantification_Config'!$R$13),('Quantification_Results'!BH38*'Quantification_Config'!$R$16))/SUM('Quantification_Config'!$R$4,'Quantification_Config'!$R$7,'Quantification_Config'!$R$10,'Quantification_Config'!$R$13,'Quantification_Config'!$R$16)),'Quantification_Config'!$U$2),""),"")</x:f>
      </x:c>
    </x:row>
    <x:row r="39">
      <x:c r="A39" t="n">
        <x:v>1</x:v>
      </x:c>
      <x:c r="B39" t="n">
        <x:v>5</x:v>
      </x:c>
      <x:c r="C39"/>
      <x:c r="D39" t="n">
        <x:f>IF(('Quantification_Results'!A39&lt;&gt;1),"",IF(('Quantification_Results'!C39=""),IF(ISNUMBER('Quantification_Results'!B39),IF(('Quantification_Results'!B39&lt;'Quantification_Config'!$S$6),"",IF(('Quantification_Results'!B39&gt;'Quantification_Config'!$T$6),"",'Quantification_Results'!B39)),""),IF(ISNUMBER('Quantification_Results'!C39),IF(('Quantification_Results'!C39&lt;'Quantification_Config'!$S$6),"",IF(('Quantification_Results'!C39&gt;'Quantification_Config'!$T$6),"",'Quantification_Results'!C39)),"")))</x:f>
        <x:v>5</x:v>
      </x:c>
      <x:c r="E39" t="n">
        <x:f>IF(ISNUMBER('Quantification_Results'!D39),IFERROR(ROUND(((('Quantification_Results'!D39-'Quantification_Config'!$S$6)/('Quantification_Config'!$T$6-'Quantification_Config'!$S$6))*100),'Quantification_Config'!$U$2),""),"")</x:f>
        <x:v>50</x:v>
      </x:c>
      <x:c r="F39" t="inlineStr">
        <x:is>
          <x:t xml:space="preserve">SYSTEM-TEST-ONLY-NO-NETWORK-NOT-AN-EDUCATIONAL-EVALUATION</x:t>
        </x:is>
      </x:c>
      <x:c r="G39" t="inlineStr">
        <x:is>
          <x:t xml:space="preserve"/>
        </x:is>
      </x:c>
      <x:c r="H39" t="inlineStr">
        <x:is>
          <x:t xml:space="preserve">NONE</x:t>
        </x:is>
      </x:c>
      <x:c r="I39" t="inlineStr">
        <x:is>
          <x:t xml:space="preserve"/>
        </x:is>
      </x:c>
      <x:c r="J39" t="inlineStr">
        <x:is>
          <x:t xml:space="preserve">SUCCESS</x:t>
        </x:is>
      </x:c>
      <x:c r="K39" t="n">
        <x:f>IF((COUNT('Quantification_Results'!E39)=1),IFERROR(ROUND((SUM(('Quantification_Results'!E39*'Quantification_Config'!$R$6))/SUM('Quantification_Config'!$R$6)),'Quantification_Config'!$U$2),""),"")</x:f>
        <x:v>50</x:v>
      </x:c>
      <x:c r="L39" t="n">
        <x:f>IF((COUNT('Quantification_Results'!K39)=1),IFERROR(ROUND((SUM(('Quantification_Results'!K39*'Quantification_Config'!$R$5))/SUM('Quantification_Config'!$R$5)),'Quantification_Config'!$U$2),""),"")</x:f>
        <x:v>50</x:v>
      </x:c>
      <x:c r="M39" t="n">
        <x:v>1</x:v>
      </x:c>
      <x:c r="N39" t="n">
        <x:v>5</x:v>
      </x:c>
      <x:c r="O39"/>
      <x:c r="P39" t="n">
        <x:f>IF(('Quantification_Results'!M39&lt;&gt;1),"",IF(('Quantification_Results'!O39=""),IF(ISNUMBER('Quantification_Results'!N39),IF(('Quantification_Results'!N39&lt;'Quantification_Config'!$S$9),"",IF(('Quantification_Results'!N39&gt;'Quantification_Config'!$T$9),"",'Quantification_Results'!N39)),""),IF(ISNUMBER('Quantification_Results'!O39),IF(('Quantification_Results'!O39&lt;'Quantification_Config'!$S$9),"",IF(('Quantification_Results'!O39&gt;'Quantification_Config'!$T$9),"",'Quantification_Results'!O39)),"")))</x:f>
        <x:v>5</x:v>
      </x:c>
      <x:c r="Q39" t="n">
        <x:f>IF(ISNUMBER('Quantification_Results'!P39),IFERROR(ROUND(((('Quantification_Results'!P39-'Quantification_Config'!$S$9)/('Quantification_Config'!$T$9-'Quantification_Config'!$S$9))*100),'Quantification_Config'!$U$2),""),"")</x:f>
        <x:v>50</x:v>
      </x:c>
      <x:c r="R39" t="inlineStr">
        <x:is>
          <x:t xml:space="preserve">SYSTEM-TEST-ONLY-NO-NETWORK-NOT-AN-EDUCATIONAL-EVALUATION</x:t>
        </x:is>
      </x:c>
      <x:c r="S39" t="inlineStr">
        <x:is>
          <x:t xml:space="preserve"/>
        </x:is>
      </x:c>
      <x:c r="T39" t="inlineStr">
        <x:is>
          <x:t xml:space="preserve">NONE</x:t>
        </x:is>
      </x:c>
      <x:c r="U39" t="inlineStr">
        <x:is>
          <x:t xml:space="preserve"/>
        </x:is>
      </x:c>
      <x:c r="V39" t="inlineStr">
        <x:is>
          <x:t xml:space="preserve">SUCCESS</x:t>
        </x:is>
      </x:c>
      <x:c r="W39" t="n">
        <x:f>IF((COUNT('Quantification_Results'!Q39)=1),IFERROR(ROUND((SUM(('Quantification_Results'!Q39*'Quantification_Config'!$R$9))/SUM('Quantification_Config'!$R$9)),'Quantification_Config'!$U$2),""),"")</x:f>
        <x:v>50</x:v>
      </x:c>
      <x:c r="X39" t="n">
        <x:f>IF((COUNT('Quantification_Results'!W39)=1),IFERROR(ROUND((SUM(('Quantification_Results'!W39*'Quantification_Config'!$R$8))/SUM('Quantification_Config'!$R$8)),'Quantification_Config'!$U$2),""),"")</x:f>
        <x:v>50</x:v>
      </x:c>
      <x:c r="Y39" t="n">
        <x:v>0</x:v>
      </x:c>
      <x:c r="Z39"/>
      <x:c r="AA39"/>
      <x:c r="AB39">
        <x:f>IF(('Quantification_Results'!Y39&lt;&gt;1),"",IF(('Quantification_Results'!AA39=""),IF(ISNUMBER('Quantification_Results'!Z39),IF(('Quantification_Results'!Z39&lt;'Quantification_Config'!$S$12),"",IF(('Quantification_Results'!Z39&gt;'Quantification_Config'!$T$12),"",'Quantification_Results'!Z39)),""),IF(ISNUMBER('Quantification_Results'!AA39),IF(('Quantification_Results'!AA39&lt;'Quantification_Config'!$S$12),"",IF(('Quantification_Results'!AA39&gt;'Quantification_Config'!$T$12),"",'Quantification_Results'!AA39)),"")))</x:f>
      </x:c>
      <x:c r="AC39">
        <x:f>IF(ISNUMBER('Quantification_Results'!AB39),IFERROR(ROUND(((('Quantification_Results'!AB39-'Quantification_Config'!$S$12)/('Quantification_Config'!$T$12-'Quantification_Config'!$S$12))*100),'Quantification_Config'!$U$2),""),"")</x:f>
      </x:c>
      <x:c r="AD39" t="inlineStr">
        <x:is>
          <x:t xml:space="preserve"/>
        </x:is>
      </x:c>
      <x:c r="AE39" t="inlineStr">
        <x:is>
          <x:t xml:space="preserve"/>
        </x:is>
      </x:c>
      <x:c r="AF39" t="inlineStr">
        <x:is>
          <x:t xml:space="preserve"/>
        </x:is>
      </x:c>
      <x:c r="AG39" t="inlineStr">
        <x:is>
          <x:t xml:space="preserve"/>
        </x:is>
      </x:c>
      <x:c r="AH39" t="inlineStr">
        <x:is>
          <x:t xml:space="preserve">EMPTY</x:t>
        </x:is>
      </x:c>
      <x:c r="AI39">
        <x:f>IF((COUNT('Quantification_Results'!AC39)=1),IFERROR(ROUND((SUM(('Quantification_Results'!AC39*'Quantification_Config'!$R$12))/SUM('Quantification_Config'!$R$12)),'Quantification_Config'!$U$2),""),"")</x:f>
      </x:c>
      <x:c r="AJ39">
        <x:f>IF((COUNT('Quantification_Results'!AI39)=1),IFERROR(ROUND((SUM(('Quantification_Results'!AI39*'Quantification_Config'!$R$11))/SUM('Quantification_Config'!$R$11)),'Quantification_Config'!$U$2),""),"")</x:f>
      </x:c>
      <x:c r="AK39" t="n">
        <x:v>1</x:v>
      </x:c>
      <x:c r="AL39" t="n">
        <x:v>5</x:v>
      </x:c>
      <x:c r="AM39"/>
      <x:c r="AN39" t="n">
        <x:f>IF(('Quantification_Results'!AK39&lt;&gt;1),"",IF(('Quantification_Results'!AM39=""),IF(ISNUMBER('Quantification_Results'!AL39),IF(('Quantification_Results'!AL39&lt;'Quantification_Config'!$S$15),"",IF(('Quantification_Results'!AL39&gt;'Quantification_Config'!$T$15),"",'Quantification_Results'!AL39)),""),IF(ISNUMBER('Quantification_Results'!AM39),IF(('Quantification_Results'!AM39&lt;'Quantification_Config'!$S$15),"",IF(('Quantification_Results'!AM39&gt;'Quantification_Config'!$T$15),"",'Quantification_Results'!AM39)),"")))</x:f>
        <x:v>5</x:v>
      </x:c>
      <x:c r="AO39" t="n">
        <x:f>IF(ISNUMBER('Quantification_Results'!AN39),IFERROR(ROUND(((('Quantification_Results'!AN39-'Quantification_Config'!$S$15)/('Quantification_Config'!$T$15-'Quantification_Config'!$S$15))*100),'Quantification_Config'!$U$2),""),"")</x:f>
        <x:v>50</x:v>
      </x:c>
      <x:c r="AP39" t="inlineStr">
        <x:is>
          <x:t xml:space="preserve">SYSTEM-TEST-ONLY-NO-NETWORK-NOT-AN-EDUCATIONAL-EVALUATION</x:t>
        </x:is>
      </x:c>
      <x:c r="AQ39" t="inlineStr">
        <x:is>
          <x:t xml:space="preserve"/>
        </x:is>
      </x:c>
      <x:c r="AR39" t="inlineStr">
        <x:is>
          <x:t xml:space="preserve">NONE</x:t>
        </x:is>
      </x:c>
      <x:c r="AS39" t="inlineStr">
        <x:is>
          <x:t xml:space="preserve"/>
        </x:is>
      </x:c>
      <x:c r="AT39" t="inlineStr">
        <x:is>
          <x:t xml:space="preserve">SUCCESS</x:t>
        </x:is>
      </x:c>
      <x:c r="AU39" t="n">
        <x:f>IF((COUNT('Quantification_Results'!AO39)=1),IFERROR(ROUND((SUM(('Quantification_Results'!AO39*'Quantification_Config'!$R$15))/SUM('Quantification_Config'!$R$15)),'Quantification_Config'!$U$2),""),"")</x:f>
        <x:v>50</x:v>
      </x:c>
      <x:c r="AV39" t="n">
        <x:f>IF((COUNT('Quantification_Results'!AU39)=1),IFERROR(ROUND((SUM(('Quantification_Results'!AU39*'Quantification_Config'!$R$14))/SUM('Quantification_Config'!$R$14)),'Quantification_Config'!$U$2),""),"")</x:f>
        <x:v>50</x:v>
      </x:c>
      <x:c r="AW39" t="n">
        <x:v>1</x:v>
      </x:c>
      <x:c r="AX39" t="n">
        <x:v>5</x:v>
      </x:c>
      <x:c r="AY39"/>
      <x:c r="AZ39" t="n">
        <x:f>IF(('Quantification_Results'!AW39&lt;&gt;1),"",IF(('Quantification_Results'!AY39=""),IF(ISNUMBER('Quantification_Results'!AX39),IF(('Quantification_Results'!AX39&lt;'Quantification_Config'!$S$19),"",IF(('Quantification_Results'!AX39&gt;'Quantification_Config'!$T$19),"",'Quantification_Results'!AX39)),""),IF(ISNUMBER('Quantification_Results'!AY39),IF(('Quantification_Results'!AY39&lt;'Quantification_Config'!$S$19),"",IF(('Quantification_Results'!AY39&gt;'Quantification_Config'!$T$19),"",'Quantification_Results'!AY39)),"")))</x:f>
        <x:v>5</x:v>
      </x:c>
      <x:c r="BA39" t="n">
        <x:f>IF(ISNUMBER('Quantification_Results'!AZ39),IFERROR(ROUND(((('Quantification_Results'!AZ39-'Quantification_Config'!$S$19)/('Quantification_Config'!$T$19-'Quantification_Config'!$S$19))*100),'Quantification_Config'!$U$2),""),"")</x:f>
        <x:v>50</x:v>
      </x:c>
      <x:c r="BB39" t="inlineStr">
        <x:is>
          <x:t xml:space="preserve">SYSTEM-TEST-ONLY-NO-NETWORK-NOT-AN-EDUCATIONAL-EVALUATION</x:t>
        </x:is>
      </x:c>
      <x:c r="BC39" t="inlineStr">
        <x:is>
          <x:t xml:space="preserve"/>
        </x:is>
      </x:c>
      <x:c r="BD39" t="inlineStr">
        <x:is>
          <x:t xml:space="preserve">NONE</x:t>
        </x:is>
      </x:c>
      <x:c r="BE39" t="inlineStr">
        <x:is>
          <x:t xml:space="preserve"/>
        </x:is>
      </x:c>
      <x:c r="BF39" t="inlineStr">
        <x:is>
          <x:t xml:space="preserve">SUCCESS</x:t>
        </x:is>
      </x:c>
      <x:c r="BG39" t="n">
        <x:f>IF((COUNT('Quantification_Results'!BA39)=1),IFERROR(ROUND((SUM(('Quantification_Results'!BA39*'Quantification_Config'!$R$19))/SUM('Quantification_Config'!$R$19)),'Quantification_Config'!$U$2),""),"")</x:f>
        <x:v>50</x:v>
      </x:c>
      <x:c r="BH39" t="n">
        <x:f>IF((COUNT('Quantification_Results'!BG39)=1),IFERROR(ROUND((SUM(('Quantification_Results'!BG39*'Quantification_Config'!$R$18))/SUM('Quantification_Config'!$R$18)),'Quantification_Config'!$U$2),""),"")</x:f>
        <x:v>50</x:v>
      </x:c>
      <x:c r="BI39">
        <x:f>IF((COUNT('Quantification_Results'!L39,'Quantification_Results'!X39,'Quantification_Results'!AJ39,'Quantification_Results'!AV39,'Quantification_Results'!BH39)=5),IFERROR(ROUND((SUM(('Quantification_Results'!L39*'Quantification_Config'!$R$4),('Quantification_Results'!X39*'Quantification_Config'!$R$7),('Quantification_Results'!AJ39*'Quantification_Config'!$R$10),('Quantification_Results'!AV39*'Quantification_Config'!$R$13),('Quantification_Results'!BH39*'Quantification_Config'!$R$16))/SUM('Quantification_Config'!$R$4,'Quantification_Config'!$R$7,'Quantification_Config'!$R$10,'Quantification_Config'!$R$13,'Quantification_Config'!$R$16)),'Quantification_Config'!$U$2),""),"")</x:f>
      </x:c>
    </x:row>
    <x:row r="40">
      <x:c r="A40" t="n">
        <x:v>1</x:v>
      </x:c>
      <x:c r="B40" t="n">
        <x:v>5</x:v>
      </x:c>
      <x:c r="C40"/>
      <x:c r="D40" t="n">
        <x:f>IF(('Quantification_Results'!A40&lt;&gt;1),"",IF(('Quantification_Results'!C40=""),IF(ISNUMBER('Quantification_Results'!B40),IF(('Quantification_Results'!B40&lt;'Quantification_Config'!$S$6),"",IF(('Quantification_Results'!B40&gt;'Quantification_Config'!$T$6),"",'Quantification_Results'!B40)),""),IF(ISNUMBER('Quantification_Results'!C40),IF(('Quantification_Results'!C40&lt;'Quantification_Config'!$S$6),"",IF(('Quantification_Results'!C40&gt;'Quantification_Config'!$T$6),"",'Quantification_Results'!C40)),"")))</x:f>
        <x:v>5</x:v>
      </x:c>
      <x:c r="E40" t="n">
        <x:f>IF(ISNUMBER('Quantification_Results'!D40),IFERROR(ROUND(((('Quantification_Results'!D40-'Quantification_Config'!$S$6)/('Quantification_Config'!$T$6-'Quantification_Config'!$S$6))*100),'Quantification_Config'!$U$2),""),"")</x:f>
        <x:v>50</x:v>
      </x:c>
      <x:c r="F40" t="inlineStr">
        <x:is>
          <x:t xml:space="preserve">SYSTEM-TEST-ONLY-NO-NETWORK-NOT-AN-EDUCATIONAL-EVALUATION</x:t>
        </x:is>
      </x:c>
      <x:c r="G40" t="inlineStr">
        <x:is>
          <x:t xml:space="preserve"/>
        </x:is>
      </x:c>
      <x:c r="H40" t="inlineStr">
        <x:is>
          <x:t xml:space="preserve">NONE</x:t>
        </x:is>
      </x:c>
      <x:c r="I40" t="inlineStr">
        <x:is>
          <x:t xml:space="preserve"/>
        </x:is>
      </x:c>
      <x:c r="J40" t="inlineStr">
        <x:is>
          <x:t xml:space="preserve">SUCCESS</x:t>
        </x:is>
      </x:c>
      <x:c r="K40" t="n">
        <x:f>IF((COUNT('Quantification_Results'!E40)=1),IFERROR(ROUND((SUM(('Quantification_Results'!E40*'Quantification_Config'!$R$6))/SUM('Quantification_Config'!$R$6)),'Quantification_Config'!$U$2),""),"")</x:f>
        <x:v>50</x:v>
      </x:c>
      <x:c r="L40" t="n">
        <x:f>IF((COUNT('Quantification_Results'!K40)=1),IFERROR(ROUND((SUM(('Quantification_Results'!K40*'Quantification_Config'!$R$5))/SUM('Quantification_Config'!$R$5)),'Quantification_Config'!$U$2),""),"")</x:f>
        <x:v>50</x:v>
      </x:c>
      <x:c r="M40" t="n">
        <x:v>1</x:v>
      </x:c>
      <x:c r="N40" t="n">
        <x:v>5</x:v>
      </x:c>
      <x:c r="O40"/>
      <x:c r="P40" t="n">
        <x:f>IF(('Quantification_Results'!M40&lt;&gt;1),"",IF(('Quantification_Results'!O40=""),IF(ISNUMBER('Quantification_Results'!N40),IF(('Quantification_Results'!N40&lt;'Quantification_Config'!$S$9),"",IF(('Quantification_Results'!N40&gt;'Quantification_Config'!$T$9),"",'Quantification_Results'!N40)),""),IF(ISNUMBER('Quantification_Results'!O40),IF(('Quantification_Results'!O40&lt;'Quantification_Config'!$S$9),"",IF(('Quantification_Results'!O40&gt;'Quantification_Config'!$T$9),"",'Quantification_Results'!O40)),"")))</x:f>
        <x:v>5</x:v>
      </x:c>
      <x:c r="Q40" t="n">
        <x:f>IF(ISNUMBER('Quantification_Results'!P40),IFERROR(ROUND(((('Quantification_Results'!P40-'Quantification_Config'!$S$9)/('Quantification_Config'!$T$9-'Quantification_Config'!$S$9))*100),'Quantification_Config'!$U$2),""),"")</x:f>
        <x:v>50</x:v>
      </x:c>
      <x:c r="R40" t="inlineStr">
        <x:is>
          <x:t xml:space="preserve">SYSTEM-TEST-ONLY-NO-NETWORK-NOT-AN-EDUCATIONAL-EVALUATION</x:t>
        </x:is>
      </x:c>
      <x:c r="S40" t="inlineStr">
        <x:is>
          <x:t xml:space="preserve"/>
        </x:is>
      </x:c>
      <x:c r="T40" t="inlineStr">
        <x:is>
          <x:t xml:space="preserve">NONE</x:t>
        </x:is>
      </x:c>
      <x:c r="U40" t="inlineStr">
        <x:is>
          <x:t xml:space="preserve"/>
        </x:is>
      </x:c>
      <x:c r="V40" t="inlineStr">
        <x:is>
          <x:t xml:space="preserve">SUCCESS</x:t>
        </x:is>
      </x:c>
      <x:c r="W40" t="n">
        <x:f>IF((COUNT('Quantification_Results'!Q40)=1),IFERROR(ROUND((SUM(('Quantification_Results'!Q40*'Quantification_Config'!$R$9))/SUM('Quantification_Config'!$R$9)),'Quantification_Config'!$U$2),""),"")</x:f>
        <x:v>50</x:v>
      </x:c>
      <x:c r="X40" t="n">
        <x:f>IF((COUNT('Quantification_Results'!W40)=1),IFERROR(ROUND((SUM(('Quantification_Results'!W40*'Quantification_Config'!$R$8))/SUM('Quantification_Config'!$R$8)),'Quantification_Config'!$U$2),""),"")</x:f>
        <x:v>50</x:v>
      </x:c>
      <x:c r="Y40" t="n">
        <x:v>0</x:v>
      </x:c>
      <x:c r="Z40"/>
      <x:c r="AA40"/>
      <x:c r="AB40">
        <x:f>IF(('Quantification_Results'!Y40&lt;&gt;1),"",IF(('Quantification_Results'!AA40=""),IF(ISNUMBER('Quantification_Results'!Z40),IF(('Quantification_Results'!Z40&lt;'Quantification_Config'!$S$12),"",IF(('Quantification_Results'!Z40&gt;'Quantification_Config'!$T$12),"",'Quantification_Results'!Z40)),""),IF(ISNUMBER('Quantification_Results'!AA40),IF(('Quantification_Results'!AA40&lt;'Quantification_Config'!$S$12),"",IF(('Quantification_Results'!AA40&gt;'Quantification_Config'!$T$12),"",'Quantification_Results'!AA40)),"")))</x:f>
      </x:c>
      <x:c r="AC40">
        <x:f>IF(ISNUMBER('Quantification_Results'!AB40),IFERROR(ROUND(((('Quantification_Results'!AB40-'Quantification_Config'!$S$12)/('Quantification_Config'!$T$12-'Quantification_Config'!$S$12))*100),'Quantification_Config'!$U$2),""),"")</x:f>
      </x:c>
      <x:c r="AD40" t="inlineStr">
        <x:is>
          <x:t xml:space="preserve"/>
        </x:is>
      </x:c>
      <x:c r="AE40" t="inlineStr">
        <x:is>
          <x:t xml:space="preserve"/>
        </x:is>
      </x:c>
      <x:c r="AF40" t="inlineStr">
        <x:is>
          <x:t xml:space="preserve"/>
        </x:is>
      </x:c>
      <x:c r="AG40" t="inlineStr">
        <x:is>
          <x:t xml:space="preserve"/>
        </x:is>
      </x:c>
      <x:c r="AH40" t="inlineStr">
        <x:is>
          <x:t xml:space="preserve">EMPTY</x:t>
        </x:is>
      </x:c>
      <x:c r="AI40">
        <x:f>IF((COUNT('Quantification_Results'!AC40)=1),IFERROR(ROUND((SUM(('Quantification_Results'!AC40*'Quantification_Config'!$R$12))/SUM('Quantification_Config'!$R$12)),'Quantification_Config'!$U$2),""),"")</x:f>
      </x:c>
      <x:c r="AJ40">
        <x:f>IF((COUNT('Quantification_Results'!AI40)=1),IFERROR(ROUND((SUM(('Quantification_Results'!AI40*'Quantification_Config'!$R$11))/SUM('Quantification_Config'!$R$11)),'Quantification_Config'!$U$2),""),"")</x:f>
      </x:c>
      <x:c r="AK40" t="n">
        <x:v>1</x:v>
      </x:c>
      <x:c r="AL40" t="n">
        <x:v>5</x:v>
      </x:c>
      <x:c r="AM40"/>
      <x:c r="AN40" t="n">
        <x:f>IF(('Quantification_Results'!AK40&lt;&gt;1),"",IF(('Quantification_Results'!AM40=""),IF(ISNUMBER('Quantification_Results'!AL40),IF(('Quantification_Results'!AL40&lt;'Quantification_Config'!$S$15),"",IF(('Quantification_Results'!AL40&gt;'Quantification_Config'!$T$15),"",'Quantification_Results'!AL40)),""),IF(ISNUMBER('Quantification_Results'!AM40),IF(('Quantification_Results'!AM40&lt;'Quantification_Config'!$S$15),"",IF(('Quantification_Results'!AM40&gt;'Quantification_Config'!$T$15),"",'Quantification_Results'!AM40)),"")))</x:f>
        <x:v>5</x:v>
      </x:c>
      <x:c r="AO40" t="n">
        <x:f>IF(ISNUMBER('Quantification_Results'!AN40),IFERROR(ROUND(((('Quantification_Results'!AN40-'Quantification_Config'!$S$15)/('Quantification_Config'!$T$15-'Quantification_Config'!$S$15))*100),'Quantification_Config'!$U$2),""),"")</x:f>
        <x:v>50</x:v>
      </x:c>
      <x:c r="AP40" t="inlineStr">
        <x:is>
          <x:t xml:space="preserve">SYSTEM-TEST-ONLY-NO-NETWORK-NOT-AN-EDUCATIONAL-EVALUATION</x:t>
        </x:is>
      </x:c>
      <x:c r="AQ40" t="inlineStr">
        <x:is>
          <x:t xml:space="preserve"/>
        </x:is>
      </x:c>
      <x:c r="AR40" t="inlineStr">
        <x:is>
          <x:t xml:space="preserve">NONE</x:t>
        </x:is>
      </x:c>
      <x:c r="AS40" t="inlineStr">
        <x:is>
          <x:t xml:space="preserve"/>
        </x:is>
      </x:c>
      <x:c r="AT40" t="inlineStr">
        <x:is>
          <x:t xml:space="preserve">SUCCESS</x:t>
        </x:is>
      </x:c>
      <x:c r="AU40" t="n">
        <x:f>IF((COUNT('Quantification_Results'!AO40)=1),IFERROR(ROUND((SUM(('Quantification_Results'!AO40*'Quantification_Config'!$R$15))/SUM('Quantification_Config'!$R$15)),'Quantification_Config'!$U$2),""),"")</x:f>
        <x:v>50</x:v>
      </x:c>
      <x:c r="AV40" t="n">
        <x:f>IF((COUNT('Quantification_Results'!AU40)=1),IFERROR(ROUND((SUM(('Quantification_Results'!AU40*'Quantification_Config'!$R$14))/SUM('Quantification_Config'!$R$14)),'Quantification_Config'!$U$2),""),"")</x:f>
        <x:v>50</x:v>
      </x:c>
      <x:c r="AW40" t="n">
        <x:v>1</x:v>
      </x:c>
      <x:c r="AX40" t="n">
        <x:v>5</x:v>
      </x:c>
      <x:c r="AY40"/>
      <x:c r="AZ40" t="n">
        <x:f>IF(('Quantification_Results'!AW40&lt;&gt;1),"",IF(('Quantification_Results'!AY40=""),IF(ISNUMBER('Quantification_Results'!AX40),IF(('Quantification_Results'!AX40&lt;'Quantification_Config'!$S$19),"",IF(('Quantification_Results'!AX40&gt;'Quantification_Config'!$T$19),"",'Quantification_Results'!AX40)),""),IF(ISNUMBER('Quantification_Results'!AY40),IF(('Quantification_Results'!AY40&lt;'Quantification_Config'!$S$19),"",IF(('Quantification_Results'!AY40&gt;'Quantification_Config'!$T$19),"",'Quantification_Results'!AY40)),"")))</x:f>
        <x:v>5</x:v>
      </x:c>
      <x:c r="BA40" t="n">
        <x:f>IF(ISNUMBER('Quantification_Results'!AZ40),IFERROR(ROUND(((('Quantification_Results'!AZ40-'Quantification_Config'!$S$19)/('Quantification_Config'!$T$19-'Quantification_Config'!$S$19))*100),'Quantification_Config'!$U$2),""),"")</x:f>
        <x:v>50</x:v>
      </x:c>
      <x:c r="BB40" t="inlineStr">
        <x:is>
          <x:t xml:space="preserve">SYSTEM-TEST-ONLY-NO-NETWORK-NOT-AN-EDUCATIONAL-EVALUATION</x:t>
        </x:is>
      </x:c>
      <x:c r="BC40" t="inlineStr">
        <x:is>
          <x:t xml:space="preserve"/>
        </x:is>
      </x:c>
      <x:c r="BD40" t="inlineStr">
        <x:is>
          <x:t xml:space="preserve">NONE</x:t>
        </x:is>
      </x:c>
      <x:c r="BE40" t="inlineStr">
        <x:is>
          <x:t xml:space="preserve"/>
        </x:is>
      </x:c>
      <x:c r="BF40" t="inlineStr">
        <x:is>
          <x:t xml:space="preserve">SUCCESS</x:t>
        </x:is>
      </x:c>
      <x:c r="BG40" t="n">
        <x:f>IF((COUNT('Quantification_Results'!BA40)=1),IFERROR(ROUND((SUM(('Quantification_Results'!BA40*'Quantification_Config'!$R$19))/SUM('Quantification_Config'!$R$19)),'Quantification_Config'!$U$2),""),"")</x:f>
        <x:v>50</x:v>
      </x:c>
      <x:c r="BH40" t="n">
        <x:f>IF((COUNT('Quantification_Results'!BG40)=1),IFERROR(ROUND((SUM(('Quantification_Results'!BG40*'Quantification_Config'!$R$18))/SUM('Quantification_Config'!$R$18)),'Quantification_Config'!$U$2),""),"")</x:f>
        <x:v>50</x:v>
      </x:c>
      <x:c r="BI40">
        <x:f>IF((COUNT('Quantification_Results'!L40,'Quantification_Results'!X40,'Quantification_Results'!AJ40,'Quantification_Results'!AV40,'Quantification_Results'!BH40)=5),IFERROR(ROUND((SUM(('Quantification_Results'!L40*'Quantification_Config'!$R$4),('Quantification_Results'!X40*'Quantification_Config'!$R$7),('Quantification_Results'!AJ40*'Quantification_Config'!$R$10),('Quantification_Results'!AV40*'Quantification_Config'!$R$13),('Quantification_Results'!BH40*'Quantification_Config'!$R$16))/SUM('Quantification_Config'!$R$4,'Quantification_Config'!$R$7,'Quantification_Config'!$R$10,'Quantification_Config'!$R$13,'Quantification_Config'!$R$16)),'Quantification_Config'!$U$2),""),"")</x:f>
      </x:c>
    </x:row>
    <x:row r="41">
      <x:c r="A41" t="n">
        <x:v>1</x:v>
      </x:c>
      <x:c r="B41" t="n">
        <x:v>5</x:v>
      </x:c>
      <x:c r="C41"/>
      <x:c r="D41" t="n">
        <x:f>IF(('Quantification_Results'!A41&lt;&gt;1),"",IF(('Quantification_Results'!C41=""),IF(ISNUMBER('Quantification_Results'!B41),IF(('Quantification_Results'!B41&lt;'Quantification_Config'!$S$6),"",IF(('Quantification_Results'!B41&gt;'Quantification_Config'!$T$6),"",'Quantification_Results'!B41)),""),IF(ISNUMBER('Quantification_Results'!C41),IF(('Quantification_Results'!C41&lt;'Quantification_Config'!$S$6),"",IF(('Quantification_Results'!C41&gt;'Quantification_Config'!$T$6),"",'Quantification_Results'!C41)),"")))</x:f>
        <x:v>5</x:v>
      </x:c>
      <x:c r="E41" t="n">
        <x:f>IF(ISNUMBER('Quantification_Results'!D41),IFERROR(ROUND(((('Quantification_Results'!D41-'Quantification_Config'!$S$6)/('Quantification_Config'!$T$6-'Quantification_Config'!$S$6))*100),'Quantification_Config'!$U$2),""),"")</x:f>
        <x:v>50</x:v>
      </x:c>
      <x:c r="F41" t="inlineStr">
        <x:is>
          <x:t xml:space="preserve">SYSTEM-TEST-ONLY-NO-NETWORK-NOT-AN-EDUCATIONAL-EVALUATION</x:t>
        </x:is>
      </x:c>
      <x:c r="G41" t="inlineStr">
        <x:is>
          <x:t xml:space="preserve"/>
        </x:is>
      </x:c>
      <x:c r="H41" t="inlineStr">
        <x:is>
          <x:t xml:space="preserve">NONE</x:t>
        </x:is>
      </x:c>
      <x:c r="I41" t="inlineStr">
        <x:is>
          <x:t xml:space="preserve"/>
        </x:is>
      </x:c>
      <x:c r="J41" t="inlineStr">
        <x:is>
          <x:t xml:space="preserve">SUCCESS</x:t>
        </x:is>
      </x:c>
      <x:c r="K41" t="n">
        <x:f>IF((COUNT('Quantification_Results'!E41)=1),IFERROR(ROUND((SUM(('Quantification_Results'!E41*'Quantification_Config'!$R$6))/SUM('Quantification_Config'!$R$6)),'Quantification_Config'!$U$2),""),"")</x:f>
        <x:v>50</x:v>
      </x:c>
      <x:c r="L41" t="n">
        <x:f>IF((COUNT('Quantification_Results'!K41)=1),IFERROR(ROUND((SUM(('Quantification_Results'!K41*'Quantification_Config'!$R$5))/SUM('Quantification_Config'!$R$5)),'Quantification_Config'!$U$2),""),"")</x:f>
        <x:v>50</x:v>
      </x:c>
      <x:c r="M41" t="n">
        <x:v>1</x:v>
      </x:c>
      <x:c r="N41" t="n">
        <x:v>5</x:v>
      </x:c>
      <x:c r="O41"/>
      <x:c r="P41" t="n">
        <x:f>IF(('Quantification_Results'!M41&lt;&gt;1),"",IF(('Quantification_Results'!O41=""),IF(ISNUMBER('Quantification_Results'!N41),IF(('Quantification_Results'!N41&lt;'Quantification_Config'!$S$9),"",IF(('Quantification_Results'!N41&gt;'Quantification_Config'!$T$9),"",'Quantification_Results'!N41)),""),IF(ISNUMBER('Quantification_Results'!O41),IF(('Quantification_Results'!O41&lt;'Quantification_Config'!$S$9),"",IF(('Quantification_Results'!O41&gt;'Quantification_Config'!$T$9),"",'Quantification_Results'!O41)),"")))</x:f>
        <x:v>5</x:v>
      </x:c>
      <x:c r="Q41" t="n">
        <x:f>IF(ISNUMBER('Quantification_Results'!P41),IFERROR(ROUND(((('Quantification_Results'!P41-'Quantification_Config'!$S$9)/('Quantification_Config'!$T$9-'Quantification_Config'!$S$9))*100),'Quantification_Config'!$U$2),""),"")</x:f>
        <x:v>50</x:v>
      </x:c>
      <x:c r="R41" t="inlineStr">
        <x:is>
          <x:t xml:space="preserve">SYSTEM-TEST-ONLY-NO-NETWORK-NOT-AN-EDUCATIONAL-EVALUATION</x:t>
        </x:is>
      </x:c>
      <x:c r="S41" t="inlineStr">
        <x:is>
          <x:t xml:space="preserve"/>
        </x:is>
      </x:c>
      <x:c r="T41" t="inlineStr">
        <x:is>
          <x:t xml:space="preserve">NONE</x:t>
        </x:is>
      </x:c>
      <x:c r="U41" t="inlineStr">
        <x:is>
          <x:t xml:space="preserve"/>
        </x:is>
      </x:c>
      <x:c r="V41" t="inlineStr">
        <x:is>
          <x:t xml:space="preserve">SUCCESS</x:t>
        </x:is>
      </x:c>
      <x:c r="W41" t="n">
        <x:f>IF((COUNT('Quantification_Results'!Q41)=1),IFERROR(ROUND((SUM(('Quantification_Results'!Q41*'Quantification_Config'!$R$9))/SUM('Quantification_Config'!$R$9)),'Quantification_Config'!$U$2),""),"")</x:f>
        <x:v>50</x:v>
      </x:c>
      <x:c r="X41" t="n">
        <x:f>IF((COUNT('Quantification_Results'!W41)=1),IFERROR(ROUND((SUM(('Quantification_Results'!W41*'Quantification_Config'!$R$8))/SUM('Quantification_Config'!$R$8)),'Quantification_Config'!$U$2),""),"")</x:f>
        <x:v>50</x:v>
      </x:c>
      <x:c r="Y41" t="n">
        <x:v>0</x:v>
      </x:c>
      <x:c r="Z41"/>
      <x:c r="AA41"/>
      <x:c r="AB41">
        <x:f>IF(('Quantification_Results'!Y41&lt;&gt;1),"",IF(('Quantification_Results'!AA41=""),IF(ISNUMBER('Quantification_Results'!Z41),IF(('Quantification_Results'!Z41&lt;'Quantification_Config'!$S$12),"",IF(('Quantification_Results'!Z41&gt;'Quantification_Config'!$T$12),"",'Quantification_Results'!Z41)),""),IF(ISNUMBER('Quantification_Results'!AA41),IF(('Quantification_Results'!AA41&lt;'Quantification_Config'!$S$12),"",IF(('Quantification_Results'!AA41&gt;'Quantification_Config'!$T$12),"",'Quantification_Results'!AA41)),"")))</x:f>
      </x:c>
      <x:c r="AC41">
        <x:f>IF(ISNUMBER('Quantification_Results'!AB41),IFERROR(ROUND(((('Quantification_Results'!AB41-'Quantification_Config'!$S$12)/('Quantification_Config'!$T$12-'Quantification_Config'!$S$12))*100),'Quantification_Config'!$U$2),""),"")</x:f>
      </x:c>
      <x:c r="AD41" t="inlineStr">
        <x:is>
          <x:t xml:space="preserve"/>
        </x:is>
      </x:c>
      <x:c r="AE41" t="inlineStr">
        <x:is>
          <x:t xml:space="preserve"/>
        </x:is>
      </x:c>
      <x:c r="AF41" t="inlineStr">
        <x:is>
          <x:t xml:space="preserve"/>
        </x:is>
      </x:c>
      <x:c r="AG41" t="inlineStr">
        <x:is>
          <x:t xml:space="preserve"/>
        </x:is>
      </x:c>
      <x:c r="AH41" t="inlineStr">
        <x:is>
          <x:t xml:space="preserve">EMPTY</x:t>
        </x:is>
      </x:c>
      <x:c r="AI41">
        <x:f>IF((COUNT('Quantification_Results'!AC41)=1),IFERROR(ROUND((SUM(('Quantification_Results'!AC41*'Quantification_Config'!$R$12))/SUM('Quantification_Config'!$R$12)),'Quantification_Config'!$U$2),""),"")</x:f>
      </x:c>
      <x:c r="AJ41">
        <x:f>IF((COUNT('Quantification_Results'!AI41)=1),IFERROR(ROUND((SUM(('Quantification_Results'!AI41*'Quantification_Config'!$R$11))/SUM('Quantification_Config'!$R$11)),'Quantification_Config'!$U$2),""),"")</x:f>
      </x:c>
      <x:c r="AK41" t="n">
        <x:v>1</x:v>
      </x:c>
      <x:c r="AL41" t="n">
        <x:v>5</x:v>
      </x:c>
      <x:c r="AM41"/>
      <x:c r="AN41" t="n">
        <x:f>IF(('Quantification_Results'!AK41&lt;&gt;1),"",IF(('Quantification_Results'!AM41=""),IF(ISNUMBER('Quantification_Results'!AL41),IF(('Quantification_Results'!AL41&lt;'Quantification_Config'!$S$15),"",IF(('Quantification_Results'!AL41&gt;'Quantification_Config'!$T$15),"",'Quantification_Results'!AL41)),""),IF(ISNUMBER('Quantification_Results'!AM41),IF(('Quantification_Results'!AM41&lt;'Quantification_Config'!$S$15),"",IF(('Quantification_Results'!AM41&gt;'Quantification_Config'!$T$15),"",'Quantification_Results'!AM41)),"")))</x:f>
        <x:v>5</x:v>
      </x:c>
      <x:c r="AO41" t="n">
        <x:f>IF(ISNUMBER('Quantification_Results'!AN41),IFERROR(ROUND(((('Quantification_Results'!AN41-'Quantification_Config'!$S$15)/('Quantification_Config'!$T$15-'Quantification_Config'!$S$15))*100),'Quantification_Config'!$U$2),""),"")</x:f>
        <x:v>50</x:v>
      </x:c>
      <x:c r="AP41" t="inlineStr">
        <x:is>
          <x:t xml:space="preserve">SYSTEM-TEST-ONLY-NO-NETWORK-NOT-AN-EDUCATIONAL-EVALUATION</x:t>
        </x:is>
      </x:c>
      <x:c r="AQ41" t="inlineStr">
        <x:is>
          <x:t xml:space="preserve"/>
        </x:is>
      </x:c>
      <x:c r="AR41" t="inlineStr">
        <x:is>
          <x:t xml:space="preserve">NONE</x:t>
        </x:is>
      </x:c>
      <x:c r="AS41" t="inlineStr">
        <x:is>
          <x:t xml:space="preserve"/>
        </x:is>
      </x:c>
      <x:c r="AT41" t="inlineStr">
        <x:is>
          <x:t xml:space="preserve">SUCCESS</x:t>
        </x:is>
      </x:c>
      <x:c r="AU41" t="n">
        <x:f>IF((COUNT('Quantification_Results'!AO41)=1),IFERROR(ROUND((SUM(('Quantification_Results'!AO41*'Quantification_Config'!$R$15))/SUM('Quantification_Config'!$R$15)),'Quantification_Config'!$U$2),""),"")</x:f>
        <x:v>50</x:v>
      </x:c>
      <x:c r="AV41" t="n">
        <x:f>IF((COUNT('Quantification_Results'!AU41)=1),IFERROR(ROUND((SUM(('Quantification_Results'!AU41*'Quantification_Config'!$R$14))/SUM('Quantification_Config'!$R$14)),'Quantification_Config'!$U$2),""),"")</x:f>
        <x:v>50</x:v>
      </x:c>
      <x:c r="AW41" t="n">
        <x:v>1</x:v>
      </x:c>
      <x:c r="AX41" t="n">
        <x:v>5</x:v>
      </x:c>
      <x:c r="AY41"/>
      <x:c r="AZ41" t="n">
        <x:f>IF(('Quantification_Results'!AW41&lt;&gt;1),"",IF(('Quantification_Results'!AY41=""),IF(ISNUMBER('Quantification_Results'!AX41),IF(('Quantification_Results'!AX41&lt;'Quantification_Config'!$S$19),"",IF(('Quantification_Results'!AX41&gt;'Quantification_Config'!$T$19),"",'Quantification_Results'!AX41)),""),IF(ISNUMBER('Quantification_Results'!AY41),IF(('Quantification_Results'!AY41&lt;'Quantification_Config'!$S$19),"",IF(('Quantification_Results'!AY41&gt;'Quantification_Config'!$T$19),"",'Quantification_Results'!AY41)),"")))</x:f>
        <x:v>5</x:v>
      </x:c>
      <x:c r="BA41" t="n">
        <x:f>IF(ISNUMBER('Quantification_Results'!AZ41),IFERROR(ROUND(((('Quantification_Results'!AZ41-'Quantification_Config'!$S$19)/('Quantification_Config'!$T$19-'Quantification_Config'!$S$19))*100),'Quantification_Config'!$U$2),""),"")</x:f>
        <x:v>50</x:v>
      </x:c>
      <x:c r="BB41" t="inlineStr">
        <x:is>
          <x:t xml:space="preserve">SYSTEM-TEST-ONLY-NO-NETWORK-NOT-AN-EDUCATIONAL-EVALUATION</x:t>
        </x:is>
      </x:c>
      <x:c r="BC41" t="inlineStr">
        <x:is>
          <x:t xml:space="preserve"/>
        </x:is>
      </x:c>
      <x:c r="BD41" t="inlineStr">
        <x:is>
          <x:t xml:space="preserve">NONE</x:t>
        </x:is>
      </x:c>
      <x:c r="BE41" t="inlineStr">
        <x:is>
          <x:t xml:space="preserve"/>
        </x:is>
      </x:c>
      <x:c r="BF41" t="inlineStr">
        <x:is>
          <x:t xml:space="preserve">SUCCESS</x:t>
        </x:is>
      </x:c>
      <x:c r="BG41" t="n">
        <x:f>IF((COUNT('Quantification_Results'!BA41)=1),IFERROR(ROUND((SUM(('Quantification_Results'!BA41*'Quantification_Config'!$R$19))/SUM('Quantification_Config'!$R$19)),'Quantification_Config'!$U$2),""),"")</x:f>
        <x:v>50</x:v>
      </x:c>
      <x:c r="BH41" t="n">
        <x:f>IF((COUNT('Quantification_Results'!BG41)=1),IFERROR(ROUND((SUM(('Quantification_Results'!BG41*'Quantification_Config'!$R$18))/SUM('Quantification_Config'!$R$18)),'Quantification_Config'!$U$2),""),"")</x:f>
        <x:v>50</x:v>
      </x:c>
      <x:c r="BI41">
        <x:f>IF((COUNT('Quantification_Results'!L41,'Quantification_Results'!X41,'Quantification_Results'!AJ41,'Quantification_Results'!AV41,'Quantification_Results'!BH41)=5),IFERROR(ROUND((SUM(('Quantification_Results'!L41*'Quantification_Config'!$R$4),('Quantification_Results'!X41*'Quantification_Config'!$R$7),('Quantification_Results'!AJ41*'Quantification_Config'!$R$10),('Quantification_Results'!AV41*'Quantification_Config'!$R$13),('Quantification_Results'!BH41*'Quantification_Config'!$R$16))/SUM('Quantification_Config'!$R$4,'Quantification_Config'!$R$7,'Quantification_Config'!$R$10,'Quantification_Config'!$R$13,'Quantification_Config'!$R$16)),'Quantification_Config'!$U$2),""),"")</x:f>
      </x:c>
    </x:row>
    <x:row r="42">
      <x:c r="A42" t="n">
        <x:v>1</x:v>
      </x:c>
      <x:c r="B42" t="n">
        <x:v>5</x:v>
      </x:c>
      <x:c r="C42"/>
      <x:c r="D42" t="n">
        <x:f>IF(('Quantification_Results'!A42&lt;&gt;1),"",IF(('Quantification_Results'!C42=""),IF(ISNUMBER('Quantification_Results'!B42),IF(('Quantification_Results'!B42&lt;'Quantification_Config'!$S$6),"",IF(('Quantification_Results'!B42&gt;'Quantification_Config'!$T$6),"",'Quantification_Results'!B42)),""),IF(ISNUMBER('Quantification_Results'!C42),IF(('Quantification_Results'!C42&lt;'Quantification_Config'!$S$6),"",IF(('Quantification_Results'!C42&gt;'Quantification_Config'!$T$6),"",'Quantification_Results'!C42)),"")))</x:f>
        <x:v>5</x:v>
      </x:c>
      <x:c r="E42" t="n">
        <x:f>IF(ISNUMBER('Quantification_Results'!D42),IFERROR(ROUND(((('Quantification_Results'!D42-'Quantification_Config'!$S$6)/('Quantification_Config'!$T$6-'Quantification_Config'!$S$6))*100),'Quantification_Config'!$U$2),""),"")</x:f>
        <x:v>50</x:v>
      </x:c>
      <x:c r="F42" t="inlineStr">
        <x:is>
          <x:t xml:space="preserve">SYSTEM-TEST-ONLY-NO-NETWORK-NOT-AN-EDUCATIONAL-EVALUATION</x:t>
        </x:is>
      </x:c>
      <x:c r="G42" t="inlineStr">
        <x:is>
          <x:t xml:space="preserve"/>
        </x:is>
      </x:c>
      <x:c r="H42" t="inlineStr">
        <x:is>
          <x:t xml:space="preserve">NONE</x:t>
        </x:is>
      </x:c>
      <x:c r="I42" t="inlineStr">
        <x:is>
          <x:t xml:space="preserve"/>
        </x:is>
      </x:c>
      <x:c r="J42" t="inlineStr">
        <x:is>
          <x:t xml:space="preserve">SUCCESS</x:t>
        </x:is>
      </x:c>
      <x:c r="K42" t="n">
        <x:f>IF((COUNT('Quantification_Results'!E42)=1),IFERROR(ROUND((SUM(('Quantification_Results'!E42*'Quantification_Config'!$R$6))/SUM('Quantification_Config'!$R$6)),'Quantification_Config'!$U$2),""),"")</x:f>
        <x:v>50</x:v>
      </x:c>
      <x:c r="L42" t="n">
        <x:f>IF((COUNT('Quantification_Results'!K42)=1),IFERROR(ROUND((SUM(('Quantification_Results'!K42*'Quantification_Config'!$R$5))/SUM('Quantification_Config'!$R$5)),'Quantification_Config'!$U$2),""),"")</x:f>
        <x:v>50</x:v>
      </x:c>
      <x:c r="M42" t="n">
        <x:v>1</x:v>
      </x:c>
      <x:c r="N42" t="n">
        <x:v>5</x:v>
      </x:c>
      <x:c r="O42"/>
      <x:c r="P42" t="n">
        <x:f>IF(('Quantification_Results'!M42&lt;&gt;1),"",IF(('Quantification_Results'!O42=""),IF(ISNUMBER('Quantification_Results'!N42),IF(('Quantification_Results'!N42&lt;'Quantification_Config'!$S$9),"",IF(('Quantification_Results'!N42&gt;'Quantification_Config'!$T$9),"",'Quantification_Results'!N42)),""),IF(ISNUMBER('Quantification_Results'!O42),IF(('Quantification_Results'!O42&lt;'Quantification_Config'!$S$9),"",IF(('Quantification_Results'!O42&gt;'Quantification_Config'!$T$9),"",'Quantification_Results'!O42)),"")))</x:f>
        <x:v>5</x:v>
      </x:c>
      <x:c r="Q42" t="n">
        <x:f>IF(ISNUMBER('Quantification_Results'!P42),IFERROR(ROUND(((('Quantification_Results'!P42-'Quantification_Config'!$S$9)/('Quantification_Config'!$T$9-'Quantification_Config'!$S$9))*100),'Quantification_Config'!$U$2),""),"")</x:f>
        <x:v>50</x:v>
      </x:c>
      <x:c r="R42" t="inlineStr">
        <x:is>
          <x:t xml:space="preserve">SYSTEM-TEST-ONLY-NO-NETWORK-NOT-AN-EDUCATIONAL-EVALUATION</x:t>
        </x:is>
      </x:c>
      <x:c r="S42" t="inlineStr">
        <x:is>
          <x:t xml:space="preserve"/>
        </x:is>
      </x:c>
      <x:c r="T42" t="inlineStr">
        <x:is>
          <x:t xml:space="preserve">NONE</x:t>
        </x:is>
      </x:c>
      <x:c r="U42" t="inlineStr">
        <x:is>
          <x:t xml:space="preserve"/>
        </x:is>
      </x:c>
      <x:c r="V42" t="inlineStr">
        <x:is>
          <x:t xml:space="preserve">SUCCESS</x:t>
        </x:is>
      </x:c>
      <x:c r="W42" t="n">
        <x:f>IF((COUNT('Quantification_Results'!Q42)=1),IFERROR(ROUND((SUM(('Quantification_Results'!Q42*'Quantification_Config'!$R$9))/SUM('Quantification_Config'!$R$9)),'Quantification_Config'!$U$2),""),"")</x:f>
        <x:v>50</x:v>
      </x:c>
      <x:c r="X42" t="n">
        <x:f>IF((COUNT('Quantification_Results'!W42)=1),IFERROR(ROUND((SUM(('Quantification_Results'!W42*'Quantification_Config'!$R$8))/SUM('Quantification_Config'!$R$8)),'Quantification_Config'!$U$2),""),"")</x:f>
        <x:v>50</x:v>
      </x:c>
      <x:c r="Y42" t="n">
        <x:v>0</x:v>
      </x:c>
      <x:c r="Z42"/>
      <x:c r="AA42"/>
      <x:c r="AB42">
        <x:f>IF(('Quantification_Results'!Y42&lt;&gt;1),"",IF(('Quantification_Results'!AA42=""),IF(ISNUMBER('Quantification_Results'!Z42),IF(('Quantification_Results'!Z42&lt;'Quantification_Config'!$S$12),"",IF(('Quantification_Results'!Z42&gt;'Quantification_Config'!$T$12),"",'Quantification_Results'!Z42)),""),IF(ISNUMBER('Quantification_Results'!AA42),IF(('Quantification_Results'!AA42&lt;'Quantification_Config'!$S$12),"",IF(('Quantification_Results'!AA42&gt;'Quantification_Config'!$T$12),"",'Quantification_Results'!AA42)),"")))</x:f>
      </x:c>
      <x:c r="AC42">
        <x:f>IF(ISNUMBER('Quantification_Results'!AB42),IFERROR(ROUND(((('Quantification_Results'!AB42-'Quantification_Config'!$S$12)/('Quantification_Config'!$T$12-'Quantification_Config'!$S$12))*100),'Quantification_Config'!$U$2),""),"")</x:f>
      </x:c>
      <x:c r="AD42" t="inlineStr">
        <x:is>
          <x:t xml:space="preserve"/>
        </x:is>
      </x:c>
      <x:c r="AE42" t="inlineStr">
        <x:is>
          <x:t xml:space="preserve"/>
        </x:is>
      </x:c>
      <x:c r="AF42" t="inlineStr">
        <x:is>
          <x:t xml:space="preserve"/>
        </x:is>
      </x:c>
      <x:c r="AG42" t="inlineStr">
        <x:is>
          <x:t xml:space="preserve"/>
        </x:is>
      </x:c>
      <x:c r="AH42" t="inlineStr">
        <x:is>
          <x:t xml:space="preserve">EMPTY</x:t>
        </x:is>
      </x:c>
      <x:c r="AI42">
        <x:f>IF((COUNT('Quantification_Results'!AC42)=1),IFERROR(ROUND((SUM(('Quantification_Results'!AC42*'Quantification_Config'!$R$12))/SUM('Quantification_Config'!$R$12)),'Quantification_Config'!$U$2),""),"")</x:f>
      </x:c>
      <x:c r="AJ42">
        <x:f>IF((COUNT('Quantification_Results'!AI42)=1),IFERROR(ROUND((SUM(('Quantification_Results'!AI42*'Quantification_Config'!$R$11))/SUM('Quantification_Config'!$R$11)),'Quantification_Config'!$U$2),""),"")</x:f>
      </x:c>
      <x:c r="AK42" t="n">
        <x:v>1</x:v>
      </x:c>
      <x:c r="AL42" t="n">
        <x:v>5</x:v>
      </x:c>
      <x:c r="AM42"/>
      <x:c r="AN42" t="n">
        <x:f>IF(('Quantification_Results'!AK42&lt;&gt;1),"",IF(('Quantification_Results'!AM42=""),IF(ISNUMBER('Quantification_Results'!AL42),IF(('Quantification_Results'!AL42&lt;'Quantification_Config'!$S$15),"",IF(('Quantification_Results'!AL42&gt;'Quantification_Config'!$T$15),"",'Quantification_Results'!AL42)),""),IF(ISNUMBER('Quantification_Results'!AM42),IF(('Quantification_Results'!AM42&lt;'Quantification_Config'!$S$15),"",IF(('Quantification_Results'!AM42&gt;'Quantification_Config'!$T$15),"",'Quantification_Results'!AM42)),"")))</x:f>
        <x:v>5</x:v>
      </x:c>
      <x:c r="AO42" t="n">
        <x:f>IF(ISNUMBER('Quantification_Results'!AN42),IFERROR(ROUND(((('Quantification_Results'!AN42-'Quantification_Config'!$S$15)/('Quantification_Config'!$T$15-'Quantification_Config'!$S$15))*100),'Quantification_Config'!$U$2),""),"")</x:f>
        <x:v>50</x:v>
      </x:c>
      <x:c r="AP42" t="inlineStr">
        <x:is>
          <x:t xml:space="preserve">SYSTEM-TEST-ONLY-NO-NETWORK-NOT-AN-EDUCATIONAL-EVALUATION</x:t>
        </x:is>
      </x:c>
      <x:c r="AQ42" t="inlineStr">
        <x:is>
          <x:t xml:space="preserve"/>
        </x:is>
      </x:c>
      <x:c r="AR42" t="inlineStr">
        <x:is>
          <x:t xml:space="preserve">NONE</x:t>
        </x:is>
      </x:c>
      <x:c r="AS42" t="inlineStr">
        <x:is>
          <x:t xml:space="preserve"/>
        </x:is>
      </x:c>
      <x:c r="AT42" t="inlineStr">
        <x:is>
          <x:t xml:space="preserve">SUCCESS</x:t>
        </x:is>
      </x:c>
      <x:c r="AU42" t="n">
        <x:f>IF((COUNT('Quantification_Results'!AO42)=1),IFERROR(ROUND((SUM(('Quantification_Results'!AO42*'Quantification_Config'!$R$15))/SUM('Quantification_Config'!$R$15)),'Quantification_Config'!$U$2),""),"")</x:f>
        <x:v>50</x:v>
      </x:c>
      <x:c r="AV42" t="n">
        <x:f>IF((COUNT('Quantification_Results'!AU42)=1),IFERROR(ROUND((SUM(('Quantification_Results'!AU42*'Quantification_Config'!$R$14))/SUM('Quantification_Config'!$R$14)),'Quantification_Config'!$U$2),""),"")</x:f>
        <x:v>50</x:v>
      </x:c>
      <x:c r="AW42" t="n">
        <x:v>0</x:v>
      </x:c>
      <x:c r="AX42"/>
      <x:c r="AY42"/>
      <x:c r="AZ42">
        <x:f>IF(('Quantification_Results'!AW42&lt;&gt;1),"",IF(('Quantification_Results'!AY42=""),IF(ISNUMBER('Quantification_Results'!AX42),IF(('Quantification_Results'!AX42&lt;'Quantification_Config'!$S$19),"",IF(('Quantification_Results'!AX42&gt;'Quantification_Config'!$T$19),"",'Quantification_Results'!AX42)),""),IF(ISNUMBER('Quantification_Results'!AY42),IF(('Quantification_Results'!AY42&lt;'Quantification_Config'!$S$19),"",IF(('Quantification_Results'!AY42&gt;'Quantification_Config'!$T$19),"",'Quantification_Results'!AY42)),"")))</x:f>
      </x:c>
      <x:c r="BA42">
        <x:f>IF(ISNUMBER('Quantification_Results'!AZ42),IFERROR(ROUND(((('Quantification_Results'!AZ42-'Quantification_Config'!$S$19)/('Quantification_Config'!$T$19-'Quantification_Config'!$S$19))*100),'Quantification_Config'!$U$2),""),"")</x:f>
      </x:c>
      <x:c r="BB42" t="inlineStr">
        <x:is>
          <x:t xml:space="preserve"/>
        </x:is>
      </x:c>
      <x:c r="BC42" t="inlineStr">
        <x:is>
          <x:t xml:space="preserve"/>
        </x:is>
      </x:c>
      <x:c r="BD42" t="inlineStr">
        <x:is>
          <x:t xml:space="preserve"/>
        </x:is>
      </x:c>
      <x:c r="BE42" t="inlineStr">
        <x:is>
          <x:t xml:space="preserve"/>
        </x:is>
      </x:c>
      <x:c r="BF42" t="inlineStr">
        <x:is>
          <x:t xml:space="preserve">EMPTY</x:t>
        </x:is>
      </x:c>
      <x:c r="BG42">
        <x:f>IF((COUNT('Quantification_Results'!BA42)=1),IFERROR(ROUND((SUM(('Quantification_Results'!BA42*'Quantification_Config'!$R$19))/SUM('Quantification_Config'!$R$19)),'Quantification_Config'!$U$2),""),"")</x:f>
      </x:c>
      <x:c r="BH42">
        <x:f>IF((COUNT('Quantification_Results'!BG42)=1),IFERROR(ROUND((SUM(('Quantification_Results'!BG42*'Quantification_Config'!$R$18))/SUM('Quantification_Config'!$R$18)),'Quantification_Config'!$U$2),""),"")</x:f>
      </x:c>
      <x:c r="BI42">
        <x:f>IF((COUNT('Quantification_Results'!L42,'Quantification_Results'!X42,'Quantification_Results'!AJ42,'Quantification_Results'!AV42,'Quantification_Results'!BH42)=5),IFERROR(ROUND((SUM(('Quantification_Results'!L42*'Quantification_Config'!$R$4),('Quantification_Results'!X42*'Quantification_Config'!$R$7),('Quantification_Results'!AJ42*'Quantification_Config'!$R$10),('Quantification_Results'!AV42*'Quantification_Config'!$R$13),('Quantification_Results'!BH42*'Quantification_Config'!$R$16))/SUM('Quantification_Config'!$R$4,'Quantification_Config'!$R$7,'Quantification_Config'!$R$10,'Quantification_Config'!$R$13,'Quantification_Config'!$R$16)),'Quantification_Config'!$U$2),""),"")</x:f>
      </x:c>
    </x:row>
    <x:row r="43">
      <x:c r="A43" t="n">
        <x:v>1</x:v>
      </x:c>
      <x:c r="B43" t="n">
        <x:v>5</x:v>
      </x:c>
      <x:c r="C43"/>
      <x:c r="D43" t="n">
        <x:f>IF(('Quantification_Results'!A43&lt;&gt;1),"",IF(('Quantification_Results'!C43=""),IF(ISNUMBER('Quantification_Results'!B43),IF(('Quantification_Results'!B43&lt;'Quantification_Config'!$S$6),"",IF(('Quantification_Results'!B43&gt;'Quantification_Config'!$T$6),"",'Quantification_Results'!B43)),""),IF(ISNUMBER('Quantification_Results'!C43),IF(('Quantification_Results'!C43&lt;'Quantification_Config'!$S$6),"",IF(('Quantification_Results'!C43&gt;'Quantification_Config'!$T$6),"",'Quantification_Results'!C43)),"")))</x:f>
        <x:v>5</x:v>
      </x:c>
      <x:c r="E43" t="n">
        <x:f>IF(ISNUMBER('Quantification_Results'!D43),IFERROR(ROUND(((('Quantification_Results'!D43-'Quantification_Config'!$S$6)/('Quantification_Config'!$T$6-'Quantification_Config'!$S$6))*100),'Quantification_Config'!$U$2),""),"")</x:f>
        <x:v>50</x:v>
      </x:c>
      <x:c r="F43" t="inlineStr">
        <x:is>
          <x:t xml:space="preserve">SYSTEM-TEST-ONLY-NO-NETWORK-NOT-AN-EDUCATIONAL-EVALUATION</x:t>
        </x:is>
      </x:c>
      <x:c r="G43" t="inlineStr">
        <x:is>
          <x:t xml:space="preserve"/>
        </x:is>
      </x:c>
      <x:c r="H43" t="inlineStr">
        <x:is>
          <x:t xml:space="preserve">NONE</x:t>
        </x:is>
      </x:c>
      <x:c r="I43" t="inlineStr">
        <x:is>
          <x:t xml:space="preserve"/>
        </x:is>
      </x:c>
      <x:c r="J43" t="inlineStr">
        <x:is>
          <x:t xml:space="preserve">SUCCESS</x:t>
        </x:is>
      </x:c>
      <x:c r="K43" t="n">
        <x:f>IF((COUNT('Quantification_Results'!E43)=1),IFERROR(ROUND((SUM(('Quantification_Results'!E43*'Quantification_Config'!$R$6))/SUM('Quantification_Config'!$R$6)),'Quantification_Config'!$U$2),""),"")</x:f>
        <x:v>50</x:v>
      </x:c>
      <x:c r="L43" t="n">
        <x:f>IF((COUNT('Quantification_Results'!K43)=1),IFERROR(ROUND((SUM(('Quantification_Results'!K43*'Quantification_Config'!$R$5))/SUM('Quantification_Config'!$R$5)),'Quantification_Config'!$U$2),""),"")</x:f>
        <x:v>50</x:v>
      </x:c>
      <x:c r="M43" t="n">
        <x:v>1</x:v>
      </x:c>
      <x:c r="N43" t="n">
        <x:v>5</x:v>
      </x:c>
      <x:c r="O43"/>
      <x:c r="P43" t="n">
        <x:f>IF(('Quantification_Results'!M43&lt;&gt;1),"",IF(('Quantification_Results'!O43=""),IF(ISNUMBER('Quantification_Results'!N43),IF(('Quantification_Results'!N43&lt;'Quantification_Config'!$S$9),"",IF(('Quantification_Results'!N43&gt;'Quantification_Config'!$T$9),"",'Quantification_Results'!N43)),""),IF(ISNUMBER('Quantification_Results'!O43),IF(('Quantification_Results'!O43&lt;'Quantification_Config'!$S$9),"",IF(('Quantification_Results'!O43&gt;'Quantification_Config'!$T$9),"",'Quantification_Results'!O43)),"")))</x:f>
        <x:v>5</x:v>
      </x:c>
      <x:c r="Q43" t="n">
        <x:f>IF(ISNUMBER('Quantification_Results'!P43),IFERROR(ROUND(((('Quantification_Results'!P43-'Quantification_Config'!$S$9)/('Quantification_Config'!$T$9-'Quantification_Config'!$S$9))*100),'Quantification_Config'!$U$2),""),"")</x:f>
        <x:v>50</x:v>
      </x:c>
      <x:c r="R43" t="inlineStr">
        <x:is>
          <x:t xml:space="preserve">SYSTEM-TEST-ONLY-NO-NETWORK-NOT-AN-EDUCATIONAL-EVALUATION</x:t>
        </x:is>
      </x:c>
      <x:c r="S43" t="inlineStr">
        <x:is>
          <x:t xml:space="preserve"/>
        </x:is>
      </x:c>
      <x:c r="T43" t="inlineStr">
        <x:is>
          <x:t xml:space="preserve">NONE</x:t>
        </x:is>
      </x:c>
      <x:c r="U43" t="inlineStr">
        <x:is>
          <x:t xml:space="preserve"/>
        </x:is>
      </x:c>
      <x:c r="V43" t="inlineStr">
        <x:is>
          <x:t xml:space="preserve">SUCCESS</x:t>
        </x:is>
      </x:c>
      <x:c r="W43" t="n">
        <x:f>IF((COUNT('Quantification_Results'!Q43)=1),IFERROR(ROUND((SUM(('Quantification_Results'!Q43*'Quantification_Config'!$R$9))/SUM('Quantification_Config'!$R$9)),'Quantification_Config'!$U$2),""),"")</x:f>
        <x:v>50</x:v>
      </x:c>
      <x:c r="X43" t="n">
        <x:f>IF((COUNT('Quantification_Results'!W43)=1),IFERROR(ROUND((SUM(('Quantification_Results'!W43*'Quantification_Config'!$R$8))/SUM('Quantification_Config'!$R$8)),'Quantification_Config'!$U$2),""),"")</x:f>
        <x:v>50</x:v>
      </x:c>
      <x:c r="Y43" t="n">
        <x:v>0</x:v>
      </x:c>
      <x:c r="Z43"/>
      <x:c r="AA43"/>
      <x:c r="AB43">
        <x:f>IF(('Quantification_Results'!Y43&lt;&gt;1),"",IF(('Quantification_Results'!AA43=""),IF(ISNUMBER('Quantification_Results'!Z43),IF(('Quantification_Results'!Z43&lt;'Quantification_Config'!$S$12),"",IF(('Quantification_Results'!Z43&gt;'Quantification_Config'!$T$12),"",'Quantification_Results'!Z43)),""),IF(ISNUMBER('Quantification_Results'!AA43),IF(('Quantification_Results'!AA43&lt;'Quantification_Config'!$S$12),"",IF(('Quantification_Results'!AA43&gt;'Quantification_Config'!$T$12),"",'Quantification_Results'!AA43)),"")))</x:f>
      </x:c>
      <x:c r="AC43">
        <x:f>IF(ISNUMBER('Quantification_Results'!AB43),IFERROR(ROUND(((('Quantification_Results'!AB43-'Quantification_Config'!$S$12)/('Quantification_Config'!$T$12-'Quantification_Config'!$S$12))*100),'Quantification_Config'!$U$2),""),"")</x:f>
      </x:c>
      <x:c r="AD43" t="inlineStr">
        <x:is>
          <x:t xml:space="preserve"/>
        </x:is>
      </x:c>
      <x:c r="AE43" t="inlineStr">
        <x:is>
          <x:t xml:space="preserve"/>
        </x:is>
      </x:c>
      <x:c r="AF43" t="inlineStr">
        <x:is>
          <x:t xml:space="preserve"/>
        </x:is>
      </x:c>
      <x:c r="AG43" t="inlineStr">
        <x:is>
          <x:t xml:space="preserve"/>
        </x:is>
      </x:c>
      <x:c r="AH43" t="inlineStr">
        <x:is>
          <x:t xml:space="preserve">EMPTY</x:t>
        </x:is>
      </x:c>
      <x:c r="AI43">
        <x:f>IF((COUNT('Quantification_Results'!AC43)=1),IFERROR(ROUND((SUM(('Quantification_Results'!AC43*'Quantification_Config'!$R$12))/SUM('Quantification_Config'!$R$12)),'Quantification_Config'!$U$2),""),"")</x:f>
      </x:c>
      <x:c r="AJ43">
        <x:f>IF((COUNT('Quantification_Results'!AI43)=1),IFERROR(ROUND((SUM(('Quantification_Results'!AI43*'Quantification_Config'!$R$11))/SUM('Quantification_Config'!$R$11)),'Quantification_Config'!$U$2),""),"")</x:f>
      </x:c>
      <x:c r="AK43" t="n">
        <x:v>1</x:v>
      </x:c>
      <x:c r="AL43" t="n">
        <x:v>5</x:v>
      </x:c>
      <x:c r="AM43"/>
      <x:c r="AN43" t="n">
        <x:f>IF(('Quantification_Results'!AK43&lt;&gt;1),"",IF(('Quantification_Results'!AM43=""),IF(ISNUMBER('Quantification_Results'!AL43),IF(('Quantification_Results'!AL43&lt;'Quantification_Config'!$S$15),"",IF(('Quantification_Results'!AL43&gt;'Quantification_Config'!$T$15),"",'Quantification_Results'!AL43)),""),IF(ISNUMBER('Quantification_Results'!AM43),IF(('Quantification_Results'!AM43&lt;'Quantification_Config'!$S$15),"",IF(('Quantification_Results'!AM43&gt;'Quantification_Config'!$T$15),"",'Quantification_Results'!AM43)),"")))</x:f>
        <x:v>5</x:v>
      </x:c>
      <x:c r="AO43" t="n">
        <x:f>IF(ISNUMBER('Quantification_Results'!AN43),IFERROR(ROUND(((('Quantification_Results'!AN43-'Quantification_Config'!$S$15)/('Quantification_Config'!$T$15-'Quantification_Config'!$S$15))*100),'Quantification_Config'!$U$2),""),"")</x:f>
        <x:v>50</x:v>
      </x:c>
      <x:c r="AP43" t="inlineStr">
        <x:is>
          <x:t xml:space="preserve">SYSTEM-TEST-ONLY-NO-NETWORK-NOT-AN-EDUCATIONAL-EVALUATION</x:t>
        </x:is>
      </x:c>
      <x:c r="AQ43" t="inlineStr">
        <x:is>
          <x:t xml:space="preserve"/>
        </x:is>
      </x:c>
      <x:c r="AR43" t="inlineStr">
        <x:is>
          <x:t xml:space="preserve">NONE</x:t>
        </x:is>
      </x:c>
      <x:c r="AS43" t="inlineStr">
        <x:is>
          <x:t xml:space="preserve"/>
        </x:is>
      </x:c>
      <x:c r="AT43" t="inlineStr">
        <x:is>
          <x:t xml:space="preserve">SUCCESS</x:t>
        </x:is>
      </x:c>
      <x:c r="AU43" t="n">
        <x:f>IF((COUNT('Quantification_Results'!AO43)=1),IFERROR(ROUND((SUM(('Quantification_Results'!AO43*'Quantification_Config'!$R$15))/SUM('Quantification_Config'!$R$15)),'Quantification_Config'!$U$2),""),"")</x:f>
        <x:v>50</x:v>
      </x:c>
      <x:c r="AV43" t="n">
        <x:f>IF((COUNT('Quantification_Results'!AU43)=1),IFERROR(ROUND((SUM(('Quantification_Results'!AU43*'Quantification_Config'!$R$14))/SUM('Quantification_Config'!$R$14)),'Quantification_Config'!$U$2),""),"")</x:f>
        <x:v>50</x:v>
      </x:c>
      <x:c r="AW43" t="n">
        <x:v>0</x:v>
      </x:c>
      <x:c r="AX43"/>
      <x:c r="AY43"/>
      <x:c r="AZ43">
        <x:f>IF(('Quantification_Results'!AW43&lt;&gt;1),"",IF(('Quantification_Results'!AY43=""),IF(ISNUMBER('Quantification_Results'!AX43),IF(('Quantification_Results'!AX43&lt;'Quantification_Config'!$S$19),"",IF(('Quantification_Results'!AX43&gt;'Quantification_Config'!$T$19),"",'Quantification_Results'!AX43)),""),IF(ISNUMBER('Quantification_Results'!AY43),IF(('Quantification_Results'!AY43&lt;'Quantification_Config'!$S$19),"",IF(('Quantification_Results'!AY43&gt;'Quantification_Config'!$T$19),"",'Quantification_Results'!AY43)),"")))</x:f>
      </x:c>
      <x:c r="BA43">
        <x:f>IF(ISNUMBER('Quantification_Results'!AZ43),IFERROR(ROUND(((('Quantification_Results'!AZ43-'Quantification_Config'!$S$19)/('Quantification_Config'!$T$19-'Quantification_Config'!$S$19))*100),'Quantification_Config'!$U$2),""),"")</x:f>
      </x:c>
      <x:c r="BB43" t="inlineStr">
        <x:is>
          <x:t xml:space="preserve"/>
        </x:is>
      </x:c>
      <x:c r="BC43" t="inlineStr">
        <x:is>
          <x:t xml:space="preserve"/>
        </x:is>
      </x:c>
      <x:c r="BD43" t="inlineStr">
        <x:is>
          <x:t xml:space="preserve"/>
        </x:is>
      </x:c>
      <x:c r="BE43" t="inlineStr">
        <x:is>
          <x:t xml:space="preserve"/>
        </x:is>
      </x:c>
      <x:c r="BF43" t="inlineStr">
        <x:is>
          <x:t xml:space="preserve">EMPTY</x:t>
        </x:is>
      </x:c>
      <x:c r="BG43">
        <x:f>IF((COUNT('Quantification_Results'!BA43)=1),IFERROR(ROUND((SUM(('Quantification_Results'!BA43*'Quantification_Config'!$R$19))/SUM('Quantification_Config'!$R$19)),'Quantification_Config'!$U$2),""),"")</x:f>
      </x:c>
      <x:c r="BH43">
        <x:f>IF((COUNT('Quantification_Results'!BG43)=1),IFERROR(ROUND((SUM(('Quantification_Results'!BG43*'Quantification_Config'!$R$18))/SUM('Quantification_Config'!$R$18)),'Quantification_Config'!$U$2),""),"")</x:f>
      </x:c>
      <x:c r="BI43">
        <x:f>IF((COUNT('Quantification_Results'!L43,'Quantification_Results'!X43,'Quantification_Results'!AJ43,'Quantification_Results'!AV43,'Quantification_Results'!BH43)=5),IFERROR(ROUND((SUM(('Quantification_Results'!L43*'Quantification_Config'!$R$4),('Quantification_Results'!X43*'Quantification_Config'!$R$7),('Quantification_Results'!AJ43*'Quantification_Config'!$R$10),('Quantification_Results'!AV43*'Quantification_Config'!$R$13),('Quantification_Results'!BH43*'Quantification_Config'!$R$16))/SUM('Quantification_Config'!$R$4,'Quantification_Config'!$R$7,'Quantification_Config'!$R$10,'Quantification_Config'!$R$13,'Quantification_Config'!$R$16)),'Quantification_Config'!$U$2),""),"")</x:f>
      </x:c>
    </x:row>
    <x:row r="44">
      <x:c r="A44" t="n">
        <x:v>1</x:v>
      </x:c>
      <x:c r="B44" t="n">
        <x:v>5</x:v>
      </x:c>
      <x:c r="C44"/>
      <x:c r="D44" t="n">
        <x:f>IF(('Quantification_Results'!A44&lt;&gt;1),"",IF(('Quantification_Results'!C44=""),IF(ISNUMBER('Quantification_Results'!B44),IF(('Quantification_Results'!B44&lt;'Quantification_Config'!$S$6),"",IF(('Quantification_Results'!B44&gt;'Quantification_Config'!$T$6),"",'Quantification_Results'!B44)),""),IF(ISNUMBER('Quantification_Results'!C44),IF(('Quantification_Results'!C44&lt;'Quantification_Config'!$S$6),"",IF(('Quantification_Results'!C44&gt;'Quantification_Config'!$T$6),"",'Quantification_Results'!C44)),"")))</x:f>
        <x:v>5</x:v>
      </x:c>
      <x:c r="E44" t="n">
        <x:f>IF(ISNUMBER('Quantification_Results'!D44),IFERROR(ROUND(((('Quantification_Results'!D44-'Quantification_Config'!$S$6)/('Quantification_Config'!$T$6-'Quantification_Config'!$S$6))*100),'Quantification_Config'!$U$2),""),"")</x:f>
        <x:v>50</x:v>
      </x:c>
      <x:c r="F44" t="inlineStr">
        <x:is>
          <x:t xml:space="preserve">SYSTEM-TEST-ONLY-NO-NETWORK-NOT-AN-EDUCATIONAL-EVALUATION</x:t>
        </x:is>
      </x:c>
      <x:c r="G44" t="inlineStr">
        <x:is>
          <x:t xml:space="preserve"/>
        </x:is>
      </x:c>
      <x:c r="H44" t="inlineStr">
        <x:is>
          <x:t xml:space="preserve">NONE</x:t>
        </x:is>
      </x:c>
      <x:c r="I44" t="inlineStr">
        <x:is>
          <x:t xml:space="preserve"/>
        </x:is>
      </x:c>
      <x:c r="J44" t="inlineStr">
        <x:is>
          <x:t xml:space="preserve">SUCCESS</x:t>
        </x:is>
      </x:c>
      <x:c r="K44" t="n">
        <x:f>IF((COUNT('Quantification_Results'!E44)=1),IFERROR(ROUND((SUM(('Quantification_Results'!E44*'Quantification_Config'!$R$6))/SUM('Quantification_Config'!$R$6)),'Quantification_Config'!$U$2),""),"")</x:f>
        <x:v>50</x:v>
      </x:c>
      <x:c r="L44" t="n">
        <x:f>IF((COUNT('Quantification_Results'!K44)=1),IFERROR(ROUND((SUM(('Quantification_Results'!K44*'Quantification_Config'!$R$5))/SUM('Quantification_Config'!$R$5)),'Quantification_Config'!$U$2),""),"")</x:f>
        <x:v>50</x:v>
      </x:c>
      <x:c r="M44" t="n">
        <x:v>1</x:v>
      </x:c>
      <x:c r="N44" t="n">
        <x:v>5</x:v>
      </x:c>
      <x:c r="O44"/>
      <x:c r="P44" t="n">
        <x:f>IF(('Quantification_Results'!M44&lt;&gt;1),"",IF(('Quantification_Results'!O44=""),IF(ISNUMBER('Quantification_Results'!N44),IF(('Quantification_Results'!N44&lt;'Quantification_Config'!$S$9),"",IF(('Quantification_Results'!N44&gt;'Quantification_Config'!$T$9),"",'Quantification_Results'!N44)),""),IF(ISNUMBER('Quantification_Results'!O44),IF(('Quantification_Results'!O44&lt;'Quantification_Config'!$S$9),"",IF(('Quantification_Results'!O44&gt;'Quantification_Config'!$T$9),"",'Quantification_Results'!O44)),"")))</x:f>
        <x:v>5</x:v>
      </x:c>
      <x:c r="Q44" t="n">
        <x:f>IF(ISNUMBER('Quantification_Results'!P44),IFERROR(ROUND(((('Quantification_Results'!P44-'Quantification_Config'!$S$9)/('Quantification_Config'!$T$9-'Quantification_Config'!$S$9))*100),'Quantification_Config'!$U$2),""),"")</x:f>
        <x:v>50</x:v>
      </x:c>
      <x:c r="R44" t="inlineStr">
        <x:is>
          <x:t xml:space="preserve">SYSTEM-TEST-ONLY-NO-NETWORK-NOT-AN-EDUCATIONAL-EVALUATION</x:t>
        </x:is>
      </x:c>
      <x:c r="S44" t="inlineStr">
        <x:is>
          <x:t xml:space="preserve"/>
        </x:is>
      </x:c>
      <x:c r="T44" t="inlineStr">
        <x:is>
          <x:t xml:space="preserve">NONE</x:t>
        </x:is>
      </x:c>
      <x:c r="U44" t="inlineStr">
        <x:is>
          <x:t xml:space="preserve"/>
        </x:is>
      </x:c>
      <x:c r="V44" t="inlineStr">
        <x:is>
          <x:t xml:space="preserve">SUCCESS</x:t>
        </x:is>
      </x:c>
      <x:c r="W44" t="n">
        <x:f>IF((COUNT('Quantification_Results'!Q44)=1),IFERROR(ROUND((SUM(('Quantification_Results'!Q44*'Quantification_Config'!$R$9))/SUM('Quantification_Config'!$R$9)),'Quantification_Config'!$U$2),""),"")</x:f>
        <x:v>50</x:v>
      </x:c>
      <x:c r="X44" t="n">
        <x:f>IF((COUNT('Quantification_Results'!W44)=1),IFERROR(ROUND((SUM(('Quantification_Results'!W44*'Quantification_Config'!$R$8))/SUM('Quantification_Config'!$R$8)),'Quantification_Config'!$U$2),""),"")</x:f>
        <x:v>50</x:v>
      </x:c>
      <x:c r="Y44" t="n">
        <x:v>0</x:v>
      </x:c>
      <x:c r="Z44"/>
      <x:c r="AA44"/>
      <x:c r="AB44">
        <x:f>IF(('Quantification_Results'!Y44&lt;&gt;1),"",IF(('Quantification_Results'!AA44=""),IF(ISNUMBER('Quantification_Results'!Z44),IF(('Quantification_Results'!Z44&lt;'Quantification_Config'!$S$12),"",IF(('Quantification_Results'!Z44&gt;'Quantification_Config'!$T$12),"",'Quantification_Results'!Z44)),""),IF(ISNUMBER('Quantification_Results'!AA44),IF(('Quantification_Results'!AA44&lt;'Quantification_Config'!$S$12),"",IF(('Quantification_Results'!AA44&gt;'Quantification_Config'!$T$12),"",'Quantification_Results'!AA44)),"")))</x:f>
      </x:c>
      <x:c r="AC44">
        <x:f>IF(ISNUMBER('Quantification_Results'!AB44),IFERROR(ROUND(((('Quantification_Results'!AB44-'Quantification_Config'!$S$12)/('Quantification_Config'!$T$12-'Quantification_Config'!$S$12))*100),'Quantification_Config'!$U$2),""),"")</x:f>
      </x:c>
      <x:c r="AD44" t="inlineStr">
        <x:is>
          <x:t xml:space="preserve"/>
        </x:is>
      </x:c>
      <x:c r="AE44" t="inlineStr">
        <x:is>
          <x:t xml:space="preserve"/>
        </x:is>
      </x:c>
      <x:c r="AF44" t="inlineStr">
        <x:is>
          <x:t xml:space="preserve"/>
        </x:is>
      </x:c>
      <x:c r="AG44" t="inlineStr">
        <x:is>
          <x:t xml:space="preserve"/>
        </x:is>
      </x:c>
      <x:c r="AH44" t="inlineStr">
        <x:is>
          <x:t xml:space="preserve">EMPTY</x:t>
        </x:is>
      </x:c>
      <x:c r="AI44">
        <x:f>IF((COUNT('Quantification_Results'!AC44)=1),IFERROR(ROUND((SUM(('Quantification_Results'!AC44*'Quantification_Config'!$R$12))/SUM('Quantification_Config'!$R$12)),'Quantification_Config'!$U$2),""),"")</x:f>
      </x:c>
      <x:c r="AJ44">
        <x:f>IF((COUNT('Quantification_Results'!AI44)=1),IFERROR(ROUND((SUM(('Quantification_Results'!AI44*'Quantification_Config'!$R$11))/SUM('Quantification_Config'!$R$11)),'Quantification_Config'!$U$2),""),"")</x:f>
      </x:c>
      <x:c r="AK44" t="n">
        <x:v>1</x:v>
      </x:c>
      <x:c r="AL44" t="n">
        <x:v>5</x:v>
      </x:c>
      <x:c r="AM44"/>
      <x:c r="AN44" t="n">
        <x:f>IF(('Quantification_Results'!AK44&lt;&gt;1),"",IF(('Quantification_Results'!AM44=""),IF(ISNUMBER('Quantification_Results'!AL44),IF(('Quantification_Results'!AL44&lt;'Quantification_Config'!$S$15),"",IF(('Quantification_Results'!AL44&gt;'Quantification_Config'!$T$15),"",'Quantification_Results'!AL44)),""),IF(ISNUMBER('Quantification_Results'!AM44),IF(('Quantification_Results'!AM44&lt;'Quantification_Config'!$S$15),"",IF(('Quantification_Results'!AM44&gt;'Quantification_Config'!$T$15),"",'Quantification_Results'!AM44)),"")))</x:f>
        <x:v>5</x:v>
      </x:c>
      <x:c r="AO44" t="n">
        <x:f>IF(ISNUMBER('Quantification_Results'!AN44),IFERROR(ROUND(((('Quantification_Results'!AN44-'Quantification_Config'!$S$15)/('Quantification_Config'!$T$15-'Quantification_Config'!$S$15))*100),'Quantification_Config'!$U$2),""),"")</x:f>
        <x:v>50</x:v>
      </x:c>
      <x:c r="AP44" t="inlineStr">
        <x:is>
          <x:t xml:space="preserve">SYSTEM-TEST-ONLY-NO-NETWORK-NOT-AN-EDUCATIONAL-EVALUATION</x:t>
        </x:is>
      </x:c>
      <x:c r="AQ44" t="inlineStr">
        <x:is>
          <x:t xml:space="preserve"/>
        </x:is>
      </x:c>
      <x:c r="AR44" t="inlineStr">
        <x:is>
          <x:t xml:space="preserve">NONE</x:t>
        </x:is>
      </x:c>
      <x:c r="AS44" t="inlineStr">
        <x:is>
          <x:t xml:space="preserve"/>
        </x:is>
      </x:c>
      <x:c r="AT44" t="inlineStr">
        <x:is>
          <x:t xml:space="preserve">SUCCESS</x:t>
        </x:is>
      </x:c>
      <x:c r="AU44" t="n">
        <x:f>IF((COUNT('Quantification_Results'!AO44)=1),IFERROR(ROUND((SUM(('Quantification_Results'!AO44*'Quantification_Config'!$R$15))/SUM('Quantification_Config'!$R$15)),'Quantification_Config'!$U$2),""),"")</x:f>
        <x:v>50</x:v>
      </x:c>
      <x:c r="AV44" t="n">
        <x:f>IF((COUNT('Quantification_Results'!AU44)=1),IFERROR(ROUND((SUM(('Quantification_Results'!AU44*'Quantification_Config'!$R$14))/SUM('Quantification_Config'!$R$14)),'Quantification_Config'!$U$2),""),"")</x:f>
        <x:v>50</x:v>
      </x:c>
      <x:c r="AW44" t="n">
        <x:v>1</x:v>
      </x:c>
      <x:c r="AX44" t="n">
        <x:v>5</x:v>
      </x:c>
      <x:c r="AY44"/>
      <x:c r="AZ44" t="n">
        <x:f>IF(('Quantification_Results'!AW44&lt;&gt;1),"",IF(('Quantification_Results'!AY44=""),IF(ISNUMBER('Quantification_Results'!AX44),IF(('Quantification_Results'!AX44&lt;'Quantification_Config'!$S$19),"",IF(('Quantification_Results'!AX44&gt;'Quantification_Config'!$T$19),"",'Quantification_Results'!AX44)),""),IF(ISNUMBER('Quantification_Results'!AY44),IF(('Quantification_Results'!AY44&lt;'Quantification_Config'!$S$19),"",IF(('Quantification_Results'!AY44&gt;'Quantification_Config'!$T$19),"",'Quantification_Results'!AY44)),"")))</x:f>
        <x:v>5</x:v>
      </x:c>
      <x:c r="BA44" t="n">
        <x:f>IF(ISNUMBER('Quantification_Results'!AZ44),IFERROR(ROUND(((('Quantification_Results'!AZ44-'Quantification_Config'!$S$19)/('Quantification_Config'!$T$19-'Quantification_Config'!$S$19))*100),'Quantification_Config'!$U$2),""),"")</x:f>
        <x:v>50</x:v>
      </x:c>
      <x:c r="BB44" t="inlineStr">
        <x:is>
          <x:t xml:space="preserve">SYSTEM-TEST-ONLY-NO-NETWORK-NOT-AN-EDUCATIONAL-EVALUATION</x:t>
        </x:is>
      </x:c>
      <x:c r="BC44" t="inlineStr">
        <x:is>
          <x:t xml:space="preserve"/>
        </x:is>
      </x:c>
      <x:c r="BD44" t="inlineStr">
        <x:is>
          <x:t xml:space="preserve">NONE</x:t>
        </x:is>
      </x:c>
      <x:c r="BE44" t="inlineStr">
        <x:is>
          <x:t xml:space="preserve"/>
        </x:is>
      </x:c>
      <x:c r="BF44" t="inlineStr">
        <x:is>
          <x:t xml:space="preserve">SUCCESS</x:t>
        </x:is>
      </x:c>
      <x:c r="BG44" t="n">
        <x:f>IF((COUNT('Quantification_Results'!BA44)=1),IFERROR(ROUND((SUM(('Quantification_Results'!BA44*'Quantification_Config'!$R$19))/SUM('Quantification_Config'!$R$19)),'Quantification_Config'!$U$2),""),"")</x:f>
        <x:v>50</x:v>
      </x:c>
      <x:c r="BH44" t="n">
        <x:f>IF((COUNT('Quantification_Results'!BG44)=1),IFERROR(ROUND((SUM(('Quantification_Results'!BG44*'Quantification_Config'!$R$18))/SUM('Quantification_Config'!$R$18)),'Quantification_Config'!$U$2),""),"")</x:f>
        <x:v>50</x:v>
      </x:c>
      <x:c r="BI44">
        <x:f>IF((COUNT('Quantification_Results'!L44,'Quantification_Results'!X44,'Quantification_Results'!AJ44,'Quantification_Results'!AV44,'Quantification_Results'!BH44)=5),IFERROR(ROUND((SUM(('Quantification_Results'!L44*'Quantification_Config'!$R$4),('Quantification_Results'!X44*'Quantification_Config'!$R$7),('Quantification_Results'!AJ44*'Quantification_Config'!$R$10),('Quantification_Results'!AV44*'Quantification_Config'!$R$13),('Quantification_Results'!BH44*'Quantification_Config'!$R$16))/SUM('Quantification_Config'!$R$4,'Quantification_Config'!$R$7,'Quantification_Config'!$R$10,'Quantification_Config'!$R$13,'Quantification_Config'!$R$16)),'Quantification_Config'!$U$2),""),"")</x:f>
      </x:c>
    </x:row>
    <x:row r="45">
      <x:c r="A45" t="n">
        <x:v>1</x:v>
      </x:c>
      <x:c r="B45" t="n">
        <x:v>5</x:v>
      </x:c>
      <x:c r="C45"/>
      <x:c r="D45" t="n">
        <x:f>IF(('Quantification_Results'!A45&lt;&gt;1),"",IF(('Quantification_Results'!C45=""),IF(ISNUMBER('Quantification_Results'!B45),IF(('Quantification_Results'!B45&lt;'Quantification_Config'!$S$6),"",IF(('Quantification_Results'!B45&gt;'Quantification_Config'!$T$6),"",'Quantification_Results'!B45)),""),IF(ISNUMBER('Quantification_Results'!C45),IF(('Quantification_Results'!C45&lt;'Quantification_Config'!$S$6),"",IF(('Quantification_Results'!C45&gt;'Quantification_Config'!$T$6),"",'Quantification_Results'!C45)),"")))</x:f>
        <x:v>5</x:v>
      </x:c>
      <x:c r="E45" t="n">
        <x:f>IF(ISNUMBER('Quantification_Results'!D45),IFERROR(ROUND(((('Quantification_Results'!D45-'Quantification_Config'!$S$6)/('Quantification_Config'!$T$6-'Quantification_Config'!$S$6))*100),'Quantification_Config'!$U$2),""),"")</x:f>
        <x:v>50</x:v>
      </x:c>
      <x:c r="F45" t="inlineStr">
        <x:is>
          <x:t xml:space="preserve">SYSTEM-TEST-ONLY-NO-NETWORK-NOT-AN-EDUCATIONAL-EVALUATION</x:t>
        </x:is>
      </x:c>
      <x:c r="G45" t="inlineStr">
        <x:is>
          <x:t xml:space="preserve"/>
        </x:is>
      </x:c>
      <x:c r="H45" t="inlineStr">
        <x:is>
          <x:t xml:space="preserve">NONE</x:t>
        </x:is>
      </x:c>
      <x:c r="I45" t="inlineStr">
        <x:is>
          <x:t xml:space="preserve"/>
        </x:is>
      </x:c>
      <x:c r="J45" t="inlineStr">
        <x:is>
          <x:t xml:space="preserve">SUCCESS</x:t>
        </x:is>
      </x:c>
      <x:c r="K45" t="n">
        <x:f>IF((COUNT('Quantification_Results'!E45)=1),IFERROR(ROUND((SUM(('Quantification_Results'!E45*'Quantification_Config'!$R$6))/SUM('Quantification_Config'!$R$6)),'Quantification_Config'!$U$2),""),"")</x:f>
        <x:v>50</x:v>
      </x:c>
      <x:c r="L45" t="n">
        <x:f>IF((COUNT('Quantification_Results'!K45)=1),IFERROR(ROUND((SUM(('Quantification_Results'!K45*'Quantification_Config'!$R$5))/SUM('Quantification_Config'!$R$5)),'Quantification_Config'!$U$2),""),"")</x:f>
        <x:v>50</x:v>
      </x:c>
      <x:c r="M45" t="n">
        <x:v>0</x:v>
      </x:c>
      <x:c r="N45"/>
      <x:c r="O45"/>
      <x:c r="P45">
        <x:f>IF(('Quantification_Results'!M45&lt;&gt;1),"",IF(('Quantification_Results'!O45=""),IF(ISNUMBER('Quantification_Results'!N45),IF(('Quantification_Results'!N45&lt;'Quantification_Config'!$S$9),"",IF(('Quantification_Results'!N45&gt;'Quantification_Config'!$T$9),"",'Quantification_Results'!N45)),""),IF(ISNUMBER('Quantification_Results'!O45),IF(('Quantification_Results'!O45&lt;'Quantification_Config'!$S$9),"",IF(('Quantification_Results'!O45&gt;'Quantification_Config'!$T$9),"",'Quantification_Results'!O45)),"")))</x:f>
      </x:c>
      <x:c r="Q45">
        <x:f>IF(ISNUMBER('Quantification_Results'!P45),IFERROR(ROUND(((('Quantification_Results'!P45-'Quantification_Config'!$S$9)/('Quantification_Config'!$T$9-'Quantification_Config'!$S$9))*100),'Quantification_Config'!$U$2),""),"")</x:f>
      </x:c>
      <x:c r="R45" t="inlineStr">
        <x:is>
          <x:t xml:space="preserve"/>
        </x:is>
      </x:c>
      <x:c r="S45" t="inlineStr">
        <x:is>
          <x:t xml:space="preserve"/>
        </x:is>
      </x:c>
      <x:c r="T45" t="inlineStr">
        <x:is>
          <x:t xml:space="preserve"/>
        </x:is>
      </x:c>
      <x:c r="U45" t="inlineStr">
        <x:is>
          <x:t xml:space="preserve"/>
        </x:is>
      </x:c>
      <x:c r="V45" t="inlineStr">
        <x:is>
          <x:t xml:space="preserve">EMPTY</x:t>
        </x:is>
      </x:c>
      <x:c r="W45">
        <x:f>IF((COUNT('Quantification_Results'!Q45)=1),IFERROR(ROUND((SUM(('Quantification_Results'!Q45*'Quantification_Config'!$R$9))/SUM('Quantification_Config'!$R$9)),'Quantification_Config'!$U$2),""),"")</x:f>
      </x:c>
      <x:c r="X45">
        <x:f>IF((COUNT('Quantification_Results'!W45)=1),IFERROR(ROUND((SUM(('Quantification_Results'!W45*'Quantification_Config'!$R$8))/SUM('Quantification_Config'!$R$8)),'Quantification_Config'!$U$2),""),"")</x:f>
      </x:c>
      <x:c r="Y45" t="n">
        <x:v>0</x:v>
      </x:c>
      <x:c r="Z45"/>
      <x:c r="AA45"/>
      <x:c r="AB45">
        <x:f>IF(('Quantification_Results'!Y45&lt;&gt;1),"",IF(('Quantification_Results'!AA45=""),IF(ISNUMBER('Quantification_Results'!Z45),IF(('Quantification_Results'!Z45&lt;'Quantification_Config'!$S$12),"",IF(('Quantification_Results'!Z45&gt;'Quantification_Config'!$T$12),"",'Quantification_Results'!Z45)),""),IF(ISNUMBER('Quantification_Results'!AA45),IF(('Quantification_Results'!AA45&lt;'Quantification_Config'!$S$12),"",IF(('Quantification_Results'!AA45&gt;'Quantification_Config'!$T$12),"",'Quantification_Results'!AA45)),"")))</x:f>
      </x:c>
      <x:c r="AC45">
        <x:f>IF(ISNUMBER('Quantification_Results'!AB45),IFERROR(ROUND(((('Quantification_Results'!AB45-'Quantification_Config'!$S$12)/('Quantification_Config'!$T$12-'Quantification_Config'!$S$12))*100),'Quantification_Config'!$U$2),""),"")</x:f>
      </x:c>
      <x:c r="AD45" t="inlineStr">
        <x:is>
          <x:t xml:space="preserve"/>
        </x:is>
      </x:c>
      <x:c r="AE45" t="inlineStr">
        <x:is>
          <x:t xml:space="preserve"/>
        </x:is>
      </x:c>
      <x:c r="AF45" t="inlineStr">
        <x:is>
          <x:t xml:space="preserve"/>
        </x:is>
      </x:c>
      <x:c r="AG45" t="inlineStr">
        <x:is>
          <x:t xml:space="preserve"/>
        </x:is>
      </x:c>
      <x:c r="AH45" t="inlineStr">
        <x:is>
          <x:t xml:space="preserve">EMPTY</x:t>
        </x:is>
      </x:c>
      <x:c r="AI45">
        <x:f>IF((COUNT('Quantification_Results'!AC45)=1),IFERROR(ROUND((SUM(('Quantification_Results'!AC45*'Quantification_Config'!$R$12))/SUM('Quantification_Config'!$R$12)),'Quantification_Config'!$U$2),""),"")</x:f>
      </x:c>
      <x:c r="AJ45">
        <x:f>IF((COUNT('Quantification_Results'!AI45)=1),IFERROR(ROUND((SUM(('Quantification_Results'!AI45*'Quantification_Config'!$R$11))/SUM('Quantification_Config'!$R$11)),'Quantification_Config'!$U$2),""),"")</x:f>
      </x:c>
      <x:c r="AK45" t="n">
        <x:v>1</x:v>
      </x:c>
      <x:c r="AL45" t="n">
        <x:v>5</x:v>
      </x:c>
      <x:c r="AM45"/>
      <x:c r="AN45" t="n">
        <x:f>IF(('Quantification_Results'!AK45&lt;&gt;1),"",IF(('Quantification_Results'!AM45=""),IF(ISNUMBER('Quantification_Results'!AL45),IF(('Quantification_Results'!AL45&lt;'Quantification_Config'!$S$15),"",IF(('Quantification_Results'!AL45&gt;'Quantification_Config'!$T$15),"",'Quantification_Results'!AL45)),""),IF(ISNUMBER('Quantification_Results'!AM45),IF(('Quantification_Results'!AM45&lt;'Quantification_Config'!$S$15),"",IF(('Quantification_Results'!AM45&gt;'Quantification_Config'!$T$15),"",'Quantification_Results'!AM45)),"")))</x:f>
        <x:v>5</x:v>
      </x:c>
      <x:c r="AO45" t="n">
        <x:f>IF(ISNUMBER('Quantification_Results'!AN45),IFERROR(ROUND(((('Quantification_Results'!AN45-'Quantification_Config'!$S$15)/('Quantification_Config'!$T$15-'Quantification_Config'!$S$15))*100),'Quantification_Config'!$U$2),""),"")</x:f>
        <x:v>50</x:v>
      </x:c>
      <x:c r="AP45" t="inlineStr">
        <x:is>
          <x:t xml:space="preserve">SYSTEM-TEST-ONLY-NO-NETWORK-NOT-AN-EDUCATIONAL-EVALUATION</x:t>
        </x:is>
      </x:c>
      <x:c r="AQ45" t="inlineStr">
        <x:is>
          <x:t xml:space="preserve"/>
        </x:is>
      </x:c>
      <x:c r="AR45" t="inlineStr">
        <x:is>
          <x:t xml:space="preserve">NONE</x:t>
        </x:is>
      </x:c>
      <x:c r="AS45" t="inlineStr">
        <x:is>
          <x:t xml:space="preserve"/>
        </x:is>
      </x:c>
      <x:c r="AT45" t="inlineStr">
        <x:is>
          <x:t xml:space="preserve">SUCCESS</x:t>
        </x:is>
      </x:c>
      <x:c r="AU45" t="n">
        <x:f>IF((COUNT('Quantification_Results'!AO45)=1),IFERROR(ROUND((SUM(('Quantification_Results'!AO45*'Quantification_Config'!$R$15))/SUM('Quantification_Config'!$R$15)),'Quantification_Config'!$U$2),""),"")</x:f>
        <x:v>50</x:v>
      </x:c>
      <x:c r="AV45" t="n">
        <x:f>IF((COUNT('Quantification_Results'!AU45)=1),IFERROR(ROUND((SUM(('Quantification_Results'!AU45*'Quantification_Config'!$R$14))/SUM('Quantification_Config'!$R$14)),'Quantification_Config'!$U$2),""),"")</x:f>
        <x:v>50</x:v>
      </x:c>
      <x:c r="AW45" t="n">
        <x:v>0</x:v>
      </x:c>
      <x:c r="AX45"/>
      <x:c r="AY45"/>
      <x:c r="AZ45">
        <x:f>IF(('Quantification_Results'!AW45&lt;&gt;1),"",IF(('Quantification_Results'!AY45=""),IF(ISNUMBER('Quantification_Results'!AX45),IF(('Quantification_Results'!AX45&lt;'Quantification_Config'!$S$19),"",IF(('Quantification_Results'!AX45&gt;'Quantification_Config'!$T$19),"",'Quantification_Results'!AX45)),""),IF(ISNUMBER('Quantification_Results'!AY45),IF(('Quantification_Results'!AY45&lt;'Quantification_Config'!$S$19),"",IF(('Quantification_Results'!AY45&gt;'Quantification_Config'!$T$19),"",'Quantification_Results'!AY45)),"")))</x:f>
      </x:c>
      <x:c r="BA45">
        <x:f>IF(ISNUMBER('Quantification_Results'!AZ45),IFERROR(ROUND(((('Quantification_Results'!AZ45-'Quantification_Config'!$S$19)/('Quantification_Config'!$T$19-'Quantification_Config'!$S$19))*100),'Quantification_Config'!$U$2),""),"")</x:f>
      </x:c>
      <x:c r="BB45" t="inlineStr">
        <x:is>
          <x:t xml:space="preserve"/>
        </x:is>
      </x:c>
      <x:c r="BC45" t="inlineStr">
        <x:is>
          <x:t xml:space="preserve"/>
        </x:is>
      </x:c>
      <x:c r="BD45" t="inlineStr">
        <x:is>
          <x:t xml:space="preserve"/>
        </x:is>
      </x:c>
      <x:c r="BE45" t="inlineStr">
        <x:is>
          <x:t xml:space="preserve"/>
        </x:is>
      </x:c>
      <x:c r="BF45" t="inlineStr">
        <x:is>
          <x:t xml:space="preserve">EMPTY</x:t>
        </x:is>
      </x:c>
      <x:c r="BG45">
        <x:f>IF((COUNT('Quantification_Results'!BA45)=1),IFERROR(ROUND((SUM(('Quantification_Results'!BA45*'Quantification_Config'!$R$19))/SUM('Quantification_Config'!$R$19)),'Quantification_Config'!$U$2),""),"")</x:f>
      </x:c>
      <x:c r="BH45">
        <x:f>IF((COUNT('Quantification_Results'!BG45)=1),IFERROR(ROUND((SUM(('Quantification_Results'!BG45*'Quantification_Config'!$R$18))/SUM('Quantification_Config'!$R$18)),'Quantification_Config'!$U$2),""),"")</x:f>
      </x:c>
      <x:c r="BI45">
        <x:f>IF((COUNT('Quantification_Results'!L45,'Quantification_Results'!X45,'Quantification_Results'!AJ45,'Quantification_Results'!AV45,'Quantification_Results'!BH45)=5),IFERROR(ROUND((SUM(('Quantification_Results'!L45*'Quantification_Config'!$R$4),('Quantification_Results'!X45*'Quantification_Config'!$R$7),('Quantification_Results'!AJ45*'Quantification_Config'!$R$10),('Quantification_Results'!AV45*'Quantification_Config'!$R$13),('Quantification_Results'!BH45*'Quantification_Config'!$R$16))/SUM('Quantification_Config'!$R$4,'Quantification_Config'!$R$7,'Quantification_Config'!$R$10,'Quantification_Config'!$R$13,'Quantification_Config'!$R$16)),'Quantification_Config'!$U$2),""),"")</x:f>
      </x:c>
    </x:row>
    <x:row r="46">
      <x:c r="A46" t="n">
        <x:v>1</x:v>
      </x:c>
      <x:c r="B46" t="n">
        <x:v>5</x:v>
      </x:c>
      <x:c r="C46"/>
      <x:c r="D46" t="n">
        <x:f>IF(('Quantification_Results'!A46&lt;&gt;1),"",IF(('Quantification_Results'!C46=""),IF(ISNUMBER('Quantification_Results'!B46),IF(('Quantification_Results'!B46&lt;'Quantification_Config'!$S$6),"",IF(('Quantification_Results'!B46&gt;'Quantification_Config'!$T$6),"",'Quantification_Results'!B46)),""),IF(ISNUMBER('Quantification_Results'!C46),IF(('Quantification_Results'!C46&lt;'Quantification_Config'!$S$6),"",IF(('Quantification_Results'!C46&gt;'Quantification_Config'!$T$6),"",'Quantification_Results'!C46)),"")))</x:f>
        <x:v>5</x:v>
      </x:c>
      <x:c r="E46" t="n">
        <x:f>IF(ISNUMBER('Quantification_Results'!D46),IFERROR(ROUND(((('Quantification_Results'!D46-'Quantification_Config'!$S$6)/('Quantification_Config'!$T$6-'Quantification_Config'!$S$6))*100),'Quantification_Config'!$U$2),""),"")</x:f>
        <x:v>50</x:v>
      </x:c>
      <x:c r="F46" t="inlineStr">
        <x:is>
          <x:t xml:space="preserve">SYSTEM-TEST-ONLY-NO-NETWORK-NOT-AN-EDUCATIONAL-EVALUATION</x:t>
        </x:is>
      </x:c>
      <x:c r="G46" t="inlineStr">
        <x:is>
          <x:t xml:space="preserve"/>
        </x:is>
      </x:c>
      <x:c r="H46" t="inlineStr">
        <x:is>
          <x:t xml:space="preserve">NONE</x:t>
        </x:is>
      </x:c>
      <x:c r="I46" t="inlineStr">
        <x:is>
          <x:t xml:space="preserve"/>
        </x:is>
      </x:c>
      <x:c r="J46" t="inlineStr">
        <x:is>
          <x:t xml:space="preserve">SUCCESS</x:t>
        </x:is>
      </x:c>
      <x:c r="K46" t="n">
        <x:f>IF((COUNT('Quantification_Results'!E46)=1),IFERROR(ROUND((SUM(('Quantification_Results'!E46*'Quantification_Config'!$R$6))/SUM('Quantification_Config'!$R$6)),'Quantification_Config'!$U$2),""),"")</x:f>
        <x:v>50</x:v>
      </x:c>
      <x:c r="L46" t="n">
        <x:f>IF((COUNT('Quantification_Results'!K46)=1),IFERROR(ROUND((SUM(('Quantification_Results'!K46*'Quantification_Config'!$R$5))/SUM('Quantification_Config'!$R$5)),'Quantification_Config'!$U$2),""),"")</x:f>
        <x:v>50</x:v>
      </x:c>
      <x:c r="M46" t="n">
        <x:v>0</x:v>
      </x:c>
      <x:c r="N46"/>
      <x:c r="O46"/>
      <x:c r="P46">
        <x:f>IF(('Quantification_Results'!M46&lt;&gt;1),"",IF(('Quantification_Results'!O46=""),IF(ISNUMBER('Quantification_Results'!N46),IF(('Quantification_Results'!N46&lt;'Quantification_Config'!$S$9),"",IF(('Quantification_Results'!N46&gt;'Quantification_Config'!$T$9),"",'Quantification_Results'!N46)),""),IF(ISNUMBER('Quantification_Results'!O46),IF(('Quantification_Results'!O46&lt;'Quantification_Config'!$S$9),"",IF(('Quantification_Results'!O46&gt;'Quantification_Config'!$T$9),"",'Quantification_Results'!O46)),"")))</x:f>
      </x:c>
      <x:c r="Q46">
        <x:f>IF(ISNUMBER('Quantification_Results'!P46),IFERROR(ROUND(((('Quantification_Results'!P46-'Quantification_Config'!$S$9)/('Quantification_Config'!$T$9-'Quantification_Config'!$S$9))*100),'Quantification_Config'!$U$2),""),"")</x:f>
      </x:c>
      <x:c r="R46" t="inlineStr">
        <x:is>
          <x:t xml:space="preserve"/>
        </x:is>
      </x:c>
      <x:c r="S46" t="inlineStr">
        <x:is>
          <x:t xml:space="preserve"/>
        </x:is>
      </x:c>
      <x:c r="T46" t="inlineStr">
        <x:is>
          <x:t xml:space="preserve"/>
        </x:is>
      </x:c>
      <x:c r="U46" t="inlineStr">
        <x:is>
          <x:t xml:space="preserve"/>
        </x:is>
      </x:c>
      <x:c r="V46" t="inlineStr">
        <x:is>
          <x:t xml:space="preserve">EMPTY</x:t>
        </x:is>
      </x:c>
      <x:c r="W46">
        <x:f>IF((COUNT('Quantification_Results'!Q46)=1),IFERROR(ROUND((SUM(('Quantification_Results'!Q46*'Quantification_Config'!$R$9))/SUM('Quantification_Config'!$R$9)),'Quantification_Config'!$U$2),""),"")</x:f>
      </x:c>
      <x:c r="X46">
        <x:f>IF((COUNT('Quantification_Results'!W46)=1),IFERROR(ROUND((SUM(('Quantification_Results'!W46*'Quantification_Config'!$R$8))/SUM('Quantification_Config'!$R$8)),'Quantification_Config'!$U$2),""),"")</x:f>
      </x:c>
      <x:c r="Y46" t="n">
        <x:v>0</x:v>
      </x:c>
      <x:c r="Z46"/>
      <x:c r="AA46"/>
      <x:c r="AB46">
        <x:f>IF(('Quantification_Results'!Y46&lt;&gt;1),"",IF(('Quantification_Results'!AA46=""),IF(ISNUMBER('Quantification_Results'!Z46),IF(('Quantification_Results'!Z46&lt;'Quantification_Config'!$S$12),"",IF(('Quantification_Results'!Z46&gt;'Quantification_Config'!$T$12),"",'Quantification_Results'!Z46)),""),IF(ISNUMBER('Quantification_Results'!AA46),IF(('Quantification_Results'!AA46&lt;'Quantification_Config'!$S$12),"",IF(('Quantification_Results'!AA46&gt;'Quantification_Config'!$T$12),"",'Quantification_Results'!AA46)),"")))</x:f>
      </x:c>
      <x:c r="AC46">
        <x:f>IF(ISNUMBER('Quantification_Results'!AB46),IFERROR(ROUND(((('Quantification_Results'!AB46-'Quantification_Config'!$S$12)/('Quantification_Config'!$T$12-'Quantification_Config'!$S$12))*100),'Quantification_Config'!$U$2),""),"")</x:f>
      </x:c>
      <x:c r="AD46" t="inlineStr">
        <x:is>
          <x:t xml:space="preserve"/>
        </x:is>
      </x:c>
      <x:c r="AE46" t="inlineStr">
        <x:is>
          <x:t xml:space="preserve"/>
        </x:is>
      </x:c>
      <x:c r="AF46" t="inlineStr">
        <x:is>
          <x:t xml:space="preserve"/>
        </x:is>
      </x:c>
      <x:c r="AG46" t="inlineStr">
        <x:is>
          <x:t xml:space="preserve"/>
        </x:is>
      </x:c>
      <x:c r="AH46" t="inlineStr">
        <x:is>
          <x:t xml:space="preserve">EMPTY</x:t>
        </x:is>
      </x:c>
      <x:c r="AI46">
        <x:f>IF((COUNT('Quantification_Results'!AC46)=1),IFERROR(ROUND((SUM(('Quantification_Results'!AC46*'Quantification_Config'!$R$12))/SUM('Quantification_Config'!$R$12)),'Quantification_Config'!$U$2),""),"")</x:f>
      </x:c>
      <x:c r="AJ46">
        <x:f>IF((COUNT('Quantification_Results'!AI46)=1),IFERROR(ROUND((SUM(('Quantification_Results'!AI46*'Quantification_Config'!$R$11))/SUM('Quantification_Config'!$R$11)),'Quantification_Config'!$U$2),""),"")</x:f>
      </x:c>
      <x:c r="AK46" t="n">
        <x:v>1</x:v>
      </x:c>
      <x:c r="AL46" t="n">
        <x:v>5</x:v>
      </x:c>
      <x:c r="AM46"/>
      <x:c r="AN46" t="n">
        <x:f>IF(('Quantification_Results'!AK46&lt;&gt;1),"",IF(('Quantification_Results'!AM46=""),IF(ISNUMBER('Quantification_Results'!AL46),IF(('Quantification_Results'!AL46&lt;'Quantification_Config'!$S$15),"",IF(('Quantification_Results'!AL46&gt;'Quantification_Config'!$T$15),"",'Quantification_Results'!AL46)),""),IF(ISNUMBER('Quantification_Results'!AM46),IF(('Quantification_Results'!AM46&lt;'Quantification_Config'!$S$15),"",IF(('Quantification_Results'!AM46&gt;'Quantification_Config'!$T$15),"",'Quantification_Results'!AM46)),"")))</x:f>
        <x:v>5</x:v>
      </x:c>
      <x:c r="AO46" t="n">
        <x:f>IF(ISNUMBER('Quantification_Results'!AN46),IFERROR(ROUND(((('Quantification_Results'!AN46-'Quantification_Config'!$S$15)/('Quantification_Config'!$T$15-'Quantification_Config'!$S$15))*100),'Quantification_Config'!$U$2),""),"")</x:f>
        <x:v>50</x:v>
      </x:c>
      <x:c r="AP46" t="inlineStr">
        <x:is>
          <x:t xml:space="preserve">SYSTEM-TEST-ONLY-NO-NETWORK-NOT-AN-EDUCATIONAL-EVALUATION</x:t>
        </x:is>
      </x:c>
      <x:c r="AQ46" t="inlineStr">
        <x:is>
          <x:t xml:space="preserve"/>
        </x:is>
      </x:c>
      <x:c r="AR46" t="inlineStr">
        <x:is>
          <x:t xml:space="preserve">NONE</x:t>
        </x:is>
      </x:c>
      <x:c r="AS46" t="inlineStr">
        <x:is>
          <x:t xml:space="preserve"/>
        </x:is>
      </x:c>
      <x:c r="AT46" t="inlineStr">
        <x:is>
          <x:t xml:space="preserve">SUCCESS</x:t>
        </x:is>
      </x:c>
      <x:c r="AU46" t="n">
        <x:f>IF((COUNT('Quantification_Results'!AO46)=1),IFERROR(ROUND((SUM(('Quantification_Results'!AO46*'Quantification_Config'!$R$15))/SUM('Quantification_Config'!$R$15)),'Quantification_Config'!$U$2),""),"")</x:f>
        <x:v>50</x:v>
      </x:c>
      <x:c r="AV46" t="n">
        <x:f>IF((COUNT('Quantification_Results'!AU46)=1),IFERROR(ROUND((SUM(('Quantification_Results'!AU46*'Quantification_Config'!$R$14))/SUM('Quantification_Config'!$R$14)),'Quantification_Config'!$U$2),""),"")</x:f>
        <x:v>50</x:v>
      </x:c>
      <x:c r="AW46" t="n">
        <x:v>0</x:v>
      </x:c>
      <x:c r="AX46"/>
      <x:c r="AY46"/>
      <x:c r="AZ46">
        <x:f>IF(('Quantification_Results'!AW46&lt;&gt;1),"",IF(('Quantification_Results'!AY46=""),IF(ISNUMBER('Quantification_Results'!AX46),IF(('Quantification_Results'!AX46&lt;'Quantification_Config'!$S$19),"",IF(('Quantification_Results'!AX46&gt;'Quantification_Config'!$T$19),"",'Quantification_Results'!AX46)),""),IF(ISNUMBER('Quantification_Results'!AY46),IF(('Quantification_Results'!AY46&lt;'Quantification_Config'!$S$19),"",IF(('Quantification_Results'!AY46&gt;'Quantification_Config'!$T$19),"",'Quantification_Results'!AY46)),"")))</x:f>
      </x:c>
      <x:c r="BA46">
        <x:f>IF(ISNUMBER('Quantification_Results'!AZ46),IFERROR(ROUND(((('Quantification_Results'!AZ46-'Quantification_Config'!$S$19)/('Quantification_Config'!$T$19-'Quantification_Config'!$S$19))*100),'Quantification_Config'!$U$2),""),"")</x:f>
      </x:c>
      <x:c r="BB46" t="inlineStr">
        <x:is>
          <x:t xml:space="preserve"/>
        </x:is>
      </x:c>
      <x:c r="BC46" t="inlineStr">
        <x:is>
          <x:t xml:space="preserve"/>
        </x:is>
      </x:c>
      <x:c r="BD46" t="inlineStr">
        <x:is>
          <x:t xml:space="preserve"/>
        </x:is>
      </x:c>
      <x:c r="BE46" t="inlineStr">
        <x:is>
          <x:t xml:space="preserve"/>
        </x:is>
      </x:c>
      <x:c r="BF46" t="inlineStr">
        <x:is>
          <x:t xml:space="preserve">EMPTY</x:t>
        </x:is>
      </x:c>
      <x:c r="BG46">
        <x:f>IF((COUNT('Quantification_Results'!BA46)=1),IFERROR(ROUND((SUM(('Quantification_Results'!BA46*'Quantification_Config'!$R$19))/SUM('Quantification_Config'!$R$19)),'Quantification_Config'!$U$2),""),"")</x:f>
      </x:c>
      <x:c r="BH46">
        <x:f>IF((COUNT('Quantification_Results'!BG46)=1),IFERROR(ROUND((SUM(('Quantification_Results'!BG46*'Quantification_Config'!$R$18))/SUM('Quantification_Config'!$R$18)),'Quantification_Config'!$U$2),""),"")</x:f>
      </x:c>
      <x:c r="BI46">
        <x:f>IF((COUNT('Quantification_Results'!L46,'Quantification_Results'!X46,'Quantification_Results'!AJ46,'Quantification_Results'!AV46,'Quantification_Results'!BH46)=5),IFERROR(ROUND((SUM(('Quantification_Results'!L46*'Quantification_Config'!$R$4),('Quantification_Results'!X46*'Quantification_Config'!$R$7),('Quantification_Results'!AJ46*'Quantification_Config'!$R$10),('Quantification_Results'!AV46*'Quantification_Config'!$R$13),('Quantification_Results'!BH46*'Quantification_Config'!$R$16))/SUM('Quantification_Config'!$R$4,'Quantification_Config'!$R$7,'Quantification_Config'!$R$10,'Quantification_Config'!$R$13,'Quantification_Config'!$R$16)),'Quantification_Config'!$U$2),""),"")</x:f>
      </x:c>
    </x:row>
    <x:row r="47">
      <x:c r="A47" t="n">
        <x:v>1</x:v>
      </x:c>
      <x:c r="B47" t="n">
        <x:v>5</x:v>
      </x:c>
      <x:c r="C47"/>
      <x:c r="D47" t="n">
        <x:f>IF(('Quantification_Results'!A47&lt;&gt;1),"",IF(('Quantification_Results'!C47=""),IF(ISNUMBER('Quantification_Results'!B47),IF(('Quantification_Results'!B47&lt;'Quantification_Config'!$S$6),"",IF(('Quantification_Results'!B47&gt;'Quantification_Config'!$T$6),"",'Quantification_Results'!B47)),""),IF(ISNUMBER('Quantification_Results'!C47),IF(('Quantification_Results'!C47&lt;'Quantification_Config'!$S$6),"",IF(('Quantification_Results'!C47&gt;'Quantification_Config'!$T$6),"",'Quantification_Results'!C47)),"")))</x:f>
        <x:v>5</x:v>
      </x:c>
      <x:c r="E47" t="n">
        <x:f>IF(ISNUMBER('Quantification_Results'!D47),IFERROR(ROUND(((('Quantification_Results'!D47-'Quantification_Config'!$S$6)/('Quantification_Config'!$T$6-'Quantification_Config'!$S$6))*100),'Quantification_Config'!$U$2),""),"")</x:f>
        <x:v>50</x:v>
      </x:c>
      <x:c r="F47" t="inlineStr">
        <x:is>
          <x:t xml:space="preserve">SYSTEM-TEST-ONLY-NO-NETWORK-NOT-AN-EDUCATIONAL-EVALUATION</x:t>
        </x:is>
      </x:c>
      <x:c r="G47" t="inlineStr">
        <x:is>
          <x:t xml:space="preserve"/>
        </x:is>
      </x:c>
      <x:c r="H47" t="inlineStr">
        <x:is>
          <x:t xml:space="preserve">NONE</x:t>
        </x:is>
      </x:c>
      <x:c r="I47" t="inlineStr">
        <x:is>
          <x:t xml:space="preserve"/>
        </x:is>
      </x:c>
      <x:c r="J47" t="inlineStr">
        <x:is>
          <x:t xml:space="preserve">SUCCESS</x:t>
        </x:is>
      </x:c>
      <x:c r="K47" t="n">
        <x:f>IF((COUNT('Quantification_Results'!E47)=1),IFERROR(ROUND((SUM(('Quantification_Results'!E47*'Quantification_Config'!$R$6))/SUM('Quantification_Config'!$R$6)),'Quantification_Config'!$U$2),""),"")</x:f>
        <x:v>50</x:v>
      </x:c>
      <x:c r="L47" t="n">
        <x:f>IF((COUNT('Quantification_Results'!K47)=1),IFERROR(ROUND((SUM(('Quantification_Results'!K47*'Quantification_Config'!$R$5))/SUM('Quantification_Config'!$R$5)),'Quantification_Config'!$U$2),""),"")</x:f>
        <x:v>50</x:v>
      </x:c>
      <x:c r="M47" t="n">
        <x:v>1</x:v>
      </x:c>
      <x:c r="N47" t="n">
        <x:v>5</x:v>
      </x:c>
      <x:c r="O47"/>
      <x:c r="P47" t="n">
        <x:f>IF(('Quantification_Results'!M47&lt;&gt;1),"",IF(('Quantification_Results'!O47=""),IF(ISNUMBER('Quantification_Results'!N47),IF(('Quantification_Results'!N47&lt;'Quantification_Config'!$S$9),"",IF(('Quantification_Results'!N47&gt;'Quantification_Config'!$T$9),"",'Quantification_Results'!N47)),""),IF(ISNUMBER('Quantification_Results'!O47),IF(('Quantification_Results'!O47&lt;'Quantification_Config'!$S$9),"",IF(('Quantification_Results'!O47&gt;'Quantification_Config'!$T$9),"",'Quantification_Results'!O47)),"")))</x:f>
        <x:v>5</x:v>
      </x:c>
      <x:c r="Q47" t="n">
        <x:f>IF(ISNUMBER('Quantification_Results'!P47),IFERROR(ROUND(((('Quantification_Results'!P47-'Quantification_Config'!$S$9)/('Quantification_Config'!$T$9-'Quantification_Config'!$S$9))*100),'Quantification_Config'!$U$2),""),"")</x:f>
        <x:v>50</x:v>
      </x:c>
      <x:c r="R47" t="inlineStr">
        <x:is>
          <x:t xml:space="preserve">SYSTEM-TEST-ONLY-NO-NETWORK-NOT-AN-EDUCATIONAL-EVALUATION</x:t>
        </x:is>
      </x:c>
      <x:c r="S47" t="inlineStr">
        <x:is>
          <x:t xml:space="preserve"/>
        </x:is>
      </x:c>
      <x:c r="T47" t="inlineStr">
        <x:is>
          <x:t xml:space="preserve">NONE</x:t>
        </x:is>
      </x:c>
      <x:c r="U47" t="inlineStr">
        <x:is>
          <x:t xml:space="preserve"/>
        </x:is>
      </x:c>
      <x:c r="V47" t="inlineStr">
        <x:is>
          <x:t xml:space="preserve">SUCCESS</x:t>
        </x:is>
      </x:c>
      <x:c r="W47" t="n">
        <x:f>IF((COUNT('Quantification_Results'!Q47)=1),IFERROR(ROUND((SUM(('Quantification_Results'!Q47*'Quantification_Config'!$R$9))/SUM('Quantification_Config'!$R$9)),'Quantification_Config'!$U$2),""),"")</x:f>
        <x:v>50</x:v>
      </x:c>
      <x:c r="X47" t="n">
        <x:f>IF((COUNT('Quantification_Results'!W47)=1),IFERROR(ROUND((SUM(('Quantification_Results'!W47*'Quantification_Config'!$R$8))/SUM('Quantification_Config'!$R$8)),'Quantification_Config'!$U$2),""),"")</x:f>
        <x:v>50</x:v>
      </x:c>
      <x:c r="Y47" t="n">
        <x:v>0</x:v>
      </x:c>
      <x:c r="Z47"/>
      <x:c r="AA47"/>
      <x:c r="AB47">
        <x:f>IF(('Quantification_Results'!Y47&lt;&gt;1),"",IF(('Quantification_Results'!AA47=""),IF(ISNUMBER('Quantification_Results'!Z47),IF(('Quantification_Results'!Z47&lt;'Quantification_Config'!$S$12),"",IF(('Quantification_Results'!Z47&gt;'Quantification_Config'!$T$12),"",'Quantification_Results'!Z47)),""),IF(ISNUMBER('Quantification_Results'!AA47),IF(('Quantification_Results'!AA47&lt;'Quantification_Config'!$S$12),"",IF(('Quantification_Results'!AA47&gt;'Quantification_Config'!$T$12),"",'Quantification_Results'!AA47)),"")))</x:f>
      </x:c>
      <x:c r="AC47">
        <x:f>IF(ISNUMBER('Quantification_Results'!AB47),IFERROR(ROUND(((('Quantification_Results'!AB47-'Quantification_Config'!$S$12)/('Quantification_Config'!$T$12-'Quantification_Config'!$S$12))*100),'Quantification_Config'!$U$2),""),"")</x:f>
      </x:c>
      <x:c r="AD47" t="inlineStr">
        <x:is>
          <x:t xml:space="preserve"/>
        </x:is>
      </x:c>
      <x:c r="AE47" t="inlineStr">
        <x:is>
          <x:t xml:space="preserve"/>
        </x:is>
      </x:c>
      <x:c r="AF47" t="inlineStr">
        <x:is>
          <x:t xml:space="preserve"/>
        </x:is>
      </x:c>
      <x:c r="AG47" t="inlineStr">
        <x:is>
          <x:t xml:space="preserve"/>
        </x:is>
      </x:c>
      <x:c r="AH47" t="inlineStr">
        <x:is>
          <x:t xml:space="preserve">EMPTY</x:t>
        </x:is>
      </x:c>
      <x:c r="AI47">
        <x:f>IF((COUNT('Quantification_Results'!AC47)=1),IFERROR(ROUND((SUM(('Quantification_Results'!AC47*'Quantification_Config'!$R$12))/SUM('Quantification_Config'!$R$12)),'Quantification_Config'!$U$2),""),"")</x:f>
      </x:c>
      <x:c r="AJ47">
        <x:f>IF((COUNT('Quantification_Results'!AI47)=1),IFERROR(ROUND((SUM(('Quantification_Results'!AI47*'Quantification_Config'!$R$11))/SUM('Quantification_Config'!$R$11)),'Quantification_Config'!$U$2),""),"")</x:f>
      </x:c>
      <x:c r="AK47" t="n">
        <x:v>1</x:v>
      </x:c>
      <x:c r="AL47" t="n">
        <x:v>5</x:v>
      </x:c>
      <x:c r="AM47"/>
      <x:c r="AN47" t="n">
        <x:f>IF(('Quantification_Results'!AK47&lt;&gt;1),"",IF(('Quantification_Results'!AM47=""),IF(ISNUMBER('Quantification_Results'!AL47),IF(('Quantification_Results'!AL47&lt;'Quantification_Config'!$S$15),"",IF(('Quantification_Results'!AL47&gt;'Quantification_Config'!$T$15),"",'Quantification_Results'!AL47)),""),IF(ISNUMBER('Quantification_Results'!AM47),IF(('Quantification_Results'!AM47&lt;'Quantification_Config'!$S$15),"",IF(('Quantification_Results'!AM47&gt;'Quantification_Config'!$T$15),"",'Quantification_Results'!AM47)),"")))</x:f>
        <x:v>5</x:v>
      </x:c>
      <x:c r="AO47" t="n">
        <x:f>IF(ISNUMBER('Quantification_Results'!AN47),IFERROR(ROUND(((('Quantification_Results'!AN47-'Quantification_Config'!$S$15)/('Quantification_Config'!$T$15-'Quantification_Config'!$S$15))*100),'Quantification_Config'!$U$2),""),"")</x:f>
        <x:v>50</x:v>
      </x:c>
      <x:c r="AP47" t="inlineStr">
        <x:is>
          <x:t xml:space="preserve">SYSTEM-TEST-ONLY-NO-NETWORK-NOT-AN-EDUCATIONAL-EVALUATION</x:t>
        </x:is>
      </x:c>
      <x:c r="AQ47" t="inlineStr">
        <x:is>
          <x:t xml:space="preserve"/>
        </x:is>
      </x:c>
      <x:c r="AR47" t="inlineStr">
        <x:is>
          <x:t xml:space="preserve">NONE</x:t>
        </x:is>
      </x:c>
      <x:c r="AS47" t="inlineStr">
        <x:is>
          <x:t xml:space="preserve"/>
        </x:is>
      </x:c>
      <x:c r="AT47" t="inlineStr">
        <x:is>
          <x:t xml:space="preserve">SUCCESS</x:t>
        </x:is>
      </x:c>
      <x:c r="AU47" t="n">
        <x:f>IF((COUNT('Quantification_Results'!AO47)=1),IFERROR(ROUND((SUM(('Quantification_Results'!AO47*'Quantification_Config'!$R$15))/SUM('Quantification_Config'!$R$15)),'Quantification_Config'!$U$2),""),"")</x:f>
        <x:v>50</x:v>
      </x:c>
      <x:c r="AV47" t="n">
        <x:f>IF((COUNT('Quantification_Results'!AU47)=1),IFERROR(ROUND((SUM(('Quantification_Results'!AU47*'Quantification_Config'!$R$14))/SUM('Quantification_Config'!$R$14)),'Quantification_Config'!$U$2),""),"")</x:f>
        <x:v>50</x:v>
      </x:c>
      <x:c r="AW47" t="n">
        <x:v>1</x:v>
      </x:c>
      <x:c r="AX47" t="n">
        <x:v>5</x:v>
      </x:c>
      <x:c r="AY47"/>
      <x:c r="AZ47" t="n">
        <x:f>IF(('Quantification_Results'!AW47&lt;&gt;1),"",IF(('Quantification_Results'!AY47=""),IF(ISNUMBER('Quantification_Results'!AX47),IF(('Quantification_Results'!AX47&lt;'Quantification_Config'!$S$19),"",IF(('Quantification_Results'!AX47&gt;'Quantification_Config'!$T$19),"",'Quantification_Results'!AX47)),""),IF(ISNUMBER('Quantification_Results'!AY47),IF(('Quantification_Results'!AY47&lt;'Quantification_Config'!$S$19),"",IF(('Quantification_Results'!AY47&gt;'Quantification_Config'!$T$19),"",'Quantification_Results'!AY47)),"")))</x:f>
        <x:v>5</x:v>
      </x:c>
      <x:c r="BA47" t="n">
        <x:f>IF(ISNUMBER('Quantification_Results'!AZ47),IFERROR(ROUND(((('Quantification_Results'!AZ47-'Quantification_Config'!$S$19)/('Quantification_Config'!$T$19-'Quantification_Config'!$S$19))*100),'Quantification_Config'!$U$2),""),"")</x:f>
        <x:v>50</x:v>
      </x:c>
      <x:c r="BB47" t="inlineStr">
        <x:is>
          <x:t xml:space="preserve">SYSTEM-TEST-ONLY-NO-NETWORK-NOT-AN-EDUCATIONAL-EVALUATION</x:t>
        </x:is>
      </x:c>
      <x:c r="BC47" t="inlineStr">
        <x:is>
          <x:t xml:space="preserve"/>
        </x:is>
      </x:c>
      <x:c r="BD47" t="inlineStr">
        <x:is>
          <x:t xml:space="preserve">NONE</x:t>
        </x:is>
      </x:c>
      <x:c r="BE47" t="inlineStr">
        <x:is>
          <x:t xml:space="preserve"/>
        </x:is>
      </x:c>
      <x:c r="BF47" t="inlineStr">
        <x:is>
          <x:t xml:space="preserve">SUCCESS</x:t>
        </x:is>
      </x:c>
      <x:c r="BG47" t="n">
        <x:f>IF((COUNT('Quantification_Results'!BA47)=1),IFERROR(ROUND((SUM(('Quantification_Results'!BA47*'Quantification_Config'!$R$19))/SUM('Quantification_Config'!$R$19)),'Quantification_Config'!$U$2),""),"")</x:f>
        <x:v>50</x:v>
      </x:c>
      <x:c r="BH47" t="n">
        <x:f>IF((COUNT('Quantification_Results'!BG47)=1),IFERROR(ROUND((SUM(('Quantification_Results'!BG47*'Quantification_Config'!$R$18))/SUM('Quantification_Config'!$R$18)),'Quantification_Config'!$U$2),""),"")</x:f>
        <x:v>50</x:v>
      </x:c>
      <x:c r="BI47">
        <x:f>IF((COUNT('Quantification_Results'!L47,'Quantification_Results'!X47,'Quantification_Results'!AJ47,'Quantification_Results'!AV47,'Quantification_Results'!BH47)=5),IFERROR(ROUND((SUM(('Quantification_Results'!L47*'Quantification_Config'!$R$4),('Quantification_Results'!X47*'Quantification_Config'!$R$7),('Quantification_Results'!AJ47*'Quantification_Config'!$R$10),('Quantification_Results'!AV47*'Quantification_Config'!$R$13),('Quantification_Results'!BH47*'Quantification_Config'!$R$16))/SUM('Quantification_Config'!$R$4,'Quantification_Config'!$R$7,'Quantification_Config'!$R$10,'Quantification_Config'!$R$13,'Quantification_Config'!$R$16)),'Quantification_Config'!$U$2),""),"")</x:f>
      </x:c>
    </x:row>
    <x:row r="48">
      <x:c r="A48" t="n">
        <x:v>1</x:v>
      </x:c>
      <x:c r="B48" t="n">
        <x:v>5</x:v>
      </x:c>
      <x:c r="C48"/>
      <x:c r="D48" t="n">
        <x:f>IF(('Quantification_Results'!A48&lt;&gt;1),"",IF(('Quantification_Results'!C48=""),IF(ISNUMBER('Quantification_Results'!B48),IF(('Quantification_Results'!B48&lt;'Quantification_Config'!$S$6),"",IF(('Quantification_Results'!B48&gt;'Quantification_Config'!$T$6),"",'Quantification_Results'!B48)),""),IF(ISNUMBER('Quantification_Results'!C48),IF(('Quantification_Results'!C48&lt;'Quantification_Config'!$S$6),"",IF(('Quantification_Results'!C48&gt;'Quantification_Config'!$T$6),"",'Quantification_Results'!C48)),"")))</x:f>
        <x:v>5</x:v>
      </x:c>
      <x:c r="E48" t="n">
        <x:f>IF(ISNUMBER('Quantification_Results'!D48),IFERROR(ROUND(((('Quantification_Results'!D48-'Quantification_Config'!$S$6)/('Quantification_Config'!$T$6-'Quantification_Config'!$S$6))*100),'Quantification_Config'!$U$2),""),"")</x:f>
        <x:v>50</x:v>
      </x:c>
      <x:c r="F48" t="inlineStr">
        <x:is>
          <x:t xml:space="preserve">SYSTEM-TEST-ONLY-NO-NETWORK-NOT-AN-EDUCATIONAL-EVALUATION</x:t>
        </x:is>
      </x:c>
      <x:c r="G48" t="inlineStr">
        <x:is>
          <x:t xml:space="preserve"/>
        </x:is>
      </x:c>
      <x:c r="H48" t="inlineStr">
        <x:is>
          <x:t xml:space="preserve">NONE</x:t>
        </x:is>
      </x:c>
      <x:c r="I48" t="inlineStr">
        <x:is>
          <x:t xml:space="preserve"/>
        </x:is>
      </x:c>
      <x:c r="J48" t="inlineStr">
        <x:is>
          <x:t xml:space="preserve">SUCCESS</x:t>
        </x:is>
      </x:c>
      <x:c r="K48" t="n">
        <x:f>IF((COUNT('Quantification_Results'!E48)=1),IFERROR(ROUND((SUM(('Quantification_Results'!E48*'Quantification_Config'!$R$6))/SUM('Quantification_Config'!$R$6)),'Quantification_Config'!$U$2),""),"")</x:f>
        <x:v>50</x:v>
      </x:c>
      <x:c r="L48" t="n">
        <x:f>IF((COUNT('Quantification_Results'!K48)=1),IFERROR(ROUND((SUM(('Quantification_Results'!K48*'Quantification_Config'!$R$5))/SUM('Quantification_Config'!$R$5)),'Quantification_Config'!$U$2),""),"")</x:f>
        <x:v>50</x:v>
      </x:c>
      <x:c r="M48" t="n">
        <x:v>1</x:v>
      </x:c>
      <x:c r="N48" t="n">
        <x:v>5</x:v>
      </x:c>
      <x:c r="O48"/>
      <x:c r="P48" t="n">
        <x:f>IF(('Quantification_Results'!M48&lt;&gt;1),"",IF(('Quantification_Results'!O48=""),IF(ISNUMBER('Quantification_Results'!N48),IF(('Quantification_Results'!N48&lt;'Quantification_Config'!$S$9),"",IF(('Quantification_Results'!N48&gt;'Quantification_Config'!$T$9),"",'Quantification_Results'!N48)),""),IF(ISNUMBER('Quantification_Results'!O48),IF(('Quantification_Results'!O48&lt;'Quantification_Config'!$S$9),"",IF(('Quantification_Results'!O48&gt;'Quantification_Config'!$T$9),"",'Quantification_Results'!O48)),"")))</x:f>
        <x:v>5</x:v>
      </x:c>
      <x:c r="Q48" t="n">
        <x:f>IF(ISNUMBER('Quantification_Results'!P48),IFERROR(ROUND(((('Quantification_Results'!P48-'Quantification_Config'!$S$9)/('Quantification_Config'!$T$9-'Quantification_Config'!$S$9))*100),'Quantification_Config'!$U$2),""),"")</x:f>
        <x:v>50</x:v>
      </x:c>
      <x:c r="R48" t="inlineStr">
        <x:is>
          <x:t xml:space="preserve">SYSTEM-TEST-ONLY-NO-NETWORK-NOT-AN-EDUCATIONAL-EVALUATION</x:t>
        </x:is>
      </x:c>
      <x:c r="S48" t="inlineStr">
        <x:is>
          <x:t xml:space="preserve"/>
        </x:is>
      </x:c>
      <x:c r="T48" t="inlineStr">
        <x:is>
          <x:t xml:space="preserve">NONE</x:t>
        </x:is>
      </x:c>
      <x:c r="U48" t="inlineStr">
        <x:is>
          <x:t xml:space="preserve"/>
        </x:is>
      </x:c>
      <x:c r="V48" t="inlineStr">
        <x:is>
          <x:t xml:space="preserve">SUCCESS</x:t>
        </x:is>
      </x:c>
      <x:c r="W48" t="n">
        <x:f>IF((COUNT('Quantification_Results'!Q48)=1),IFERROR(ROUND((SUM(('Quantification_Results'!Q48*'Quantification_Config'!$R$9))/SUM('Quantification_Config'!$R$9)),'Quantification_Config'!$U$2),""),"")</x:f>
        <x:v>50</x:v>
      </x:c>
      <x:c r="X48" t="n">
        <x:f>IF((COUNT('Quantification_Results'!W48)=1),IFERROR(ROUND((SUM(('Quantification_Results'!W48*'Quantification_Config'!$R$8))/SUM('Quantification_Config'!$R$8)),'Quantification_Config'!$U$2),""),"")</x:f>
        <x:v>50</x:v>
      </x:c>
      <x:c r="Y48" t="n">
        <x:v>0</x:v>
      </x:c>
      <x:c r="Z48"/>
      <x:c r="AA48"/>
      <x:c r="AB48">
        <x:f>IF(('Quantification_Results'!Y48&lt;&gt;1),"",IF(('Quantification_Results'!AA48=""),IF(ISNUMBER('Quantification_Results'!Z48),IF(('Quantification_Results'!Z48&lt;'Quantification_Config'!$S$12),"",IF(('Quantification_Results'!Z48&gt;'Quantification_Config'!$T$12),"",'Quantification_Results'!Z48)),""),IF(ISNUMBER('Quantification_Results'!AA48),IF(('Quantification_Results'!AA48&lt;'Quantification_Config'!$S$12),"",IF(('Quantification_Results'!AA48&gt;'Quantification_Config'!$T$12),"",'Quantification_Results'!AA48)),"")))</x:f>
      </x:c>
      <x:c r="AC48">
        <x:f>IF(ISNUMBER('Quantification_Results'!AB48),IFERROR(ROUND(((('Quantification_Results'!AB48-'Quantification_Config'!$S$12)/('Quantification_Config'!$T$12-'Quantification_Config'!$S$12))*100),'Quantification_Config'!$U$2),""),"")</x:f>
      </x:c>
      <x:c r="AD48" t="inlineStr">
        <x:is>
          <x:t xml:space="preserve"/>
        </x:is>
      </x:c>
      <x:c r="AE48" t="inlineStr">
        <x:is>
          <x:t xml:space="preserve"/>
        </x:is>
      </x:c>
      <x:c r="AF48" t="inlineStr">
        <x:is>
          <x:t xml:space="preserve"/>
        </x:is>
      </x:c>
      <x:c r="AG48" t="inlineStr">
        <x:is>
          <x:t xml:space="preserve"/>
        </x:is>
      </x:c>
      <x:c r="AH48" t="inlineStr">
        <x:is>
          <x:t xml:space="preserve">EMPTY</x:t>
        </x:is>
      </x:c>
      <x:c r="AI48">
        <x:f>IF((COUNT('Quantification_Results'!AC48)=1),IFERROR(ROUND((SUM(('Quantification_Results'!AC48*'Quantification_Config'!$R$12))/SUM('Quantification_Config'!$R$12)),'Quantification_Config'!$U$2),""),"")</x:f>
      </x:c>
      <x:c r="AJ48">
        <x:f>IF((COUNT('Quantification_Results'!AI48)=1),IFERROR(ROUND((SUM(('Quantification_Results'!AI48*'Quantification_Config'!$R$11))/SUM('Quantification_Config'!$R$11)),'Quantification_Config'!$U$2),""),"")</x:f>
      </x:c>
      <x:c r="AK48" t="n">
        <x:v>1</x:v>
      </x:c>
      <x:c r="AL48" t="n">
        <x:v>5</x:v>
      </x:c>
      <x:c r="AM48"/>
      <x:c r="AN48" t="n">
        <x:f>IF(('Quantification_Results'!AK48&lt;&gt;1),"",IF(('Quantification_Results'!AM48=""),IF(ISNUMBER('Quantification_Results'!AL48),IF(('Quantification_Results'!AL48&lt;'Quantification_Config'!$S$15),"",IF(('Quantification_Results'!AL48&gt;'Quantification_Config'!$T$15),"",'Quantification_Results'!AL48)),""),IF(ISNUMBER('Quantification_Results'!AM48),IF(('Quantification_Results'!AM48&lt;'Quantification_Config'!$S$15),"",IF(('Quantification_Results'!AM48&gt;'Quantification_Config'!$T$15),"",'Quantification_Results'!AM48)),"")))</x:f>
        <x:v>5</x:v>
      </x:c>
      <x:c r="AO48" t="n">
        <x:f>IF(ISNUMBER('Quantification_Results'!AN48),IFERROR(ROUND(((('Quantification_Results'!AN48-'Quantification_Config'!$S$15)/('Quantification_Config'!$T$15-'Quantification_Config'!$S$15))*100),'Quantification_Config'!$U$2),""),"")</x:f>
        <x:v>50</x:v>
      </x:c>
      <x:c r="AP48" t="inlineStr">
        <x:is>
          <x:t xml:space="preserve">SYSTEM-TEST-ONLY-NO-NETWORK-NOT-AN-EDUCATIONAL-EVALUATION</x:t>
        </x:is>
      </x:c>
      <x:c r="AQ48" t="inlineStr">
        <x:is>
          <x:t xml:space="preserve"/>
        </x:is>
      </x:c>
      <x:c r="AR48" t="inlineStr">
        <x:is>
          <x:t xml:space="preserve">NONE</x:t>
        </x:is>
      </x:c>
      <x:c r="AS48" t="inlineStr">
        <x:is>
          <x:t xml:space="preserve"/>
        </x:is>
      </x:c>
      <x:c r="AT48" t="inlineStr">
        <x:is>
          <x:t xml:space="preserve">SUCCESS</x:t>
        </x:is>
      </x:c>
      <x:c r="AU48" t="n">
        <x:f>IF((COUNT('Quantification_Results'!AO48)=1),IFERROR(ROUND((SUM(('Quantification_Results'!AO48*'Quantification_Config'!$R$15))/SUM('Quantification_Config'!$R$15)),'Quantification_Config'!$U$2),""),"")</x:f>
        <x:v>50</x:v>
      </x:c>
      <x:c r="AV48" t="n">
        <x:f>IF((COUNT('Quantification_Results'!AU48)=1),IFERROR(ROUND((SUM(('Quantification_Results'!AU48*'Quantification_Config'!$R$14))/SUM('Quantification_Config'!$R$14)),'Quantification_Config'!$U$2),""),"")</x:f>
        <x:v>50</x:v>
      </x:c>
      <x:c r="AW48" t="n">
        <x:v>1</x:v>
      </x:c>
      <x:c r="AX48" t="n">
        <x:v>5</x:v>
      </x:c>
      <x:c r="AY48"/>
      <x:c r="AZ48" t="n">
        <x:f>IF(('Quantification_Results'!AW48&lt;&gt;1),"",IF(('Quantification_Results'!AY48=""),IF(ISNUMBER('Quantification_Results'!AX48),IF(('Quantification_Results'!AX48&lt;'Quantification_Config'!$S$19),"",IF(('Quantification_Results'!AX48&gt;'Quantification_Config'!$T$19),"",'Quantification_Results'!AX48)),""),IF(ISNUMBER('Quantification_Results'!AY48),IF(('Quantification_Results'!AY48&lt;'Quantification_Config'!$S$19),"",IF(('Quantification_Results'!AY48&gt;'Quantification_Config'!$T$19),"",'Quantification_Results'!AY48)),"")))</x:f>
        <x:v>5</x:v>
      </x:c>
      <x:c r="BA48" t="n">
        <x:f>IF(ISNUMBER('Quantification_Results'!AZ48),IFERROR(ROUND(((('Quantification_Results'!AZ48-'Quantification_Config'!$S$19)/('Quantification_Config'!$T$19-'Quantification_Config'!$S$19))*100),'Quantification_Config'!$U$2),""),"")</x:f>
        <x:v>50</x:v>
      </x:c>
      <x:c r="BB48" t="inlineStr">
        <x:is>
          <x:t xml:space="preserve">SYSTEM-TEST-ONLY-NO-NETWORK-NOT-AN-EDUCATIONAL-EVALUATION</x:t>
        </x:is>
      </x:c>
      <x:c r="BC48" t="inlineStr">
        <x:is>
          <x:t xml:space="preserve"/>
        </x:is>
      </x:c>
      <x:c r="BD48" t="inlineStr">
        <x:is>
          <x:t xml:space="preserve">NONE</x:t>
        </x:is>
      </x:c>
      <x:c r="BE48" t="inlineStr">
        <x:is>
          <x:t xml:space="preserve"/>
        </x:is>
      </x:c>
      <x:c r="BF48" t="inlineStr">
        <x:is>
          <x:t xml:space="preserve">SUCCESS</x:t>
        </x:is>
      </x:c>
      <x:c r="BG48" t="n">
        <x:f>IF((COUNT('Quantification_Results'!BA48)=1),IFERROR(ROUND((SUM(('Quantification_Results'!BA48*'Quantification_Config'!$R$19))/SUM('Quantification_Config'!$R$19)),'Quantification_Config'!$U$2),""),"")</x:f>
        <x:v>50</x:v>
      </x:c>
      <x:c r="BH48" t="n">
        <x:f>IF((COUNT('Quantification_Results'!BG48)=1),IFERROR(ROUND((SUM(('Quantification_Results'!BG48*'Quantification_Config'!$R$18))/SUM('Quantification_Config'!$R$18)),'Quantification_Config'!$U$2),""),"")</x:f>
        <x:v>50</x:v>
      </x:c>
      <x:c r="BI48">
        <x:f>IF((COUNT('Quantification_Results'!L48,'Quantification_Results'!X48,'Quantification_Results'!AJ48,'Quantification_Results'!AV48,'Quantification_Results'!BH48)=5),IFERROR(ROUND((SUM(('Quantification_Results'!L48*'Quantification_Config'!$R$4),('Quantification_Results'!X48*'Quantification_Config'!$R$7),('Quantification_Results'!AJ48*'Quantification_Config'!$R$10),('Quantification_Results'!AV48*'Quantification_Config'!$R$13),('Quantification_Results'!BH48*'Quantification_Config'!$R$16))/SUM('Quantification_Config'!$R$4,'Quantification_Config'!$R$7,'Quantification_Config'!$R$10,'Quantification_Config'!$R$13,'Quantification_Config'!$R$16)),'Quantification_Config'!$U$2),""),"")</x:f>
      </x:c>
    </x:row>
    <x:row r="49">
      <x:c r="A49" t="n">
        <x:v>1</x:v>
      </x:c>
      <x:c r="B49" t="n">
        <x:v>5</x:v>
      </x:c>
      <x:c r="C49"/>
      <x:c r="D49" t="n">
        <x:f>IF(('Quantification_Results'!A49&lt;&gt;1),"",IF(('Quantification_Results'!C49=""),IF(ISNUMBER('Quantification_Results'!B49),IF(('Quantification_Results'!B49&lt;'Quantification_Config'!$S$6),"",IF(('Quantification_Results'!B49&gt;'Quantification_Config'!$T$6),"",'Quantification_Results'!B49)),""),IF(ISNUMBER('Quantification_Results'!C49),IF(('Quantification_Results'!C49&lt;'Quantification_Config'!$S$6),"",IF(('Quantification_Results'!C49&gt;'Quantification_Config'!$T$6),"",'Quantification_Results'!C49)),"")))</x:f>
        <x:v>5</x:v>
      </x:c>
      <x:c r="E49" t="n">
        <x:f>IF(ISNUMBER('Quantification_Results'!D49),IFERROR(ROUND(((('Quantification_Results'!D49-'Quantification_Config'!$S$6)/('Quantification_Config'!$T$6-'Quantification_Config'!$S$6))*100),'Quantification_Config'!$U$2),""),"")</x:f>
        <x:v>50</x:v>
      </x:c>
      <x:c r="F49" t="inlineStr">
        <x:is>
          <x:t xml:space="preserve">SYSTEM-TEST-ONLY-NO-NETWORK-NOT-AN-EDUCATIONAL-EVALUATION</x:t>
        </x:is>
      </x:c>
      <x:c r="G49" t="inlineStr">
        <x:is>
          <x:t xml:space="preserve"/>
        </x:is>
      </x:c>
      <x:c r="H49" t="inlineStr">
        <x:is>
          <x:t xml:space="preserve">NONE</x:t>
        </x:is>
      </x:c>
      <x:c r="I49" t="inlineStr">
        <x:is>
          <x:t xml:space="preserve"/>
        </x:is>
      </x:c>
      <x:c r="J49" t="inlineStr">
        <x:is>
          <x:t xml:space="preserve">SUCCESS</x:t>
        </x:is>
      </x:c>
      <x:c r="K49" t="n">
        <x:f>IF((COUNT('Quantification_Results'!E49)=1),IFERROR(ROUND((SUM(('Quantification_Results'!E49*'Quantification_Config'!$R$6))/SUM('Quantification_Config'!$R$6)),'Quantification_Config'!$U$2),""),"")</x:f>
        <x:v>50</x:v>
      </x:c>
      <x:c r="L49" t="n">
        <x:f>IF((COUNT('Quantification_Results'!K49)=1),IFERROR(ROUND((SUM(('Quantification_Results'!K49*'Quantification_Config'!$R$5))/SUM('Quantification_Config'!$R$5)),'Quantification_Config'!$U$2),""),"")</x:f>
        <x:v>50</x:v>
      </x:c>
      <x:c r="M49" t="n">
        <x:v>1</x:v>
      </x:c>
      <x:c r="N49" t="n">
        <x:v>5</x:v>
      </x:c>
      <x:c r="O49"/>
      <x:c r="P49" t="n">
        <x:f>IF(('Quantification_Results'!M49&lt;&gt;1),"",IF(('Quantification_Results'!O49=""),IF(ISNUMBER('Quantification_Results'!N49),IF(('Quantification_Results'!N49&lt;'Quantification_Config'!$S$9),"",IF(('Quantification_Results'!N49&gt;'Quantification_Config'!$T$9),"",'Quantification_Results'!N49)),""),IF(ISNUMBER('Quantification_Results'!O49),IF(('Quantification_Results'!O49&lt;'Quantification_Config'!$S$9),"",IF(('Quantification_Results'!O49&gt;'Quantification_Config'!$T$9),"",'Quantification_Results'!O49)),"")))</x:f>
        <x:v>5</x:v>
      </x:c>
      <x:c r="Q49" t="n">
        <x:f>IF(ISNUMBER('Quantification_Results'!P49),IFERROR(ROUND(((('Quantification_Results'!P49-'Quantification_Config'!$S$9)/('Quantification_Config'!$T$9-'Quantification_Config'!$S$9))*100),'Quantification_Config'!$U$2),""),"")</x:f>
        <x:v>50</x:v>
      </x:c>
      <x:c r="R49" t="inlineStr">
        <x:is>
          <x:t xml:space="preserve">SYSTEM-TEST-ONLY-NO-NETWORK-NOT-AN-EDUCATIONAL-EVALUATION</x:t>
        </x:is>
      </x:c>
      <x:c r="S49" t="inlineStr">
        <x:is>
          <x:t xml:space="preserve"/>
        </x:is>
      </x:c>
      <x:c r="T49" t="inlineStr">
        <x:is>
          <x:t xml:space="preserve">NONE</x:t>
        </x:is>
      </x:c>
      <x:c r="U49" t="inlineStr">
        <x:is>
          <x:t xml:space="preserve"/>
        </x:is>
      </x:c>
      <x:c r="V49" t="inlineStr">
        <x:is>
          <x:t xml:space="preserve">SUCCESS</x:t>
        </x:is>
      </x:c>
      <x:c r="W49" t="n">
        <x:f>IF((COUNT('Quantification_Results'!Q49)=1),IFERROR(ROUND((SUM(('Quantification_Results'!Q49*'Quantification_Config'!$R$9))/SUM('Quantification_Config'!$R$9)),'Quantification_Config'!$U$2),""),"")</x:f>
        <x:v>50</x:v>
      </x:c>
      <x:c r="X49" t="n">
        <x:f>IF((COUNT('Quantification_Results'!W49)=1),IFERROR(ROUND((SUM(('Quantification_Results'!W49*'Quantification_Config'!$R$8))/SUM('Quantification_Config'!$R$8)),'Quantification_Config'!$U$2),""),"")</x:f>
        <x:v>50</x:v>
      </x:c>
      <x:c r="Y49" t="n">
        <x:v>0</x:v>
      </x:c>
      <x:c r="Z49"/>
      <x:c r="AA49"/>
      <x:c r="AB49">
        <x:f>IF(('Quantification_Results'!Y49&lt;&gt;1),"",IF(('Quantification_Results'!AA49=""),IF(ISNUMBER('Quantification_Results'!Z49),IF(('Quantification_Results'!Z49&lt;'Quantification_Config'!$S$12),"",IF(('Quantification_Results'!Z49&gt;'Quantification_Config'!$T$12),"",'Quantification_Results'!Z49)),""),IF(ISNUMBER('Quantification_Results'!AA49),IF(('Quantification_Results'!AA49&lt;'Quantification_Config'!$S$12),"",IF(('Quantification_Results'!AA49&gt;'Quantification_Config'!$T$12),"",'Quantification_Results'!AA49)),"")))</x:f>
      </x:c>
      <x:c r="AC49">
        <x:f>IF(ISNUMBER('Quantification_Results'!AB49),IFERROR(ROUND(((('Quantification_Results'!AB49-'Quantification_Config'!$S$12)/('Quantification_Config'!$T$12-'Quantification_Config'!$S$12))*100),'Quantification_Config'!$U$2),""),"")</x:f>
      </x:c>
      <x:c r="AD49" t="inlineStr">
        <x:is>
          <x:t xml:space="preserve"/>
        </x:is>
      </x:c>
      <x:c r="AE49" t="inlineStr">
        <x:is>
          <x:t xml:space="preserve"/>
        </x:is>
      </x:c>
      <x:c r="AF49" t="inlineStr">
        <x:is>
          <x:t xml:space="preserve"/>
        </x:is>
      </x:c>
      <x:c r="AG49" t="inlineStr">
        <x:is>
          <x:t xml:space="preserve"/>
        </x:is>
      </x:c>
      <x:c r="AH49" t="inlineStr">
        <x:is>
          <x:t xml:space="preserve">EMPTY</x:t>
        </x:is>
      </x:c>
      <x:c r="AI49">
        <x:f>IF((COUNT('Quantification_Results'!AC49)=1),IFERROR(ROUND((SUM(('Quantification_Results'!AC49*'Quantification_Config'!$R$12))/SUM('Quantification_Config'!$R$12)),'Quantification_Config'!$U$2),""),"")</x:f>
      </x:c>
      <x:c r="AJ49">
        <x:f>IF((COUNT('Quantification_Results'!AI49)=1),IFERROR(ROUND((SUM(('Quantification_Results'!AI49*'Quantification_Config'!$R$11))/SUM('Quantification_Config'!$R$11)),'Quantification_Config'!$U$2),""),"")</x:f>
      </x:c>
      <x:c r="AK49" t="n">
        <x:v>1</x:v>
      </x:c>
      <x:c r="AL49" t="n">
        <x:v>5</x:v>
      </x:c>
      <x:c r="AM49"/>
      <x:c r="AN49" t="n">
        <x:f>IF(('Quantification_Results'!AK49&lt;&gt;1),"",IF(('Quantification_Results'!AM49=""),IF(ISNUMBER('Quantification_Results'!AL49),IF(('Quantification_Results'!AL49&lt;'Quantification_Config'!$S$15),"",IF(('Quantification_Results'!AL49&gt;'Quantification_Config'!$T$15),"",'Quantification_Results'!AL49)),""),IF(ISNUMBER('Quantification_Results'!AM49),IF(('Quantification_Results'!AM49&lt;'Quantification_Config'!$S$15),"",IF(('Quantification_Results'!AM49&gt;'Quantification_Config'!$T$15),"",'Quantification_Results'!AM49)),"")))</x:f>
        <x:v>5</x:v>
      </x:c>
      <x:c r="AO49" t="n">
        <x:f>IF(ISNUMBER('Quantification_Results'!AN49),IFERROR(ROUND(((('Quantification_Results'!AN49-'Quantification_Config'!$S$15)/('Quantification_Config'!$T$15-'Quantification_Config'!$S$15))*100),'Quantification_Config'!$U$2),""),"")</x:f>
        <x:v>50</x:v>
      </x:c>
      <x:c r="AP49" t="inlineStr">
        <x:is>
          <x:t xml:space="preserve">SYSTEM-TEST-ONLY-NO-NETWORK-NOT-AN-EDUCATIONAL-EVALUATION</x:t>
        </x:is>
      </x:c>
      <x:c r="AQ49" t="inlineStr">
        <x:is>
          <x:t xml:space="preserve"/>
        </x:is>
      </x:c>
      <x:c r="AR49" t="inlineStr">
        <x:is>
          <x:t xml:space="preserve">NONE</x:t>
        </x:is>
      </x:c>
      <x:c r="AS49" t="inlineStr">
        <x:is>
          <x:t xml:space="preserve"/>
        </x:is>
      </x:c>
      <x:c r="AT49" t="inlineStr">
        <x:is>
          <x:t xml:space="preserve">SUCCESS</x:t>
        </x:is>
      </x:c>
      <x:c r="AU49" t="n">
        <x:f>IF((COUNT('Quantification_Results'!AO49)=1),IFERROR(ROUND((SUM(('Quantification_Results'!AO49*'Quantification_Config'!$R$15))/SUM('Quantification_Config'!$R$15)),'Quantification_Config'!$U$2),""),"")</x:f>
        <x:v>50</x:v>
      </x:c>
      <x:c r="AV49" t="n">
        <x:f>IF((COUNT('Quantification_Results'!AU49)=1),IFERROR(ROUND((SUM(('Quantification_Results'!AU49*'Quantification_Config'!$R$14))/SUM('Quantification_Config'!$R$14)),'Quantification_Config'!$U$2),""),"")</x:f>
        <x:v>50</x:v>
      </x:c>
      <x:c r="AW49" t="n">
        <x:v>1</x:v>
      </x:c>
      <x:c r="AX49" t="n">
        <x:v>5</x:v>
      </x:c>
      <x:c r="AY49"/>
      <x:c r="AZ49" t="n">
        <x:f>IF(('Quantification_Results'!AW49&lt;&gt;1),"",IF(('Quantification_Results'!AY49=""),IF(ISNUMBER('Quantification_Results'!AX49),IF(('Quantification_Results'!AX49&lt;'Quantification_Config'!$S$19),"",IF(('Quantification_Results'!AX49&gt;'Quantification_Config'!$T$19),"",'Quantification_Results'!AX49)),""),IF(ISNUMBER('Quantification_Results'!AY49),IF(('Quantification_Results'!AY49&lt;'Quantification_Config'!$S$19),"",IF(('Quantification_Results'!AY49&gt;'Quantification_Config'!$T$19),"",'Quantification_Results'!AY49)),"")))</x:f>
        <x:v>5</x:v>
      </x:c>
      <x:c r="BA49" t="n">
        <x:f>IF(ISNUMBER('Quantification_Results'!AZ49),IFERROR(ROUND(((('Quantification_Results'!AZ49-'Quantification_Config'!$S$19)/('Quantification_Config'!$T$19-'Quantification_Config'!$S$19))*100),'Quantification_Config'!$U$2),""),"")</x:f>
        <x:v>50</x:v>
      </x:c>
      <x:c r="BB49" t="inlineStr">
        <x:is>
          <x:t xml:space="preserve">SYSTEM-TEST-ONLY-NO-NETWORK-NOT-AN-EDUCATIONAL-EVALUATION</x:t>
        </x:is>
      </x:c>
      <x:c r="BC49" t="inlineStr">
        <x:is>
          <x:t xml:space="preserve"/>
        </x:is>
      </x:c>
      <x:c r="BD49" t="inlineStr">
        <x:is>
          <x:t xml:space="preserve">NONE</x:t>
        </x:is>
      </x:c>
      <x:c r="BE49" t="inlineStr">
        <x:is>
          <x:t xml:space="preserve"/>
        </x:is>
      </x:c>
      <x:c r="BF49" t="inlineStr">
        <x:is>
          <x:t xml:space="preserve">SUCCESS</x:t>
        </x:is>
      </x:c>
      <x:c r="BG49" t="n">
        <x:f>IF((COUNT('Quantification_Results'!BA49)=1),IFERROR(ROUND((SUM(('Quantification_Results'!BA49*'Quantification_Config'!$R$19))/SUM('Quantification_Config'!$R$19)),'Quantification_Config'!$U$2),""),"")</x:f>
        <x:v>50</x:v>
      </x:c>
      <x:c r="BH49" t="n">
        <x:f>IF((COUNT('Quantification_Results'!BG49)=1),IFERROR(ROUND((SUM(('Quantification_Results'!BG49*'Quantification_Config'!$R$18))/SUM('Quantification_Config'!$R$18)),'Quantification_Config'!$U$2),""),"")</x:f>
        <x:v>50</x:v>
      </x:c>
      <x:c r="BI49">
        <x:f>IF((COUNT('Quantification_Results'!L49,'Quantification_Results'!X49,'Quantification_Results'!AJ49,'Quantification_Results'!AV49,'Quantification_Results'!BH49)=5),IFERROR(ROUND((SUM(('Quantification_Results'!L49*'Quantification_Config'!$R$4),('Quantification_Results'!X49*'Quantification_Config'!$R$7),('Quantification_Results'!AJ49*'Quantification_Config'!$R$10),('Quantification_Results'!AV49*'Quantification_Config'!$R$13),('Quantification_Results'!BH49*'Quantification_Config'!$R$16))/SUM('Quantification_Config'!$R$4,'Quantification_Config'!$R$7,'Quantification_Config'!$R$10,'Quantification_Config'!$R$13,'Quantification_Config'!$R$16)),'Quantification_Config'!$U$2),""),"")</x:f>
      </x:c>
    </x:row>
    <x:row r="50">
      <x:c r="A50" t="n">
        <x:v>1</x:v>
      </x:c>
      <x:c r="B50" t="n">
        <x:v>5</x:v>
      </x:c>
      <x:c r="C50"/>
      <x:c r="D50" t="n">
        <x:f>IF(('Quantification_Results'!A50&lt;&gt;1),"",IF(('Quantification_Results'!C50=""),IF(ISNUMBER('Quantification_Results'!B50),IF(('Quantification_Results'!B50&lt;'Quantification_Config'!$S$6),"",IF(('Quantification_Results'!B50&gt;'Quantification_Config'!$T$6),"",'Quantification_Results'!B50)),""),IF(ISNUMBER('Quantification_Results'!C50),IF(('Quantification_Results'!C50&lt;'Quantification_Config'!$S$6),"",IF(('Quantification_Results'!C50&gt;'Quantification_Config'!$T$6),"",'Quantification_Results'!C50)),"")))</x:f>
        <x:v>5</x:v>
      </x:c>
      <x:c r="E50" t="n">
        <x:f>IF(ISNUMBER('Quantification_Results'!D50),IFERROR(ROUND(((('Quantification_Results'!D50-'Quantification_Config'!$S$6)/('Quantification_Config'!$T$6-'Quantification_Config'!$S$6))*100),'Quantification_Config'!$U$2),""),"")</x:f>
        <x:v>50</x:v>
      </x:c>
      <x:c r="F50" t="inlineStr">
        <x:is>
          <x:t xml:space="preserve">SYSTEM-TEST-ONLY-NO-NETWORK-NOT-AN-EDUCATIONAL-EVALUATION</x:t>
        </x:is>
      </x:c>
      <x:c r="G50" t="inlineStr">
        <x:is>
          <x:t xml:space="preserve"/>
        </x:is>
      </x:c>
      <x:c r="H50" t="inlineStr">
        <x:is>
          <x:t xml:space="preserve">NONE</x:t>
        </x:is>
      </x:c>
      <x:c r="I50" t="inlineStr">
        <x:is>
          <x:t xml:space="preserve"/>
        </x:is>
      </x:c>
      <x:c r="J50" t="inlineStr">
        <x:is>
          <x:t xml:space="preserve">SUCCESS</x:t>
        </x:is>
      </x:c>
      <x:c r="K50" t="n">
        <x:f>IF((COUNT('Quantification_Results'!E50)=1),IFERROR(ROUND((SUM(('Quantification_Results'!E50*'Quantification_Config'!$R$6))/SUM('Quantification_Config'!$R$6)),'Quantification_Config'!$U$2),""),"")</x:f>
        <x:v>50</x:v>
      </x:c>
      <x:c r="L50" t="n">
        <x:f>IF((COUNT('Quantification_Results'!K50)=1),IFERROR(ROUND((SUM(('Quantification_Results'!K50*'Quantification_Config'!$R$5))/SUM('Quantification_Config'!$R$5)),'Quantification_Config'!$U$2),""),"")</x:f>
        <x:v>50</x:v>
      </x:c>
      <x:c r="M50" t="n">
        <x:v>1</x:v>
      </x:c>
      <x:c r="N50" t="n">
        <x:v>5</x:v>
      </x:c>
      <x:c r="O50"/>
      <x:c r="P50" t="n">
        <x:f>IF(('Quantification_Results'!M50&lt;&gt;1),"",IF(('Quantification_Results'!O50=""),IF(ISNUMBER('Quantification_Results'!N50),IF(('Quantification_Results'!N50&lt;'Quantification_Config'!$S$9),"",IF(('Quantification_Results'!N50&gt;'Quantification_Config'!$T$9),"",'Quantification_Results'!N50)),""),IF(ISNUMBER('Quantification_Results'!O50),IF(('Quantification_Results'!O50&lt;'Quantification_Config'!$S$9),"",IF(('Quantification_Results'!O50&gt;'Quantification_Config'!$T$9),"",'Quantification_Results'!O50)),"")))</x:f>
        <x:v>5</x:v>
      </x:c>
      <x:c r="Q50" t="n">
        <x:f>IF(ISNUMBER('Quantification_Results'!P50),IFERROR(ROUND(((('Quantification_Results'!P50-'Quantification_Config'!$S$9)/('Quantification_Config'!$T$9-'Quantification_Config'!$S$9))*100),'Quantification_Config'!$U$2),""),"")</x:f>
        <x:v>50</x:v>
      </x:c>
      <x:c r="R50" t="inlineStr">
        <x:is>
          <x:t xml:space="preserve">SYSTEM-TEST-ONLY-NO-NETWORK-NOT-AN-EDUCATIONAL-EVALUATION</x:t>
        </x:is>
      </x:c>
      <x:c r="S50" t="inlineStr">
        <x:is>
          <x:t xml:space="preserve"/>
        </x:is>
      </x:c>
      <x:c r="T50" t="inlineStr">
        <x:is>
          <x:t xml:space="preserve">NONE</x:t>
        </x:is>
      </x:c>
      <x:c r="U50" t="inlineStr">
        <x:is>
          <x:t xml:space="preserve"/>
        </x:is>
      </x:c>
      <x:c r="V50" t="inlineStr">
        <x:is>
          <x:t xml:space="preserve">SUCCESS</x:t>
        </x:is>
      </x:c>
      <x:c r="W50" t="n">
        <x:f>IF((COUNT('Quantification_Results'!Q50)=1),IFERROR(ROUND((SUM(('Quantification_Results'!Q50*'Quantification_Config'!$R$9))/SUM('Quantification_Config'!$R$9)),'Quantification_Config'!$U$2),""),"")</x:f>
        <x:v>50</x:v>
      </x:c>
      <x:c r="X50" t="n">
        <x:f>IF((COUNT('Quantification_Results'!W50)=1),IFERROR(ROUND((SUM(('Quantification_Results'!W50*'Quantification_Config'!$R$8))/SUM('Quantification_Config'!$R$8)),'Quantification_Config'!$U$2),""),"")</x:f>
        <x:v>50</x:v>
      </x:c>
      <x:c r="Y50" t="n">
        <x:v>1</x:v>
      </x:c>
      <x:c r="Z50" t="n">
        <x:v>5</x:v>
      </x:c>
      <x:c r="AA50"/>
      <x:c r="AB50" t="n">
        <x:f>IF(('Quantification_Results'!Y50&lt;&gt;1),"",IF(('Quantification_Results'!AA50=""),IF(ISNUMBER('Quantification_Results'!Z50),IF(('Quantification_Results'!Z50&lt;'Quantification_Config'!$S$12),"",IF(('Quantification_Results'!Z50&gt;'Quantification_Config'!$T$12),"",'Quantification_Results'!Z50)),""),IF(ISNUMBER('Quantification_Results'!AA50),IF(('Quantification_Results'!AA50&lt;'Quantification_Config'!$S$12),"",IF(('Quantification_Results'!AA50&gt;'Quantification_Config'!$T$12),"",'Quantification_Results'!AA50)),"")))</x:f>
        <x:v>5</x:v>
      </x:c>
      <x:c r="AC50" t="n">
        <x:f>IF(ISNUMBER('Quantification_Results'!AB50),IFERROR(ROUND(((('Quantification_Results'!AB50-'Quantification_Config'!$S$12)/('Quantification_Config'!$T$12-'Quantification_Config'!$S$12))*100),'Quantification_Config'!$U$2),""),"")</x:f>
        <x:v>50</x:v>
      </x:c>
      <x:c r="AD50" t="inlineStr">
        <x:is>
          <x:t xml:space="preserve">SYSTEM-TEST-ONLY-NO-NETWORK-NOT-AN-EDUCATIONAL-EVALUATION</x:t>
        </x:is>
      </x:c>
      <x:c r="AE50" t="inlineStr">
        <x:is>
          <x:t xml:space="preserve"/>
        </x:is>
      </x:c>
      <x:c r="AF50" t="inlineStr">
        <x:is>
          <x:t xml:space="preserve">NONE</x:t>
        </x:is>
      </x:c>
      <x:c r="AG50" t="inlineStr">
        <x:is>
          <x:t xml:space="preserve"/>
        </x:is>
      </x:c>
      <x:c r="AH50" t="inlineStr">
        <x:is>
          <x:t xml:space="preserve">SUCCESS</x:t>
        </x:is>
      </x:c>
      <x:c r="AI50" t="n">
        <x:f>IF((COUNT('Quantification_Results'!AC50)=1),IFERROR(ROUND((SUM(('Quantification_Results'!AC50*'Quantification_Config'!$R$12))/SUM('Quantification_Config'!$R$12)),'Quantification_Config'!$U$2),""),"")</x:f>
        <x:v>50</x:v>
      </x:c>
      <x:c r="AJ50" t="n">
        <x:f>IF((COUNT('Quantification_Results'!AI50)=1),IFERROR(ROUND((SUM(('Quantification_Results'!AI50*'Quantification_Config'!$R$11))/SUM('Quantification_Config'!$R$11)),'Quantification_Config'!$U$2),""),"")</x:f>
        <x:v>50</x:v>
      </x:c>
      <x:c r="AK50" t="n">
        <x:v>1</x:v>
      </x:c>
      <x:c r="AL50" t="n">
        <x:v>5</x:v>
      </x:c>
      <x:c r="AM50"/>
      <x:c r="AN50" t="n">
        <x:f>IF(('Quantification_Results'!AK50&lt;&gt;1),"",IF(('Quantification_Results'!AM50=""),IF(ISNUMBER('Quantification_Results'!AL50),IF(('Quantification_Results'!AL50&lt;'Quantification_Config'!$S$15),"",IF(('Quantification_Results'!AL50&gt;'Quantification_Config'!$T$15),"",'Quantification_Results'!AL50)),""),IF(ISNUMBER('Quantification_Results'!AM50),IF(('Quantification_Results'!AM50&lt;'Quantification_Config'!$S$15),"",IF(('Quantification_Results'!AM50&gt;'Quantification_Config'!$T$15),"",'Quantification_Results'!AM50)),"")))</x:f>
        <x:v>5</x:v>
      </x:c>
      <x:c r="AO50" t="n">
        <x:f>IF(ISNUMBER('Quantification_Results'!AN50),IFERROR(ROUND(((('Quantification_Results'!AN50-'Quantification_Config'!$S$15)/('Quantification_Config'!$T$15-'Quantification_Config'!$S$15))*100),'Quantification_Config'!$U$2),""),"")</x:f>
        <x:v>50</x:v>
      </x:c>
      <x:c r="AP50" t="inlineStr">
        <x:is>
          <x:t xml:space="preserve">SYSTEM-TEST-ONLY-NO-NETWORK-NOT-AN-EDUCATIONAL-EVALUATION</x:t>
        </x:is>
      </x:c>
      <x:c r="AQ50" t="inlineStr">
        <x:is>
          <x:t xml:space="preserve"/>
        </x:is>
      </x:c>
      <x:c r="AR50" t="inlineStr">
        <x:is>
          <x:t xml:space="preserve">NONE</x:t>
        </x:is>
      </x:c>
      <x:c r="AS50" t="inlineStr">
        <x:is>
          <x:t xml:space="preserve"/>
        </x:is>
      </x:c>
      <x:c r="AT50" t="inlineStr">
        <x:is>
          <x:t xml:space="preserve">SUCCESS</x:t>
        </x:is>
      </x:c>
      <x:c r="AU50" t="n">
        <x:f>IF((COUNT('Quantification_Results'!AO50)=1),IFERROR(ROUND((SUM(('Quantification_Results'!AO50*'Quantification_Config'!$R$15))/SUM('Quantification_Config'!$R$15)),'Quantification_Config'!$U$2),""),"")</x:f>
        <x:v>50</x:v>
      </x:c>
      <x:c r="AV50" t="n">
        <x:f>IF((COUNT('Quantification_Results'!AU50)=1),IFERROR(ROUND((SUM(('Quantification_Results'!AU50*'Quantification_Config'!$R$14))/SUM('Quantification_Config'!$R$14)),'Quantification_Config'!$U$2),""),"")</x:f>
        <x:v>50</x:v>
      </x:c>
      <x:c r="AW50" t="n">
        <x:v>1</x:v>
      </x:c>
      <x:c r="AX50" t="n">
        <x:v>5</x:v>
      </x:c>
      <x:c r="AY50"/>
      <x:c r="AZ50" t="n">
        <x:f>IF(('Quantification_Results'!AW50&lt;&gt;1),"",IF(('Quantification_Results'!AY50=""),IF(ISNUMBER('Quantification_Results'!AX50),IF(('Quantification_Results'!AX50&lt;'Quantification_Config'!$S$19),"",IF(('Quantification_Results'!AX50&gt;'Quantification_Config'!$T$19),"",'Quantification_Results'!AX50)),""),IF(ISNUMBER('Quantification_Results'!AY50),IF(('Quantification_Results'!AY50&lt;'Quantification_Config'!$S$19),"",IF(('Quantification_Results'!AY50&gt;'Quantification_Config'!$T$19),"",'Quantification_Results'!AY50)),"")))</x:f>
        <x:v>5</x:v>
      </x:c>
      <x:c r="BA50" t="n">
        <x:f>IF(ISNUMBER('Quantification_Results'!AZ50),IFERROR(ROUND(((('Quantification_Results'!AZ50-'Quantification_Config'!$S$19)/('Quantification_Config'!$T$19-'Quantification_Config'!$S$19))*100),'Quantification_Config'!$U$2),""),"")</x:f>
        <x:v>50</x:v>
      </x:c>
      <x:c r="BB50" t="inlineStr">
        <x:is>
          <x:t xml:space="preserve">SYSTEM-TEST-ONLY-NO-NETWORK-NOT-AN-EDUCATIONAL-EVALUATION</x:t>
        </x:is>
      </x:c>
      <x:c r="BC50" t="inlineStr">
        <x:is>
          <x:t xml:space="preserve"/>
        </x:is>
      </x:c>
      <x:c r="BD50" t="inlineStr">
        <x:is>
          <x:t xml:space="preserve">NONE</x:t>
        </x:is>
      </x:c>
      <x:c r="BE50" t="inlineStr">
        <x:is>
          <x:t xml:space="preserve"/>
        </x:is>
      </x:c>
      <x:c r="BF50" t="inlineStr">
        <x:is>
          <x:t xml:space="preserve">SUCCESS</x:t>
        </x:is>
      </x:c>
      <x:c r="BG50" t="n">
        <x:f>IF((COUNT('Quantification_Results'!BA50)=1),IFERROR(ROUND((SUM(('Quantification_Results'!BA50*'Quantification_Config'!$R$19))/SUM('Quantification_Config'!$R$19)),'Quantification_Config'!$U$2),""),"")</x:f>
        <x:v>50</x:v>
      </x:c>
      <x:c r="BH50" t="n">
        <x:f>IF((COUNT('Quantification_Results'!BG50)=1),IFERROR(ROUND((SUM(('Quantification_Results'!BG50*'Quantification_Config'!$R$18))/SUM('Quantification_Config'!$R$18)),'Quantification_Config'!$U$2),""),"")</x:f>
        <x:v>50</x:v>
      </x:c>
      <x:c r="BI50" t="n">
        <x:f>IF((COUNT('Quantification_Results'!L50,'Quantification_Results'!X50,'Quantification_Results'!AJ50,'Quantification_Results'!AV50,'Quantification_Results'!BH50)=5),IFERROR(ROUND((SUM(('Quantification_Results'!L50*'Quantification_Config'!$R$4),('Quantification_Results'!X50*'Quantification_Config'!$R$7),('Quantification_Results'!AJ50*'Quantification_Config'!$R$10),('Quantification_Results'!AV50*'Quantification_Config'!$R$13),('Quantification_Results'!BH50*'Quantification_Config'!$R$16))/SUM('Quantification_Config'!$R$4,'Quantification_Config'!$R$7,'Quantification_Config'!$R$10,'Quantification_Config'!$R$13,'Quantification_Config'!$R$16)),'Quantification_Config'!$U$2),""),"")</x:f>
        <x:v>50</x:v>
      </x:c>
    </x:row>
    <x:row r="51">
      <x:c r="A51" t="n">
        <x:v>1</x:v>
      </x:c>
      <x:c r="B51" t="n">
        <x:v>5</x:v>
      </x:c>
      <x:c r="C51"/>
      <x:c r="D51" t="n">
        <x:f>IF(('Quantification_Results'!A51&lt;&gt;1),"",IF(('Quantification_Results'!C51=""),IF(ISNUMBER('Quantification_Results'!B51),IF(('Quantification_Results'!B51&lt;'Quantification_Config'!$S$6),"",IF(('Quantification_Results'!B51&gt;'Quantification_Config'!$T$6),"",'Quantification_Results'!B51)),""),IF(ISNUMBER('Quantification_Results'!C51),IF(('Quantification_Results'!C51&lt;'Quantification_Config'!$S$6),"",IF(('Quantification_Results'!C51&gt;'Quantification_Config'!$T$6),"",'Quantification_Results'!C51)),"")))</x:f>
        <x:v>5</x:v>
      </x:c>
      <x:c r="E51" t="n">
        <x:f>IF(ISNUMBER('Quantification_Results'!D51),IFERROR(ROUND(((('Quantification_Results'!D51-'Quantification_Config'!$S$6)/('Quantification_Config'!$T$6-'Quantification_Config'!$S$6))*100),'Quantification_Config'!$U$2),""),"")</x:f>
        <x:v>50</x:v>
      </x:c>
      <x:c r="F51" t="inlineStr">
        <x:is>
          <x:t xml:space="preserve">SYSTEM-TEST-ONLY-NO-NETWORK-NOT-AN-EDUCATIONAL-EVALUATION</x:t>
        </x:is>
      </x:c>
      <x:c r="G51" t="inlineStr">
        <x:is>
          <x:t xml:space="preserve"/>
        </x:is>
      </x:c>
      <x:c r="H51" t="inlineStr">
        <x:is>
          <x:t xml:space="preserve">NONE</x:t>
        </x:is>
      </x:c>
      <x:c r="I51" t="inlineStr">
        <x:is>
          <x:t xml:space="preserve"/>
        </x:is>
      </x:c>
      <x:c r="J51" t="inlineStr">
        <x:is>
          <x:t xml:space="preserve">SUCCESS</x:t>
        </x:is>
      </x:c>
      <x:c r="K51" t="n">
        <x:f>IF((COUNT('Quantification_Results'!E51)=1),IFERROR(ROUND((SUM(('Quantification_Results'!E51*'Quantification_Config'!$R$6))/SUM('Quantification_Config'!$R$6)),'Quantification_Config'!$U$2),""),"")</x:f>
        <x:v>50</x:v>
      </x:c>
      <x:c r="L51" t="n">
        <x:f>IF((COUNT('Quantification_Results'!K51)=1),IFERROR(ROUND((SUM(('Quantification_Results'!K51*'Quantification_Config'!$R$5))/SUM('Quantification_Config'!$R$5)),'Quantification_Config'!$U$2),""),"")</x:f>
        <x:v>50</x:v>
      </x:c>
      <x:c r="M51" t="n">
        <x:v>1</x:v>
      </x:c>
      <x:c r="N51" t="n">
        <x:v>5</x:v>
      </x:c>
      <x:c r="O51"/>
      <x:c r="P51" t="n">
        <x:f>IF(('Quantification_Results'!M51&lt;&gt;1),"",IF(('Quantification_Results'!O51=""),IF(ISNUMBER('Quantification_Results'!N51),IF(('Quantification_Results'!N51&lt;'Quantification_Config'!$S$9),"",IF(('Quantification_Results'!N51&gt;'Quantification_Config'!$T$9),"",'Quantification_Results'!N51)),""),IF(ISNUMBER('Quantification_Results'!O51),IF(('Quantification_Results'!O51&lt;'Quantification_Config'!$S$9),"",IF(('Quantification_Results'!O51&gt;'Quantification_Config'!$T$9),"",'Quantification_Results'!O51)),"")))</x:f>
        <x:v>5</x:v>
      </x:c>
      <x:c r="Q51" t="n">
        <x:f>IF(ISNUMBER('Quantification_Results'!P51),IFERROR(ROUND(((('Quantification_Results'!P51-'Quantification_Config'!$S$9)/('Quantification_Config'!$T$9-'Quantification_Config'!$S$9))*100),'Quantification_Config'!$U$2),""),"")</x:f>
        <x:v>50</x:v>
      </x:c>
      <x:c r="R51" t="inlineStr">
        <x:is>
          <x:t xml:space="preserve">SYSTEM-TEST-ONLY-NO-NETWORK-NOT-AN-EDUCATIONAL-EVALUATION</x:t>
        </x:is>
      </x:c>
      <x:c r="S51" t="inlineStr">
        <x:is>
          <x:t xml:space="preserve"/>
        </x:is>
      </x:c>
      <x:c r="T51" t="inlineStr">
        <x:is>
          <x:t xml:space="preserve">NONE</x:t>
        </x:is>
      </x:c>
      <x:c r="U51" t="inlineStr">
        <x:is>
          <x:t xml:space="preserve"/>
        </x:is>
      </x:c>
      <x:c r="V51" t="inlineStr">
        <x:is>
          <x:t xml:space="preserve">SUCCESS</x:t>
        </x:is>
      </x:c>
      <x:c r="W51" t="n">
        <x:f>IF((COUNT('Quantification_Results'!Q51)=1),IFERROR(ROUND((SUM(('Quantification_Results'!Q51*'Quantification_Config'!$R$9))/SUM('Quantification_Config'!$R$9)),'Quantification_Config'!$U$2),""),"")</x:f>
        <x:v>50</x:v>
      </x:c>
      <x:c r="X51" t="n">
        <x:f>IF((COUNT('Quantification_Results'!W51)=1),IFERROR(ROUND((SUM(('Quantification_Results'!W51*'Quantification_Config'!$R$8))/SUM('Quantification_Config'!$R$8)),'Quantification_Config'!$U$2),""),"")</x:f>
        <x:v>50</x:v>
      </x:c>
      <x:c r="Y51" t="n">
        <x:v>0</x:v>
      </x:c>
      <x:c r="Z51"/>
      <x:c r="AA51"/>
      <x:c r="AB51">
        <x:f>IF(('Quantification_Results'!Y51&lt;&gt;1),"",IF(('Quantification_Results'!AA51=""),IF(ISNUMBER('Quantification_Results'!Z51),IF(('Quantification_Results'!Z51&lt;'Quantification_Config'!$S$12),"",IF(('Quantification_Results'!Z51&gt;'Quantification_Config'!$T$12),"",'Quantification_Results'!Z51)),""),IF(ISNUMBER('Quantification_Results'!AA51),IF(('Quantification_Results'!AA51&lt;'Quantification_Config'!$S$12),"",IF(('Quantification_Results'!AA51&gt;'Quantification_Config'!$T$12),"",'Quantification_Results'!AA51)),"")))</x:f>
      </x:c>
      <x:c r="AC51">
        <x:f>IF(ISNUMBER('Quantification_Results'!AB51),IFERROR(ROUND(((('Quantification_Results'!AB51-'Quantification_Config'!$S$12)/('Quantification_Config'!$T$12-'Quantification_Config'!$S$12))*100),'Quantification_Config'!$U$2),""),"")</x:f>
      </x:c>
      <x:c r="AD51" t="inlineStr">
        <x:is>
          <x:t xml:space="preserve"/>
        </x:is>
      </x:c>
      <x:c r="AE51" t="inlineStr">
        <x:is>
          <x:t xml:space="preserve"/>
        </x:is>
      </x:c>
      <x:c r="AF51" t="inlineStr">
        <x:is>
          <x:t xml:space="preserve"/>
        </x:is>
      </x:c>
      <x:c r="AG51" t="inlineStr">
        <x:is>
          <x:t xml:space="preserve"/>
        </x:is>
      </x:c>
      <x:c r="AH51" t="inlineStr">
        <x:is>
          <x:t xml:space="preserve">EMPTY</x:t>
        </x:is>
      </x:c>
      <x:c r="AI51">
        <x:f>IF((COUNT('Quantification_Results'!AC51)=1),IFERROR(ROUND((SUM(('Quantification_Results'!AC51*'Quantification_Config'!$R$12))/SUM('Quantification_Config'!$R$12)),'Quantification_Config'!$U$2),""),"")</x:f>
      </x:c>
      <x:c r="AJ51">
        <x:f>IF((COUNT('Quantification_Results'!AI51)=1),IFERROR(ROUND((SUM(('Quantification_Results'!AI51*'Quantification_Config'!$R$11))/SUM('Quantification_Config'!$R$11)),'Quantification_Config'!$U$2),""),"")</x:f>
      </x:c>
      <x:c r="AK51" t="n">
        <x:v>1</x:v>
      </x:c>
      <x:c r="AL51" t="n">
        <x:v>5</x:v>
      </x:c>
      <x:c r="AM51"/>
      <x:c r="AN51" t="n">
        <x:f>IF(('Quantification_Results'!AK51&lt;&gt;1),"",IF(('Quantification_Results'!AM51=""),IF(ISNUMBER('Quantification_Results'!AL51),IF(('Quantification_Results'!AL51&lt;'Quantification_Config'!$S$15),"",IF(('Quantification_Results'!AL51&gt;'Quantification_Config'!$T$15),"",'Quantification_Results'!AL51)),""),IF(ISNUMBER('Quantification_Results'!AM51),IF(('Quantification_Results'!AM51&lt;'Quantification_Config'!$S$15),"",IF(('Quantification_Results'!AM51&gt;'Quantification_Config'!$T$15),"",'Quantification_Results'!AM51)),"")))</x:f>
        <x:v>5</x:v>
      </x:c>
      <x:c r="AO51" t="n">
        <x:f>IF(ISNUMBER('Quantification_Results'!AN51),IFERROR(ROUND(((('Quantification_Results'!AN51-'Quantification_Config'!$S$15)/('Quantification_Config'!$T$15-'Quantification_Config'!$S$15))*100),'Quantification_Config'!$U$2),""),"")</x:f>
        <x:v>50</x:v>
      </x:c>
      <x:c r="AP51" t="inlineStr">
        <x:is>
          <x:t xml:space="preserve">SYSTEM-TEST-ONLY-NO-NETWORK-NOT-AN-EDUCATIONAL-EVALUATION</x:t>
        </x:is>
      </x:c>
      <x:c r="AQ51" t="inlineStr">
        <x:is>
          <x:t xml:space="preserve"/>
        </x:is>
      </x:c>
      <x:c r="AR51" t="inlineStr">
        <x:is>
          <x:t xml:space="preserve">NONE</x:t>
        </x:is>
      </x:c>
      <x:c r="AS51" t="inlineStr">
        <x:is>
          <x:t xml:space="preserve"/>
        </x:is>
      </x:c>
      <x:c r="AT51" t="inlineStr">
        <x:is>
          <x:t xml:space="preserve">SUCCESS</x:t>
        </x:is>
      </x:c>
      <x:c r="AU51" t="n">
        <x:f>IF((COUNT('Quantification_Results'!AO51)=1),IFERROR(ROUND((SUM(('Quantification_Results'!AO51*'Quantification_Config'!$R$15))/SUM('Quantification_Config'!$R$15)),'Quantification_Config'!$U$2),""),"")</x:f>
        <x:v>50</x:v>
      </x:c>
      <x:c r="AV51" t="n">
        <x:f>IF((COUNT('Quantification_Results'!AU51)=1),IFERROR(ROUND((SUM(('Quantification_Results'!AU51*'Quantification_Config'!$R$14))/SUM('Quantification_Config'!$R$14)),'Quantification_Config'!$U$2),""),"")</x:f>
        <x:v>50</x:v>
      </x:c>
      <x:c r="AW51" t="n">
        <x:v>1</x:v>
      </x:c>
      <x:c r="AX51" t="n">
        <x:v>5</x:v>
      </x:c>
      <x:c r="AY51"/>
      <x:c r="AZ51" t="n">
        <x:f>IF(('Quantification_Results'!AW51&lt;&gt;1),"",IF(('Quantification_Results'!AY51=""),IF(ISNUMBER('Quantification_Results'!AX51),IF(('Quantification_Results'!AX51&lt;'Quantification_Config'!$S$19),"",IF(('Quantification_Results'!AX51&gt;'Quantification_Config'!$T$19),"",'Quantification_Results'!AX51)),""),IF(ISNUMBER('Quantification_Results'!AY51),IF(('Quantification_Results'!AY51&lt;'Quantification_Config'!$S$19),"",IF(('Quantification_Results'!AY51&gt;'Quantification_Config'!$T$19),"",'Quantification_Results'!AY51)),"")))</x:f>
        <x:v>5</x:v>
      </x:c>
      <x:c r="BA51" t="n">
        <x:f>IF(ISNUMBER('Quantification_Results'!AZ51),IFERROR(ROUND(((('Quantification_Results'!AZ51-'Quantification_Config'!$S$19)/('Quantification_Config'!$T$19-'Quantification_Config'!$S$19))*100),'Quantification_Config'!$U$2),""),"")</x:f>
        <x:v>50</x:v>
      </x:c>
      <x:c r="BB51" t="inlineStr">
        <x:is>
          <x:t xml:space="preserve">SYSTEM-TEST-ONLY-NO-NETWORK-NOT-AN-EDUCATIONAL-EVALUATION</x:t>
        </x:is>
      </x:c>
      <x:c r="BC51" t="inlineStr">
        <x:is>
          <x:t xml:space="preserve"/>
        </x:is>
      </x:c>
      <x:c r="BD51" t="inlineStr">
        <x:is>
          <x:t xml:space="preserve">NONE</x:t>
        </x:is>
      </x:c>
      <x:c r="BE51" t="inlineStr">
        <x:is>
          <x:t xml:space="preserve"/>
        </x:is>
      </x:c>
      <x:c r="BF51" t="inlineStr">
        <x:is>
          <x:t xml:space="preserve">SUCCESS</x:t>
        </x:is>
      </x:c>
      <x:c r="BG51" t="n">
        <x:f>IF((COUNT('Quantification_Results'!BA51)=1),IFERROR(ROUND((SUM(('Quantification_Results'!BA51*'Quantification_Config'!$R$19))/SUM('Quantification_Config'!$R$19)),'Quantification_Config'!$U$2),""),"")</x:f>
        <x:v>50</x:v>
      </x:c>
      <x:c r="BH51" t="n">
        <x:f>IF((COUNT('Quantification_Results'!BG51)=1),IFERROR(ROUND((SUM(('Quantification_Results'!BG51*'Quantification_Config'!$R$18))/SUM('Quantification_Config'!$R$18)),'Quantification_Config'!$U$2),""),"")</x:f>
        <x:v>50</x:v>
      </x:c>
      <x:c r="BI51">
        <x:f>IF((COUNT('Quantification_Results'!L51,'Quantification_Results'!X51,'Quantification_Results'!AJ51,'Quantification_Results'!AV51,'Quantification_Results'!BH51)=5),IFERROR(ROUND((SUM(('Quantification_Results'!L51*'Quantification_Config'!$R$4),('Quantification_Results'!X51*'Quantification_Config'!$R$7),('Quantification_Results'!AJ51*'Quantification_Config'!$R$10),('Quantification_Results'!AV51*'Quantification_Config'!$R$13),('Quantification_Results'!BH51*'Quantification_Config'!$R$16))/SUM('Quantification_Config'!$R$4,'Quantification_Config'!$R$7,'Quantification_Config'!$R$10,'Quantification_Config'!$R$13,'Quantification_Config'!$R$16)),'Quantification_Config'!$U$2),""),"")</x:f>
      </x:c>
    </x:row>
    <x:row r="52">
      <x:c r="A52" t="n">
        <x:v>1</x:v>
      </x:c>
      <x:c r="B52" t="n">
        <x:v>5</x:v>
      </x:c>
      <x:c r="C52"/>
      <x:c r="D52" t="n">
        <x:f>IF(('Quantification_Results'!A52&lt;&gt;1),"",IF(('Quantification_Results'!C52=""),IF(ISNUMBER('Quantification_Results'!B52),IF(('Quantification_Results'!B52&lt;'Quantification_Config'!$S$6),"",IF(('Quantification_Results'!B52&gt;'Quantification_Config'!$T$6),"",'Quantification_Results'!B52)),""),IF(ISNUMBER('Quantification_Results'!C52),IF(('Quantification_Results'!C52&lt;'Quantification_Config'!$S$6),"",IF(('Quantification_Results'!C52&gt;'Quantification_Config'!$T$6),"",'Quantification_Results'!C52)),"")))</x:f>
        <x:v>5</x:v>
      </x:c>
      <x:c r="E52" t="n">
        <x:f>IF(ISNUMBER('Quantification_Results'!D52),IFERROR(ROUND(((('Quantification_Results'!D52-'Quantification_Config'!$S$6)/('Quantification_Config'!$T$6-'Quantification_Config'!$S$6))*100),'Quantification_Config'!$U$2),""),"")</x:f>
        <x:v>50</x:v>
      </x:c>
      <x:c r="F52" t="inlineStr">
        <x:is>
          <x:t xml:space="preserve">SYSTEM-TEST-ONLY-NO-NETWORK-NOT-AN-EDUCATIONAL-EVALUATION</x:t>
        </x:is>
      </x:c>
      <x:c r="G52" t="inlineStr">
        <x:is>
          <x:t xml:space="preserve"/>
        </x:is>
      </x:c>
      <x:c r="H52" t="inlineStr">
        <x:is>
          <x:t xml:space="preserve">NONE</x:t>
        </x:is>
      </x:c>
      <x:c r="I52" t="inlineStr">
        <x:is>
          <x:t xml:space="preserve"/>
        </x:is>
      </x:c>
      <x:c r="J52" t="inlineStr">
        <x:is>
          <x:t xml:space="preserve">SUCCESS</x:t>
        </x:is>
      </x:c>
      <x:c r="K52" t="n">
        <x:f>IF((COUNT('Quantification_Results'!E52)=1),IFERROR(ROUND((SUM(('Quantification_Results'!E52*'Quantification_Config'!$R$6))/SUM('Quantification_Config'!$R$6)),'Quantification_Config'!$U$2),""),"")</x:f>
        <x:v>50</x:v>
      </x:c>
      <x:c r="L52" t="n">
        <x:f>IF((COUNT('Quantification_Results'!K52)=1),IFERROR(ROUND((SUM(('Quantification_Results'!K52*'Quantification_Config'!$R$5))/SUM('Quantification_Config'!$R$5)),'Quantification_Config'!$U$2),""),"")</x:f>
        <x:v>50</x:v>
      </x:c>
      <x:c r="M52" t="n">
        <x:v>1</x:v>
      </x:c>
      <x:c r="N52" t="n">
        <x:v>5</x:v>
      </x:c>
      <x:c r="O52"/>
      <x:c r="P52" t="n">
        <x:f>IF(('Quantification_Results'!M52&lt;&gt;1),"",IF(('Quantification_Results'!O52=""),IF(ISNUMBER('Quantification_Results'!N52),IF(('Quantification_Results'!N52&lt;'Quantification_Config'!$S$9),"",IF(('Quantification_Results'!N52&gt;'Quantification_Config'!$T$9),"",'Quantification_Results'!N52)),""),IF(ISNUMBER('Quantification_Results'!O52),IF(('Quantification_Results'!O52&lt;'Quantification_Config'!$S$9),"",IF(('Quantification_Results'!O52&gt;'Quantification_Config'!$T$9),"",'Quantification_Results'!O52)),"")))</x:f>
        <x:v>5</x:v>
      </x:c>
      <x:c r="Q52" t="n">
        <x:f>IF(ISNUMBER('Quantification_Results'!P52),IFERROR(ROUND(((('Quantification_Results'!P52-'Quantification_Config'!$S$9)/('Quantification_Config'!$T$9-'Quantification_Config'!$S$9))*100),'Quantification_Config'!$U$2),""),"")</x:f>
        <x:v>50</x:v>
      </x:c>
      <x:c r="R52" t="inlineStr">
        <x:is>
          <x:t xml:space="preserve">SYSTEM-TEST-ONLY-NO-NETWORK-NOT-AN-EDUCATIONAL-EVALUATION</x:t>
        </x:is>
      </x:c>
      <x:c r="S52" t="inlineStr">
        <x:is>
          <x:t xml:space="preserve"/>
        </x:is>
      </x:c>
      <x:c r="T52" t="inlineStr">
        <x:is>
          <x:t xml:space="preserve">NONE</x:t>
        </x:is>
      </x:c>
      <x:c r="U52" t="inlineStr">
        <x:is>
          <x:t xml:space="preserve"/>
        </x:is>
      </x:c>
      <x:c r="V52" t="inlineStr">
        <x:is>
          <x:t xml:space="preserve">SUCCESS</x:t>
        </x:is>
      </x:c>
      <x:c r="W52" t="n">
        <x:f>IF((COUNT('Quantification_Results'!Q52)=1),IFERROR(ROUND((SUM(('Quantification_Results'!Q52*'Quantification_Config'!$R$9))/SUM('Quantification_Config'!$R$9)),'Quantification_Config'!$U$2),""),"")</x:f>
        <x:v>50</x:v>
      </x:c>
      <x:c r="X52" t="n">
        <x:f>IF((COUNT('Quantification_Results'!W52)=1),IFERROR(ROUND((SUM(('Quantification_Results'!W52*'Quantification_Config'!$R$8))/SUM('Quantification_Config'!$R$8)),'Quantification_Config'!$U$2),""),"")</x:f>
        <x:v>50</x:v>
      </x:c>
      <x:c r="Y52" t="n">
        <x:v>1</x:v>
      </x:c>
      <x:c r="Z52" t="n">
        <x:v>5</x:v>
      </x:c>
      <x:c r="AA52"/>
      <x:c r="AB52" t="n">
        <x:f>IF(('Quantification_Results'!Y52&lt;&gt;1),"",IF(('Quantification_Results'!AA52=""),IF(ISNUMBER('Quantification_Results'!Z52),IF(('Quantification_Results'!Z52&lt;'Quantification_Config'!$S$12),"",IF(('Quantification_Results'!Z52&gt;'Quantification_Config'!$T$12),"",'Quantification_Results'!Z52)),""),IF(ISNUMBER('Quantification_Results'!AA52),IF(('Quantification_Results'!AA52&lt;'Quantification_Config'!$S$12),"",IF(('Quantification_Results'!AA52&gt;'Quantification_Config'!$T$12),"",'Quantification_Results'!AA52)),"")))</x:f>
        <x:v>5</x:v>
      </x:c>
      <x:c r="AC52" t="n">
        <x:f>IF(ISNUMBER('Quantification_Results'!AB52),IFERROR(ROUND(((('Quantification_Results'!AB52-'Quantification_Config'!$S$12)/('Quantification_Config'!$T$12-'Quantification_Config'!$S$12))*100),'Quantification_Config'!$U$2),""),"")</x:f>
        <x:v>50</x:v>
      </x:c>
      <x:c r="AD52" t="inlineStr">
        <x:is>
          <x:t xml:space="preserve">SYSTEM-TEST-ONLY-NO-NETWORK-NOT-AN-EDUCATIONAL-EVALUATION</x:t>
        </x:is>
      </x:c>
      <x:c r="AE52" t="inlineStr">
        <x:is>
          <x:t xml:space="preserve"/>
        </x:is>
      </x:c>
      <x:c r="AF52" t="inlineStr">
        <x:is>
          <x:t xml:space="preserve">NONE</x:t>
        </x:is>
      </x:c>
      <x:c r="AG52" t="inlineStr">
        <x:is>
          <x:t xml:space="preserve"/>
        </x:is>
      </x:c>
      <x:c r="AH52" t="inlineStr">
        <x:is>
          <x:t xml:space="preserve">SUCCESS</x:t>
        </x:is>
      </x:c>
      <x:c r="AI52" t="n">
        <x:f>IF((COUNT('Quantification_Results'!AC52)=1),IFERROR(ROUND((SUM(('Quantification_Results'!AC52*'Quantification_Config'!$R$12))/SUM('Quantification_Config'!$R$12)),'Quantification_Config'!$U$2),""),"")</x:f>
        <x:v>50</x:v>
      </x:c>
      <x:c r="AJ52" t="n">
        <x:f>IF((COUNT('Quantification_Results'!AI52)=1),IFERROR(ROUND((SUM(('Quantification_Results'!AI52*'Quantification_Config'!$R$11))/SUM('Quantification_Config'!$R$11)),'Quantification_Config'!$U$2),""),"")</x:f>
        <x:v>50</x:v>
      </x:c>
      <x:c r="AK52" t="n">
        <x:v>1</x:v>
      </x:c>
      <x:c r="AL52" t="n">
        <x:v>5</x:v>
      </x:c>
      <x:c r="AM52"/>
      <x:c r="AN52" t="n">
        <x:f>IF(('Quantification_Results'!AK52&lt;&gt;1),"",IF(('Quantification_Results'!AM52=""),IF(ISNUMBER('Quantification_Results'!AL52),IF(('Quantification_Results'!AL52&lt;'Quantification_Config'!$S$15),"",IF(('Quantification_Results'!AL52&gt;'Quantification_Config'!$T$15),"",'Quantification_Results'!AL52)),""),IF(ISNUMBER('Quantification_Results'!AM52),IF(('Quantification_Results'!AM52&lt;'Quantification_Config'!$S$15),"",IF(('Quantification_Results'!AM52&gt;'Quantification_Config'!$T$15),"",'Quantification_Results'!AM52)),"")))</x:f>
        <x:v>5</x:v>
      </x:c>
      <x:c r="AO52" t="n">
        <x:f>IF(ISNUMBER('Quantification_Results'!AN52),IFERROR(ROUND(((('Quantification_Results'!AN52-'Quantification_Config'!$S$15)/('Quantification_Config'!$T$15-'Quantification_Config'!$S$15))*100),'Quantification_Config'!$U$2),""),"")</x:f>
        <x:v>50</x:v>
      </x:c>
      <x:c r="AP52" t="inlineStr">
        <x:is>
          <x:t xml:space="preserve">SYSTEM-TEST-ONLY-NO-NETWORK-NOT-AN-EDUCATIONAL-EVALUATION</x:t>
        </x:is>
      </x:c>
      <x:c r="AQ52" t="inlineStr">
        <x:is>
          <x:t xml:space="preserve"/>
        </x:is>
      </x:c>
      <x:c r="AR52" t="inlineStr">
        <x:is>
          <x:t xml:space="preserve">NONE</x:t>
        </x:is>
      </x:c>
      <x:c r="AS52" t="inlineStr">
        <x:is>
          <x:t xml:space="preserve"/>
        </x:is>
      </x:c>
      <x:c r="AT52" t="inlineStr">
        <x:is>
          <x:t xml:space="preserve">SUCCESS</x:t>
        </x:is>
      </x:c>
      <x:c r="AU52" t="n">
        <x:f>IF((COUNT('Quantification_Results'!AO52)=1),IFERROR(ROUND((SUM(('Quantification_Results'!AO52*'Quantification_Config'!$R$15))/SUM('Quantification_Config'!$R$15)),'Quantification_Config'!$U$2),""),"")</x:f>
        <x:v>50</x:v>
      </x:c>
      <x:c r="AV52" t="n">
        <x:f>IF((COUNT('Quantification_Results'!AU52)=1),IFERROR(ROUND((SUM(('Quantification_Results'!AU52*'Quantification_Config'!$R$14))/SUM('Quantification_Config'!$R$14)),'Quantification_Config'!$U$2),""),"")</x:f>
        <x:v>50</x:v>
      </x:c>
      <x:c r="AW52" t="n">
        <x:v>1</x:v>
      </x:c>
      <x:c r="AX52" t="n">
        <x:v>5</x:v>
      </x:c>
      <x:c r="AY52"/>
      <x:c r="AZ52" t="n">
        <x:f>IF(('Quantification_Results'!AW52&lt;&gt;1),"",IF(('Quantification_Results'!AY52=""),IF(ISNUMBER('Quantification_Results'!AX52),IF(('Quantification_Results'!AX52&lt;'Quantification_Config'!$S$19),"",IF(('Quantification_Results'!AX52&gt;'Quantification_Config'!$T$19),"",'Quantification_Results'!AX52)),""),IF(ISNUMBER('Quantification_Results'!AY52),IF(('Quantification_Results'!AY52&lt;'Quantification_Config'!$S$19),"",IF(('Quantification_Results'!AY52&gt;'Quantification_Config'!$T$19),"",'Quantification_Results'!AY52)),"")))</x:f>
        <x:v>5</x:v>
      </x:c>
      <x:c r="BA52" t="n">
        <x:f>IF(ISNUMBER('Quantification_Results'!AZ52),IFERROR(ROUND(((('Quantification_Results'!AZ52-'Quantification_Config'!$S$19)/('Quantification_Config'!$T$19-'Quantification_Config'!$S$19))*100),'Quantification_Config'!$U$2),""),"")</x:f>
        <x:v>50</x:v>
      </x:c>
      <x:c r="BB52" t="inlineStr">
        <x:is>
          <x:t xml:space="preserve">SYSTEM-TEST-ONLY-NO-NETWORK-NOT-AN-EDUCATIONAL-EVALUATION</x:t>
        </x:is>
      </x:c>
      <x:c r="BC52" t="inlineStr">
        <x:is>
          <x:t xml:space="preserve"/>
        </x:is>
      </x:c>
      <x:c r="BD52" t="inlineStr">
        <x:is>
          <x:t xml:space="preserve">NONE</x:t>
        </x:is>
      </x:c>
      <x:c r="BE52" t="inlineStr">
        <x:is>
          <x:t xml:space="preserve"/>
        </x:is>
      </x:c>
      <x:c r="BF52" t="inlineStr">
        <x:is>
          <x:t xml:space="preserve">SUCCESS</x:t>
        </x:is>
      </x:c>
      <x:c r="BG52" t="n">
        <x:f>IF((COUNT('Quantification_Results'!BA52)=1),IFERROR(ROUND((SUM(('Quantification_Results'!BA52*'Quantification_Config'!$R$19))/SUM('Quantification_Config'!$R$19)),'Quantification_Config'!$U$2),""),"")</x:f>
        <x:v>50</x:v>
      </x:c>
      <x:c r="BH52" t="n">
        <x:f>IF((COUNT('Quantification_Results'!BG52)=1),IFERROR(ROUND((SUM(('Quantification_Results'!BG52*'Quantification_Config'!$R$18))/SUM('Quantification_Config'!$R$18)),'Quantification_Config'!$U$2),""),"")</x:f>
        <x:v>50</x:v>
      </x:c>
      <x:c r="BI52" t="n">
        <x:f>IF((COUNT('Quantification_Results'!L52,'Quantification_Results'!X52,'Quantification_Results'!AJ52,'Quantification_Results'!AV52,'Quantification_Results'!BH52)=5),IFERROR(ROUND((SUM(('Quantification_Results'!L52*'Quantification_Config'!$R$4),('Quantification_Results'!X52*'Quantification_Config'!$R$7),('Quantification_Results'!AJ52*'Quantification_Config'!$R$10),('Quantification_Results'!AV52*'Quantification_Config'!$R$13),('Quantification_Results'!BH52*'Quantification_Config'!$R$16))/SUM('Quantification_Config'!$R$4,'Quantification_Config'!$R$7,'Quantification_Config'!$R$10,'Quantification_Config'!$R$13,'Quantification_Config'!$R$16)),'Quantification_Config'!$U$2),""),"")</x:f>
        <x:v>50</x:v>
      </x:c>
    </x:row>
    <x:row r="53">
      <x:c r="A53" t="n">
        <x:v>1</x:v>
      </x:c>
      <x:c r="B53" t="n">
        <x:v>5</x:v>
      </x:c>
      <x:c r="C53"/>
      <x:c r="D53" t="n">
        <x:f>IF(('Quantification_Results'!A53&lt;&gt;1),"",IF(('Quantification_Results'!C53=""),IF(ISNUMBER('Quantification_Results'!B53),IF(('Quantification_Results'!B53&lt;'Quantification_Config'!$S$6),"",IF(('Quantification_Results'!B53&gt;'Quantification_Config'!$T$6),"",'Quantification_Results'!B53)),""),IF(ISNUMBER('Quantification_Results'!C53),IF(('Quantification_Results'!C53&lt;'Quantification_Config'!$S$6),"",IF(('Quantification_Results'!C53&gt;'Quantification_Config'!$T$6),"",'Quantification_Results'!C53)),"")))</x:f>
        <x:v>5</x:v>
      </x:c>
      <x:c r="E53" t="n">
        <x:f>IF(ISNUMBER('Quantification_Results'!D53),IFERROR(ROUND(((('Quantification_Results'!D53-'Quantification_Config'!$S$6)/('Quantification_Config'!$T$6-'Quantification_Config'!$S$6))*100),'Quantification_Config'!$U$2),""),"")</x:f>
        <x:v>50</x:v>
      </x:c>
      <x:c r="F53" t="inlineStr">
        <x:is>
          <x:t xml:space="preserve">SYSTEM-TEST-ONLY-NO-NETWORK-NOT-AN-EDUCATIONAL-EVALUATION</x:t>
        </x:is>
      </x:c>
      <x:c r="G53" t="inlineStr">
        <x:is>
          <x:t xml:space="preserve"/>
        </x:is>
      </x:c>
      <x:c r="H53" t="inlineStr">
        <x:is>
          <x:t xml:space="preserve">NONE</x:t>
        </x:is>
      </x:c>
      <x:c r="I53" t="inlineStr">
        <x:is>
          <x:t xml:space="preserve"/>
        </x:is>
      </x:c>
      <x:c r="J53" t="inlineStr">
        <x:is>
          <x:t xml:space="preserve">SUCCESS</x:t>
        </x:is>
      </x:c>
      <x:c r="K53" t="n">
        <x:f>IF((COUNT('Quantification_Results'!E53)=1),IFERROR(ROUND((SUM(('Quantification_Results'!E53*'Quantification_Config'!$R$6))/SUM('Quantification_Config'!$R$6)),'Quantification_Config'!$U$2),""),"")</x:f>
        <x:v>50</x:v>
      </x:c>
      <x:c r="L53" t="n">
        <x:f>IF((COUNT('Quantification_Results'!K53)=1),IFERROR(ROUND((SUM(('Quantification_Results'!K53*'Quantification_Config'!$R$5))/SUM('Quantification_Config'!$R$5)),'Quantification_Config'!$U$2),""),"")</x:f>
        <x:v>50</x:v>
      </x:c>
      <x:c r="M53" t="n">
        <x:v>1</x:v>
      </x:c>
      <x:c r="N53" t="n">
        <x:v>5</x:v>
      </x:c>
      <x:c r="O53"/>
      <x:c r="P53" t="n">
        <x:f>IF(('Quantification_Results'!M53&lt;&gt;1),"",IF(('Quantification_Results'!O53=""),IF(ISNUMBER('Quantification_Results'!N53),IF(('Quantification_Results'!N53&lt;'Quantification_Config'!$S$9),"",IF(('Quantification_Results'!N53&gt;'Quantification_Config'!$T$9),"",'Quantification_Results'!N53)),""),IF(ISNUMBER('Quantification_Results'!O53),IF(('Quantification_Results'!O53&lt;'Quantification_Config'!$S$9),"",IF(('Quantification_Results'!O53&gt;'Quantification_Config'!$T$9),"",'Quantification_Results'!O53)),"")))</x:f>
        <x:v>5</x:v>
      </x:c>
      <x:c r="Q53" t="n">
        <x:f>IF(ISNUMBER('Quantification_Results'!P53),IFERROR(ROUND(((('Quantification_Results'!P53-'Quantification_Config'!$S$9)/('Quantification_Config'!$T$9-'Quantification_Config'!$S$9))*100),'Quantification_Config'!$U$2),""),"")</x:f>
        <x:v>50</x:v>
      </x:c>
      <x:c r="R53" t="inlineStr">
        <x:is>
          <x:t xml:space="preserve">SYSTEM-TEST-ONLY-NO-NETWORK-NOT-AN-EDUCATIONAL-EVALUATION</x:t>
        </x:is>
      </x:c>
      <x:c r="S53" t="inlineStr">
        <x:is>
          <x:t xml:space="preserve"/>
        </x:is>
      </x:c>
      <x:c r="T53" t="inlineStr">
        <x:is>
          <x:t xml:space="preserve">NONE</x:t>
        </x:is>
      </x:c>
      <x:c r="U53" t="inlineStr">
        <x:is>
          <x:t xml:space="preserve"/>
        </x:is>
      </x:c>
      <x:c r="V53" t="inlineStr">
        <x:is>
          <x:t xml:space="preserve">SUCCESS</x:t>
        </x:is>
      </x:c>
      <x:c r="W53" t="n">
        <x:f>IF((COUNT('Quantification_Results'!Q53)=1),IFERROR(ROUND((SUM(('Quantification_Results'!Q53*'Quantification_Config'!$R$9))/SUM('Quantification_Config'!$R$9)),'Quantification_Config'!$U$2),""),"")</x:f>
        <x:v>50</x:v>
      </x:c>
      <x:c r="X53" t="n">
        <x:f>IF((COUNT('Quantification_Results'!W53)=1),IFERROR(ROUND((SUM(('Quantification_Results'!W53*'Quantification_Config'!$R$8))/SUM('Quantification_Config'!$R$8)),'Quantification_Config'!$U$2),""),"")</x:f>
        <x:v>50</x:v>
      </x:c>
      <x:c r="Y53" t="n">
        <x:v>0</x:v>
      </x:c>
      <x:c r="Z53"/>
      <x:c r="AA53"/>
      <x:c r="AB53">
        <x:f>IF(('Quantification_Results'!Y53&lt;&gt;1),"",IF(('Quantification_Results'!AA53=""),IF(ISNUMBER('Quantification_Results'!Z53),IF(('Quantification_Results'!Z53&lt;'Quantification_Config'!$S$12),"",IF(('Quantification_Results'!Z53&gt;'Quantification_Config'!$T$12),"",'Quantification_Results'!Z53)),""),IF(ISNUMBER('Quantification_Results'!AA53),IF(('Quantification_Results'!AA53&lt;'Quantification_Config'!$S$12),"",IF(('Quantification_Results'!AA53&gt;'Quantification_Config'!$T$12),"",'Quantification_Results'!AA53)),"")))</x:f>
      </x:c>
      <x:c r="AC53">
        <x:f>IF(ISNUMBER('Quantification_Results'!AB53),IFERROR(ROUND(((('Quantification_Results'!AB53-'Quantification_Config'!$S$12)/('Quantification_Config'!$T$12-'Quantification_Config'!$S$12))*100),'Quantification_Config'!$U$2),""),"")</x:f>
      </x:c>
      <x:c r="AD53" t="inlineStr">
        <x:is>
          <x:t xml:space="preserve"/>
        </x:is>
      </x:c>
      <x:c r="AE53" t="inlineStr">
        <x:is>
          <x:t xml:space="preserve"/>
        </x:is>
      </x:c>
      <x:c r="AF53" t="inlineStr">
        <x:is>
          <x:t xml:space="preserve"/>
        </x:is>
      </x:c>
      <x:c r="AG53" t="inlineStr">
        <x:is>
          <x:t xml:space="preserve"/>
        </x:is>
      </x:c>
      <x:c r="AH53" t="inlineStr">
        <x:is>
          <x:t xml:space="preserve">EMPTY</x:t>
        </x:is>
      </x:c>
      <x:c r="AI53">
        <x:f>IF((COUNT('Quantification_Results'!AC53)=1),IFERROR(ROUND((SUM(('Quantification_Results'!AC53*'Quantification_Config'!$R$12))/SUM('Quantification_Config'!$R$12)),'Quantification_Config'!$U$2),""),"")</x:f>
      </x:c>
      <x:c r="AJ53">
        <x:f>IF((COUNT('Quantification_Results'!AI53)=1),IFERROR(ROUND((SUM(('Quantification_Results'!AI53*'Quantification_Config'!$R$11))/SUM('Quantification_Config'!$R$11)),'Quantification_Config'!$U$2),""),"")</x:f>
      </x:c>
      <x:c r="AK53" t="n">
        <x:v>1</x:v>
      </x:c>
      <x:c r="AL53" t="n">
        <x:v>5</x:v>
      </x:c>
      <x:c r="AM53"/>
      <x:c r="AN53" t="n">
        <x:f>IF(('Quantification_Results'!AK53&lt;&gt;1),"",IF(('Quantification_Results'!AM53=""),IF(ISNUMBER('Quantification_Results'!AL53),IF(('Quantification_Results'!AL53&lt;'Quantification_Config'!$S$15),"",IF(('Quantification_Results'!AL53&gt;'Quantification_Config'!$T$15),"",'Quantification_Results'!AL53)),""),IF(ISNUMBER('Quantification_Results'!AM53),IF(('Quantification_Results'!AM53&lt;'Quantification_Config'!$S$15),"",IF(('Quantification_Results'!AM53&gt;'Quantification_Config'!$T$15),"",'Quantification_Results'!AM53)),"")))</x:f>
        <x:v>5</x:v>
      </x:c>
      <x:c r="AO53" t="n">
        <x:f>IF(ISNUMBER('Quantification_Results'!AN53),IFERROR(ROUND(((('Quantification_Results'!AN53-'Quantification_Config'!$S$15)/('Quantification_Config'!$T$15-'Quantification_Config'!$S$15))*100),'Quantification_Config'!$U$2),""),"")</x:f>
        <x:v>50</x:v>
      </x:c>
      <x:c r="AP53" t="inlineStr">
        <x:is>
          <x:t xml:space="preserve">SYSTEM-TEST-ONLY-NO-NETWORK-NOT-AN-EDUCATIONAL-EVALUATION</x:t>
        </x:is>
      </x:c>
      <x:c r="AQ53" t="inlineStr">
        <x:is>
          <x:t xml:space="preserve"/>
        </x:is>
      </x:c>
      <x:c r="AR53" t="inlineStr">
        <x:is>
          <x:t xml:space="preserve">NONE</x:t>
        </x:is>
      </x:c>
      <x:c r="AS53" t="inlineStr">
        <x:is>
          <x:t xml:space="preserve"/>
        </x:is>
      </x:c>
      <x:c r="AT53" t="inlineStr">
        <x:is>
          <x:t xml:space="preserve">SUCCESS</x:t>
        </x:is>
      </x:c>
      <x:c r="AU53" t="n">
        <x:f>IF((COUNT('Quantification_Results'!AO53)=1),IFERROR(ROUND((SUM(('Quantification_Results'!AO53*'Quantification_Config'!$R$15))/SUM('Quantification_Config'!$R$15)),'Quantification_Config'!$U$2),""),"")</x:f>
        <x:v>50</x:v>
      </x:c>
      <x:c r="AV53" t="n">
        <x:f>IF((COUNT('Quantification_Results'!AU53)=1),IFERROR(ROUND((SUM(('Quantification_Results'!AU53*'Quantification_Config'!$R$14))/SUM('Quantification_Config'!$R$14)),'Quantification_Config'!$U$2),""),"")</x:f>
        <x:v>50</x:v>
      </x:c>
      <x:c r="AW53" t="n">
        <x:v>1</x:v>
      </x:c>
      <x:c r="AX53" t="n">
        <x:v>5</x:v>
      </x:c>
      <x:c r="AY53"/>
      <x:c r="AZ53" t="n">
        <x:f>IF(('Quantification_Results'!AW53&lt;&gt;1),"",IF(('Quantification_Results'!AY53=""),IF(ISNUMBER('Quantification_Results'!AX53),IF(('Quantification_Results'!AX53&lt;'Quantification_Config'!$S$19),"",IF(('Quantification_Results'!AX53&gt;'Quantification_Config'!$T$19),"",'Quantification_Results'!AX53)),""),IF(ISNUMBER('Quantification_Results'!AY53),IF(('Quantification_Results'!AY53&lt;'Quantification_Config'!$S$19),"",IF(('Quantification_Results'!AY53&gt;'Quantification_Config'!$T$19),"",'Quantification_Results'!AY53)),"")))</x:f>
        <x:v>5</x:v>
      </x:c>
      <x:c r="BA53" t="n">
        <x:f>IF(ISNUMBER('Quantification_Results'!AZ53),IFERROR(ROUND(((('Quantification_Results'!AZ53-'Quantification_Config'!$S$19)/('Quantification_Config'!$T$19-'Quantification_Config'!$S$19))*100),'Quantification_Config'!$U$2),""),"")</x:f>
        <x:v>50</x:v>
      </x:c>
      <x:c r="BB53" t="inlineStr">
        <x:is>
          <x:t xml:space="preserve">SYSTEM-TEST-ONLY-NO-NETWORK-NOT-AN-EDUCATIONAL-EVALUATION</x:t>
        </x:is>
      </x:c>
      <x:c r="BC53" t="inlineStr">
        <x:is>
          <x:t xml:space="preserve"/>
        </x:is>
      </x:c>
      <x:c r="BD53" t="inlineStr">
        <x:is>
          <x:t xml:space="preserve">NONE</x:t>
        </x:is>
      </x:c>
      <x:c r="BE53" t="inlineStr">
        <x:is>
          <x:t xml:space="preserve"/>
        </x:is>
      </x:c>
      <x:c r="BF53" t="inlineStr">
        <x:is>
          <x:t xml:space="preserve">SUCCESS</x:t>
        </x:is>
      </x:c>
      <x:c r="BG53" t="n">
        <x:f>IF((COUNT('Quantification_Results'!BA53)=1),IFERROR(ROUND((SUM(('Quantification_Results'!BA53*'Quantification_Config'!$R$19))/SUM('Quantification_Config'!$R$19)),'Quantification_Config'!$U$2),""),"")</x:f>
        <x:v>50</x:v>
      </x:c>
      <x:c r="BH53" t="n">
        <x:f>IF((COUNT('Quantification_Results'!BG53)=1),IFERROR(ROUND((SUM(('Quantification_Results'!BG53*'Quantification_Config'!$R$18))/SUM('Quantification_Config'!$R$18)),'Quantification_Config'!$U$2),""),"")</x:f>
        <x:v>50</x:v>
      </x:c>
      <x:c r="BI53">
        <x:f>IF((COUNT('Quantification_Results'!L53,'Quantification_Results'!X53,'Quantification_Results'!AJ53,'Quantification_Results'!AV53,'Quantification_Results'!BH53)=5),IFERROR(ROUND((SUM(('Quantification_Results'!L53*'Quantification_Config'!$R$4),('Quantification_Results'!X53*'Quantification_Config'!$R$7),('Quantification_Results'!AJ53*'Quantification_Config'!$R$10),('Quantification_Results'!AV53*'Quantification_Config'!$R$13),('Quantification_Results'!BH53*'Quantification_Config'!$R$16))/SUM('Quantification_Config'!$R$4,'Quantification_Config'!$R$7,'Quantification_Config'!$R$10,'Quantification_Config'!$R$13,'Quantification_Config'!$R$16)),'Quantification_Config'!$U$2),""),"")</x:f>
      </x:c>
    </x:row>
    <x:row r="54">
      <x:c r="A54" t="n">
        <x:v>1</x:v>
      </x:c>
      <x:c r="B54" t="n">
        <x:v>5</x:v>
      </x:c>
      <x:c r="C54"/>
      <x:c r="D54" t="n">
        <x:f>IF(('Quantification_Results'!A54&lt;&gt;1),"",IF(('Quantification_Results'!C54=""),IF(ISNUMBER('Quantification_Results'!B54),IF(('Quantification_Results'!B54&lt;'Quantification_Config'!$S$6),"",IF(('Quantification_Results'!B54&gt;'Quantification_Config'!$T$6),"",'Quantification_Results'!B54)),""),IF(ISNUMBER('Quantification_Results'!C54),IF(('Quantification_Results'!C54&lt;'Quantification_Config'!$S$6),"",IF(('Quantification_Results'!C54&gt;'Quantification_Config'!$T$6),"",'Quantification_Results'!C54)),"")))</x:f>
        <x:v>5</x:v>
      </x:c>
      <x:c r="E54" t="n">
        <x:f>IF(ISNUMBER('Quantification_Results'!D54),IFERROR(ROUND(((('Quantification_Results'!D54-'Quantification_Config'!$S$6)/('Quantification_Config'!$T$6-'Quantification_Config'!$S$6))*100),'Quantification_Config'!$U$2),""),"")</x:f>
        <x:v>50</x:v>
      </x:c>
      <x:c r="F54" t="inlineStr">
        <x:is>
          <x:t xml:space="preserve">SYSTEM-TEST-ONLY-NO-NETWORK-NOT-AN-EDUCATIONAL-EVALUATION</x:t>
        </x:is>
      </x:c>
      <x:c r="G54" t="inlineStr">
        <x:is>
          <x:t xml:space="preserve"/>
        </x:is>
      </x:c>
      <x:c r="H54" t="inlineStr">
        <x:is>
          <x:t xml:space="preserve">NONE</x:t>
        </x:is>
      </x:c>
      <x:c r="I54" t="inlineStr">
        <x:is>
          <x:t xml:space="preserve"/>
        </x:is>
      </x:c>
      <x:c r="J54" t="inlineStr">
        <x:is>
          <x:t xml:space="preserve">SUCCESS</x:t>
        </x:is>
      </x:c>
      <x:c r="K54" t="n">
        <x:f>IF((COUNT('Quantification_Results'!E54)=1),IFERROR(ROUND((SUM(('Quantification_Results'!E54*'Quantification_Config'!$R$6))/SUM('Quantification_Config'!$R$6)),'Quantification_Config'!$U$2),""),"")</x:f>
        <x:v>50</x:v>
      </x:c>
      <x:c r="L54" t="n">
        <x:f>IF((COUNT('Quantification_Results'!K54)=1),IFERROR(ROUND((SUM(('Quantification_Results'!K54*'Quantification_Config'!$R$5))/SUM('Quantification_Config'!$R$5)),'Quantification_Config'!$U$2),""),"")</x:f>
        <x:v>50</x:v>
      </x:c>
      <x:c r="M54" t="n">
        <x:v>0</x:v>
      </x:c>
      <x:c r="N54"/>
      <x:c r="O54"/>
      <x:c r="P54">
        <x:f>IF(('Quantification_Results'!M54&lt;&gt;1),"",IF(('Quantification_Results'!O54=""),IF(ISNUMBER('Quantification_Results'!N54),IF(('Quantification_Results'!N54&lt;'Quantification_Config'!$S$9),"",IF(('Quantification_Results'!N54&gt;'Quantification_Config'!$T$9),"",'Quantification_Results'!N54)),""),IF(ISNUMBER('Quantification_Results'!O54),IF(('Quantification_Results'!O54&lt;'Quantification_Config'!$S$9),"",IF(('Quantification_Results'!O54&gt;'Quantification_Config'!$T$9),"",'Quantification_Results'!O54)),"")))</x:f>
      </x:c>
      <x:c r="Q54">
        <x:f>IF(ISNUMBER('Quantification_Results'!P54),IFERROR(ROUND(((('Quantification_Results'!P54-'Quantification_Config'!$S$9)/('Quantification_Config'!$T$9-'Quantification_Config'!$S$9))*100),'Quantification_Config'!$U$2),""),"")</x:f>
      </x:c>
      <x:c r="R54" t="inlineStr">
        <x:is>
          <x:t xml:space="preserve"/>
        </x:is>
      </x:c>
      <x:c r="S54" t="inlineStr">
        <x:is>
          <x:t xml:space="preserve"/>
        </x:is>
      </x:c>
      <x:c r="T54" t="inlineStr">
        <x:is>
          <x:t xml:space="preserve"/>
        </x:is>
      </x:c>
      <x:c r="U54" t="inlineStr">
        <x:is>
          <x:t xml:space="preserve"/>
        </x:is>
      </x:c>
      <x:c r="V54" t="inlineStr">
        <x:is>
          <x:t xml:space="preserve">EMPTY</x:t>
        </x:is>
      </x:c>
      <x:c r="W54">
        <x:f>IF((COUNT('Quantification_Results'!Q54)=1),IFERROR(ROUND((SUM(('Quantification_Results'!Q54*'Quantification_Config'!$R$9))/SUM('Quantification_Config'!$R$9)),'Quantification_Config'!$U$2),""),"")</x:f>
      </x:c>
      <x:c r="X54">
        <x:f>IF((COUNT('Quantification_Results'!W54)=1),IFERROR(ROUND((SUM(('Quantification_Results'!W54*'Quantification_Config'!$R$8))/SUM('Quantification_Config'!$R$8)),'Quantification_Config'!$U$2),""),"")</x:f>
      </x:c>
      <x:c r="Y54" t="n">
        <x:v>0</x:v>
      </x:c>
      <x:c r="Z54"/>
      <x:c r="AA54"/>
      <x:c r="AB54">
        <x:f>IF(('Quantification_Results'!Y54&lt;&gt;1),"",IF(('Quantification_Results'!AA54=""),IF(ISNUMBER('Quantification_Results'!Z54),IF(('Quantification_Results'!Z54&lt;'Quantification_Config'!$S$12),"",IF(('Quantification_Results'!Z54&gt;'Quantification_Config'!$T$12),"",'Quantification_Results'!Z54)),""),IF(ISNUMBER('Quantification_Results'!AA54),IF(('Quantification_Results'!AA54&lt;'Quantification_Config'!$S$12),"",IF(('Quantification_Results'!AA54&gt;'Quantification_Config'!$T$12),"",'Quantification_Results'!AA54)),"")))</x:f>
      </x:c>
      <x:c r="AC54">
        <x:f>IF(ISNUMBER('Quantification_Results'!AB54),IFERROR(ROUND(((('Quantification_Results'!AB54-'Quantification_Config'!$S$12)/('Quantification_Config'!$T$12-'Quantification_Config'!$S$12))*100),'Quantification_Config'!$U$2),""),"")</x:f>
      </x:c>
      <x:c r="AD54" t="inlineStr">
        <x:is>
          <x:t xml:space="preserve"/>
        </x:is>
      </x:c>
      <x:c r="AE54" t="inlineStr">
        <x:is>
          <x:t xml:space="preserve"/>
        </x:is>
      </x:c>
      <x:c r="AF54" t="inlineStr">
        <x:is>
          <x:t xml:space="preserve"/>
        </x:is>
      </x:c>
      <x:c r="AG54" t="inlineStr">
        <x:is>
          <x:t xml:space="preserve"/>
        </x:is>
      </x:c>
      <x:c r="AH54" t="inlineStr">
        <x:is>
          <x:t xml:space="preserve">EMPTY</x:t>
        </x:is>
      </x:c>
      <x:c r="AI54">
        <x:f>IF((COUNT('Quantification_Results'!AC54)=1),IFERROR(ROUND((SUM(('Quantification_Results'!AC54*'Quantification_Config'!$R$12))/SUM('Quantification_Config'!$R$12)),'Quantification_Config'!$U$2),""),"")</x:f>
      </x:c>
      <x:c r="AJ54">
        <x:f>IF((COUNT('Quantification_Results'!AI54)=1),IFERROR(ROUND((SUM(('Quantification_Results'!AI54*'Quantification_Config'!$R$11))/SUM('Quantification_Config'!$R$11)),'Quantification_Config'!$U$2),""),"")</x:f>
      </x:c>
      <x:c r="AK54" t="n">
        <x:v>1</x:v>
      </x:c>
      <x:c r="AL54" t="n">
        <x:v>5</x:v>
      </x:c>
      <x:c r="AM54"/>
      <x:c r="AN54" t="n">
        <x:f>IF(('Quantification_Results'!AK54&lt;&gt;1),"",IF(('Quantification_Results'!AM54=""),IF(ISNUMBER('Quantification_Results'!AL54),IF(('Quantification_Results'!AL54&lt;'Quantification_Config'!$S$15),"",IF(('Quantification_Results'!AL54&gt;'Quantification_Config'!$T$15),"",'Quantification_Results'!AL54)),""),IF(ISNUMBER('Quantification_Results'!AM54),IF(('Quantification_Results'!AM54&lt;'Quantification_Config'!$S$15),"",IF(('Quantification_Results'!AM54&gt;'Quantification_Config'!$T$15),"",'Quantification_Results'!AM54)),"")))</x:f>
        <x:v>5</x:v>
      </x:c>
      <x:c r="AO54" t="n">
        <x:f>IF(ISNUMBER('Quantification_Results'!AN54),IFERROR(ROUND(((('Quantification_Results'!AN54-'Quantification_Config'!$S$15)/('Quantification_Config'!$T$15-'Quantification_Config'!$S$15))*100),'Quantification_Config'!$U$2),""),"")</x:f>
        <x:v>50</x:v>
      </x:c>
      <x:c r="AP54" t="inlineStr">
        <x:is>
          <x:t xml:space="preserve">SYSTEM-TEST-ONLY-NO-NETWORK-NOT-AN-EDUCATIONAL-EVALUATION</x:t>
        </x:is>
      </x:c>
      <x:c r="AQ54" t="inlineStr">
        <x:is>
          <x:t xml:space="preserve"/>
        </x:is>
      </x:c>
      <x:c r="AR54" t="inlineStr">
        <x:is>
          <x:t xml:space="preserve">NONE</x:t>
        </x:is>
      </x:c>
      <x:c r="AS54" t="inlineStr">
        <x:is>
          <x:t xml:space="preserve"/>
        </x:is>
      </x:c>
      <x:c r="AT54" t="inlineStr">
        <x:is>
          <x:t xml:space="preserve">SUCCESS</x:t>
        </x:is>
      </x:c>
      <x:c r="AU54" t="n">
        <x:f>IF((COUNT('Quantification_Results'!AO54)=1),IFERROR(ROUND((SUM(('Quantification_Results'!AO54*'Quantification_Config'!$R$15))/SUM('Quantification_Config'!$R$15)),'Quantification_Config'!$U$2),""),"")</x:f>
        <x:v>50</x:v>
      </x:c>
      <x:c r="AV54" t="n">
        <x:f>IF((COUNT('Quantification_Results'!AU54)=1),IFERROR(ROUND((SUM(('Quantification_Results'!AU54*'Quantification_Config'!$R$14))/SUM('Quantification_Config'!$R$14)),'Quantification_Config'!$U$2),""),"")</x:f>
        <x:v>50</x:v>
      </x:c>
      <x:c r="AW54" t="n">
        <x:v>0</x:v>
      </x:c>
      <x:c r="AX54"/>
      <x:c r="AY54"/>
      <x:c r="AZ54">
        <x:f>IF(('Quantification_Results'!AW54&lt;&gt;1),"",IF(('Quantification_Results'!AY54=""),IF(ISNUMBER('Quantification_Results'!AX54),IF(('Quantification_Results'!AX54&lt;'Quantification_Config'!$S$19),"",IF(('Quantification_Results'!AX54&gt;'Quantification_Config'!$T$19),"",'Quantification_Results'!AX54)),""),IF(ISNUMBER('Quantification_Results'!AY54),IF(('Quantification_Results'!AY54&lt;'Quantification_Config'!$S$19),"",IF(('Quantification_Results'!AY54&gt;'Quantification_Config'!$T$19),"",'Quantification_Results'!AY54)),"")))</x:f>
      </x:c>
      <x:c r="BA54">
        <x:f>IF(ISNUMBER('Quantification_Results'!AZ54),IFERROR(ROUND(((('Quantification_Results'!AZ54-'Quantification_Config'!$S$19)/('Quantification_Config'!$T$19-'Quantification_Config'!$S$19))*100),'Quantification_Config'!$U$2),""),"")</x:f>
      </x:c>
      <x:c r="BB54" t="inlineStr">
        <x:is>
          <x:t xml:space="preserve"/>
        </x:is>
      </x:c>
      <x:c r="BC54" t="inlineStr">
        <x:is>
          <x:t xml:space="preserve"/>
        </x:is>
      </x:c>
      <x:c r="BD54" t="inlineStr">
        <x:is>
          <x:t xml:space="preserve"/>
        </x:is>
      </x:c>
      <x:c r="BE54" t="inlineStr">
        <x:is>
          <x:t xml:space="preserve"/>
        </x:is>
      </x:c>
      <x:c r="BF54" t="inlineStr">
        <x:is>
          <x:t xml:space="preserve">EMPTY</x:t>
        </x:is>
      </x:c>
      <x:c r="BG54">
        <x:f>IF((COUNT('Quantification_Results'!BA54)=1),IFERROR(ROUND((SUM(('Quantification_Results'!BA54*'Quantification_Config'!$R$19))/SUM('Quantification_Config'!$R$19)),'Quantification_Config'!$U$2),""),"")</x:f>
      </x:c>
      <x:c r="BH54">
        <x:f>IF((COUNT('Quantification_Results'!BG54)=1),IFERROR(ROUND((SUM(('Quantification_Results'!BG54*'Quantification_Config'!$R$18))/SUM('Quantification_Config'!$R$18)),'Quantification_Config'!$U$2),""),"")</x:f>
      </x:c>
      <x:c r="BI54">
        <x:f>IF((COUNT('Quantification_Results'!L54,'Quantification_Results'!X54,'Quantification_Results'!AJ54,'Quantification_Results'!AV54,'Quantification_Results'!BH54)=5),IFERROR(ROUND((SUM(('Quantification_Results'!L54*'Quantification_Config'!$R$4),('Quantification_Results'!X54*'Quantification_Config'!$R$7),('Quantification_Results'!AJ54*'Quantification_Config'!$R$10),('Quantification_Results'!AV54*'Quantification_Config'!$R$13),('Quantification_Results'!BH54*'Quantification_Config'!$R$16))/SUM('Quantification_Config'!$R$4,'Quantification_Config'!$R$7,'Quantification_Config'!$R$10,'Quantification_Config'!$R$13,'Quantification_Config'!$R$16)),'Quantification_Config'!$U$2),""),"")</x:f>
      </x:c>
    </x:row>
    <x:row r="55">
      <x:c r="A55" t="n">
        <x:v>1</x:v>
      </x:c>
      <x:c r="B55" t="n">
        <x:v>5</x:v>
      </x:c>
      <x:c r="C55"/>
      <x:c r="D55" t="n">
        <x:f>IF(('Quantification_Results'!A55&lt;&gt;1),"",IF(('Quantification_Results'!C55=""),IF(ISNUMBER('Quantification_Results'!B55),IF(('Quantification_Results'!B55&lt;'Quantification_Config'!$S$6),"",IF(('Quantification_Results'!B55&gt;'Quantification_Config'!$T$6),"",'Quantification_Results'!B55)),""),IF(ISNUMBER('Quantification_Results'!C55),IF(('Quantification_Results'!C55&lt;'Quantification_Config'!$S$6),"",IF(('Quantification_Results'!C55&gt;'Quantification_Config'!$T$6),"",'Quantification_Results'!C55)),"")))</x:f>
        <x:v>5</x:v>
      </x:c>
      <x:c r="E55" t="n">
        <x:f>IF(ISNUMBER('Quantification_Results'!D55),IFERROR(ROUND(((('Quantification_Results'!D55-'Quantification_Config'!$S$6)/('Quantification_Config'!$T$6-'Quantification_Config'!$S$6))*100),'Quantification_Config'!$U$2),""),"")</x:f>
        <x:v>50</x:v>
      </x:c>
      <x:c r="F55" t="inlineStr">
        <x:is>
          <x:t xml:space="preserve">SYSTEM-TEST-ONLY-NO-NETWORK-NOT-AN-EDUCATIONAL-EVALUATION</x:t>
        </x:is>
      </x:c>
      <x:c r="G55" t="inlineStr">
        <x:is>
          <x:t xml:space="preserve"/>
        </x:is>
      </x:c>
      <x:c r="H55" t="inlineStr">
        <x:is>
          <x:t xml:space="preserve">NONE</x:t>
        </x:is>
      </x:c>
      <x:c r="I55" t="inlineStr">
        <x:is>
          <x:t xml:space="preserve"/>
        </x:is>
      </x:c>
      <x:c r="J55" t="inlineStr">
        <x:is>
          <x:t xml:space="preserve">SUCCESS</x:t>
        </x:is>
      </x:c>
      <x:c r="K55" t="n">
        <x:f>IF((COUNT('Quantification_Results'!E55)=1),IFERROR(ROUND((SUM(('Quantification_Results'!E55*'Quantification_Config'!$R$6))/SUM('Quantification_Config'!$R$6)),'Quantification_Config'!$U$2),""),"")</x:f>
        <x:v>50</x:v>
      </x:c>
      <x:c r="L55" t="n">
        <x:f>IF((COUNT('Quantification_Results'!K55)=1),IFERROR(ROUND((SUM(('Quantification_Results'!K55*'Quantification_Config'!$R$5))/SUM('Quantification_Config'!$R$5)),'Quantification_Config'!$U$2),""),"")</x:f>
        <x:v>50</x:v>
      </x:c>
      <x:c r="M55" t="n">
        <x:v>1</x:v>
      </x:c>
      <x:c r="N55" t="n">
        <x:v>5</x:v>
      </x:c>
      <x:c r="O55"/>
      <x:c r="P55" t="n">
        <x:f>IF(('Quantification_Results'!M55&lt;&gt;1),"",IF(('Quantification_Results'!O55=""),IF(ISNUMBER('Quantification_Results'!N55),IF(('Quantification_Results'!N55&lt;'Quantification_Config'!$S$9),"",IF(('Quantification_Results'!N55&gt;'Quantification_Config'!$T$9),"",'Quantification_Results'!N55)),""),IF(ISNUMBER('Quantification_Results'!O55),IF(('Quantification_Results'!O55&lt;'Quantification_Config'!$S$9),"",IF(('Quantification_Results'!O55&gt;'Quantification_Config'!$T$9),"",'Quantification_Results'!O55)),"")))</x:f>
        <x:v>5</x:v>
      </x:c>
      <x:c r="Q55" t="n">
        <x:f>IF(ISNUMBER('Quantification_Results'!P55),IFERROR(ROUND(((('Quantification_Results'!P55-'Quantification_Config'!$S$9)/('Quantification_Config'!$T$9-'Quantification_Config'!$S$9))*100),'Quantification_Config'!$U$2),""),"")</x:f>
        <x:v>50</x:v>
      </x:c>
      <x:c r="R55" t="inlineStr">
        <x:is>
          <x:t xml:space="preserve">SYSTEM-TEST-ONLY-NO-NETWORK-NOT-AN-EDUCATIONAL-EVALUATION</x:t>
        </x:is>
      </x:c>
      <x:c r="S55" t="inlineStr">
        <x:is>
          <x:t xml:space="preserve"/>
        </x:is>
      </x:c>
      <x:c r="T55" t="inlineStr">
        <x:is>
          <x:t xml:space="preserve">NONE</x:t>
        </x:is>
      </x:c>
      <x:c r="U55" t="inlineStr">
        <x:is>
          <x:t xml:space="preserve"/>
        </x:is>
      </x:c>
      <x:c r="V55" t="inlineStr">
        <x:is>
          <x:t xml:space="preserve">SUCCESS</x:t>
        </x:is>
      </x:c>
      <x:c r="W55" t="n">
        <x:f>IF((COUNT('Quantification_Results'!Q55)=1),IFERROR(ROUND((SUM(('Quantification_Results'!Q55*'Quantification_Config'!$R$9))/SUM('Quantification_Config'!$R$9)),'Quantification_Config'!$U$2),""),"")</x:f>
        <x:v>50</x:v>
      </x:c>
      <x:c r="X55" t="n">
        <x:f>IF((COUNT('Quantification_Results'!W55)=1),IFERROR(ROUND((SUM(('Quantification_Results'!W55*'Quantification_Config'!$R$8))/SUM('Quantification_Config'!$R$8)),'Quantification_Config'!$U$2),""),"")</x:f>
        <x:v>50</x:v>
      </x:c>
      <x:c r="Y55" t="n">
        <x:v>0</x:v>
      </x:c>
      <x:c r="Z55"/>
      <x:c r="AA55"/>
      <x:c r="AB55">
        <x:f>IF(('Quantification_Results'!Y55&lt;&gt;1),"",IF(('Quantification_Results'!AA55=""),IF(ISNUMBER('Quantification_Results'!Z55),IF(('Quantification_Results'!Z55&lt;'Quantification_Config'!$S$12),"",IF(('Quantification_Results'!Z55&gt;'Quantification_Config'!$T$12),"",'Quantification_Results'!Z55)),""),IF(ISNUMBER('Quantification_Results'!AA55),IF(('Quantification_Results'!AA55&lt;'Quantification_Config'!$S$12),"",IF(('Quantification_Results'!AA55&gt;'Quantification_Config'!$T$12),"",'Quantification_Results'!AA55)),"")))</x:f>
      </x:c>
      <x:c r="AC55">
        <x:f>IF(ISNUMBER('Quantification_Results'!AB55),IFERROR(ROUND(((('Quantification_Results'!AB55-'Quantification_Config'!$S$12)/('Quantification_Config'!$T$12-'Quantification_Config'!$S$12))*100),'Quantification_Config'!$U$2),""),"")</x:f>
      </x:c>
      <x:c r="AD55" t="inlineStr">
        <x:is>
          <x:t xml:space="preserve"/>
        </x:is>
      </x:c>
      <x:c r="AE55" t="inlineStr">
        <x:is>
          <x:t xml:space="preserve"/>
        </x:is>
      </x:c>
      <x:c r="AF55" t="inlineStr">
        <x:is>
          <x:t xml:space="preserve"/>
        </x:is>
      </x:c>
      <x:c r="AG55" t="inlineStr">
        <x:is>
          <x:t xml:space="preserve"/>
        </x:is>
      </x:c>
      <x:c r="AH55" t="inlineStr">
        <x:is>
          <x:t xml:space="preserve">EMPTY</x:t>
        </x:is>
      </x:c>
      <x:c r="AI55">
        <x:f>IF((COUNT('Quantification_Results'!AC55)=1),IFERROR(ROUND((SUM(('Quantification_Results'!AC55*'Quantification_Config'!$R$12))/SUM('Quantification_Config'!$R$12)),'Quantification_Config'!$U$2),""),"")</x:f>
      </x:c>
      <x:c r="AJ55">
        <x:f>IF((COUNT('Quantification_Results'!AI55)=1),IFERROR(ROUND((SUM(('Quantification_Results'!AI55*'Quantification_Config'!$R$11))/SUM('Quantification_Config'!$R$11)),'Quantification_Config'!$U$2),""),"")</x:f>
      </x:c>
      <x:c r="AK55" t="n">
        <x:v>1</x:v>
      </x:c>
      <x:c r="AL55" t="n">
        <x:v>5</x:v>
      </x:c>
      <x:c r="AM55"/>
      <x:c r="AN55" t="n">
        <x:f>IF(('Quantification_Results'!AK55&lt;&gt;1),"",IF(('Quantification_Results'!AM55=""),IF(ISNUMBER('Quantification_Results'!AL55),IF(('Quantification_Results'!AL55&lt;'Quantification_Config'!$S$15),"",IF(('Quantification_Results'!AL55&gt;'Quantification_Config'!$T$15),"",'Quantification_Results'!AL55)),""),IF(ISNUMBER('Quantification_Results'!AM55),IF(('Quantification_Results'!AM55&lt;'Quantification_Config'!$S$15),"",IF(('Quantification_Results'!AM55&gt;'Quantification_Config'!$T$15),"",'Quantification_Results'!AM55)),"")))</x:f>
        <x:v>5</x:v>
      </x:c>
      <x:c r="AO55" t="n">
        <x:f>IF(ISNUMBER('Quantification_Results'!AN55),IFERROR(ROUND(((('Quantification_Results'!AN55-'Quantification_Config'!$S$15)/('Quantification_Config'!$T$15-'Quantification_Config'!$S$15))*100),'Quantification_Config'!$U$2),""),"")</x:f>
        <x:v>50</x:v>
      </x:c>
      <x:c r="AP55" t="inlineStr">
        <x:is>
          <x:t xml:space="preserve">SYSTEM-TEST-ONLY-NO-NETWORK-NOT-AN-EDUCATIONAL-EVALUATION</x:t>
        </x:is>
      </x:c>
      <x:c r="AQ55" t="inlineStr">
        <x:is>
          <x:t xml:space="preserve"/>
        </x:is>
      </x:c>
      <x:c r="AR55" t="inlineStr">
        <x:is>
          <x:t xml:space="preserve">NONE</x:t>
        </x:is>
      </x:c>
      <x:c r="AS55" t="inlineStr">
        <x:is>
          <x:t xml:space="preserve"/>
        </x:is>
      </x:c>
      <x:c r="AT55" t="inlineStr">
        <x:is>
          <x:t xml:space="preserve">SUCCESS</x:t>
        </x:is>
      </x:c>
      <x:c r="AU55" t="n">
        <x:f>IF((COUNT('Quantification_Results'!AO55)=1),IFERROR(ROUND((SUM(('Quantification_Results'!AO55*'Quantification_Config'!$R$15))/SUM('Quantification_Config'!$R$15)),'Quantification_Config'!$U$2),""),"")</x:f>
        <x:v>50</x:v>
      </x:c>
      <x:c r="AV55" t="n">
        <x:f>IF((COUNT('Quantification_Results'!AU55)=1),IFERROR(ROUND((SUM(('Quantification_Results'!AU55*'Quantification_Config'!$R$14))/SUM('Quantification_Config'!$R$14)),'Quantification_Config'!$U$2),""),"")</x:f>
        <x:v>50</x:v>
      </x:c>
      <x:c r="AW55" t="n">
        <x:v>1</x:v>
      </x:c>
      <x:c r="AX55" t="n">
        <x:v>5</x:v>
      </x:c>
      <x:c r="AY55"/>
      <x:c r="AZ55" t="n">
        <x:f>IF(('Quantification_Results'!AW55&lt;&gt;1),"",IF(('Quantification_Results'!AY55=""),IF(ISNUMBER('Quantification_Results'!AX55),IF(('Quantification_Results'!AX55&lt;'Quantification_Config'!$S$19),"",IF(('Quantification_Results'!AX55&gt;'Quantification_Config'!$T$19),"",'Quantification_Results'!AX55)),""),IF(ISNUMBER('Quantification_Results'!AY55),IF(('Quantification_Results'!AY55&lt;'Quantification_Config'!$S$19),"",IF(('Quantification_Results'!AY55&gt;'Quantification_Config'!$T$19),"",'Quantification_Results'!AY55)),"")))</x:f>
        <x:v>5</x:v>
      </x:c>
      <x:c r="BA55" t="n">
        <x:f>IF(ISNUMBER('Quantification_Results'!AZ55),IFERROR(ROUND(((('Quantification_Results'!AZ55-'Quantification_Config'!$S$19)/('Quantification_Config'!$T$19-'Quantification_Config'!$S$19))*100),'Quantification_Config'!$U$2),""),"")</x:f>
        <x:v>50</x:v>
      </x:c>
      <x:c r="BB55" t="inlineStr">
        <x:is>
          <x:t xml:space="preserve">SYSTEM-TEST-ONLY-NO-NETWORK-NOT-AN-EDUCATIONAL-EVALUATION</x:t>
        </x:is>
      </x:c>
      <x:c r="BC55" t="inlineStr">
        <x:is>
          <x:t xml:space="preserve"/>
        </x:is>
      </x:c>
      <x:c r="BD55" t="inlineStr">
        <x:is>
          <x:t xml:space="preserve">NONE</x:t>
        </x:is>
      </x:c>
      <x:c r="BE55" t="inlineStr">
        <x:is>
          <x:t xml:space="preserve"/>
        </x:is>
      </x:c>
      <x:c r="BF55" t="inlineStr">
        <x:is>
          <x:t xml:space="preserve">SUCCESS</x:t>
        </x:is>
      </x:c>
      <x:c r="BG55" t="n">
        <x:f>IF((COUNT('Quantification_Results'!BA55)=1),IFERROR(ROUND((SUM(('Quantification_Results'!BA55*'Quantification_Config'!$R$19))/SUM('Quantification_Config'!$R$19)),'Quantification_Config'!$U$2),""),"")</x:f>
        <x:v>50</x:v>
      </x:c>
      <x:c r="BH55" t="n">
        <x:f>IF((COUNT('Quantification_Results'!BG55)=1),IFERROR(ROUND((SUM(('Quantification_Results'!BG55*'Quantification_Config'!$R$18))/SUM('Quantification_Config'!$R$18)),'Quantification_Config'!$U$2),""),"")</x:f>
        <x:v>50</x:v>
      </x:c>
      <x:c r="BI55">
        <x:f>IF((COUNT('Quantification_Results'!L55,'Quantification_Results'!X55,'Quantification_Results'!AJ55,'Quantification_Results'!AV55,'Quantification_Results'!BH55)=5),IFERROR(ROUND((SUM(('Quantification_Results'!L55*'Quantification_Config'!$R$4),('Quantification_Results'!X55*'Quantification_Config'!$R$7),('Quantification_Results'!AJ55*'Quantification_Config'!$R$10),('Quantification_Results'!AV55*'Quantification_Config'!$R$13),('Quantification_Results'!BH55*'Quantification_Config'!$R$16))/SUM('Quantification_Config'!$R$4,'Quantification_Config'!$R$7,'Quantification_Config'!$R$10,'Quantification_Config'!$R$13,'Quantification_Config'!$R$16)),'Quantification_Config'!$U$2),""),"")</x:f>
      </x:c>
    </x:row>
    <x:row r="56">
      <x:c r="A56" t="n">
        <x:v>1</x:v>
      </x:c>
      <x:c r="B56" t="n">
        <x:v>5</x:v>
      </x:c>
      <x:c r="C56"/>
      <x:c r="D56" t="n">
        <x:f>IF(('Quantification_Results'!A56&lt;&gt;1),"",IF(('Quantification_Results'!C56=""),IF(ISNUMBER('Quantification_Results'!B56),IF(('Quantification_Results'!B56&lt;'Quantification_Config'!$S$6),"",IF(('Quantification_Results'!B56&gt;'Quantification_Config'!$T$6),"",'Quantification_Results'!B56)),""),IF(ISNUMBER('Quantification_Results'!C56),IF(('Quantification_Results'!C56&lt;'Quantification_Config'!$S$6),"",IF(('Quantification_Results'!C56&gt;'Quantification_Config'!$T$6),"",'Quantification_Results'!C56)),"")))</x:f>
        <x:v>5</x:v>
      </x:c>
      <x:c r="E56" t="n">
        <x:f>IF(ISNUMBER('Quantification_Results'!D56),IFERROR(ROUND(((('Quantification_Results'!D56-'Quantification_Config'!$S$6)/('Quantification_Config'!$T$6-'Quantification_Config'!$S$6))*100),'Quantification_Config'!$U$2),""),"")</x:f>
        <x:v>50</x:v>
      </x:c>
      <x:c r="F56" t="inlineStr">
        <x:is>
          <x:t xml:space="preserve">SYSTEM-TEST-ONLY-NO-NETWORK-NOT-AN-EDUCATIONAL-EVALUATION</x:t>
        </x:is>
      </x:c>
      <x:c r="G56" t="inlineStr">
        <x:is>
          <x:t xml:space="preserve"/>
        </x:is>
      </x:c>
      <x:c r="H56" t="inlineStr">
        <x:is>
          <x:t xml:space="preserve">NONE</x:t>
        </x:is>
      </x:c>
      <x:c r="I56" t="inlineStr">
        <x:is>
          <x:t xml:space="preserve"/>
        </x:is>
      </x:c>
      <x:c r="J56" t="inlineStr">
        <x:is>
          <x:t xml:space="preserve">SUCCESS</x:t>
        </x:is>
      </x:c>
      <x:c r="K56" t="n">
        <x:f>IF((COUNT('Quantification_Results'!E56)=1),IFERROR(ROUND((SUM(('Quantification_Results'!E56*'Quantification_Config'!$R$6))/SUM('Quantification_Config'!$R$6)),'Quantification_Config'!$U$2),""),"")</x:f>
        <x:v>50</x:v>
      </x:c>
      <x:c r="L56" t="n">
        <x:f>IF((COUNT('Quantification_Results'!K56)=1),IFERROR(ROUND((SUM(('Quantification_Results'!K56*'Quantification_Config'!$R$5))/SUM('Quantification_Config'!$R$5)),'Quantification_Config'!$U$2),""),"")</x:f>
        <x:v>50</x:v>
      </x:c>
      <x:c r="M56" t="n">
        <x:v>1</x:v>
      </x:c>
      <x:c r="N56" t="n">
        <x:v>5</x:v>
      </x:c>
      <x:c r="O56"/>
      <x:c r="P56" t="n">
        <x:f>IF(('Quantification_Results'!M56&lt;&gt;1),"",IF(('Quantification_Results'!O56=""),IF(ISNUMBER('Quantification_Results'!N56),IF(('Quantification_Results'!N56&lt;'Quantification_Config'!$S$9),"",IF(('Quantification_Results'!N56&gt;'Quantification_Config'!$T$9),"",'Quantification_Results'!N56)),""),IF(ISNUMBER('Quantification_Results'!O56),IF(('Quantification_Results'!O56&lt;'Quantification_Config'!$S$9),"",IF(('Quantification_Results'!O56&gt;'Quantification_Config'!$T$9),"",'Quantification_Results'!O56)),"")))</x:f>
        <x:v>5</x:v>
      </x:c>
      <x:c r="Q56" t="n">
        <x:f>IF(ISNUMBER('Quantification_Results'!P56),IFERROR(ROUND(((('Quantification_Results'!P56-'Quantification_Config'!$S$9)/('Quantification_Config'!$T$9-'Quantification_Config'!$S$9))*100),'Quantification_Config'!$U$2),""),"")</x:f>
        <x:v>50</x:v>
      </x:c>
      <x:c r="R56" t="inlineStr">
        <x:is>
          <x:t xml:space="preserve">SYSTEM-TEST-ONLY-NO-NETWORK-NOT-AN-EDUCATIONAL-EVALUATION</x:t>
        </x:is>
      </x:c>
      <x:c r="S56" t="inlineStr">
        <x:is>
          <x:t xml:space="preserve"/>
        </x:is>
      </x:c>
      <x:c r="T56" t="inlineStr">
        <x:is>
          <x:t xml:space="preserve">NONE</x:t>
        </x:is>
      </x:c>
      <x:c r="U56" t="inlineStr">
        <x:is>
          <x:t xml:space="preserve"/>
        </x:is>
      </x:c>
      <x:c r="V56" t="inlineStr">
        <x:is>
          <x:t xml:space="preserve">SUCCESS</x:t>
        </x:is>
      </x:c>
      <x:c r="W56" t="n">
        <x:f>IF((COUNT('Quantification_Results'!Q56)=1),IFERROR(ROUND((SUM(('Quantification_Results'!Q56*'Quantification_Config'!$R$9))/SUM('Quantification_Config'!$R$9)),'Quantification_Config'!$U$2),""),"")</x:f>
        <x:v>50</x:v>
      </x:c>
      <x:c r="X56" t="n">
        <x:f>IF((COUNT('Quantification_Results'!W56)=1),IFERROR(ROUND((SUM(('Quantification_Results'!W56*'Quantification_Config'!$R$8))/SUM('Quantification_Config'!$R$8)),'Quantification_Config'!$U$2),""),"")</x:f>
        <x:v>50</x:v>
      </x:c>
      <x:c r="Y56" t="n">
        <x:v>1</x:v>
      </x:c>
      <x:c r="Z56" t="n">
        <x:v>5</x:v>
      </x:c>
      <x:c r="AA56"/>
      <x:c r="AB56" t="n">
        <x:f>IF(('Quantification_Results'!Y56&lt;&gt;1),"",IF(('Quantification_Results'!AA56=""),IF(ISNUMBER('Quantification_Results'!Z56),IF(('Quantification_Results'!Z56&lt;'Quantification_Config'!$S$12),"",IF(('Quantification_Results'!Z56&gt;'Quantification_Config'!$T$12),"",'Quantification_Results'!Z56)),""),IF(ISNUMBER('Quantification_Results'!AA56),IF(('Quantification_Results'!AA56&lt;'Quantification_Config'!$S$12),"",IF(('Quantification_Results'!AA56&gt;'Quantification_Config'!$T$12),"",'Quantification_Results'!AA56)),"")))</x:f>
        <x:v>5</x:v>
      </x:c>
      <x:c r="AC56" t="n">
        <x:f>IF(ISNUMBER('Quantification_Results'!AB56),IFERROR(ROUND(((('Quantification_Results'!AB56-'Quantification_Config'!$S$12)/('Quantification_Config'!$T$12-'Quantification_Config'!$S$12))*100),'Quantification_Config'!$U$2),""),"")</x:f>
        <x:v>50</x:v>
      </x:c>
      <x:c r="AD56" t="inlineStr">
        <x:is>
          <x:t xml:space="preserve">SYSTEM-TEST-ONLY-NO-NETWORK-NOT-AN-EDUCATIONAL-EVALUATION</x:t>
        </x:is>
      </x:c>
      <x:c r="AE56" t="inlineStr">
        <x:is>
          <x:t xml:space="preserve"/>
        </x:is>
      </x:c>
      <x:c r="AF56" t="inlineStr">
        <x:is>
          <x:t xml:space="preserve">NONE</x:t>
        </x:is>
      </x:c>
      <x:c r="AG56" t="inlineStr">
        <x:is>
          <x:t xml:space="preserve"/>
        </x:is>
      </x:c>
      <x:c r="AH56" t="inlineStr">
        <x:is>
          <x:t xml:space="preserve">SUCCESS</x:t>
        </x:is>
      </x:c>
      <x:c r="AI56" t="n">
        <x:f>IF((COUNT('Quantification_Results'!AC56)=1),IFERROR(ROUND((SUM(('Quantification_Results'!AC56*'Quantification_Config'!$R$12))/SUM('Quantification_Config'!$R$12)),'Quantification_Config'!$U$2),""),"")</x:f>
        <x:v>50</x:v>
      </x:c>
      <x:c r="AJ56" t="n">
        <x:f>IF((COUNT('Quantification_Results'!AI56)=1),IFERROR(ROUND((SUM(('Quantification_Results'!AI56*'Quantification_Config'!$R$11))/SUM('Quantification_Config'!$R$11)),'Quantification_Config'!$U$2),""),"")</x:f>
        <x:v>50</x:v>
      </x:c>
      <x:c r="AK56" t="n">
        <x:v>1</x:v>
      </x:c>
      <x:c r="AL56" t="n">
        <x:v>5</x:v>
      </x:c>
      <x:c r="AM56"/>
      <x:c r="AN56" t="n">
        <x:f>IF(('Quantification_Results'!AK56&lt;&gt;1),"",IF(('Quantification_Results'!AM56=""),IF(ISNUMBER('Quantification_Results'!AL56),IF(('Quantification_Results'!AL56&lt;'Quantification_Config'!$S$15),"",IF(('Quantification_Results'!AL56&gt;'Quantification_Config'!$T$15),"",'Quantification_Results'!AL56)),""),IF(ISNUMBER('Quantification_Results'!AM56),IF(('Quantification_Results'!AM56&lt;'Quantification_Config'!$S$15),"",IF(('Quantification_Results'!AM56&gt;'Quantification_Config'!$T$15),"",'Quantification_Results'!AM56)),"")))</x:f>
        <x:v>5</x:v>
      </x:c>
      <x:c r="AO56" t="n">
        <x:f>IF(ISNUMBER('Quantification_Results'!AN56),IFERROR(ROUND(((('Quantification_Results'!AN56-'Quantification_Config'!$S$15)/('Quantification_Config'!$T$15-'Quantification_Config'!$S$15))*100),'Quantification_Config'!$U$2),""),"")</x:f>
        <x:v>50</x:v>
      </x:c>
      <x:c r="AP56" t="inlineStr">
        <x:is>
          <x:t xml:space="preserve">SYSTEM-TEST-ONLY-NO-NETWORK-NOT-AN-EDUCATIONAL-EVALUATION</x:t>
        </x:is>
      </x:c>
      <x:c r="AQ56" t="inlineStr">
        <x:is>
          <x:t xml:space="preserve"/>
        </x:is>
      </x:c>
      <x:c r="AR56" t="inlineStr">
        <x:is>
          <x:t xml:space="preserve">NONE</x:t>
        </x:is>
      </x:c>
      <x:c r="AS56" t="inlineStr">
        <x:is>
          <x:t xml:space="preserve"/>
        </x:is>
      </x:c>
      <x:c r="AT56" t="inlineStr">
        <x:is>
          <x:t xml:space="preserve">SUCCESS</x:t>
        </x:is>
      </x:c>
      <x:c r="AU56" t="n">
        <x:f>IF((COUNT('Quantification_Results'!AO56)=1),IFERROR(ROUND((SUM(('Quantification_Results'!AO56*'Quantification_Config'!$R$15))/SUM('Quantification_Config'!$R$15)),'Quantification_Config'!$U$2),""),"")</x:f>
        <x:v>50</x:v>
      </x:c>
      <x:c r="AV56" t="n">
        <x:f>IF((COUNT('Quantification_Results'!AU56)=1),IFERROR(ROUND((SUM(('Quantification_Results'!AU56*'Quantification_Config'!$R$14))/SUM('Quantification_Config'!$R$14)),'Quantification_Config'!$U$2),""),"")</x:f>
        <x:v>50</x:v>
      </x:c>
      <x:c r="AW56" t="n">
        <x:v>1</x:v>
      </x:c>
      <x:c r="AX56" t="n">
        <x:v>5</x:v>
      </x:c>
      <x:c r="AY56"/>
      <x:c r="AZ56" t="n">
        <x:f>IF(('Quantification_Results'!AW56&lt;&gt;1),"",IF(('Quantification_Results'!AY56=""),IF(ISNUMBER('Quantification_Results'!AX56),IF(('Quantification_Results'!AX56&lt;'Quantification_Config'!$S$19),"",IF(('Quantification_Results'!AX56&gt;'Quantification_Config'!$T$19),"",'Quantification_Results'!AX56)),""),IF(ISNUMBER('Quantification_Results'!AY56),IF(('Quantification_Results'!AY56&lt;'Quantification_Config'!$S$19),"",IF(('Quantification_Results'!AY56&gt;'Quantification_Config'!$T$19),"",'Quantification_Results'!AY56)),"")))</x:f>
        <x:v>5</x:v>
      </x:c>
      <x:c r="BA56" t="n">
        <x:f>IF(ISNUMBER('Quantification_Results'!AZ56),IFERROR(ROUND(((('Quantification_Results'!AZ56-'Quantification_Config'!$S$19)/('Quantification_Config'!$T$19-'Quantification_Config'!$S$19))*100),'Quantification_Config'!$U$2),""),"")</x:f>
        <x:v>50</x:v>
      </x:c>
      <x:c r="BB56" t="inlineStr">
        <x:is>
          <x:t xml:space="preserve">SYSTEM-TEST-ONLY-NO-NETWORK-NOT-AN-EDUCATIONAL-EVALUATION</x:t>
        </x:is>
      </x:c>
      <x:c r="BC56" t="inlineStr">
        <x:is>
          <x:t xml:space="preserve"/>
        </x:is>
      </x:c>
      <x:c r="BD56" t="inlineStr">
        <x:is>
          <x:t xml:space="preserve">NONE</x:t>
        </x:is>
      </x:c>
      <x:c r="BE56" t="inlineStr">
        <x:is>
          <x:t xml:space="preserve"/>
        </x:is>
      </x:c>
      <x:c r="BF56" t="inlineStr">
        <x:is>
          <x:t xml:space="preserve">SUCCESS</x:t>
        </x:is>
      </x:c>
      <x:c r="BG56" t="n">
        <x:f>IF((COUNT('Quantification_Results'!BA56)=1),IFERROR(ROUND((SUM(('Quantification_Results'!BA56*'Quantification_Config'!$R$19))/SUM('Quantification_Config'!$R$19)),'Quantification_Config'!$U$2),""),"")</x:f>
        <x:v>50</x:v>
      </x:c>
      <x:c r="BH56" t="n">
        <x:f>IF((COUNT('Quantification_Results'!BG56)=1),IFERROR(ROUND((SUM(('Quantification_Results'!BG56*'Quantification_Config'!$R$18))/SUM('Quantification_Config'!$R$18)),'Quantification_Config'!$U$2),""),"")</x:f>
        <x:v>50</x:v>
      </x:c>
      <x:c r="BI56" t="n">
        <x:f>IF((COUNT('Quantification_Results'!L56,'Quantification_Results'!X56,'Quantification_Results'!AJ56,'Quantification_Results'!AV56,'Quantification_Results'!BH56)=5),IFERROR(ROUND((SUM(('Quantification_Results'!L56*'Quantification_Config'!$R$4),('Quantification_Results'!X56*'Quantification_Config'!$R$7),('Quantification_Results'!AJ56*'Quantification_Config'!$R$10),('Quantification_Results'!AV56*'Quantification_Config'!$R$13),('Quantification_Results'!BH56*'Quantification_Config'!$R$16))/SUM('Quantification_Config'!$R$4,'Quantification_Config'!$R$7,'Quantification_Config'!$R$10,'Quantification_Config'!$R$13,'Quantification_Config'!$R$16)),'Quantification_Config'!$U$2),""),"")</x:f>
        <x:v>50</x:v>
      </x:c>
    </x:row>
    <x:row r="57">
      <x:c r="A57" t="n">
        <x:v>1</x:v>
      </x:c>
      <x:c r="B57" t="n">
        <x:v>5</x:v>
      </x:c>
      <x:c r="C57"/>
      <x:c r="D57" t="n">
        <x:f>IF(('Quantification_Results'!A57&lt;&gt;1),"",IF(('Quantification_Results'!C57=""),IF(ISNUMBER('Quantification_Results'!B57),IF(('Quantification_Results'!B57&lt;'Quantification_Config'!$S$6),"",IF(('Quantification_Results'!B57&gt;'Quantification_Config'!$T$6),"",'Quantification_Results'!B57)),""),IF(ISNUMBER('Quantification_Results'!C57),IF(('Quantification_Results'!C57&lt;'Quantification_Config'!$S$6),"",IF(('Quantification_Results'!C57&gt;'Quantification_Config'!$T$6),"",'Quantification_Results'!C57)),"")))</x:f>
        <x:v>5</x:v>
      </x:c>
      <x:c r="E57" t="n">
        <x:f>IF(ISNUMBER('Quantification_Results'!D57),IFERROR(ROUND(((('Quantification_Results'!D57-'Quantification_Config'!$S$6)/('Quantification_Config'!$T$6-'Quantification_Config'!$S$6))*100),'Quantification_Config'!$U$2),""),"")</x:f>
        <x:v>50</x:v>
      </x:c>
      <x:c r="F57" t="inlineStr">
        <x:is>
          <x:t xml:space="preserve">SYSTEM-TEST-ONLY-NO-NETWORK-NOT-AN-EDUCATIONAL-EVALUATION</x:t>
        </x:is>
      </x:c>
      <x:c r="G57" t="inlineStr">
        <x:is>
          <x:t xml:space="preserve"/>
        </x:is>
      </x:c>
      <x:c r="H57" t="inlineStr">
        <x:is>
          <x:t xml:space="preserve">NONE</x:t>
        </x:is>
      </x:c>
      <x:c r="I57" t="inlineStr">
        <x:is>
          <x:t xml:space="preserve"/>
        </x:is>
      </x:c>
      <x:c r="J57" t="inlineStr">
        <x:is>
          <x:t xml:space="preserve">SUCCESS</x:t>
        </x:is>
      </x:c>
      <x:c r="K57" t="n">
        <x:f>IF((COUNT('Quantification_Results'!E57)=1),IFERROR(ROUND((SUM(('Quantification_Results'!E57*'Quantification_Config'!$R$6))/SUM('Quantification_Config'!$R$6)),'Quantification_Config'!$U$2),""),"")</x:f>
        <x:v>50</x:v>
      </x:c>
      <x:c r="L57" t="n">
        <x:f>IF((COUNT('Quantification_Results'!K57)=1),IFERROR(ROUND((SUM(('Quantification_Results'!K57*'Quantification_Config'!$R$5))/SUM('Quantification_Config'!$R$5)),'Quantification_Config'!$U$2),""),"")</x:f>
        <x:v>50</x:v>
      </x:c>
      <x:c r="M57" t="n">
        <x:v>1</x:v>
      </x:c>
      <x:c r="N57" t="n">
        <x:v>5</x:v>
      </x:c>
      <x:c r="O57"/>
      <x:c r="P57" t="n">
        <x:f>IF(('Quantification_Results'!M57&lt;&gt;1),"",IF(('Quantification_Results'!O57=""),IF(ISNUMBER('Quantification_Results'!N57),IF(('Quantification_Results'!N57&lt;'Quantification_Config'!$S$9),"",IF(('Quantification_Results'!N57&gt;'Quantification_Config'!$T$9),"",'Quantification_Results'!N57)),""),IF(ISNUMBER('Quantification_Results'!O57),IF(('Quantification_Results'!O57&lt;'Quantification_Config'!$S$9),"",IF(('Quantification_Results'!O57&gt;'Quantification_Config'!$T$9),"",'Quantification_Results'!O57)),"")))</x:f>
        <x:v>5</x:v>
      </x:c>
      <x:c r="Q57" t="n">
        <x:f>IF(ISNUMBER('Quantification_Results'!P57),IFERROR(ROUND(((('Quantification_Results'!P57-'Quantification_Config'!$S$9)/('Quantification_Config'!$T$9-'Quantification_Config'!$S$9))*100),'Quantification_Config'!$U$2),""),"")</x:f>
        <x:v>50</x:v>
      </x:c>
      <x:c r="R57" t="inlineStr">
        <x:is>
          <x:t xml:space="preserve">SYSTEM-TEST-ONLY-NO-NETWORK-NOT-AN-EDUCATIONAL-EVALUATION</x:t>
        </x:is>
      </x:c>
      <x:c r="S57" t="inlineStr">
        <x:is>
          <x:t xml:space="preserve"/>
        </x:is>
      </x:c>
      <x:c r="T57" t="inlineStr">
        <x:is>
          <x:t xml:space="preserve">NONE</x:t>
        </x:is>
      </x:c>
      <x:c r="U57" t="inlineStr">
        <x:is>
          <x:t xml:space="preserve"/>
        </x:is>
      </x:c>
      <x:c r="V57" t="inlineStr">
        <x:is>
          <x:t xml:space="preserve">SUCCESS</x:t>
        </x:is>
      </x:c>
      <x:c r="W57" t="n">
        <x:f>IF((COUNT('Quantification_Results'!Q57)=1),IFERROR(ROUND((SUM(('Quantification_Results'!Q57*'Quantification_Config'!$R$9))/SUM('Quantification_Config'!$R$9)),'Quantification_Config'!$U$2),""),"")</x:f>
        <x:v>50</x:v>
      </x:c>
      <x:c r="X57" t="n">
        <x:f>IF((COUNT('Quantification_Results'!W57)=1),IFERROR(ROUND((SUM(('Quantification_Results'!W57*'Quantification_Config'!$R$8))/SUM('Quantification_Config'!$R$8)),'Quantification_Config'!$U$2),""),"")</x:f>
        <x:v>50</x:v>
      </x:c>
      <x:c r="Y57" t="n">
        <x:v>0</x:v>
      </x:c>
      <x:c r="Z57"/>
      <x:c r="AA57"/>
      <x:c r="AB57">
        <x:f>IF(('Quantification_Results'!Y57&lt;&gt;1),"",IF(('Quantification_Results'!AA57=""),IF(ISNUMBER('Quantification_Results'!Z57),IF(('Quantification_Results'!Z57&lt;'Quantification_Config'!$S$12),"",IF(('Quantification_Results'!Z57&gt;'Quantification_Config'!$T$12),"",'Quantification_Results'!Z57)),""),IF(ISNUMBER('Quantification_Results'!AA57),IF(('Quantification_Results'!AA57&lt;'Quantification_Config'!$S$12),"",IF(('Quantification_Results'!AA57&gt;'Quantification_Config'!$T$12),"",'Quantification_Results'!AA57)),"")))</x:f>
      </x:c>
      <x:c r="AC57">
        <x:f>IF(ISNUMBER('Quantification_Results'!AB57),IFERROR(ROUND(((('Quantification_Results'!AB57-'Quantification_Config'!$S$12)/('Quantification_Config'!$T$12-'Quantification_Config'!$S$12))*100),'Quantification_Config'!$U$2),""),"")</x:f>
      </x:c>
      <x:c r="AD57" t="inlineStr">
        <x:is>
          <x:t xml:space="preserve"/>
        </x:is>
      </x:c>
      <x:c r="AE57" t="inlineStr">
        <x:is>
          <x:t xml:space="preserve"/>
        </x:is>
      </x:c>
      <x:c r="AF57" t="inlineStr">
        <x:is>
          <x:t xml:space="preserve"/>
        </x:is>
      </x:c>
      <x:c r="AG57" t="inlineStr">
        <x:is>
          <x:t xml:space="preserve"/>
        </x:is>
      </x:c>
      <x:c r="AH57" t="inlineStr">
        <x:is>
          <x:t xml:space="preserve">EMPTY</x:t>
        </x:is>
      </x:c>
      <x:c r="AI57">
        <x:f>IF((COUNT('Quantification_Results'!AC57)=1),IFERROR(ROUND((SUM(('Quantification_Results'!AC57*'Quantification_Config'!$R$12))/SUM('Quantification_Config'!$R$12)),'Quantification_Config'!$U$2),""),"")</x:f>
      </x:c>
      <x:c r="AJ57">
        <x:f>IF((COUNT('Quantification_Results'!AI57)=1),IFERROR(ROUND((SUM(('Quantification_Results'!AI57*'Quantification_Config'!$R$11))/SUM('Quantification_Config'!$R$11)),'Quantification_Config'!$U$2),""),"")</x:f>
      </x:c>
      <x:c r="AK57" t="n">
        <x:v>1</x:v>
      </x:c>
      <x:c r="AL57" t="n">
        <x:v>5</x:v>
      </x:c>
      <x:c r="AM57"/>
      <x:c r="AN57" t="n">
        <x:f>IF(('Quantification_Results'!AK57&lt;&gt;1),"",IF(('Quantification_Results'!AM57=""),IF(ISNUMBER('Quantification_Results'!AL57),IF(('Quantification_Results'!AL57&lt;'Quantification_Config'!$S$15),"",IF(('Quantification_Results'!AL57&gt;'Quantification_Config'!$T$15),"",'Quantification_Results'!AL57)),""),IF(ISNUMBER('Quantification_Results'!AM57),IF(('Quantification_Results'!AM57&lt;'Quantification_Config'!$S$15),"",IF(('Quantification_Results'!AM57&gt;'Quantification_Config'!$T$15),"",'Quantification_Results'!AM57)),"")))</x:f>
        <x:v>5</x:v>
      </x:c>
      <x:c r="AO57" t="n">
        <x:f>IF(ISNUMBER('Quantification_Results'!AN57),IFERROR(ROUND(((('Quantification_Results'!AN57-'Quantification_Config'!$S$15)/('Quantification_Config'!$T$15-'Quantification_Config'!$S$15))*100),'Quantification_Config'!$U$2),""),"")</x:f>
        <x:v>50</x:v>
      </x:c>
      <x:c r="AP57" t="inlineStr">
        <x:is>
          <x:t xml:space="preserve">SYSTEM-TEST-ONLY-NO-NETWORK-NOT-AN-EDUCATIONAL-EVALUATION</x:t>
        </x:is>
      </x:c>
      <x:c r="AQ57" t="inlineStr">
        <x:is>
          <x:t xml:space="preserve"/>
        </x:is>
      </x:c>
      <x:c r="AR57" t="inlineStr">
        <x:is>
          <x:t xml:space="preserve">NONE</x:t>
        </x:is>
      </x:c>
      <x:c r="AS57" t="inlineStr">
        <x:is>
          <x:t xml:space="preserve"/>
        </x:is>
      </x:c>
      <x:c r="AT57" t="inlineStr">
        <x:is>
          <x:t xml:space="preserve">SUCCESS</x:t>
        </x:is>
      </x:c>
      <x:c r="AU57" t="n">
        <x:f>IF((COUNT('Quantification_Results'!AO57)=1),IFERROR(ROUND((SUM(('Quantification_Results'!AO57*'Quantification_Config'!$R$15))/SUM('Quantification_Config'!$R$15)),'Quantification_Config'!$U$2),""),"")</x:f>
        <x:v>50</x:v>
      </x:c>
      <x:c r="AV57" t="n">
        <x:f>IF((COUNT('Quantification_Results'!AU57)=1),IFERROR(ROUND((SUM(('Quantification_Results'!AU57*'Quantification_Config'!$R$14))/SUM('Quantification_Config'!$R$14)),'Quantification_Config'!$U$2),""),"")</x:f>
        <x:v>50</x:v>
      </x:c>
      <x:c r="AW57" t="n">
        <x:v>1</x:v>
      </x:c>
      <x:c r="AX57" t="n">
        <x:v>5</x:v>
      </x:c>
      <x:c r="AY57"/>
      <x:c r="AZ57" t="n">
        <x:f>IF(('Quantification_Results'!AW57&lt;&gt;1),"",IF(('Quantification_Results'!AY57=""),IF(ISNUMBER('Quantification_Results'!AX57),IF(('Quantification_Results'!AX57&lt;'Quantification_Config'!$S$19),"",IF(('Quantification_Results'!AX57&gt;'Quantification_Config'!$T$19),"",'Quantification_Results'!AX57)),""),IF(ISNUMBER('Quantification_Results'!AY57),IF(('Quantification_Results'!AY57&lt;'Quantification_Config'!$S$19),"",IF(('Quantification_Results'!AY57&gt;'Quantification_Config'!$T$19),"",'Quantification_Results'!AY57)),"")))</x:f>
        <x:v>5</x:v>
      </x:c>
      <x:c r="BA57" t="n">
        <x:f>IF(ISNUMBER('Quantification_Results'!AZ57),IFERROR(ROUND(((('Quantification_Results'!AZ57-'Quantification_Config'!$S$19)/('Quantification_Config'!$T$19-'Quantification_Config'!$S$19))*100),'Quantification_Config'!$U$2),""),"")</x:f>
        <x:v>50</x:v>
      </x:c>
      <x:c r="BB57" t="inlineStr">
        <x:is>
          <x:t xml:space="preserve">SYSTEM-TEST-ONLY-NO-NETWORK-NOT-AN-EDUCATIONAL-EVALUATION</x:t>
        </x:is>
      </x:c>
      <x:c r="BC57" t="inlineStr">
        <x:is>
          <x:t xml:space="preserve"/>
        </x:is>
      </x:c>
      <x:c r="BD57" t="inlineStr">
        <x:is>
          <x:t xml:space="preserve">NONE</x:t>
        </x:is>
      </x:c>
      <x:c r="BE57" t="inlineStr">
        <x:is>
          <x:t xml:space="preserve"/>
        </x:is>
      </x:c>
      <x:c r="BF57" t="inlineStr">
        <x:is>
          <x:t xml:space="preserve">SUCCESS</x:t>
        </x:is>
      </x:c>
      <x:c r="BG57" t="n">
        <x:f>IF((COUNT('Quantification_Results'!BA57)=1),IFERROR(ROUND((SUM(('Quantification_Results'!BA57*'Quantification_Config'!$R$19))/SUM('Quantification_Config'!$R$19)),'Quantification_Config'!$U$2),""),"")</x:f>
        <x:v>50</x:v>
      </x:c>
      <x:c r="BH57" t="n">
        <x:f>IF((COUNT('Quantification_Results'!BG57)=1),IFERROR(ROUND((SUM(('Quantification_Results'!BG57*'Quantification_Config'!$R$18))/SUM('Quantification_Config'!$R$18)),'Quantification_Config'!$U$2),""),"")</x:f>
        <x:v>50</x:v>
      </x:c>
      <x:c r="BI57">
        <x:f>IF((COUNT('Quantification_Results'!L57,'Quantification_Results'!X57,'Quantification_Results'!AJ57,'Quantification_Results'!AV57,'Quantification_Results'!BH57)=5),IFERROR(ROUND((SUM(('Quantification_Results'!L57*'Quantification_Config'!$R$4),('Quantification_Results'!X57*'Quantification_Config'!$R$7),('Quantification_Results'!AJ57*'Quantification_Config'!$R$10),('Quantification_Results'!AV57*'Quantification_Config'!$R$13),('Quantification_Results'!BH57*'Quantification_Config'!$R$16))/SUM('Quantification_Config'!$R$4,'Quantification_Config'!$R$7,'Quantification_Config'!$R$10,'Quantification_Config'!$R$13,'Quantification_Config'!$R$16)),'Quantification_Config'!$U$2),""),"")</x:f>
      </x:c>
    </x:row>
    <x:row r="58">
      <x:c r="A58" t="n">
        <x:v>1</x:v>
      </x:c>
      <x:c r="B58" t="n">
        <x:v>5</x:v>
      </x:c>
      <x:c r="C58"/>
      <x:c r="D58" t="n">
        <x:f>IF(('Quantification_Results'!A58&lt;&gt;1),"",IF(('Quantification_Results'!C58=""),IF(ISNUMBER('Quantification_Results'!B58),IF(('Quantification_Results'!B58&lt;'Quantification_Config'!$S$6),"",IF(('Quantification_Results'!B58&gt;'Quantification_Config'!$T$6),"",'Quantification_Results'!B58)),""),IF(ISNUMBER('Quantification_Results'!C58),IF(('Quantification_Results'!C58&lt;'Quantification_Config'!$S$6),"",IF(('Quantification_Results'!C58&gt;'Quantification_Config'!$T$6),"",'Quantification_Results'!C58)),"")))</x:f>
        <x:v>5</x:v>
      </x:c>
      <x:c r="E58" t="n">
        <x:f>IF(ISNUMBER('Quantification_Results'!D58),IFERROR(ROUND(((('Quantification_Results'!D58-'Quantification_Config'!$S$6)/('Quantification_Config'!$T$6-'Quantification_Config'!$S$6))*100),'Quantification_Config'!$U$2),""),"")</x:f>
        <x:v>50</x:v>
      </x:c>
      <x:c r="F58" t="inlineStr">
        <x:is>
          <x:t xml:space="preserve">SYSTEM-TEST-ONLY-NO-NETWORK-NOT-AN-EDUCATIONAL-EVALUATION</x:t>
        </x:is>
      </x:c>
      <x:c r="G58" t="inlineStr">
        <x:is>
          <x:t xml:space="preserve"/>
        </x:is>
      </x:c>
      <x:c r="H58" t="inlineStr">
        <x:is>
          <x:t xml:space="preserve">NONE</x:t>
        </x:is>
      </x:c>
      <x:c r="I58" t="inlineStr">
        <x:is>
          <x:t xml:space="preserve"/>
        </x:is>
      </x:c>
      <x:c r="J58" t="inlineStr">
        <x:is>
          <x:t xml:space="preserve">SUCCESS</x:t>
        </x:is>
      </x:c>
      <x:c r="K58" t="n">
        <x:f>IF((COUNT('Quantification_Results'!E58)=1),IFERROR(ROUND((SUM(('Quantification_Results'!E58*'Quantification_Config'!$R$6))/SUM('Quantification_Config'!$R$6)),'Quantification_Config'!$U$2),""),"")</x:f>
        <x:v>50</x:v>
      </x:c>
      <x:c r="L58" t="n">
        <x:f>IF((COUNT('Quantification_Results'!K58)=1),IFERROR(ROUND((SUM(('Quantification_Results'!K58*'Quantification_Config'!$R$5))/SUM('Quantification_Config'!$R$5)),'Quantification_Config'!$U$2),""),"")</x:f>
        <x:v>50</x:v>
      </x:c>
      <x:c r="M58" t="n">
        <x:v>1</x:v>
      </x:c>
      <x:c r="N58" t="n">
        <x:v>5</x:v>
      </x:c>
      <x:c r="O58"/>
      <x:c r="P58" t="n">
        <x:f>IF(('Quantification_Results'!M58&lt;&gt;1),"",IF(('Quantification_Results'!O58=""),IF(ISNUMBER('Quantification_Results'!N58),IF(('Quantification_Results'!N58&lt;'Quantification_Config'!$S$9),"",IF(('Quantification_Results'!N58&gt;'Quantification_Config'!$T$9),"",'Quantification_Results'!N58)),""),IF(ISNUMBER('Quantification_Results'!O58),IF(('Quantification_Results'!O58&lt;'Quantification_Config'!$S$9),"",IF(('Quantification_Results'!O58&gt;'Quantification_Config'!$T$9),"",'Quantification_Results'!O58)),"")))</x:f>
        <x:v>5</x:v>
      </x:c>
      <x:c r="Q58" t="n">
        <x:f>IF(ISNUMBER('Quantification_Results'!P58),IFERROR(ROUND(((('Quantification_Results'!P58-'Quantification_Config'!$S$9)/('Quantification_Config'!$T$9-'Quantification_Config'!$S$9))*100),'Quantification_Config'!$U$2),""),"")</x:f>
        <x:v>50</x:v>
      </x:c>
      <x:c r="R58" t="inlineStr">
        <x:is>
          <x:t xml:space="preserve">SYSTEM-TEST-ONLY-NO-NETWORK-NOT-AN-EDUCATIONAL-EVALUATION</x:t>
        </x:is>
      </x:c>
      <x:c r="S58" t="inlineStr">
        <x:is>
          <x:t xml:space="preserve"/>
        </x:is>
      </x:c>
      <x:c r="T58" t="inlineStr">
        <x:is>
          <x:t xml:space="preserve">NONE</x:t>
        </x:is>
      </x:c>
      <x:c r="U58" t="inlineStr">
        <x:is>
          <x:t xml:space="preserve"/>
        </x:is>
      </x:c>
      <x:c r="V58" t="inlineStr">
        <x:is>
          <x:t xml:space="preserve">SUCCESS</x:t>
        </x:is>
      </x:c>
      <x:c r="W58" t="n">
        <x:f>IF((COUNT('Quantification_Results'!Q58)=1),IFERROR(ROUND((SUM(('Quantification_Results'!Q58*'Quantification_Config'!$R$9))/SUM('Quantification_Config'!$R$9)),'Quantification_Config'!$U$2),""),"")</x:f>
        <x:v>50</x:v>
      </x:c>
      <x:c r="X58" t="n">
        <x:f>IF((COUNT('Quantification_Results'!W58)=1),IFERROR(ROUND((SUM(('Quantification_Results'!W58*'Quantification_Config'!$R$8))/SUM('Quantification_Config'!$R$8)),'Quantification_Config'!$U$2),""),"")</x:f>
        <x:v>50</x:v>
      </x:c>
      <x:c r="Y58" t="n">
        <x:v>0</x:v>
      </x:c>
      <x:c r="Z58"/>
      <x:c r="AA58"/>
      <x:c r="AB58">
        <x:f>IF(('Quantification_Results'!Y58&lt;&gt;1),"",IF(('Quantification_Results'!AA58=""),IF(ISNUMBER('Quantification_Results'!Z58),IF(('Quantification_Results'!Z58&lt;'Quantification_Config'!$S$12),"",IF(('Quantification_Results'!Z58&gt;'Quantification_Config'!$T$12),"",'Quantification_Results'!Z58)),""),IF(ISNUMBER('Quantification_Results'!AA58),IF(('Quantification_Results'!AA58&lt;'Quantification_Config'!$S$12),"",IF(('Quantification_Results'!AA58&gt;'Quantification_Config'!$T$12),"",'Quantification_Results'!AA58)),"")))</x:f>
      </x:c>
      <x:c r="AC58">
        <x:f>IF(ISNUMBER('Quantification_Results'!AB58),IFERROR(ROUND(((('Quantification_Results'!AB58-'Quantification_Config'!$S$12)/('Quantification_Config'!$T$12-'Quantification_Config'!$S$12))*100),'Quantification_Config'!$U$2),""),"")</x:f>
      </x:c>
      <x:c r="AD58" t="inlineStr">
        <x:is>
          <x:t xml:space="preserve"/>
        </x:is>
      </x:c>
      <x:c r="AE58" t="inlineStr">
        <x:is>
          <x:t xml:space="preserve"/>
        </x:is>
      </x:c>
      <x:c r="AF58" t="inlineStr">
        <x:is>
          <x:t xml:space="preserve"/>
        </x:is>
      </x:c>
      <x:c r="AG58" t="inlineStr">
        <x:is>
          <x:t xml:space="preserve"/>
        </x:is>
      </x:c>
      <x:c r="AH58" t="inlineStr">
        <x:is>
          <x:t xml:space="preserve">EMPTY</x:t>
        </x:is>
      </x:c>
      <x:c r="AI58">
        <x:f>IF((COUNT('Quantification_Results'!AC58)=1),IFERROR(ROUND((SUM(('Quantification_Results'!AC58*'Quantification_Config'!$R$12))/SUM('Quantification_Config'!$R$12)),'Quantification_Config'!$U$2),""),"")</x:f>
      </x:c>
      <x:c r="AJ58">
        <x:f>IF((COUNT('Quantification_Results'!AI58)=1),IFERROR(ROUND((SUM(('Quantification_Results'!AI58*'Quantification_Config'!$R$11))/SUM('Quantification_Config'!$R$11)),'Quantification_Config'!$U$2),""),"")</x:f>
      </x:c>
      <x:c r="AK58" t="n">
        <x:v>1</x:v>
      </x:c>
      <x:c r="AL58" t="n">
        <x:v>5</x:v>
      </x:c>
      <x:c r="AM58"/>
      <x:c r="AN58" t="n">
        <x:f>IF(('Quantification_Results'!AK58&lt;&gt;1),"",IF(('Quantification_Results'!AM58=""),IF(ISNUMBER('Quantification_Results'!AL58),IF(('Quantification_Results'!AL58&lt;'Quantification_Config'!$S$15),"",IF(('Quantification_Results'!AL58&gt;'Quantification_Config'!$T$15),"",'Quantification_Results'!AL58)),""),IF(ISNUMBER('Quantification_Results'!AM58),IF(('Quantification_Results'!AM58&lt;'Quantification_Config'!$S$15),"",IF(('Quantification_Results'!AM58&gt;'Quantification_Config'!$T$15),"",'Quantification_Results'!AM58)),"")))</x:f>
        <x:v>5</x:v>
      </x:c>
      <x:c r="AO58" t="n">
        <x:f>IF(ISNUMBER('Quantification_Results'!AN58),IFERROR(ROUND(((('Quantification_Results'!AN58-'Quantification_Config'!$S$15)/('Quantification_Config'!$T$15-'Quantification_Config'!$S$15))*100),'Quantification_Config'!$U$2),""),"")</x:f>
        <x:v>50</x:v>
      </x:c>
      <x:c r="AP58" t="inlineStr">
        <x:is>
          <x:t xml:space="preserve">SYSTEM-TEST-ONLY-NO-NETWORK-NOT-AN-EDUCATIONAL-EVALUATION</x:t>
        </x:is>
      </x:c>
      <x:c r="AQ58" t="inlineStr">
        <x:is>
          <x:t xml:space="preserve"/>
        </x:is>
      </x:c>
      <x:c r="AR58" t="inlineStr">
        <x:is>
          <x:t xml:space="preserve">NONE</x:t>
        </x:is>
      </x:c>
      <x:c r="AS58" t="inlineStr">
        <x:is>
          <x:t xml:space="preserve"/>
        </x:is>
      </x:c>
      <x:c r="AT58" t="inlineStr">
        <x:is>
          <x:t xml:space="preserve">SUCCESS</x:t>
        </x:is>
      </x:c>
      <x:c r="AU58" t="n">
        <x:f>IF((COUNT('Quantification_Results'!AO58)=1),IFERROR(ROUND((SUM(('Quantification_Results'!AO58*'Quantification_Config'!$R$15))/SUM('Quantification_Config'!$R$15)),'Quantification_Config'!$U$2),""),"")</x:f>
        <x:v>50</x:v>
      </x:c>
      <x:c r="AV58" t="n">
        <x:f>IF((COUNT('Quantification_Results'!AU58)=1),IFERROR(ROUND((SUM(('Quantification_Results'!AU58*'Quantification_Config'!$R$14))/SUM('Quantification_Config'!$R$14)),'Quantification_Config'!$U$2),""),"")</x:f>
        <x:v>50</x:v>
      </x:c>
      <x:c r="AW58" t="n">
        <x:v>1</x:v>
      </x:c>
      <x:c r="AX58" t="n">
        <x:v>5</x:v>
      </x:c>
      <x:c r="AY58"/>
      <x:c r="AZ58" t="n">
        <x:f>IF(('Quantification_Results'!AW58&lt;&gt;1),"",IF(('Quantification_Results'!AY58=""),IF(ISNUMBER('Quantification_Results'!AX58),IF(('Quantification_Results'!AX58&lt;'Quantification_Config'!$S$19),"",IF(('Quantification_Results'!AX58&gt;'Quantification_Config'!$T$19),"",'Quantification_Results'!AX58)),""),IF(ISNUMBER('Quantification_Results'!AY58),IF(('Quantification_Results'!AY58&lt;'Quantification_Config'!$S$19),"",IF(('Quantification_Results'!AY58&gt;'Quantification_Config'!$T$19),"",'Quantification_Results'!AY58)),"")))</x:f>
        <x:v>5</x:v>
      </x:c>
      <x:c r="BA58" t="n">
        <x:f>IF(ISNUMBER('Quantification_Results'!AZ58),IFERROR(ROUND(((('Quantification_Results'!AZ58-'Quantification_Config'!$S$19)/('Quantification_Config'!$T$19-'Quantification_Config'!$S$19))*100),'Quantification_Config'!$U$2),""),"")</x:f>
        <x:v>50</x:v>
      </x:c>
      <x:c r="BB58" t="inlineStr">
        <x:is>
          <x:t xml:space="preserve">SYSTEM-TEST-ONLY-NO-NETWORK-NOT-AN-EDUCATIONAL-EVALUATION</x:t>
        </x:is>
      </x:c>
      <x:c r="BC58" t="inlineStr">
        <x:is>
          <x:t xml:space="preserve"/>
        </x:is>
      </x:c>
      <x:c r="BD58" t="inlineStr">
        <x:is>
          <x:t xml:space="preserve">NONE</x:t>
        </x:is>
      </x:c>
      <x:c r="BE58" t="inlineStr">
        <x:is>
          <x:t xml:space="preserve"/>
        </x:is>
      </x:c>
      <x:c r="BF58" t="inlineStr">
        <x:is>
          <x:t xml:space="preserve">SUCCESS</x:t>
        </x:is>
      </x:c>
      <x:c r="BG58" t="n">
        <x:f>IF((COUNT('Quantification_Results'!BA58)=1),IFERROR(ROUND((SUM(('Quantification_Results'!BA58*'Quantification_Config'!$R$19))/SUM('Quantification_Config'!$R$19)),'Quantification_Config'!$U$2),""),"")</x:f>
        <x:v>50</x:v>
      </x:c>
      <x:c r="BH58" t="n">
        <x:f>IF((COUNT('Quantification_Results'!BG58)=1),IFERROR(ROUND((SUM(('Quantification_Results'!BG58*'Quantification_Config'!$R$18))/SUM('Quantification_Config'!$R$18)),'Quantification_Config'!$U$2),""),"")</x:f>
        <x:v>50</x:v>
      </x:c>
      <x:c r="BI58">
        <x:f>IF((COUNT('Quantification_Results'!L58,'Quantification_Results'!X58,'Quantification_Results'!AJ58,'Quantification_Results'!AV58,'Quantification_Results'!BH58)=5),IFERROR(ROUND((SUM(('Quantification_Results'!L58*'Quantification_Config'!$R$4),('Quantification_Results'!X58*'Quantification_Config'!$R$7),('Quantification_Results'!AJ58*'Quantification_Config'!$R$10),('Quantification_Results'!AV58*'Quantification_Config'!$R$13),('Quantification_Results'!BH58*'Quantification_Config'!$R$16))/SUM('Quantification_Config'!$R$4,'Quantification_Config'!$R$7,'Quantification_Config'!$R$10,'Quantification_Config'!$R$13,'Quantification_Config'!$R$16)),'Quantification_Config'!$U$2),""),"")</x:f>
      </x:c>
    </x:row>
    <x:row r="59">
      <x:c r="A59" t="n">
        <x:v>1</x:v>
      </x:c>
      <x:c r="B59" t="n">
        <x:v>5</x:v>
      </x:c>
      <x:c r="C59"/>
      <x:c r="D59" t="n">
        <x:f>IF(('Quantification_Results'!A59&lt;&gt;1),"",IF(('Quantification_Results'!C59=""),IF(ISNUMBER('Quantification_Results'!B59),IF(('Quantification_Results'!B59&lt;'Quantification_Config'!$S$6),"",IF(('Quantification_Results'!B59&gt;'Quantification_Config'!$T$6),"",'Quantification_Results'!B59)),""),IF(ISNUMBER('Quantification_Results'!C59),IF(('Quantification_Results'!C59&lt;'Quantification_Config'!$S$6),"",IF(('Quantification_Results'!C59&gt;'Quantification_Config'!$T$6),"",'Quantification_Results'!C59)),"")))</x:f>
        <x:v>5</x:v>
      </x:c>
      <x:c r="E59" t="n">
        <x:f>IF(ISNUMBER('Quantification_Results'!D59),IFERROR(ROUND(((('Quantification_Results'!D59-'Quantification_Config'!$S$6)/('Quantification_Config'!$T$6-'Quantification_Config'!$S$6))*100),'Quantification_Config'!$U$2),""),"")</x:f>
        <x:v>50</x:v>
      </x:c>
      <x:c r="F59" t="inlineStr">
        <x:is>
          <x:t xml:space="preserve">SYSTEM-TEST-ONLY-NO-NETWORK-NOT-AN-EDUCATIONAL-EVALUATION</x:t>
        </x:is>
      </x:c>
      <x:c r="G59" t="inlineStr">
        <x:is>
          <x:t xml:space="preserve"/>
        </x:is>
      </x:c>
      <x:c r="H59" t="inlineStr">
        <x:is>
          <x:t xml:space="preserve">NONE</x:t>
        </x:is>
      </x:c>
      <x:c r="I59" t="inlineStr">
        <x:is>
          <x:t xml:space="preserve"/>
        </x:is>
      </x:c>
      <x:c r="J59" t="inlineStr">
        <x:is>
          <x:t xml:space="preserve">SUCCESS</x:t>
        </x:is>
      </x:c>
      <x:c r="K59" t="n">
        <x:f>IF((COUNT('Quantification_Results'!E59)=1),IFERROR(ROUND((SUM(('Quantification_Results'!E59*'Quantification_Config'!$R$6))/SUM('Quantification_Config'!$R$6)),'Quantification_Config'!$U$2),""),"")</x:f>
        <x:v>50</x:v>
      </x:c>
      <x:c r="L59" t="n">
        <x:f>IF((COUNT('Quantification_Results'!K59)=1),IFERROR(ROUND((SUM(('Quantification_Results'!K59*'Quantification_Config'!$R$5))/SUM('Quantification_Config'!$R$5)),'Quantification_Config'!$U$2),""),"")</x:f>
        <x:v>50</x:v>
      </x:c>
      <x:c r="M59" t="n">
        <x:v>1</x:v>
      </x:c>
      <x:c r="N59" t="n">
        <x:v>5</x:v>
      </x:c>
      <x:c r="O59"/>
      <x:c r="P59" t="n">
        <x:f>IF(('Quantification_Results'!M59&lt;&gt;1),"",IF(('Quantification_Results'!O59=""),IF(ISNUMBER('Quantification_Results'!N59),IF(('Quantification_Results'!N59&lt;'Quantification_Config'!$S$9),"",IF(('Quantification_Results'!N59&gt;'Quantification_Config'!$T$9),"",'Quantification_Results'!N59)),""),IF(ISNUMBER('Quantification_Results'!O59),IF(('Quantification_Results'!O59&lt;'Quantification_Config'!$S$9),"",IF(('Quantification_Results'!O59&gt;'Quantification_Config'!$T$9),"",'Quantification_Results'!O59)),"")))</x:f>
        <x:v>5</x:v>
      </x:c>
      <x:c r="Q59" t="n">
        <x:f>IF(ISNUMBER('Quantification_Results'!P59),IFERROR(ROUND(((('Quantification_Results'!P59-'Quantification_Config'!$S$9)/('Quantification_Config'!$T$9-'Quantification_Config'!$S$9))*100),'Quantification_Config'!$U$2),""),"")</x:f>
        <x:v>50</x:v>
      </x:c>
      <x:c r="R59" t="inlineStr">
        <x:is>
          <x:t xml:space="preserve">SYSTEM-TEST-ONLY-NO-NETWORK-NOT-AN-EDUCATIONAL-EVALUATION</x:t>
        </x:is>
      </x:c>
      <x:c r="S59" t="inlineStr">
        <x:is>
          <x:t xml:space="preserve"/>
        </x:is>
      </x:c>
      <x:c r="T59" t="inlineStr">
        <x:is>
          <x:t xml:space="preserve">NONE</x:t>
        </x:is>
      </x:c>
      <x:c r="U59" t="inlineStr">
        <x:is>
          <x:t xml:space="preserve"/>
        </x:is>
      </x:c>
      <x:c r="V59" t="inlineStr">
        <x:is>
          <x:t xml:space="preserve">SUCCESS</x:t>
        </x:is>
      </x:c>
      <x:c r="W59" t="n">
        <x:f>IF((COUNT('Quantification_Results'!Q59)=1),IFERROR(ROUND((SUM(('Quantification_Results'!Q59*'Quantification_Config'!$R$9))/SUM('Quantification_Config'!$R$9)),'Quantification_Config'!$U$2),""),"")</x:f>
        <x:v>50</x:v>
      </x:c>
      <x:c r="X59" t="n">
        <x:f>IF((COUNT('Quantification_Results'!W59)=1),IFERROR(ROUND((SUM(('Quantification_Results'!W59*'Quantification_Config'!$R$8))/SUM('Quantification_Config'!$R$8)),'Quantification_Config'!$U$2),""),"")</x:f>
        <x:v>50</x:v>
      </x:c>
      <x:c r="Y59" t="n">
        <x:v>0</x:v>
      </x:c>
      <x:c r="Z59"/>
      <x:c r="AA59"/>
      <x:c r="AB59">
        <x:f>IF(('Quantification_Results'!Y59&lt;&gt;1),"",IF(('Quantification_Results'!AA59=""),IF(ISNUMBER('Quantification_Results'!Z59),IF(('Quantification_Results'!Z59&lt;'Quantification_Config'!$S$12),"",IF(('Quantification_Results'!Z59&gt;'Quantification_Config'!$T$12),"",'Quantification_Results'!Z59)),""),IF(ISNUMBER('Quantification_Results'!AA59),IF(('Quantification_Results'!AA59&lt;'Quantification_Config'!$S$12),"",IF(('Quantification_Results'!AA59&gt;'Quantification_Config'!$T$12),"",'Quantification_Results'!AA59)),"")))</x:f>
      </x:c>
      <x:c r="AC59">
        <x:f>IF(ISNUMBER('Quantification_Results'!AB59),IFERROR(ROUND(((('Quantification_Results'!AB59-'Quantification_Config'!$S$12)/('Quantification_Config'!$T$12-'Quantification_Config'!$S$12))*100),'Quantification_Config'!$U$2),""),"")</x:f>
      </x:c>
      <x:c r="AD59" t="inlineStr">
        <x:is>
          <x:t xml:space="preserve"/>
        </x:is>
      </x:c>
      <x:c r="AE59" t="inlineStr">
        <x:is>
          <x:t xml:space="preserve"/>
        </x:is>
      </x:c>
      <x:c r="AF59" t="inlineStr">
        <x:is>
          <x:t xml:space="preserve"/>
        </x:is>
      </x:c>
      <x:c r="AG59" t="inlineStr">
        <x:is>
          <x:t xml:space="preserve"/>
        </x:is>
      </x:c>
      <x:c r="AH59" t="inlineStr">
        <x:is>
          <x:t xml:space="preserve">EMPTY</x:t>
        </x:is>
      </x:c>
      <x:c r="AI59">
        <x:f>IF((COUNT('Quantification_Results'!AC59)=1),IFERROR(ROUND((SUM(('Quantification_Results'!AC59*'Quantification_Config'!$R$12))/SUM('Quantification_Config'!$R$12)),'Quantification_Config'!$U$2),""),"")</x:f>
      </x:c>
      <x:c r="AJ59">
        <x:f>IF((COUNT('Quantification_Results'!AI59)=1),IFERROR(ROUND((SUM(('Quantification_Results'!AI59*'Quantification_Config'!$R$11))/SUM('Quantification_Config'!$R$11)),'Quantification_Config'!$U$2),""),"")</x:f>
      </x:c>
      <x:c r="AK59" t="n">
        <x:v>1</x:v>
      </x:c>
      <x:c r="AL59" t="n">
        <x:v>5</x:v>
      </x:c>
      <x:c r="AM59"/>
      <x:c r="AN59" t="n">
        <x:f>IF(('Quantification_Results'!AK59&lt;&gt;1),"",IF(('Quantification_Results'!AM59=""),IF(ISNUMBER('Quantification_Results'!AL59),IF(('Quantification_Results'!AL59&lt;'Quantification_Config'!$S$15),"",IF(('Quantification_Results'!AL59&gt;'Quantification_Config'!$T$15),"",'Quantification_Results'!AL59)),""),IF(ISNUMBER('Quantification_Results'!AM59),IF(('Quantification_Results'!AM59&lt;'Quantification_Config'!$S$15),"",IF(('Quantification_Results'!AM59&gt;'Quantification_Config'!$T$15),"",'Quantification_Results'!AM59)),"")))</x:f>
        <x:v>5</x:v>
      </x:c>
      <x:c r="AO59" t="n">
        <x:f>IF(ISNUMBER('Quantification_Results'!AN59),IFERROR(ROUND(((('Quantification_Results'!AN59-'Quantification_Config'!$S$15)/('Quantification_Config'!$T$15-'Quantification_Config'!$S$15))*100),'Quantification_Config'!$U$2),""),"")</x:f>
        <x:v>50</x:v>
      </x:c>
      <x:c r="AP59" t="inlineStr">
        <x:is>
          <x:t xml:space="preserve">SYSTEM-TEST-ONLY-NO-NETWORK-NOT-AN-EDUCATIONAL-EVALUATION</x:t>
        </x:is>
      </x:c>
      <x:c r="AQ59" t="inlineStr">
        <x:is>
          <x:t xml:space="preserve"/>
        </x:is>
      </x:c>
      <x:c r="AR59" t="inlineStr">
        <x:is>
          <x:t xml:space="preserve">NONE</x:t>
        </x:is>
      </x:c>
      <x:c r="AS59" t="inlineStr">
        <x:is>
          <x:t xml:space="preserve"/>
        </x:is>
      </x:c>
      <x:c r="AT59" t="inlineStr">
        <x:is>
          <x:t xml:space="preserve">SUCCESS</x:t>
        </x:is>
      </x:c>
      <x:c r="AU59" t="n">
        <x:f>IF((COUNT('Quantification_Results'!AO59)=1),IFERROR(ROUND((SUM(('Quantification_Results'!AO59*'Quantification_Config'!$R$15))/SUM('Quantification_Config'!$R$15)),'Quantification_Config'!$U$2),""),"")</x:f>
        <x:v>50</x:v>
      </x:c>
      <x:c r="AV59" t="n">
        <x:f>IF((COUNT('Quantification_Results'!AU59)=1),IFERROR(ROUND((SUM(('Quantification_Results'!AU59*'Quantification_Config'!$R$14))/SUM('Quantification_Config'!$R$14)),'Quantification_Config'!$U$2),""),"")</x:f>
        <x:v>50</x:v>
      </x:c>
      <x:c r="AW59" t="n">
        <x:v>1</x:v>
      </x:c>
      <x:c r="AX59" t="n">
        <x:v>5</x:v>
      </x:c>
      <x:c r="AY59"/>
      <x:c r="AZ59" t="n">
        <x:f>IF(('Quantification_Results'!AW59&lt;&gt;1),"",IF(('Quantification_Results'!AY59=""),IF(ISNUMBER('Quantification_Results'!AX59),IF(('Quantification_Results'!AX59&lt;'Quantification_Config'!$S$19),"",IF(('Quantification_Results'!AX59&gt;'Quantification_Config'!$T$19),"",'Quantification_Results'!AX59)),""),IF(ISNUMBER('Quantification_Results'!AY59),IF(('Quantification_Results'!AY59&lt;'Quantification_Config'!$S$19),"",IF(('Quantification_Results'!AY59&gt;'Quantification_Config'!$T$19),"",'Quantification_Results'!AY59)),"")))</x:f>
        <x:v>5</x:v>
      </x:c>
      <x:c r="BA59" t="n">
        <x:f>IF(ISNUMBER('Quantification_Results'!AZ59),IFERROR(ROUND(((('Quantification_Results'!AZ59-'Quantification_Config'!$S$19)/('Quantification_Config'!$T$19-'Quantification_Config'!$S$19))*100),'Quantification_Config'!$U$2),""),"")</x:f>
        <x:v>50</x:v>
      </x:c>
      <x:c r="BB59" t="inlineStr">
        <x:is>
          <x:t xml:space="preserve">SYSTEM-TEST-ONLY-NO-NETWORK-NOT-AN-EDUCATIONAL-EVALUATION</x:t>
        </x:is>
      </x:c>
      <x:c r="BC59" t="inlineStr">
        <x:is>
          <x:t xml:space="preserve"/>
        </x:is>
      </x:c>
      <x:c r="BD59" t="inlineStr">
        <x:is>
          <x:t xml:space="preserve">NONE</x:t>
        </x:is>
      </x:c>
      <x:c r="BE59" t="inlineStr">
        <x:is>
          <x:t xml:space="preserve"/>
        </x:is>
      </x:c>
      <x:c r="BF59" t="inlineStr">
        <x:is>
          <x:t xml:space="preserve">SUCCESS</x:t>
        </x:is>
      </x:c>
      <x:c r="BG59" t="n">
        <x:f>IF((COUNT('Quantification_Results'!BA59)=1),IFERROR(ROUND((SUM(('Quantification_Results'!BA59*'Quantification_Config'!$R$19))/SUM('Quantification_Config'!$R$19)),'Quantification_Config'!$U$2),""),"")</x:f>
        <x:v>50</x:v>
      </x:c>
      <x:c r="BH59" t="n">
        <x:f>IF((COUNT('Quantification_Results'!BG59)=1),IFERROR(ROUND((SUM(('Quantification_Results'!BG59*'Quantification_Config'!$R$18))/SUM('Quantification_Config'!$R$18)),'Quantification_Config'!$U$2),""),"")</x:f>
        <x:v>50</x:v>
      </x:c>
      <x:c r="BI59">
        <x:f>IF((COUNT('Quantification_Results'!L59,'Quantification_Results'!X59,'Quantification_Results'!AJ59,'Quantification_Results'!AV59,'Quantification_Results'!BH59)=5),IFERROR(ROUND((SUM(('Quantification_Results'!L59*'Quantification_Config'!$R$4),('Quantification_Results'!X59*'Quantification_Config'!$R$7),('Quantification_Results'!AJ59*'Quantification_Config'!$R$10),('Quantification_Results'!AV59*'Quantification_Config'!$R$13),('Quantification_Results'!BH59*'Quantification_Config'!$R$16))/SUM('Quantification_Config'!$R$4,'Quantification_Config'!$R$7,'Quantification_Config'!$R$10,'Quantification_Config'!$R$13,'Quantification_Config'!$R$16)),'Quantification_Config'!$U$2),""),"")</x:f>
      </x:c>
    </x:row>
    <x:row r="60">
      <x:c r="A60" t="n">
        <x:v>1</x:v>
      </x:c>
      <x:c r="B60" t="n">
        <x:v>5</x:v>
      </x:c>
      <x:c r="C60"/>
      <x:c r="D60" t="n">
        <x:f>IF(('Quantification_Results'!A60&lt;&gt;1),"",IF(('Quantification_Results'!C60=""),IF(ISNUMBER('Quantification_Results'!B60),IF(('Quantification_Results'!B60&lt;'Quantification_Config'!$S$6),"",IF(('Quantification_Results'!B60&gt;'Quantification_Config'!$T$6),"",'Quantification_Results'!B60)),""),IF(ISNUMBER('Quantification_Results'!C60),IF(('Quantification_Results'!C60&lt;'Quantification_Config'!$S$6),"",IF(('Quantification_Results'!C60&gt;'Quantification_Config'!$T$6),"",'Quantification_Results'!C60)),"")))</x:f>
        <x:v>5</x:v>
      </x:c>
      <x:c r="E60" t="n">
        <x:f>IF(ISNUMBER('Quantification_Results'!D60),IFERROR(ROUND(((('Quantification_Results'!D60-'Quantification_Config'!$S$6)/('Quantification_Config'!$T$6-'Quantification_Config'!$S$6))*100),'Quantification_Config'!$U$2),""),"")</x:f>
        <x:v>50</x:v>
      </x:c>
      <x:c r="F60" t="inlineStr">
        <x:is>
          <x:t xml:space="preserve">SYSTEM-TEST-ONLY-NO-NETWORK-NOT-AN-EDUCATIONAL-EVALUATION</x:t>
        </x:is>
      </x:c>
      <x:c r="G60" t="inlineStr">
        <x:is>
          <x:t xml:space="preserve"/>
        </x:is>
      </x:c>
      <x:c r="H60" t="inlineStr">
        <x:is>
          <x:t xml:space="preserve">NONE</x:t>
        </x:is>
      </x:c>
      <x:c r="I60" t="inlineStr">
        <x:is>
          <x:t xml:space="preserve"/>
        </x:is>
      </x:c>
      <x:c r="J60" t="inlineStr">
        <x:is>
          <x:t xml:space="preserve">SUCCESS</x:t>
        </x:is>
      </x:c>
      <x:c r="K60" t="n">
        <x:f>IF((COUNT('Quantification_Results'!E60)=1),IFERROR(ROUND((SUM(('Quantification_Results'!E60*'Quantification_Config'!$R$6))/SUM('Quantification_Config'!$R$6)),'Quantification_Config'!$U$2),""),"")</x:f>
        <x:v>50</x:v>
      </x:c>
      <x:c r="L60" t="n">
        <x:f>IF((COUNT('Quantification_Results'!K60)=1),IFERROR(ROUND((SUM(('Quantification_Results'!K60*'Quantification_Config'!$R$5))/SUM('Quantification_Config'!$R$5)),'Quantification_Config'!$U$2),""),"")</x:f>
        <x:v>50</x:v>
      </x:c>
      <x:c r="M60" t="n">
        <x:v>1</x:v>
      </x:c>
      <x:c r="N60" t="n">
        <x:v>5</x:v>
      </x:c>
      <x:c r="O60"/>
      <x:c r="P60" t="n">
        <x:f>IF(('Quantification_Results'!M60&lt;&gt;1),"",IF(('Quantification_Results'!O60=""),IF(ISNUMBER('Quantification_Results'!N60),IF(('Quantification_Results'!N60&lt;'Quantification_Config'!$S$9),"",IF(('Quantification_Results'!N60&gt;'Quantification_Config'!$T$9),"",'Quantification_Results'!N60)),""),IF(ISNUMBER('Quantification_Results'!O60),IF(('Quantification_Results'!O60&lt;'Quantification_Config'!$S$9),"",IF(('Quantification_Results'!O60&gt;'Quantification_Config'!$T$9),"",'Quantification_Results'!O60)),"")))</x:f>
        <x:v>5</x:v>
      </x:c>
      <x:c r="Q60" t="n">
        <x:f>IF(ISNUMBER('Quantification_Results'!P60),IFERROR(ROUND(((('Quantification_Results'!P60-'Quantification_Config'!$S$9)/('Quantification_Config'!$T$9-'Quantification_Config'!$S$9))*100),'Quantification_Config'!$U$2),""),"")</x:f>
        <x:v>50</x:v>
      </x:c>
      <x:c r="R60" t="inlineStr">
        <x:is>
          <x:t xml:space="preserve">SYSTEM-TEST-ONLY-NO-NETWORK-NOT-AN-EDUCATIONAL-EVALUATION</x:t>
        </x:is>
      </x:c>
      <x:c r="S60" t="inlineStr">
        <x:is>
          <x:t xml:space="preserve"/>
        </x:is>
      </x:c>
      <x:c r="T60" t="inlineStr">
        <x:is>
          <x:t xml:space="preserve">NONE</x:t>
        </x:is>
      </x:c>
      <x:c r="U60" t="inlineStr">
        <x:is>
          <x:t xml:space="preserve"/>
        </x:is>
      </x:c>
      <x:c r="V60" t="inlineStr">
        <x:is>
          <x:t xml:space="preserve">SUCCESS</x:t>
        </x:is>
      </x:c>
      <x:c r="W60" t="n">
        <x:f>IF((COUNT('Quantification_Results'!Q60)=1),IFERROR(ROUND((SUM(('Quantification_Results'!Q60*'Quantification_Config'!$R$9))/SUM('Quantification_Config'!$R$9)),'Quantification_Config'!$U$2),""),"")</x:f>
        <x:v>50</x:v>
      </x:c>
      <x:c r="X60" t="n">
        <x:f>IF((COUNT('Quantification_Results'!W60)=1),IFERROR(ROUND((SUM(('Quantification_Results'!W60*'Quantification_Config'!$R$8))/SUM('Quantification_Config'!$R$8)),'Quantification_Config'!$U$2),""),"")</x:f>
        <x:v>50</x:v>
      </x:c>
      <x:c r="Y60" t="n">
        <x:v>0</x:v>
      </x:c>
      <x:c r="Z60"/>
      <x:c r="AA60"/>
      <x:c r="AB60">
        <x:f>IF(('Quantification_Results'!Y60&lt;&gt;1),"",IF(('Quantification_Results'!AA60=""),IF(ISNUMBER('Quantification_Results'!Z60),IF(('Quantification_Results'!Z60&lt;'Quantification_Config'!$S$12),"",IF(('Quantification_Results'!Z60&gt;'Quantification_Config'!$T$12),"",'Quantification_Results'!Z60)),""),IF(ISNUMBER('Quantification_Results'!AA60),IF(('Quantification_Results'!AA60&lt;'Quantification_Config'!$S$12),"",IF(('Quantification_Results'!AA60&gt;'Quantification_Config'!$T$12),"",'Quantification_Results'!AA60)),"")))</x:f>
      </x:c>
      <x:c r="AC60">
        <x:f>IF(ISNUMBER('Quantification_Results'!AB60),IFERROR(ROUND(((('Quantification_Results'!AB60-'Quantification_Config'!$S$12)/('Quantification_Config'!$T$12-'Quantification_Config'!$S$12))*100),'Quantification_Config'!$U$2),""),"")</x:f>
      </x:c>
      <x:c r="AD60" t="inlineStr">
        <x:is>
          <x:t xml:space="preserve"/>
        </x:is>
      </x:c>
      <x:c r="AE60" t="inlineStr">
        <x:is>
          <x:t xml:space="preserve"/>
        </x:is>
      </x:c>
      <x:c r="AF60" t="inlineStr">
        <x:is>
          <x:t xml:space="preserve"/>
        </x:is>
      </x:c>
      <x:c r="AG60" t="inlineStr">
        <x:is>
          <x:t xml:space="preserve"/>
        </x:is>
      </x:c>
      <x:c r="AH60" t="inlineStr">
        <x:is>
          <x:t xml:space="preserve">EMPTY</x:t>
        </x:is>
      </x:c>
      <x:c r="AI60">
        <x:f>IF((COUNT('Quantification_Results'!AC60)=1),IFERROR(ROUND((SUM(('Quantification_Results'!AC60*'Quantification_Config'!$R$12))/SUM('Quantification_Config'!$R$12)),'Quantification_Config'!$U$2),""),"")</x:f>
      </x:c>
      <x:c r="AJ60">
        <x:f>IF((COUNT('Quantification_Results'!AI60)=1),IFERROR(ROUND((SUM(('Quantification_Results'!AI60*'Quantification_Config'!$R$11))/SUM('Quantification_Config'!$R$11)),'Quantification_Config'!$U$2),""),"")</x:f>
      </x:c>
      <x:c r="AK60" t="n">
        <x:v>1</x:v>
      </x:c>
      <x:c r="AL60" t="n">
        <x:v>5</x:v>
      </x:c>
      <x:c r="AM60"/>
      <x:c r="AN60" t="n">
        <x:f>IF(('Quantification_Results'!AK60&lt;&gt;1),"",IF(('Quantification_Results'!AM60=""),IF(ISNUMBER('Quantification_Results'!AL60),IF(('Quantification_Results'!AL60&lt;'Quantification_Config'!$S$15),"",IF(('Quantification_Results'!AL60&gt;'Quantification_Config'!$T$15),"",'Quantification_Results'!AL60)),""),IF(ISNUMBER('Quantification_Results'!AM60),IF(('Quantification_Results'!AM60&lt;'Quantification_Config'!$S$15),"",IF(('Quantification_Results'!AM60&gt;'Quantification_Config'!$T$15),"",'Quantification_Results'!AM60)),"")))</x:f>
        <x:v>5</x:v>
      </x:c>
      <x:c r="AO60" t="n">
        <x:f>IF(ISNUMBER('Quantification_Results'!AN60),IFERROR(ROUND(((('Quantification_Results'!AN60-'Quantification_Config'!$S$15)/('Quantification_Config'!$T$15-'Quantification_Config'!$S$15))*100),'Quantification_Config'!$U$2),""),"")</x:f>
        <x:v>50</x:v>
      </x:c>
      <x:c r="AP60" t="inlineStr">
        <x:is>
          <x:t xml:space="preserve">SYSTEM-TEST-ONLY-NO-NETWORK-NOT-AN-EDUCATIONAL-EVALUATION</x:t>
        </x:is>
      </x:c>
      <x:c r="AQ60" t="inlineStr">
        <x:is>
          <x:t xml:space="preserve"/>
        </x:is>
      </x:c>
      <x:c r="AR60" t="inlineStr">
        <x:is>
          <x:t xml:space="preserve">NONE</x:t>
        </x:is>
      </x:c>
      <x:c r="AS60" t="inlineStr">
        <x:is>
          <x:t xml:space="preserve"/>
        </x:is>
      </x:c>
      <x:c r="AT60" t="inlineStr">
        <x:is>
          <x:t xml:space="preserve">SUCCESS</x:t>
        </x:is>
      </x:c>
      <x:c r="AU60" t="n">
        <x:f>IF((COUNT('Quantification_Results'!AO60)=1),IFERROR(ROUND((SUM(('Quantification_Results'!AO60*'Quantification_Config'!$R$15))/SUM('Quantification_Config'!$R$15)),'Quantification_Config'!$U$2),""),"")</x:f>
        <x:v>50</x:v>
      </x:c>
      <x:c r="AV60" t="n">
        <x:f>IF((COUNT('Quantification_Results'!AU60)=1),IFERROR(ROUND((SUM(('Quantification_Results'!AU60*'Quantification_Config'!$R$14))/SUM('Quantification_Config'!$R$14)),'Quantification_Config'!$U$2),""),"")</x:f>
        <x:v>50</x:v>
      </x:c>
      <x:c r="AW60" t="n">
        <x:v>1</x:v>
      </x:c>
      <x:c r="AX60" t="n">
        <x:v>5</x:v>
      </x:c>
      <x:c r="AY60"/>
      <x:c r="AZ60" t="n">
        <x:f>IF(('Quantification_Results'!AW60&lt;&gt;1),"",IF(('Quantification_Results'!AY60=""),IF(ISNUMBER('Quantification_Results'!AX60),IF(('Quantification_Results'!AX60&lt;'Quantification_Config'!$S$19),"",IF(('Quantification_Results'!AX60&gt;'Quantification_Config'!$T$19),"",'Quantification_Results'!AX60)),""),IF(ISNUMBER('Quantification_Results'!AY60),IF(('Quantification_Results'!AY60&lt;'Quantification_Config'!$S$19),"",IF(('Quantification_Results'!AY60&gt;'Quantification_Config'!$T$19),"",'Quantification_Results'!AY60)),"")))</x:f>
        <x:v>5</x:v>
      </x:c>
      <x:c r="BA60" t="n">
        <x:f>IF(ISNUMBER('Quantification_Results'!AZ60),IFERROR(ROUND(((('Quantification_Results'!AZ60-'Quantification_Config'!$S$19)/('Quantification_Config'!$T$19-'Quantification_Config'!$S$19))*100),'Quantification_Config'!$U$2),""),"")</x:f>
        <x:v>50</x:v>
      </x:c>
      <x:c r="BB60" t="inlineStr">
        <x:is>
          <x:t xml:space="preserve">SYSTEM-TEST-ONLY-NO-NETWORK-NOT-AN-EDUCATIONAL-EVALUATION</x:t>
        </x:is>
      </x:c>
      <x:c r="BC60" t="inlineStr">
        <x:is>
          <x:t xml:space="preserve"/>
        </x:is>
      </x:c>
      <x:c r="BD60" t="inlineStr">
        <x:is>
          <x:t xml:space="preserve">NONE</x:t>
        </x:is>
      </x:c>
      <x:c r="BE60" t="inlineStr">
        <x:is>
          <x:t xml:space="preserve"/>
        </x:is>
      </x:c>
      <x:c r="BF60" t="inlineStr">
        <x:is>
          <x:t xml:space="preserve">SUCCESS</x:t>
        </x:is>
      </x:c>
      <x:c r="BG60" t="n">
        <x:f>IF((COUNT('Quantification_Results'!BA60)=1),IFERROR(ROUND((SUM(('Quantification_Results'!BA60*'Quantification_Config'!$R$19))/SUM('Quantification_Config'!$R$19)),'Quantification_Config'!$U$2),""),"")</x:f>
        <x:v>50</x:v>
      </x:c>
      <x:c r="BH60" t="n">
        <x:f>IF((COUNT('Quantification_Results'!BG60)=1),IFERROR(ROUND((SUM(('Quantification_Results'!BG60*'Quantification_Config'!$R$18))/SUM('Quantification_Config'!$R$18)),'Quantification_Config'!$U$2),""),"")</x:f>
        <x:v>50</x:v>
      </x:c>
      <x:c r="BI60">
        <x:f>IF((COUNT('Quantification_Results'!L60,'Quantification_Results'!X60,'Quantification_Results'!AJ60,'Quantification_Results'!AV60,'Quantification_Results'!BH60)=5),IFERROR(ROUND((SUM(('Quantification_Results'!L60*'Quantification_Config'!$R$4),('Quantification_Results'!X60*'Quantification_Config'!$R$7),('Quantification_Results'!AJ60*'Quantification_Config'!$R$10),('Quantification_Results'!AV60*'Quantification_Config'!$R$13),('Quantification_Results'!BH60*'Quantification_Config'!$R$16))/SUM('Quantification_Config'!$R$4,'Quantification_Config'!$R$7,'Quantification_Config'!$R$10,'Quantification_Config'!$R$13,'Quantification_Config'!$R$16)),'Quantification_Config'!$U$2),""),"")</x:f>
      </x:c>
    </x:row>
    <x:row r="61">
      <x:c r="A61" t="n">
        <x:v>1</x:v>
      </x:c>
      <x:c r="B61" t="n">
        <x:v>5</x:v>
      </x:c>
      <x:c r="C61"/>
      <x:c r="D61" t="n">
        <x:f>IF(('Quantification_Results'!A61&lt;&gt;1),"",IF(('Quantification_Results'!C61=""),IF(ISNUMBER('Quantification_Results'!B61),IF(('Quantification_Results'!B61&lt;'Quantification_Config'!$S$6),"",IF(('Quantification_Results'!B61&gt;'Quantification_Config'!$T$6),"",'Quantification_Results'!B61)),""),IF(ISNUMBER('Quantification_Results'!C61),IF(('Quantification_Results'!C61&lt;'Quantification_Config'!$S$6),"",IF(('Quantification_Results'!C61&gt;'Quantification_Config'!$T$6),"",'Quantification_Results'!C61)),"")))</x:f>
        <x:v>5</x:v>
      </x:c>
      <x:c r="E61" t="n">
        <x:f>IF(ISNUMBER('Quantification_Results'!D61),IFERROR(ROUND(((('Quantification_Results'!D61-'Quantification_Config'!$S$6)/('Quantification_Config'!$T$6-'Quantification_Config'!$S$6))*100),'Quantification_Config'!$U$2),""),"")</x:f>
        <x:v>50</x:v>
      </x:c>
      <x:c r="F61" t="inlineStr">
        <x:is>
          <x:t xml:space="preserve">SYSTEM-TEST-ONLY-NO-NETWORK-NOT-AN-EDUCATIONAL-EVALUATION</x:t>
        </x:is>
      </x:c>
      <x:c r="G61" t="inlineStr">
        <x:is>
          <x:t xml:space="preserve"/>
        </x:is>
      </x:c>
      <x:c r="H61" t="inlineStr">
        <x:is>
          <x:t xml:space="preserve">NONE</x:t>
        </x:is>
      </x:c>
      <x:c r="I61" t="inlineStr">
        <x:is>
          <x:t xml:space="preserve"/>
        </x:is>
      </x:c>
      <x:c r="J61" t="inlineStr">
        <x:is>
          <x:t xml:space="preserve">SUCCESS</x:t>
        </x:is>
      </x:c>
      <x:c r="K61" t="n">
        <x:f>IF((COUNT('Quantification_Results'!E61)=1),IFERROR(ROUND((SUM(('Quantification_Results'!E61*'Quantification_Config'!$R$6))/SUM('Quantification_Config'!$R$6)),'Quantification_Config'!$U$2),""),"")</x:f>
        <x:v>50</x:v>
      </x:c>
      <x:c r="L61" t="n">
        <x:f>IF((COUNT('Quantification_Results'!K61)=1),IFERROR(ROUND((SUM(('Quantification_Results'!K61*'Quantification_Config'!$R$5))/SUM('Quantification_Config'!$R$5)),'Quantification_Config'!$U$2),""),"")</x:f>
        <x:v>50</x:v>
      </x:c>
      <x:c r="M61" t="n">
        <x:v>1</x:v>
      </x:c>
      <x:c r="N61" t="n">
        <x:v>5</x:v>
      </x:c>
      <x:c r="O61"/>
      <x:c r="P61" t="n">
        <x:f>IF(('Quantification_Results'!M61&lt;&gt;1),"",IF(('Quantification_Results'!O61=""),IF(ISNUMBER('Quantification_Results'!N61),IF(('Quantification_Results'!N61&lt;'Quantification_Config'!$S$9),"",IF(('Quantification_Results'!N61&gt;'Quantification_Config'!$T$9),"",'Quantification_Results'!N61)),""),IF(ISNUMBER('Quantification_Results'!O61),IF(('Quantification_Results'!O61&lt;'Quantification_Config'!$S$9),"",IF(('Quantification_Results'!O61&gt;'Quantification_Config'!$T$9),"",'Quantification_Results'!O61)),"")))</x:f>
        <x:v>5</x:v>
      </x:c>
      <x:c r="Q61" t="n">
        <x:f>IF(ISNUMBER('Quantification_Results'!P61),IFERROR(ROUND(((('Quantification_Results'!P61-'Quantification_Config'!$S$9)/('Quantification_Config'!$T$9-'Quantification_Config'!$S$9))*100),'Quantification_Config'!$U$2),""),"")</x:f>
        <x:v>50</x:v>
      </x:c>
      <x:c r="R61" t="inlineStr">
        <x:is>
          <x:t xml:space="preserve">SYSTEM-TEST-ONLY-NO-NETWORK-NOT-AN-EDUCATIONAL-EVALUATION</x:t>
        </x:is>
      </x:c>
      <x:c r="S61" t="inlineStr">
        <x:is>
          <x:t xml:space="preserve"/>
        </x:is>
      </x:c>
      <x:c r="T61" t="inlineStr">
        <x:is>
          <x:t xml:space="preserve">NONE</x:t>
        </x:is>
      </x:c>
      <x:c r="U61" t="inlineStr">
        <x:is>
          <x:t xml:space="preserve"/>
        </x:is>
      </x:c>
      <x:c r="V61" t="inlineStr">
        <x:is>
          <x:t xml:space="preserve">SUCCESS</x:t>
        </x:is>
      </x:c>
      <x:c r="W61" t="n">
        <x:f>IF((COUNT('Quantification_Results'!Q61)=1),IFERROR(ROUND((SUM(('Quantification_Results'!Q61*'Quantification_Config'!$R$9))/SUM('Quantification_Config'!$R$9)),'Quantification_Config'!$U$2),""),"")</x:f>
        <x:v>50</x:v>
      </x:c>
      <x:c r="X61" t="n">
        <x:f>IF((COUNT('Quantification_Results'!W61)=1),IFERROR(ROUND((SUM(('Quantification_Results'!W61*'Quantification_Config'!$R$8))/SUM('Quantification_Config'!$R$8)),'Quantification_Config'!$U$2),""),"")</x:f>
        <x:v>50</x:v>
      </x:c>
      <x:c r="Y61" t="n">
        <x:v>1</x:v>
      </x:c>
      <x:c r="Z61" t="n">
        <x:v>5</x:v>
      </x:c>
      <x:c r="AA61"/>
      <x:c r="AB61" t="n">
        <x:f>IF(('Quantification_Results'!Y61&lt;&gt;1),"",IF(('Quantification_Results'!AA61=""),IF(ISNUMBER('Quantification_Results'!Z61),IF(('Quantification_Results'!Z61&lt;'Quantification_Config'!$S$12),"",IF(('Quantification_Results'!Z61&gt;'Quantification_Config'!$T$12),"",'Quantification_Results'!Z61)),""),IF(ISNUMBER('Quantification_Results'!AA61),IF(('Quantification_Results'!AA61&lt;'Quantification_Config'!$S$12),"",IF(('Quantification_Results'!AA61&gt;'Quantification_Config'!$T$12),"",'Quantification_Results'!AA61)),"")))</x:f>
        <x:v>5</x:v>
      </x:c>
      <x:c r="AC61" t="n">
        <x:f>IF(ISNUMBER('Quantification_Results'!AB61),IFERROR(ROUND(((('Quantification_Results'!AB61-'Quantification_Config'!$S$12)/('Quantification_Config'!$T$12-'Quantification_Config'!$S$12))*100),'Quantification_Config'!$U$2),""),"")</x:f>
        <x:v>50</x:v>
      </x:c>
      <x:c r="AD61" t="inlineStr">
        <x:is>
          <x:t xml:space="preserve">SYSTEM-TEST-ONLY-NO-NETWORK-NOT-AN-EDUCATIONAL-EVALUATION</x:t>
        </x:is>
      </x:c>
      <x:c r="AE61" t="inlineStr">
        <x:is>
          <x:t xml:space="preserve"/>
        </x:is>
      </x:c>
      <x:c r="AF61" t="inlineStr">
        <x:is>
          <x:t xml:space="preserve">NONE</x:t>
        </x:is>
      </x:c>
      <x:c r="AG61" t="inlineStr">
        <x:is>
          <x:t xml:space="preserve"/>
        </x:is>
      </x:c>
      <x:c r="AH61" t="inlineStr">
        <x:is>
          <x:t xml:space="preserve">SUCCESS</x:t>
        </x:is>
      </x:c>
      <x:c r="AI61" t="n">
        <x:f>IF((COUNT('Quantification_Results'!AC61)=1),IFERROR(ROUND((SUM(('Quantification_Results'!AC61*'Quantification_Config'!$R$12))/SUM('Quantification_Config'!$R$12)),'Quantification_Config'!$U$2),""),"")</x:f>
        <x:v>50</x:v>
      </x:c>
      <x:c r="AJ61" t="n">
        <x:f>IF((COUNT('Quantification_Results'!AI61)=1),IFERROR(ROUND((SUM(('Quantification_Results'!AI61*'Quantification_Config'!$R$11))/SUM('Quantification_Config'!$R$11)),'Quantification_Config'!$U$2),""),"")</x:f>
        <x:v>50</x:v>
      </x:c>
      <x:c r="AK61" t="n">
        <x:v>1</x:v>
      </x:c>
      <x:c r="AL61" t="n">
        <x:v>5</x:v>
      </x:c>
      <x:c r="AM61"/>
      <x:c r="AN61" t="n">
        <x:f>IF(('Quantification_Results'!AK61&lt;&gt;1),"",IF(('Quantification_Results'!AM61=""),IF(ISNUMBER('Quantification_Results'!AL61),IF(('Quantification_Results'!AL61&lt;'Quantification_Config'!$S$15),"",IF(('Quantification_Results'!AL61&gt;'Quantification_Config'!$T$15),"",'Quantification_Results'!AL61)),""),IF(ISNUMBER('Quantification_Results'!AM61),IF(('Quantification_Results'!AM61&lt;'Quantification_Config'!$S$15),"",IF(('Quantification_Results'!AM61&gt;'Quantification_Config'!$T$15),"",'Quantification_Results'!AM61)),"")))</x:f>
        <x:v>5</x:v>
      </x:c>
      <x:c r="AO61" t="n">
        <x:f>IF(ISNUMBER('Quantification_Results'!AN61),IFERROR(ROUND(((('Quantification_Results'!AN61-'Quantification_Config'!$S$15)/('Quantification_Config'!$T$15-'Quantification_Config'!$S$15))*100),'Quantification_Config'!$U$2),""),"")</x:f>
        <x:v>50</x:v>
      </x:c>
      <x:c r="AP61" t="inlineStr">
        <x:is>
          <x:t xml:space="preserve">SYSTEM-TEST-ONLY-NO-NETWORK-NOT-AN-EDUCATIONAL-EVALUATION</x:t>
        </x:is>
      </x:c>
      <x:c r="AQ61" t="inlineStr">
        <x:is>
          <x:t xml:space="preserve"/>
        </x:is>
      </x:c>
      <x:c r="AR61" t="inlineStr">
        <x:is>
          <x:t xml:space="preserve">NONE</x:t>
        </x:is>
      </x:c>
      <x:c r="AS61" t="inlineStr">
        <x:is>
          <x:t xml:space="preserve"/>
        </x:is>
      </x:c>
      <x:c r="AT61" t="inlineStr">
        <x:is>
          <x:t xml:space="preserve">SUCCESS</x:t>
        </x:is>
      </x:c>
      <x:c r="AU61" t="n">
        <x:f>IF((COUNT('Quantification_Results'!AO61)=1),IFERROR(ROUND((SUM(('Quantification_Results'!AO61*'Quantification_Config'!$R$15))/SUM('Quantification_Config'!$R$15)),'Quantification_Config'!$U$2),""),"")</x:f>
        <x:v>50</x:v>
      </x:c>
      <x:c r="AV61" t="n">
        <x:f>IF((COUNT('Quantification_Results'!AU61)=1),IFERROR(ROUND((SUM(('Quantification_Results'!AU61*'Quantification_Config'!$R$14))/SUM('Quantification_Config'!$R$14)),'Quantification_Config'!$U$2),""),"")</x:f>
        <x:v>50</x:v>
      </x:c>
      <x:c r="AW61" t="n">
        <x:v>0</x:v>
      </x:c>
      <x:c r="AX61"/>
      <x:c r="AY61"/>
      <x:c r="AZ61">
        <x:f>IF(('Quantification_Results'!AW61&lt;&gt;1),"",IF(('Quantification_Results'!AY61=""),IF(ISNUMBER('Quantification_Results'!AX61),IF(('Quantification_Results'!AX61&lt;'Quantification_Config'!$S$19),"",IF(('Quantification_Results'!AX61&gt;'Quantification_Config'!$T$19),"",'Quantification_Results'!AX61)),""),IF(ISNUMBER('Quantification_Results'!AY61),IF(('Quantification_Results'!AY61&lt;'Quantification_Config'!$S$19),"",IF(('Quantification_Results'!AY61&gt;'Quantification_Config'!$T$19),"",'Quantification_Results'!AY61)),"")))</x:f>
      </x:c>
      <x:c r="BA61">
        <x:f>IF(ISNUMBER('Quantification_Results'!AZ61),IFERROR(ROUND(((('Quantification_Results'!AZ61-'Quantification_Config'!$S$19)/('Quantification_Config'!$T$19-'Quantification_Config'!$S$19))*100),'Quantification_Config'!$U$2),""),"")</x:f>
      </x:c>
      <x:c r="BB61" t="inlineStr">
        <x:is>
          <x:t xml:space="preserve"/>
        </x:is>
      </x:c>
      <x:c r="BC61" t="inlineStr">
        <x:is>
          <x:t xml:space="preserve"/>
        </x:is>
      </x:c>
      <x:c r="BD61" t="inlineStr">
        <x:is>
          <x:t xml:space="preserve"/>
        </x:is>
      </x:c>
      <x:c r="BE61" t="inlineStr">
        <x:is>
          <x:t xml:space="preserve"/>
        </x:is>
      </x:c>
      <x:c r="BF61" t="inlineStr">
        <x:is>
          <x:t xml:space="preserve">EMPTY</x:t>
        </x:is>
      </x:c>
      <x:c r="BG61">
        <x:f>IF((COUNT('Quantification_Results'!BA61)=1),IFERROR(ROUND((SUM(('Quantification_Results'!BA61*'Quantification_Config'!$R$19))/SUM('Quantification_Config'!$R$19)),'Quantification_Config'!$U$2),""),"")</x:f>
      </x:c>
      <x:c r="BH61">
        <x:f>IF((COUNT('Quantification_Results'!BG61)=1),IFERROR(ROUND((SUM(('Quantification_Results'!BG61*'Quantification_Config'!$R$18))/SUM('Quantification_Config'!$R$18)),'Quantification_Config'!$U$2),""),"")</x:f>
      </x:c>
      <x:c r="BI61">
        <x:f>IF((COUNT('Quantification_Results'!L61,'Quantification_Results'!X61,'Quantification_Results'!AJ61,'Quantification_Results'!AV61,'Quantification_Results'!BH61)=5),IFERROR(ROUND((SUM(('Quantification_Results'!L61*'Quantification_Config'!$R$4),('Quantification_Results'!X61*'Quantification_Config'!$R$7),('Quantification_Results'!AJ61*'Quantification_Config'!$R$10),('Quantification_Results'!AV61*'Quantification_Config'!$R$13),('Quantification_Results'!BH61*'Quantification_Config'!$R$16))/SUM('Quantification_Config'!$R$4,'Quantification_Config'!$R$7,'Quantification_Config'!$R$10,'Quantification_Config'!$R$13,'Quantification_Config'!$R$16)),'Quantification_Config'!$U$2),""),"")</x:f>
      </x:c>
    </x:row>
    <x:row r="62">
      <x:c r="A62" t="n">
        <x:v>1</x:v>
      </x:c>
      <x:c r="B62" t="n">
        <x:v>5</x:v>
      </x:c>
      <x:c r="C62"/>
      <x:c r="D62" t="n">
        <x:f>IF(('Quantification_Results'!A62&lt;&gt;1),"",IF(('Quantification_Results'!C62=""),IF(ISNUMBER('Quantification_Results'!B62),IF(('Quantification_Results'!B62&lt;'Quantification_Config'!$S$6),"",IF(('Quantification_Results'!B62&gt;'Quantification_Config'!$T$6),"",'Quantification_Results'!B62)),""),IF(ISNUMBER('Quantification_Results'!C62),IF(('Quantification_Results'!C62&lt;'Quantification_Config'!$S$6),"",IF(('Quantification_Results'!C62&gt;'Quantification_Config'!$T$6),"",'Quantification_Results'!C62)),"")))</x:f>
        <x:v>5</x:v>
      </x:c>
      <x:c r="E62" t="n">
        <x:f>IF(ISNUMBER('Quantification_Results'!D62),IFERROR(ROUND(((('Quantification_Results'!D62-'Quantification_Config'!$S$6)/('Quantification_Config'!$T$6-'Quantification_Config'!$S$6))*100),'Quantification_Config'!$U$2),""),"")</x:f>
        <x:v>50</x:v>
      </x:c>
      <x:c r="F62" t="inlineStr">
        <x:is>
          <x:t xml:space="preserve">SYSTEM-TEST-ONLY-NO-NETWORK-NOT-AN-EDUCATIONAL-EVALUATION</x:t>
        </x:is>
      </x:c>
      <x:c r="G62" t="inlineStr">
        <x:is>
          <x:t xml:space="preserve"/>
        </x:is>
      </x:c>
      <x:c r="H62" t="inlineStr">
        <x:is>
          <x:t xml:space="preserve">NONE</x:t>
        </x:is>
      </x:c>
      <x:c r="I62" t="inlineStr">
        <x:is>
          <x:t xml:space="preserve"/>
        </x:is>
      </x:c>
      <x:c r="J62" t="inlineStr">
        <x:is>
          <x:t xml:space="preserve">SUCCESS</x:t>
        </x:is>
      </x:c>
      <x:c r="K62" t="n">
        <x:f>IF((COUNT('Quantification_Results'!E62)=1),IFERROR(ROUND((SUM(('Quantification_Results'!E62*'Quantification_Config'!$R$6))/SUM('Quantification_Config'!$R$6)),'Quantification_Config'!$U$2),""),"")</x:f>
        <x:v>50</x:v>
      </x:c>
      <x:c r="L62" t="n">
        <x:f>IF((COUNT('Quantification_Results'!K62)=1),IFERROR(ROUND((SUM(('Quantification_Results'!K62*'Quantification_Config'!$R$5))/SUM('Quantification_Config'!$R$5)),'Quantification_Config'!$U$2),""),"")</x:f>
        <x:v>50</x:v>
      </x:c>
      <x:c r="M62" t="n">
        <x:v>1</x:v>
      </x:c>
      <x:c r="N62" t="n">
        <x:v>5</x:v>
      </x:c>
      <x:c r="O62"/>
      <x:c r="P62" t="n">
        <x:f>IF(('Quantification_Results'!M62&lt;&gt;1),"",IF(('Quantification_Results'!O62=""),IF(ISNUMBER('Quantification_Results'!N62),IF(('Quantification_Results'!N62&lt;'Quantification_Config'!$S$9),"",IF(('Quantification_Results'!N62&gt;'Quantification_Config'!$T$9),"",'Quantification_Results'!N62)),""),IF(ISNUMBER('Quantification_Results'!O62),IF(('Quantification_Results'!O62&lt;'Quantification_Config'!$S$9),"",IF(('Quantification_Results'!O62&gt;'Quantification_Config'!$T$9),"",'Quantification_Results'!O62)),"")))</x:f>
        <x:v>5</x:v>
      </x:c>
      <x:c r="Q62" t="n">
        <x:f>IF(ISNUMBER('Quantification_Results'!P62),IFERROR(ROUND(((('Quantification_Results'!P62-'Quantification_Config'!$S$9)/('Quantification_Config'!$T$9-'Quantification_Config'!$S$9))*100),'Quantification_Config'!$U$2),""),"")</x:f>
        <x:v>50</x:v>
      </x:c>
      <x:c r="R62" t="inlineStr">
        <x:is>
          <x:t xml:space="preserve">SYSTEM-TEST-ONLY-NO-NETWORK-NOT-AN-EDUCATIONAL-EVALUATION</x:t>
        </x:is>
      </x:c>
      <x:c r="S62" t="inlineStr">
        <x:is>
          <x:t xml:space="preserve"/>
        </x:is>
      </x:c>
      <x:c r="T62" t="inlineStr">
        <x:is>
          <x:t xml:space="preserve">NONE</x:t>
        </x:is>
      </x:c>
      <x:c r="U62" t="inlineStr">
        <x:is>
          <x:t xml:space="preserve"/>
        </x:is>
      </x:c>
      <x:c r="V62" t="inlineStr">
        <x:is>
          <x:t xml:space="preserve">SUCCESS</x:t>
        </x:is>
      </x:c>
      <x:c r="W62" t="n">
        <x:f>IF((COUNT('Quantification_Results'!Q62)=1),IFERROR(ROUND((SUM(('Quantification_Results'!Q62*'Quantification_Config'!$R$9))/SUM('Quantification_Config'!$R$9)),'Quantification_Config'!$U$2),""),"")</x:f>
        <x:v>50</x:v>
      </x:c>
      <x:c r="X62" t="n">
        <x:f>IF((COUNT('Quantification_Results'!W62)=1),IFERROR(ROUND((SUM(('Quantification_Results'!W62*'Quantification_Config'!$R$8))/SUM('Quantification_Config'!$R$8)),'Quantification_Config'!$U$2),""),"")</x:f>
        <x:v>50</x:v>
      </x:c>
      <x:c r="Y62" t="n">
        <x:v>0</x:v>
      </x:c>
      <x:c r="Z62"/>
      <x:c r="AA62"/>
      <x:c r="AB62">
        <x:f>IF(('Quantification_Results'!Y62&lt;&gt;1),"",IF(('Quantification_Results'!AA62=""),IF(ISNUMBER('Quantification_Results'!Z62),IF(('Quantification_Results'!Z62&lt;'Quantification_Config'!$S$12),"",IF(('Quantification_Results'!Z62&gt;'Quantification_Config'!$T$12),"",'Quantification_Results'!Z62)),""),IF(ISNUMBER('Quantification_Results'!AA62),IF(('Quantification_Results'!AA62&lt;'Quantification_Config'!$S$12),"",IF(('Quantification_Results'!AA62&gt;'Quantification_Config'!$T$12),"",'Quantification_Results'!AA62)),"")))</x:f>
      </x:c>
      <x:c r="AC62">
        <x:f>IF(ISNUMBER('Quantification_Results'!AB62),IFERROR(ROUND(((('Quantification_Results'!AB62-'Quantification_Config'!$S$12)/('Quantification_Config'!$T$12-'Quantification_Config'!$S$12))*100),'Quantification_Config'!$U$2),""),"")</x:f>
      </x:c>
      <x:c r="AD62" t="inlineStr">
        <x:is>
          <x:t xml:space="preserve"/>
        </x:is>
      </x:c>
      <x:c r="AE62" t="inlineStr">
        <x:is>
          <x:t xml:space="preserve"/>
        </x:is>
      </x:c>
      <x:c r="AF62" t="inlineStr">
        <x:is>
          <x:t xml:space="preserve"/>
        </x:is>
      </x:c>
      <x:c r="AG62" t="inlineStr">
        <x:is>
          <x:t xml:space="preserve"/>
        </x:is>
      </x:c>
      <x:c r="AH62" t="inlineStr">
        <x:is>
          <x:t xml:space="preserve">EMPTY</x:t>
        </x:is>
      </x:c>
      <x:c r="AI62">
        <x:f>IF((COUNT('Quantification_Results'!AC62)=1),IFERROR(ROUND((SUM(('Quantification_Results'!AC62*'Quantification_Config'!$R$12))/SUM('Quantification_Config'!$R$12)),'Quantification_Config'!$U$2),""),"")</x:f>
      </x:c>
      <x:c r="AJ62">
        <x:f>IF((COUNT('Quantification_Results'!AI62)=1),IFERROR(ROUND((SUM(('Quantification_Results'!AI62*'Quantification_Config'!$R$11))/SUM('Quantification_Config'!$R$11)),'Quantification_Config'!$U$2),""),"")</x:f>
      </x:c>
      <x:c r="AK62" t="n">
        <x:v>1</x:v>
      </x:c>
      <x:c r="AL62" t="n">
        <x:v>5</x:v>
      </x:c>
      <x:c r="AM62"/>
      <x:c r="AN62" t="n">
        <x:f>IF(('Quantification_Results'!AK62&lt;&gt;1),"",IF(('Quantification_Results'!AM62=""),IF(ISNUMBER('Quantification_Results'!AL62),IF(('Quantification_Results'!AL62&lt;'Quantification_Config'!$S$15),"",IF(('Quantification_Results'!AL62&gt;'Quantification_Config'!$T$15),"",'Quantification_Results'!AL62)),""),IF(ISNUMBER('Quantification_Results'!AM62),IF(('Quantification_Results'!AM62&lt;'Quantification_Config'!$S$15),"",IF(('Quantification_Results'!AM62&gt;'Quantification_Config'!$T$15),"",'Quantification_Results'!AM62)),"")))</x:f>
        <x:v>5</x:v>
      </x:c>
      <x:c r="AO62" t="n">
        <x:f>IF(ISNUMBER('Quantification_Results'!AN62),IFERROR(ROUND(((('Quantification_Results'!AN62-'Quantification_Config'!$S$15)/('Quantification_Config'!$T$15-'Quantification_Config'!$S$15))*100),'Quantification_Config'!$U$2),""),"")</x:f>
        <x:v>50</x:v>
      </x:c>
      <x:c r="AP62" t="inlineStr">
        <x:is>
          <x:t xml:space="preserve">SYSTEM-TEST-ONLY-NO-NETWORK-NOT-AN-EDUCATIONAL-EVALUATION</x:t>
        </x:is>
      </x:c>
      <x:c r="AQ62" t="inlineStr">
        <x:is>
          <x:t xml:space="preserve"/>
        </x:is>
      </x:c>
      <x:c r="AR62" t="inlineStr">
        <x:is>
          <x:t xml:space="preserve">NONE</x:t>
        </x:is>
      </x:c>
      <x:c r="AS62" t="inlineStr">
        <x:is>
          <x:t xml:space="preserve"/>
        </x:is>
      </x:c>
      <x:c r="AT62" t="inlineStr">
        <x:is>
          <x:t xml:space="preserve">SUCCESS</x:t>
        </x:is>
      </x:c>
      <x:c r="AU62" t="n">
        <x:f>IF((COUNT('Quantification_Results'!AO62)=1),IFERROR(ROUND((SUM(('Quantification_Results'!AO62*'Quantification_Config'!$R$15))/SUM('Quantification_Config'!$R$15)),'Quantification_Config'!$U$2),""),"")</x:f>
        <x:v>50</x:v>
      </x:c>
      <x:c r="AV62" t="n">
        <x:f>IF((COUNT('Quantification_Results'!AU62)=1),IFERROR(ROUND((SUM(('Quantification_Results'!AU62*'Quantification_Config'!$R$14))/SUM('Quantification_Config'!$R$14)),'Quantification_Config'!$U$2),""),"")</x:f>
        <x:v>50</x:v>
      </x:c>
      <x:c r="AW62" t="n">
        <x:v>1</x:v>
      </x:c>
      <x:c r="AX62" t="n">
        <x:v>5</x:v>
      </x:c>
      <x:c r="AY62"/>
      <x:c r="AZ62" t="n">
        <x:f>IF(('Quantification_Results'!AW62&lt;&gt;1),"",IF(('Quantification_Results'!AY62=""),IF(ISNUMBER('Quantification_Results'!AX62),IF(('Quantification_Results'!AX62&lt;'Quantification_Config'!$S$19),"",IF(('Quantification_Results'!AX62&gt;'Quantification_Config'!$T$19),"",'Quantification_Results'!AX62)),""),IF(ISNUMBER('Quantification_Results'!AY62),IF(('Quantification_Results'!AY62&lt;'Quantification_Config'!$S$19),"",IF(('Quantification_Results'!AY62&gt;'Quantification_Config'!$T$19),"",'Quantification_Results'!AY62)),"")))</x:f>
        <x:v>5</x:v>
      </x:c>
      <x:c r="BA62" t="n">
        <x:f>IF(ISNUMBER('Quantification_Results'!AZ62),IFERROR(ROUND(((('Quantification_Results'!AZ62-'Quantification_Config'!$S$19)/('Quantification_Config'!$T$19-'Quantification_Config'!$S$19))*100),'Quantification_Config'!$U$2),""),"")</x:f>
        <x:v>50</x:v>
      </x:c>
      <x:c r="BB62" t="inlineStr">
        <x:is>
          <x:t xml:space="preserve">SYSTEM-TEST-ONLY-NO-NETWORK-NOT-AN-EDUCATIONAL-EVALUATION</x:t>
        </x:is>
      </x:c>
      <x:c r="BC62" t="inlineStr">
        <x:is>
          <x:t xml:space="preserve"/>
        </x:is>
      </x:c>
      <x:c r="BD62" t="inlineStr">
        <x:is>
          <x:t xml:space="preserve">NONE</x:t>
        </x:is>
      </x:c>
      <x:c r="BE62" t="inlineStr">
        <x:is>
          <x:t xml:space="preserve"/>
        </x:is>
      </x:c>
      <x:c r="BF62" t="inlineStr">
        <x:is>
          <x:t xml:space="preserve">SUCCESS</x:t>
        </x:is>
      </x:c>
      <x:c r="BG62" t="n">
        <x:f>IF((COUNT('Quantification_Results'!BA62)=1),IFERROR(ROUND((SUM(('Quantification_Results'!BA62*'Quantification_Config'!$R$19))/SUM('Quantification_Config'!$R$19)),'Quantification_Config'!$U$2),""),"")</x:f>
        <x:v>50</x:v>
      </x:c>
      <x:c r="BH62" t="n">
        <x:f>IF((COUNT('Quantification_Results'!BG62)=1),IFERROR(ROUND((SUM(('Quantification_Results'!BG62*'Quantification_Config'!$R$18))/SUM('Quantification_Config'!$R$18)),'Quantification_Config'!$U$2),""),"")</x:f>
        <x:v>50</x:v>
      </x:c>
      <x:c r="BI62">
        <x:f>IF((COUNT('Quantification_Results'!L62,'Quantification_Results'!X62,'Quantification_Results'!AJ62,'Quantification_Results'!AV62,'Quantification_Results'!BH62)=5),IFERROR(ROUND((SUM(('Quantification_Results'!L62*'Quantification_Config'!$R$4),('Quantification_Results'!X62*'Quantification_Config'!$R$7),('Quantification_Results'!AJ62*'Quantification_Config'!$R$10),('Quantification_Results'!AV62*'Quantification_Config'!$R$13),('Quantification_Results'!BH62*'Quantification_Config'!$R$16))/SUM('Quantification_Config'!$R$4,'Quantification_Config'!$R$7,'Quantification_Config'!$R$10,'Quantification_Config'!$R$13,'Quantification_Config'!$R$16)),'Quantification_Config'!$U$2),""),"")</x:f>
      </x:c>
    </x:row>
    <x:row r="63">
      <x:c r="A63" t="n">
        <x:v>1</x:v>
      </x:c>
      <x:c r="B63" t="n">
        <x:v>5</x:v>
      </x:c>
      <x:c r="C63"/>
      <x:c r="D63" t="n">
        <x:f>IF(('Quantification_Results'!A63&lt;&gt;1),"",IF(('Quantification_Results'!C63=""),IF(ISNUMBER('Quantification_Results'!B63),IF(('Quantification_Results'!B63&lt;'Quantification_Config'!$S$6),"",IF(('Quantification_Results'!B63&gt;'Quantification_Config'!$T$6),"",'Quantification_Results'!B63)),""),IF(ISNUMBER('Quantification_Results'!C63),IF(('Quantification_Results'!C63&lt;'Quantification_Config'!$S$6),"",IF(('Quantification_Results'!C63&gt;'Quantification_Config'!$T$6),"",'Quantification_Results'!C63)),"")))</x:f>
        <x:v>5</x:v>
      </x:c>
      <x:c r="E63" t="n">
        <x:f>IF(ISNUMBER('Quantification_Results'!D63),IFERROR(ROUND(((('Quantification_Results'!D63-'Quantification_Config'!$S$6)/('Quantification_Config'!$T$6-'Quantification_Config'!$S$6))*100),'Quantification_Config'!$U$2),""),"")</x:f>
        <x:v>50</x:v>
      </x:c>
      <x:c r="F63" t="inlineStr">
        <x:is>
          <x:t xml:space="preserve">SYSTEM-TEST-ONLY-NO-NETWORK-NOT-AN-EDUCATIONAL-EVALUATION</x:t>
        </x:is>
      </x:c>
      <x:c r="G63" t="inlineStr">
        <x:is>
          <x:t xml:space="preserve"/>
        </x:is>
      </x:c>
      <x:c r="H63" t="inlineStr">
        <x:is>
          <x:t xml:space="preserve">NONE</x:t>
        </x:is>
      </x:c>
      <x:c r="I63" t="inlineStr">
        <x:is>
          <x:t xml:space="preserve"/>
        </x:is>
      </x:c>
      <x:c r="J63" t="inlineStr">
        <x:is>
          <x:t xml:space="preserve">SUCCESS</x:t>
        </x:is>
      </x:c>
      <x:c r="K63" t="n">
        <x:f>IF((COUNT('Quantification_Results'!E63)=1),IFERROR(ROUND((SUM(('Quantification_Results'!E63*'Quantification_Config'!$R$6))/SUM('Quantification_Config'!$R$6)),'Quantification_Config'!$U$2),""),"")</x:f>
        <x:v>50</x:v>
      </x:c>
      <x:c r="L63" t="n">
        <x:f>IF((COUNT('Quantification_Results'!K63)=1),IFERROR(ROUND((SUM(('Quantification_Results'!K63*'Quantification_Config'!$R$5))/SUM('Quantification_Config'!$R$5)),'Quantification_Config'!$U$2),""),"")</x:f>
        <x:v>50</x:v>
      </x:c>
      <x:c r="M63" t="n">
        <x:v>1</x:v>
      </x:c>
      <x:c r="N63" t="n">
        <x:v>5</x:v>
      </x:c>
      <x:c r="O63"/>
      <x:c r="P63" t="n">
        <x:f>IF(('Quantification_Results'!M63&lt;&gt;1),"",IF(('Quantification_Results'!O63=""),IF(ISNUMBER('Quantification_Results'!N63),IF(('Quantification_Results'!N63&lt;'Quantification_Config'!$S$9),"",IF(('Quantification_Results'!N63&gt;'Quantification_Config'!$T$9),"",'Quantification_Results'!N63)),""),IF(ISNUMBER('Quantification_Results'!O63),IF(('Quantification_Results'!O63&lt;'Quantification_Config'!$S$9),"",IF(('Quantification_Results'!O63&gt;'Quantification_Config'!$T$9),"",'Quantification_Results'!O63)),"")))</x:f>
        <x:v>5</x:v>
      </x:c>
      <x:c r="Q63" t="n">
        <x:f>IF(ISNUMBER('Quantification_Results'!P63),IFERROR(ROUND(((('Quantification_Results'!P63-'Quantification_Config'!$S$9)/('Quantification_Config'!$T$9-'Quantification_Config'!$S$9))*100),'Quantification_Config'!$U$2),""),"")</x:f>
        <x:v>50</x:v>
      </x:c>
      <x:c r="R63" t="inlineStr">
        <x:is>
          <x:t xml:space="preserve">SYSTEM-TEST-ONLY-NO-NETWORK-NOT-AN-EDUCATIONAL-EVALUATION</x:t>
        </x:is>
      </x:c>
      <x:c r="S63" t="inlineStr">
        <x:is>
          <x:t xml:space="preserve"/>
        </x:is>
      </x:c>
      <x:c r="T63" t="inlineStr">
        <x:is>
          <x:t xml:space="preserve">NONE</x:t>
        </x:is>
      </x:c>
      <x:c r="U63" t="inlineStr">
        <x:is>
          <x:t xml:space="preserve"/>
        </x:is>
      </x:c>
      <x:c r="V63" t="inlineStr">
        <x:is>
          <x:t xml:space="preserve">SUCCESS</x:t>
        </x:is>
      </x:c>
      <x:c r="W63" t="n">
        <x:f>IF((COUNT('Quantification_Results'!Q63)=1),IFERROR(ROUND((SUM(('Quantification_Results'!Q63*'Quantification_Config'!$R$9))/SUM('Quantification_Config'!$R$9)),'Quantification_Config'!$U$2),""),"")</x:f>
        <x:v>50</x:v>
      </x:c>
      <x:c r="X63" t="n">
        <x:f>IF((COUNT('Quantification_Results'!W63)=1),IFERROR(ROUND((SUM(('Quantification_Results'!W63*'Quantification_Config'!$R$8))/SUM('Quantification_Config'!$R$8)),'Quantification_Config'!$U$2),""),"")</x:f>
        <x:v>50</x:v>
      </x:c>
      <x:c r="Y63" t="n">
        <x:v>0</x:v>
      </x:c>
      <x:c r="Z63"/>
      <x:c r="AA63"/>
      <x:c r="AB63">
        <x:f>IF(('Quantification_Results'!Y63&lt;&gt;1),"",IF(('Quantification_Results'!AA63=""),IF(ISNUMBER('Quantification_Results'!Z63),IF(('Quantification_Results'!Z63&lt;'Quantification_Config'!$S$12),"",IF(('Quantification_Results'!Z63&gt;'Quantification_Config'!$T$12),"",'Quantification_Results'!Z63)),""),IF(ISNUMBER('Quantification_Results'!AA63),IF(('Quantification_Results'!AA63&lt;'Quantification_Config'!$S$12),"",IF(('Quantification_Results'!AA63&gt;'Quantification_Config'!$T$12),"",'Quantification_Results'!AA63)),"")))</x:f>
      </x:c>
      <x:c r="AC63">
        <x:f>IF(ISNUMBER('Quantification_Results'!AB63),IFERROR(ROUND(((('Quantification_Results'!AB63-'Quantification_Config'!$S$12)/('Quantification_Config'!$T$12-'Quantification_Config'!$S$12))*100),'Quantification_Config'!$U$2),""),"")</x:f>
      </x:c>
      <x:c r="AD63" t="inlineStr">
        <x:is>
          <x:t xml:space="preserve"/>
        </x:is>
      </x:c>
      <x:c r="AE63" t="inlineStr">
        <x:is>
          <x:t xml:space="preserve"/>
        </x:is>
      </x:c>
      <x:c r="AF63" t="inlineStr">
        <x:is>
          <x:t xml:space="preserve"/>
        </x:is>
      </x:c>
      <x:c r="AG63" t="inlineStr">
        <x:is>
          <x:t xml:space="preserve"/>
        </x:is>
      </x:c>
      <x:c r="AH63" t="inlineStr">
        <x:is>
          <x:t xml:space="preserve">EMPTY</x:t>
        </x:is>
      </x:c>
      <x:c r="AI63">
        <x:f>IF((COUNT('Quantification_Results'!AC63)=1),IFERROR(ROUND((SUM(('Quantification_Results'!AC63*'Quantification_Config'!$R$12))/SUM('Quantification_Config'!$R$12)),'Quantification_Config'!$U$2),""),"")</x:f>
      </x:c>
      <x:c r="AJ63">
        <x:f>IF((COUNT('Quantification_Results'!AI63)=1),IFERROR(ROUND((SUM(('Quantification_Results'!AI63*'Quantification_Config'!$R$11))/SUM('Quantification_Config'!$R$11)),'Quantification_Config'!$U$2),""),"")</x:f>
      </x:c>
      <x:c r="AK63" t="n">
        <x:v>1</x:v>
      </x:c>
      <x:c r="AL63" t="n">
        <x:v>5</x:v>
      </x:c>
      <x:c r="AM63"/>
      <x:c r="AN63" t="n">
        <x:f>IF(('Quantification_Results'!AK63&lt;&gt;1),"",IF(('Quantification_Results'!AM63=""),IF(ISNUMBER('Quantification_Results'!AL63),IF(('Quantification_Results'!AL63&lt;'Quantification_Config'!$S$15),"",IF(('Quantification_Results'!AL63&gt;'Quantification_Config'!$T$15),"",'Quantification_Results'!AL63)),""),IF(ISNUMBER('Quantification_Results'!AM63),IF(('Quantification_Results'!AM63&lt;'Quantification_Config'!$S$15),"",IF(('Quantification_Results'!AM63&gt;'Quantification_Config'!$T$15),"",'Quantification_Results'!AM63)),"")))</x:f>
        <x:v>5</x:v>
      </x:c>
      <x:c r="AO63" t="n">
        <x:f>IF(ISNUMBER('Quantification_Results'!AN63),IFERROR(ROUND(((('Quantification_Results'!AN63-'Quantification_Config'!$S$15)/('Quantification_Config'!$T$15-'Quantification_Config'!$S$15))*100),'Quantification_Config'!$U$2),""),"")</x:f>
        <x:v>50</x:v>
      </x:c>
      <x:c r="AP63" t="inlineStr">
        <x:is>
          <x:t xml:space="preserve">SYSTEM-TEST-ONLY-NO-NETWORK-NOT-AN-EDUCATIONAL-EVALUATION</x:t>
        </x:is>
      </x:c>
      <x:c r="AQ63" t="inlineStr">
        <x:is>
          <x:t xml:space="preserve"/>
        </x:is>
      </x:c>
      <x:c r="AR63" t="inlineStr">
        <x:is>
          <x:t xml:space="preserve">NONE</x:t>
        </x:is>
      </x:c>
      <x:c r="AS63" t="inlineStr">
        <x:is>
          <x:t xml:space="preserve"/>
        </x:is>
      </x:c>
      <x:c r="AT63" t="inlineStr">
        <x:is>
          <x:t xml:space="preserve">SUCCESS</x:t>
        </x:is>
      </x:c>
      <x:c r="AU63" t="n">
        <x:f>IF((COUNT('Quantification_Results'!AO63)=1),IFERROR(ROUND((SUM(('Quantification_Results'!AO63*'Quantification_Config'!$R$15))/SUM('Quantification_Config'!$R$15)),'Quantification_Config'!$U$2),""),"")</x:f>
        <x:v>50</x:v>
      </x:c>
      <x:c r="AV63" t="n">
        <x:f>IF((COUNT('Quantification_Results'!AU63)=1),IFERROR(ROUND((SUM(('Quantification_Results'!AU63*'Quantification_Config'!$R$14))/SUM('Quantification_Config'!$R$14)),'Quantification_Config'!$U$2),""),"")</x:f>
        <x:v>50</x:v>
      </x:c>
      <x:c r="AW63" t="n">
        <x:v>1</x:v>
      </x:c>
      <x:c r="AX63" t="n">
        <x:v>5</x:v>
      </x:c>
      <x:c r="AY63"/>
      <x:c r="AZ63" t="n">
        <x:f>IF(('Quantification_Results'!AW63&lt;&gt;1),"",IF(('Quantification_Results'!AY63=""),IF(ISNUMBER('Quantification_Results'!AX63),IF(('Quantification_Results'!AX63&lt;'Quantification_Config'!$S$19),"",IF(('Quantification_Results'!AX63&gt;'Quantification_Config'!$T$19),"",'Quantification_Results'!AX63)),""),IF(ISNUMBER('Quantification_Results'!AY63),IF(('Quantification_Results'!AY63&lt;'Quantification_Config'!$S$19),"",IF(('Quantification_Results'!AY63&gt;'Quantification_Config'!$T$19),"",'Quantification_Results'!AY63)),"")))</x:f>
        <x:v>5</x:v>
      </x:c>
      <x:c r="BA63" t="n">
        <x:f>IF(ISNUMBER('Quantification_Results'!AZ63),IFERROR(ROUND(((('Quantification_Results'!AZ63-'Quantification_Config'!$S$19)/('Quantification_Config'!$T$19-'Quantification_Config'!$S$19))*100),'Quantification_Config'!$U$2),""),"")</x:f>
        <x:v>50</x:v>
      </x:c>
      <x:c r="BB63" t="inlineStr">
        <x:is>
          <x:t xml:space="preserve">SYSTEM-TEST-ONLY-NO-NETWORK-NOT-AN-EDUCATIONAL-EVALUATION</x:t>
        </x:is>
      </x:c>
      <x:c r="BC63" t="inlineStr">
        <x:is>
          <x:t xml:space="preserve"/>
        </x:is>
      </x:c>
      <x:c r="BD63" t="inlineStr">
        <x:is>
          <x:t xml:space="preserve">NONE</x:t>
        </x:is>
      </x:c>
      <x:c r="BE63" t="inlineStr">
        <x:is>
          <x:t xml:space="preserve"/>
        </x:is>
      </x:c>
      <x:c r="BF63" t="inlineStr">
        <x:is>
          <x:t xml:space="preserve">SUCCESS</x:t>
        </x:is>
      </x:c>
      <x:c r="BG63" t="n">
        <x:f>IF((COUNT('Quantification_Results'!BA63)=1),IFERROR(ROUND((SUM(('Quantification_Results'!BA63*'Quantification_Config'!$R$19))/SUM('Quantification_Config'!$R$19)),'Quantification_Config'!$U$2),""),"")</x:f>
        <x:v>50</x:v>
      </x:c>
      <x:c r="BH63" t="n">
        <x:f>IF((COUNT('Quantification_Results'!BG63)=1),IFERROR(ROUND((SUM(('Quantification_Results'!BG63*'Quantification_Config'!$R$18))/SUM('Quantification_Config'!$R$18)),'Quantification_Config'!$U$2),""),"")</x:f>
        <x:v>50</x:v>
      </x:c>
      <x:c r="BI63">
        <x:f>IF((COUNT('Quantification_Results'!L63,'Quantification_Results'!X63,'Quantification_Results'!AJ63,'Quantification_Results'!AV63,'Quantification_Results'!BH63)=5),IFERROR(ROUND((SUM(('Quantification_Results'!L63*'Quantification_Config'!$R$4),('Quantification_Results'!X63*'Quantification_Config'!$R$7),('Quantification_Results'!AJ63*'Quantification_Config'!$R$10),('Quantification_Results'!AV63*'Quantification_Config'!$R$13),('Quantification_Results'!BH63*'Quantification_Config'!$R$16))/SUM('Quantification_Config'!$R$4,'Quantification_Config'!$R$7,'Quantification_Config'!$R$10,'Quantification_Config'!$R$13,'Quantification_Config'!$R$16)),'Quantification_Config'!$U$2),""),"")</x:f>
      </x:c>
    </x:row>
    <x:row r="64">
      <x:c r="A64" t="n">
        <x:v>1</x:v>
      </x:c>
      <x:c r="B64" t="n">
        <x:v>5</x:v>
      </x:c>
      <x:c r="C64"/>
      <x:c r="D64" t="n">
        <x:f>IF(('Quantification_Results'!A64&lt;&gt;1),"",IF(('Quantification_Results'!C64=""),IF(ISNUMBER('Quantification_Results'!B64),IF(('Quantification_Results'!B64&lt;'Quantification_Config'!$S$6),"",IF(('Quantification_Results'!B64&gt;'Quantification_Config'!$T$6),"",'Quantification_Results'!B64)),""),IF(ISNUMBER('Quantification_Results'!C64),IF(('Quantification_Results'!C64&lt;'Quantification_Config'!$S$6),"",IF(('Quantification_Results'!C64&gt;'Quantification_Config'!$T$6),"",'Quantification_Results'!C64)),"")))</x:f>
        <x:v>5</x:v>
      </x:c>
      <x:c r="E64" t="n">
        <x:f>IF(ISNUMBER('Quantification_Results'!D64),IFERROR(ROUND(((('Quantification_Results'!D64-'Quantification_Config'!$S$6)/('Quantification_Config'!$T$6-'Quantification_Config'!$S$6))*100),'Quantification_Config'!$U$2),""),"")</x:f>
        <x:v>50</x:v>
      </x:c>
      <x:c r="F64" t="inlineStr">
        <x:is>
          <x:t xml:space="preserve">SYSTEM-TEST-ONLY-NO-NETWORK-NOT-AN-EDUCATIONAL-EVALUATION</x:t>
        </x:is>
      </x:c>
      <x:c r="G64" t="inlineStr">
        <x:is>
          <x:t xml:space="preserve"/>
        </x:is>
      </x:c>
      <x:c r="H64" t="inlineStr">
        <x:is>
          <x:t xml:space="preserve">NONE</x:t>
        </x:is>
      </x:c>
      <x:c r="I64" t="inlineStr">
        <x:is>
          <x:t xml:space="preserve"/>
        </x:is>
      </x:c>
      <x:c r="J64" t="inlineStr">
        <x:is>
          <x:t xml:space="preserve">SUCCESS</x:t>
        </x:is>
      </x:c>
      <x:c r="K64" t="n">
        <x:f>IF((COUNT('Quantification_Results'!E64)=1),IFERROR(ROUND((SUM(('Quantification_Results'!E64*'Quantification_Config'!$R$6))/SUM('Quantification_Config'!$R$6)),'Quantification_Config'!$U$2),""),"")</x:f>
        <x:v>50</x:v>
      </x:c>
      <x:c r="L64" t="n">
        <x:f>IF((COUNT('Quantification_Results'!K64)=1),IFERROR(ROUND((SUM(('Quantification_Results'!K64*'Quantification_Config'!$R$5))/SUM('Quantification_Config'!$R$5)),'Quantification_Config'!$U$2),""),"")</x:f>
        <x:v>50</x:v>
      </x:c>
      <x:c r="M64" t="n">
        <x:v>1</x:v>
      </x:c>
      <x:c r="N64" t="n">
        <x:v>5</x:v>
      </x:c>
      <x:c r="O64"/>
      <x:c r="P64" t="n">
        <x:f>IF(('Quantification_Results'!M64&lt;&gt;1),"",IF(('Quantification_Results'!O64=""),IF(ISNUMBER('Quantification_Results'!N64),IF(('Quantification_Results'!N64&lt;'Quantification_Config'!$S$9),"",IF(('Quantification_Results'!N64&gt;'Quantification_Config'!$T$9),"",'Quantification_Results'!N64)),""),IF(ISNUMBER('Quantification_Results'!O64),IF(('Quantification_Results'!O64&lt;'Quantification_Config'!$S$9),"",IF(('Quantification_Results'!O64&gt;'Quantification_Config'!$T$9),"",'Quantification_Results'!O64)),"")))</x:f>
        <x:v>5</x:v>
      </x:c>
      <x:c r="Q64" t="n">
        <x:f>IF(ISNUMBER('Quantification_Results'!P64),IFERROR(ROUND(((('Quantification_Results'!P64-'Quantification_Config'!$S$9)/('Quantification_Config'!$T$9-'Quantification_Config'!$S$9))*100),'Quantification_Config'!$U$2),""),"")</x:f>
        <x:v>50</x:v>
      </x:c>
      <x:c r="R64" t="inlineStr">
        <x:is>
          <x:t xml:space="preserve">SYSTEM-TEST-ONLY-NO-NETWORK-NOT-AN-EDUCATIONAL-EVALUATION</x:t>
        </x:is>
      </x:c>
      <x:c r="S64" t="inlineStr">
        <x:is>
          <x:t xml:space="preserve"/>
        </x:is>
      </x:c>
      <x:c r="T64" t="inlineStr">
        <x:is>
          <x:t xml:space="preserve">NONE</x:t>
        </x:is>
      </x:c>
      <x:c r="U64" t="inlineStr">
        <x:is>
          <x:t xml:space="preserve"/>
        </x:is>
      </x:c>
      <x:c r="V64" t="inlineStr">
        <x:is>
          <x:t xml:space="preserve">SUCCESS</x:t>
        </x:is>
      </x:c>
      <x:c r="W64" t="n">
        <x:f>IF((COUNT('Quantification_Results'!Q64)=1),IFERROR(ROUND((SUM(('Quantification_Results'!Q64*'Quantification_Config'!$R$9))/SUM('Quantification_Config'!$R$9)),'Quantification_Config'!$U$2),""),"")</x:f>
        <x:v>50</x:v>
      </x:c>
      <x:c r="X64" t="n">
        <x:f>IF((COUNT('Quantification_Results'!W64)=1),IFERROR(ROUND((SUM(('Quantification_Results'!W64*'Quantification_Config'!$R$8))/SUM('Quantification_Config'!$R$8)),'Quantification_Config'!$U$2),""),"")</x:f>
        <x:v>50</x:v>
      </x:c>
      <x:c r="Y64" t="n">
        <x:v>0</x:v>
      </x:c>
      <x:c r="Z64"/>
      <x:c r="AA64"/>
      <x:c r="AB64">
        <x:f>IF(('Quantification_Results'!Y64&lt;&gt;1),"",IF(('Quantification_Results'!AA64=""),IF(ISNUMBER('Quantification_Results'!Z64),IF(('Quantification_Results'!Z64&lt;'Quantification_Config'!$S$12),"",IF(('Quantification_Results'!Z64&gt;'Quantification_Config'!$T$12),"",'Quantification_Results'!Z64)),""),IF(ISNUMBER('Quantification_Results'!AA64),IF(('Quantification_Results'!AA64&lt;'Quantification_Config'!$S$12),"",IF(('Quantification_Results'!AA64&gt;'Quantification_Config'!$T$12),"",'Quantification_Results'!AA64)),"")))</x:f>
      </x:c>
      <x:c r="AC64">
        <x:f>IF(ISNUMBER('Quantification_Results'!AB64),IFERROR(ROUND(((('Quantification_Results'!AB64-'Quantification_Config'!$S$12)/('Quantification_Config'!$T$12-'Quantification_Config'!$S$12))*100),'Quantification_Config'!$U$2),""),"")</x:f>
      </x:c>
      <x:c r="AD64" t="inlineStr">
        <x:is>
          <x:t xml:space="preserve"/>
        </x:is>
      </x:c>
      <x:c r="AE64" t="inlineStr">
        <x:is>
          <x:t xml:space="preserve"/>
        </x:is>
      </x:c>
      <x:c r="AF64" t="inlineStr">
        <x:is>
          <x:t xml:space="preserve"/>
        </x:is>
      </x:c>
      <x:c r="AG64" t="inlineStr">
        <x:is>
          <x:t xml:space="preserve"/>
        </x:is>
      </x:c>
      <x:c r="AH64" t="inlineStr">
        <x:is>
          <x:t xml:space="preserve">EMPTY</x:t>
        </x:is>
      </x:c>
      <x:c r="AI64">
        <x:f>IF((COUNT('Quantification_Results'!AC64)=1),IFERROR(ROUND((SUM(('Quantification_Results'!AC64*'Quantification_Config'!$R$12))/SUM('Quantification_Config'!$R$12)),'Quantification_Config'!$U$2),""),"")</x:f>
      </x:c>
      <x:c r="AJ64">
        <x:f>IF((COUNT('Quantification_Results'!AI64)=1),IFERROR(ROUND((SUM(('Quantification_Results'!AI64*'Quantification_Config'!$R$11))/SUM('Quantification_Config'!$R$11)),'Quantification_Config'!$U$2),""),"")</x:f>
      </x:c>
      <x:c r="AK64" t="n">
        <x:v>1</x:v>
      </x:c>
      <x:c r="AL64" t="n">
        <x:v>5</x:v>
      </x:c>
      <x:c r="AM64"/>
      <x:c r="AN64" t="n">
        <x:f>IF(('Quantification_Results'!AK64&lt;&gt;1),"",IF(('Quantification_Results'!AM64=""),IF(ISNUMBER('Quantification_Results'!AL64),IF(('Quantification_Results'!AL64&lt;'Quantification_Config'!$S$15),"",IF(('Quantification_Results'!AL64&gt;'Quantification_Config'!$T$15),"",'Quantification_Results'!AL64)),""),IF(ISNUMBER('Quantification_Results'!AM64),IF(('Quantification_Results'!AM64&lt;'Quantification_Config'!$S$15),"",IF(('Quantification_Results'!AM64&gt;'Quantification_Config'!$T$15),"",'Quantification_Results'!AM64)),"")))</x:f>
        <x:v>5</x:v>
      </x:c>
      <x:c r="AO64" t="n">
        <x:f>IF(ISNUMBER('Quantification_Results'!AN64),IFERROR(ROUND(((('Quantification_Results'!AN64-'Quantification_Config'!$S$15)/('Quantification_Config'!$T$15-'Quantification_Config'!$S$15))*100),'Quantification_Config'!$U$2),""),"")</x:f>
        <x:v>50</x:v>
      </x:c>
      <x:c r="AP64" t="inlineStr">
        <x:is>
          <x:t xml:space="preserve">SYSTEM-TEST-ONLY-NO-NETWORK-NOT-AN-EDUCATIONAL-EVALUATION</x:t>
        </x:is>
      </x:c>
      <x:c r="AQ64" t="inlineStr">
        <x:is>
          <x:t xml:space="preserve"/>
        </x:is>
      </x:c>
      <x:c r="AR64" t="inlineStr">
        <x:is>
          <x:t xml:space="preserve">NONE</x:t>
        </x:is>
      </x:c>
      <x:c r="AS64" t="inlineStr">
        <x:is>
          <x:t xml:space="preserve"/>
        </x:is>
      </x:c>
      <x:c r="AT64" t="inlineStr">
        <x:is>
          <x:t xml:space="preserve">SUCCESS</x:t>
        </x:is>
      </x:c>
      <x:c r="AU64" t="n">
        <x:f>IF((COUNT('Quantification_Results'!AO64)=1),IFERROR(ROUND((SUM(('Quantification_Results'!AO64*'Quantification_Config'!$R$15))/SUM('Quantification_Config'!$R$15)),'Quantification_Config'!$U$2),""),"")</x:f>
        <x:v>50</x:v>
      </x:c>
      <x:c r="AV64" t="n">
        <x:f>IF((COUNT('Quantification_Results'!AU64)=1),IFERROR(ROUND((SUM(('Quantification_Results'!AU64*'Quantification_Config'!$R$14))/SUM('Quantification_Config'!$R$14)),'Quantification_Config'!$U$2),""),"")</x:f>
        <x:v>50</x:v>
      </x:c>
      <x:c r="AW64" t="n">
        <x:v>1</x:v>
      </x:c>
      <x:c r="AX64" t="n">
        <x:v>5</x:v>
      </x:c>
      <x:c r="AY64"/>
      <x:c r="AZ64" t="n">
        <x:f>IF(('Quantification_Results'!AW64&lt;&gt;1),"",IF(('Quantification_Results'!AY64=""),IF(ISNUMBER('Quantification_Results'!AX64),IF(('Quantification_Results'!AX64&lt;'Quantification_Config'!$S$19),"",IF(('Quantification_Results'!AX64&gt;'Quantification_Config'!$T$19),"",'Quantification_Results'!AX64)),""),IF(ISNUMBER('Quantification_Results'!AY64),IF(('Quantification_Results'!AY64&lt;'Quantification_Config'!$S$19),"",IF(('Quantification_Results'!AY64&gt;'Quantification_Config'!$T$19),"",'Quantification_Results'!AY64)),"")))</x:f>
        <x:v>5</x:v>
      </x:c>
      <x:c r="BA64" t="n">
        <x:f>IF(ISNUMBER('Quantification_Results'!AZ64),IFERROR(ROUND(((('Quantification_Results'!AZ64-'Quantification_Config'!$S$19)/('Quantification_Config'!$T$19-'Quantification_Config'!$S$19))*100),'Quantification_Config'!$U$2),""),"")</x:f>
        <x:v>50</x:v>
      </x:c>
      <x:c r="BB64" t="inlineStr">
        <x:is>
          <x:t xml:space="preserve">SYSTEM-TEST-ONLY-NO-NETWORK-NOT-AN-EDUCATIONAL-EVALUATION</x:t>
        </x:is>
      </x:c>
      <x:c r="BC64" t="inlineStr">
        <x:is>
          <x:t xml:space="preserve"/>
        </x:is>
      </x:c>
      <x:c r="BD64" t="inlineStr">
        <x:is>
          <x:t xml:space="preserve">NONE</x:t>
        </x:is>
      </x:c>
      <x:c r="BE64" t="inlineStr">
        <x:is>
          <x:t xml:space="preserve"/>
        </x:is>
      </x:c>
      <x:c r="BF64" t="inlineStr">
        <x:is>
          <x:t xml:space="preserve">SUCCESS</x:t>
        </x:is>
      </x:c>
      <x:c r="BG64" t="n">
        <x:f>IF((COUNT('Quantification_Results'!BA64)=1),IFERROR(ROUND((SUM(('Quantification_Results'!BA64*'Quantification_Config'!$R$19))/SUM('Quantification_Config'!$R$19)),'Quantification_Config'!$U$2),""),"")</x:f>
        <x:v>50</x:v>
      </x:c>
      <x:c r="BH64" t="n">
        <x:f>IF((COUNT('Quantification_Results'!BG64)=1),IFERROR(ROUND((SUM(('Quantification_Results'!BG64*'Quantification_Config'!$R$18))/SUM('Quantification_Config'!$R$18)),'Quantification_Config'!$U$2),""),"")</x:f>
        <x:v>50</x:v>
      </x:c>
      <x:c r="BI64">
        <x:f>IF((COUNT('Quantification_Results'!L64,'Quantification_Results'!X64,'Quantification_Results'!AJ64,'Quantification_Results'!AV64,'Quantification_Results'!BH64)=5),IFERROR(ROUND((SUM(('Quantification_Results'!L64*'Quantification_Config'!$R$4),('Quantification_Results'!X64*'Quantification_Config'!$R$7),('Quantification_Results'!AJ64*'Quantification_Config'!$R$10),('Quantification_Results'!AV64*'Quantification_Config'!$R$13),('Quantification_Results'!BH64*'Quantification_Config'!$R$16))/SUM('Quantification_Config'!$R$4,'Quantification_Config'!$R$7,'Quantification_Config'!$R$10,'Quantification_Config'!$R$13,'Quantification_Config'!$R$16)),'Quantification_Config'!$U$2),""),"")</x:f>
      </x:c>
    </x:row>
    <x:row r="65">
      <x:c r="A65" t="n">
        <x:v>1</x:v>
      </x:c>
      <x:c r="B65" t="n">
        <x:v>5</x:v>
      </x:c>
      <x:c r="C65"/>
      <x:c r="D65" t="n">
        <x:f>IF(('Quantification_Results'!A65&lt;&gt;1),"",IF(('Quantification_Results'!C65=""),IF(ISNUMBER('Quantification_Results'!B65),IF(('Quantification_Results'!B65&lt;'Quantification_Config'!$S$6),"",IF(('Quantification_Results'!B65&gt;'Quantification_Config'!$T$6),"",'Quantification_Results'!B65)),""),IF(ISNUMBER('Quantification_Results'!C65),IF(('Quantification_Results'!C65&lt;'Quantification_Config'!$S$6),"",IF(('Quantification_Results'!C65&gt;'Quantification_Config'!$T$6),"",'Quantification_Results'!C65)),"")))</x:f>
        <x:v>5</x:v>
      </x:c>
      <x:c r="E65" t="n">
        <x:f>IF(ISNUMBER('Quantification_Results'!D65),IFERROR(ROUND(((('Quantification_Results'!D65-'Quantification_Config'!$S$6)/('Quantification_Config'!$T$6-'Quantification_Config'!$S$6))*100),'Quantification_Config'!$U$2),""),"")</x:f>
        <x:v>50</x:v>
      </x:c>
      <x:c r="F65" t="inlineStr">
        <x:is>
          <x:t xml:space="preserve">SYSTEM-TEST-ONLY-NO-NETWORK-NOT-AN-EDUCATIONAL-EVALUATION</x:t>
        </x:is>
      </x:c>
      <x:c r="G65" t="inlineStr">
        <x:is>
          <x:t xml:space="preserve"/>
        </x:is>
      </x:c>
      <x:c r="H65" t="inlineStr">
        <x:is>
          <x:t xml:space="preserve">NONE</x:t>
        </x:is>
      </x:c>
      <x:c r="I65" t="inlineStr">
        <x:is>
          <x:t xml:space="preserve"/>
        </x:is>
      </x:c>
      <x:c r="J65" t="inlineStr">
        <x:is>
          <x:t xml:space="preserve">SUCCESS</x:t>
        </x:is>
      </x:c>
      <x:c r="K65" t="n">
        <x:f>IF((COUNT('Quantification_Results'!E65)=1),IFERROR(ROUND((SUM(('Quantification_Results'!E65*'Quantification_Config'!$R$6))/SUM('Quantification_Config'!$R$6)),'Quantification_Config'!$U$2),""),"")</x:f>
        <x:v>50</x:v>
      </x:c>
      <x:c r="L65" t="n">
        <x:f>IF((COUNT('Quantification_Results'!K65)=1),IFERROR(ROUND((SUM(('Quantification_Results'!K65*'Quantification_Config'!$R$5))/SUM('Quantification_Config'!$R$5)),'Quantification_Config'!$U$2),""),"")</x:f>
        <x:v>50</x:v>
      </x:c>
      <x:c r="M65" t="n">
        <x:v>1</x:v>
      </x:c>
      <x:c r="N65" t="n">
        <x:v>5</x:v>
      </x:c>
      <x:c r="O65"/>
      <x:c r="P65" t="n">
        <x:f>IF(('Quantification_Results'!M65&lt;&gt;1),"",IF(('Quantification_Results'!O65=""),IF(ISNUMBER('Quantification_Results'!N65),IF(('Quantification_Results'!N65&lt;'Quantification_Config'!$S$9),"",IF(('Quantification_Results'!N65&gt;'Quantification_Config'!$T$9),"",'Quantification_Results'!N65)),""),IF(ISNUMBER('Quantification_Results'!O65),IF(('Quantification_Results'!O65&lt;'Quantification_Config'!$S$9),"",IF(('Quantification_Results'!O65&gt;'Quantification_Config'!$T$9),"",'Quantification_Results'!O65)),"")))</x:f>
        <x:v>5</x:v>
      </x:c>
      <x:c r="Q65" t="n">
        <x:f>IF(ISNUMBER('Quantification_Results'!P65),IFERROR(ROUND(((('Quantification_Results'!P65-'Quantification_Config'!$S$9)/('Quantification_Config'!$T$9-'Quantification_Config'!$S$9))*100),'Quantification_Config'!$U$2),""),"")</x:f>
        <x:v>50</x:v>
      </x:c>
      <x:c r="R65" t="inlineStr">
        <x:is>
          <x:t xml:space="preserve">SYSTEM-TEST-ONLY-NO-NETWORK-NOT-AN-EDUCATIONAL-EVALUATION</x:t>
        </x:is>
      </x:c>
      <x:c r="S65" t="inlineStr">
        <x:is>
          <x:t xml:space="preserve"/>
        </x:is>
      </x:c>
      <x:c r="T65" t="inlineStr">
        <x:is>
          <x:t xml:space="preserve">NONE</x:t>
        </x:is>
      </x:c>
      <x:c r="U65" t="inlineStr">
        <x:is>
          <x:t xml:space="preserve"/>
        </x:is>
      </x:c>
      <x:c r="V65" t="inlineStr">
        <x:is>
          <x:t xml:space="preserve">SUCCESS</x:t>
        </x:is>
      </x:c>
      <x:c r="W65" t="n">
        <x:f>IF((COUNT('Quantification_Results'!Q65)=1),IFERROR(ROUND((SUM(('Quantification_Results'!Q65*'Quantification_Config'!$R$9))/SUM('Quantification_Config'!$R$9)),'Quantification_Config'!$U$2),""),"")</x:f>
        <x:v>50</x:v>
      </x:c>
      <x:c r="X65" t="n">
        <x:f>IF((COUNT('Quantification_Results'!W65)=1),IFERROR(ROUND((SUM(('Quantification_Results'!W65*'Quantification_Config'!$R$8))/SUM('Quantification_Config'!$R$8)),'Quantification_Config'!$U$2),""),"")</x:f>
        <x:v>50</x:v>
      </x:c>
      <x:c r="Y65" t="n">
        <x:v>0</x:v>
      </x:c>
      <x:c r="Z65"/>
      <x:c r="AA65"/>
      <x:c r="AB65">
        <x:f>IF(('Quantification_Results'!Y65&lt;&gt;1),"",IF(('Quantification_Results'!AA65=""),IF(ISNUMBER('Quantification_Results'!Z65),IF(('Quantification_Results'!Z65&lt;'Quantification_Config'!$S$12),"",IF(('Quantification_Results'!Z65&gt;'Quantification_Config'!$T$12),"",'Quantification_Results'!Z65)),""),IF(ISNUMBER('Quantification_Results'!AA65),IF(('Quantification_Results'!AA65&lt;'Quantification_Config'!$S$12),"",IF(('Quantification_Results'!AA65&gt;'Quantification_Config'!$T$12),"",'Quantification_Results'!AA65)),"")))</x:f>
      </x:c>
      <x:c r="AC65">
        <x:f>IF(ISNUMBER('Quantification_Results'!AB65),IFERROR(ROUND(((('Quantification_Results'!AB65-'Quantification_Config'!$S$12)/('Quantification_Config'!$T$12-'Quantification_Config'!$S$12))*100),'Quantification_Config'!$U$2),""),"")</x:f>
      </x:c>
      <x:c r="AD65" t="inlineStr">
        <x:is>
          <x:t xml:space="preserve"/>
        </x:is>
      </x:c>
      <x:c r="AE65" t="inlineStr">
        <x:is>
          <x:t xml:space="preserve"/>
        </x:is>
      </x:c>
      <x:c r="AF65" t="inlineStr">
        <x:is>
          <x:t xml:space="preserve"/>
        </x:is>
      </x:c>
      <x:c r="AG65" t="inlineStr">
        <x:is>
          <x:t xml:space="preserve"/>
        </x:is>
      </x:c>
      <x:c r="AH65" t="inlineStr">
        <x:is>
          <x:t xml:space="preserve">EMPTY</x:t>
        </x:is>
      </x:c>
      <x:c r="AI65">
        <x:f>IF((COUNT('Quantification_Results'!AC65)=1),IFERROR(ROUND((SUM(('Quantification_Results'!AC65*'Quantification_Config'!$R$12))/SUM('Quantification_Config'!$R$12)),'Quantification_Config'!$U$2),""),"")</x:f>
      </x:c>
      <x:c r="AJ65">
        <x:f>IF((COUNT('Quantification_Results'!AI65)=1),IFERROR(ROUND((SUM(('Quantification_Results'!AI65*'Quantification_Config'!$R$11))/SUM('Quantification_Config'!$R$11)),'Quantification_Config'!$U$2),""),"")</x:f>
      </x:c>
      <x:c r="AK65" t="n">
        <x:v>1</x:v>
      </x:c>
      <x:c r="AL65" t="n">
        <x:v>5</x:v>
      </x:c>
      <x:c r="AM65"/>
      <x:c r="AN65" t="n">
        <x:f>IF(('Quantification_Results'!AK65&lt;&gt;1),"",IF(('Quantification_Results'!AM65=""),IF(ISNUMBER('Quantification_Results'!AL65),IF(('Quantification_Results'!AL65&lt;'Quantification_Config'!$S$15),"",IF(('Quantification_Results'!AL65&gt;'Quantification_Config'!$T$15),"",'Quantification_Results'!AL65)),""),IF(ISNUMBER('Quantification_Results'!AM65),IF(('Quantification_Results'!AM65&lt;'Quantification_Config'!$S$15),"",IF(('Quantification_Results'!AM65&gt;'Quantification_Config'!$T$15),"",'Quantification_Results'!AM65)),"")))</x:f>
        <x:v>5</x:v>
      </x:c>
      <x:c r="AO65" t="n">
        <x:f>IF(ISNUMBER('Quantification_Results'!AN65),IFERROR(ROUND(((('Quantification_Results'!AN65-'Quantification_Config'!$S$15)/('Quantification_Config'!$T$15-'Quantification_Config'!$S$15))*100),'Quantification_Config'!$U$2),""),"")</x:f>
        <x:v>50</x:v>
      </x:c>
      <x:c r="AP65" t="inlineStr">
        <x:is>
          <x:t xml:space="preserve">SYSTEM-TEST-ONLY-NO-NETWORK-NOT-AN-EDUCATIONAL-EVALUATION</x:t>
        </x:is>
      </x:c>
      <x:c r="AQ65" t="inlineStr">
        <x:is>
          <x:t xml:space="preserve"/>
        </x:is>
      </x:c>
      <x:c r="AR65" t="inlineStr">
        <x:is>
          <x:t xml:space="preserve">NONE</x:t>
        </x:is>
      </x:c>
      <x:c r="AS65" t="inlineStr">
        <x:is>
          <x:t xml:space="preserve"/>
        </x:is>
      </x:c>
      <x:c r="AT65" t="inlineStr">
        <x:is>
          <x:t xml:space="preserve">SUCCESS</x:t>
        </x:is>
      </x:c>
      <x:c r="AU65" t="n">
        <x:f>IF((COUNT('Quantification_Results'!AO65)=1),IFERROR(ROUND((SUM(('Quantification_Results'!AO65*'Quantification_Config'!$R$15))/SUM('Quantification_Config'!$R$15)),'Quantification_Config'!$U$2),""),"")</x:f>
        <x:v>50</x:v>
      </x:c>
      <x:c r="AV65" t="n">
        <x:f>IF((COUNT('Quantification_Results'!AU65)=1),IFERROR(ROUND((SUM(('Quantification_Results'!AU65*'Quantification_Config'!$R$14))/SUM('Quantification_Config'!$R$14)),'Quantification_Config'!$U$2),""),"")</x:f>
        <x:v>50</x:v>
      </x:c>
      <x:c r="AW65" t="n">
        <x:v>1</x:v>
      </x:c>
      <x:c r="AX65" t="n">
        <x:v>5</x:v>
      </x:c>
      <x:c r="AY65"/>
      <x:c r="AZ65" t="n">
        <x:f>IF(('Quantification_Results'!AW65&lt;&gt;1),"",IF(('Quantification_Results'!AY65=""),IF(ISNUMBER('Quantification_Results'!AX65),IF(('Quantification_Results'!AX65&lt;'Quantification_Config'!$S$19),"",IF(('Quantification_Results'!AX65&gt;'Quantification_Config'!$T$19),"",'Quantification_Results'!AX65)),""),IF(ISNUMBER('Quantification_Results'!AY65),IF(('Quantification_Results'!AY65&lt;'Quantification_Config'!$S$19),"",IF(('Quantification_Results'!AY65&gt;'Quantification_Config'!$T$19),"",'Quantification_Results'!AY65)),"")))</x:f>
        <x:v>5</x:v>
      </x:c>
      <x:c r="BA65" t="n">
        <x:f>IF(ISNUMBER('Quantification_Results'!AZ65),IFERROR(ROUND(((('Quantification_Results'!AZ65-'Quantification_Config'!$S$19)/('Quantification_Config'!$T$19-'Quantification_Config'!$S$19))*100),'Quantification_Config'!$U$2),""),"")</x:f>
        <x:v>50</x:v>
      </x:c>
      <x:c r="BB65" t="inlineStr">
        <x:is>
          <x:t xml:space="preserve">SYSTEM-TEST-ONLY-NO-NETWORK-NOT-AN-EDUCATIONAL-EVALUATION</x:t>
        </x:is>
      </x:c>
      <x:c r="BC65" t="inlineStr">
        <x:is>
          <x:t xml:space="preserve"/>
        </x:is>
      </x:c>
      <x:c r="BD65" t="inlineStr">
        <x:is>
          <x:t xml:space="preserve">NONE</x:t>
        </x:is>
      </x:c>
      <x:c r="BE65" t="inlineStr">
        <x:is>
          <x:t xml:space="preserve"/>
        </x:is>
      </x:c>
      <x:c r="BF65" t="inlineStr">
        <x:is>
          <x:t xml:space="preserve">SUCCESS</x:t>
        </x:is>
      </x:c>
      <x:c r="BG65" t="n">
        <x:f>IF((COUNT('Quantification_Results'!BA65)=1),IFERROR(ROUND((SUM(('Quantification_Results'!BA65*'Quantification_Config'!$R$19))/SUM('Quantification_Config'!$R$19)),'Quantification_Config'!$U$2),""),"")</x:f>
        <x:v>50</x:v>
      </x:c>
      <x:c r="BH65" t="n">
        <x:f>IF((COUNT('Quantification_Results'!BG65)=1),IFERROR(ROUND((SUM(('Quantification_Results'!BG65*'Quantification_Config'!$R$18))/SUM('Quantification_Config'!$R$18)),'Quantification_Config'!$U$2),""),"")</x:f>
        <x:v>50</x:v>
      </x:c>
      <x:c r="BI65">
        <x:f>IF((COUNT('Quantification_Results'!L65,'Quantification_Results'!X65,'Quantification_Results'!AJ65,'Quantification_Results'!AV65,'Quantification_Results'!BH65)=5),IFERROR(ROUND((SUM(('Quantification_Results'!L65*'Quantification_Config'!$R$4),('Quantification_Results'!X65*'Quantification_Config'!$R$7),('Quantification_Results'!AJ65*'Quantification_Config'!$R$10),('Quantification_Results'!AV65*'Quantification_Config'!$R$13),('Quantification_Results'!BH65*'Quantification_Config'!$R$16))/SUM('Quantification_Config'!$R$4,'Quantification_Config'!$R$7,'Quantification_Config'!$R$10,'Quantification_Config'!$R$13,'Quantification_Config'!$R$16)),'Quantification_Config'!$U$2),""),"")</x:f>
      </x:c>
    </x:row>
    <x:row r="66">
      <x:c r="A66" t="n">
        <x:v>1</x:v>
      </x:c>
      <x:c r="B66" t="n">
        <x:v>5</x:v>
      </x:c>
      <x:c r="C66"/>
      <x:c r="D66" t="n">
        <x:f>IF(('Quantification_Results'!A66&lt;&gt;1),"",IF(('Quantification_Results'!C66=""),IF(ISNUMBER('Quantification_Results'!B66),IF(('Quantification_Results'!B66&lt;'Quantification_Config'!$S$6),"",IF(('Quantification_Results'!B66&gt;'Quantification_Config'!$T$6),"",'Quantification_Results'!B66)),""),IF(ISNUMBER('Quantification_Results'!C66),IF(('Quantification_Results'!C66&lt;'Quantification_Config'!$S$6),"",IF(('Quantification_Results'!C66&gt;'Quantification_Config'!$T$6),"",'Quantification_Results'!C66)),"")))</x:f>
        <x:v>5</x:v>
      </x:c>
      <x:c r="E66" t="n">
        <x:f>IF(ISNUMBER('Quantification_Results'!D66),IFERROR(ROUND(((('Quantification_Results'!D66-'Quantification_Config'!$S$6)/('Quantification_Config'!$T$6-'Quantification_Config'!$S$6))*100),'Quantification_Config'!$U$2),""),"")</x:f>
        <x:v>50</x:v>
      </x:c>
      <x:c r="F66" t="inlineStr">
        <x:is>
          <x:t xml:space="preserve">SYSTEM-TEST-ONLY-NO-NETWORK-NOT-AN-EDUCATIONAL-EVALUATION</x:t>
        </x:is>
      </x:c>
      <x:c r="G66" t="inlineStr">
        <x:is>
          <x:t xml:space="preserve"/>
        </x:is>
      </x:c>
      <x:c r="H66" t="inlineStr">
        <x:is>
          <x:t xml:space="preserve">NONE</x:t>
        </x:is>
      </x:c>
      <x:c r="I66" t="inlineStr">
        <x:is>
          <x:t xml:space="preserve"/>
        </x:is>
      </x:c>
      <x:c r="J66" t="inlineStr">
        <x:is>
          <x:t xml:space="preserve">SUCCESS</x:t>
        </x:is>
      </x:c>
      <x:c r="K66" t="n">
        <x:f>IF((COUNT('Quantification_Results'!E66)=1),IFERROR(ROUND((SUM(('Quantification_Results'!E66*'Quantification_Config'!$R$6))/SUM('Quantification_Config'!$R$6)),'Quantification_Config'!$U$2),""),"")</x:f>
        <x:v>50</x:v>
      </x:c>
      <x:c r="L66" t="n">
        <x:f>IF((COUNT('Quantification_Results'!K66)=1),IFERROR(ROUND((SUM(('Quantification_Results'!K66*'Quantification_Config'!$R$5))/SUM('Quantification_Config'!$R$5)),'Quantification_Config'!$U$2),""),"")</x:f>
        <x:v>50</x:v>
      </x:c>
      <x:c r="M66" t="n">
        <x:v>1</x:v>
      </x:c>
      <x:c r="N66" t="n">
        <x:v>5</x:v>
      </x:c>
      <x:c r="O66"/>
      <x:c r="P66" t="n">
        <x:f>IF(('Quantification_Results'!M66&lt;&gt;1),"",IF(('Quantification_Results'!O66=""),IF(ISNUMBER('Quantification_Results'!N66),IF(('Quantification_Results'!N66&lt;'Quantification_Config'!$S$9),"",IF(('Quantification_Results'!N66&gt;'Quantification_Config'!$T$9),"",'Quantification_Results'!N66)),""),IF(ISNUMBER('Quantification_Results'!O66),IF(('Quantification_Results'!O66&lt;'Quantification_Config'!$S$9),"",IF(('Quantification_Results'!O66&gt;'Quantification_Config'!$T$9),"",'Quantification_Results'!O66)),"")))</x:f>
        <x:v>5</x:v>
      </x:c>
      <x:c r="Q66" t="n">
        <x:f>IF(ISNUMBER('Quantification_Results'!P66),IFERROR(ROUND(((('Quantification_Results'!P66-'Quantification_Config'!$S$9)/('Quantification_Config'!$T$9-'Quantification_Config'!$S$9))*100),'Quantification_Config'!$U$2),""),"")</x:f>
        <x:v>50</x:v>
      </x:c>
      <x:c r="R66" t="inlineStr">
        <x:is>
          <x:t xml:space="preserve">SYSTEM-TEST-ONLY-NO-NETWORK-NOT-AN-EDUCATIONAL-EVALUATION</x:t>
        </x:is>
      </x:c>
      <x:c r="S66" t="inlineStr">
        <x:is>
          <x:t xml:space="preserve"/>
        </x:is>
      </x:c>
      <x:c r="T66" t="inlineStr">
        <x:is>
          <x:t xml:space="preserve">NONE</x:t>
        </x:is>
      </x:c>
      <x:c r="U66" t="inlineStr">
        <x:is>
          <x:t xml:space="preserve"/>
        </x:is>
      </x:c>
      <x:c r="V66" t="inlineStr">
        <x:is>
          <x:t xml:space="preserve">SUCCESS</x:t>
        </x:is>
      </x:c>
      <x:c r="W66" t="n">
        <x:f>IF((COUNT('Quantification_Results'!Q66)=1),IFERROR(ROUND((SUM(('Quantification_Results'!Q66*'Quantification_Config'!$R$9))/SUM('Quantification_Config'!$R$9)),'Quantification_Config'!$U$2),""),"")</x:f>
        <x:v>50</x:v>
      </x:c>
      <x:c r="X66" t="n">
        <x:f>IF((COUNT('Quantification_Results'!W66)=1),IFERROR(ROUND((SUM(('Quantification_Results'!W66*'Quantification_Config'!$R$8))/SUM('Quantification_Config'!$R$8)),'Quantification_Config'!$U$2),""),"")</x:f>
        <x:v>50</x:v>
      </x:c>
      <x:c r="Y66" t="n">
        <x:v>1</x:v>
      </x:c>
      <x:c r="Z66" t="n">
        <x:v>5</x:v>
      </x:c>
      <x:c r="AA66"/>
      <x:c r="AB66" t="n">
        <x:f>IF(('Quantification_Results'!Y66&lt;&gt;1),"",IF(('Quantification_Results'!AA66=""),IF(ISNUMBER('Quantification_Results'!Z66),IF(('Quantification_Results'!Z66&lt;'Quantification_Config'!$S$12),"",IF(('Quantification_Results'!Z66&gt;'Quantification_Config'!$T$12),"",'Quantification_Results'!Z66)),""),IF(ISNUMBER('Quantification_Results'!AA66),IF(('Quantification_Results'!AA66&lt;'Quantification_Config'!$S$12),"",IF(('Quantification_Results'!AA66&gt;'Quantification_Config'!$T$12),"",'Quantification_Results'!AA66)),"")))</x:f>
        <x:v>5</x:v>
      </x:c>
      <x:c r="AC66" t="n">
        <x:f>IF(ISNUMBER('Quantification_Results'!AB66),IFERROR(ROUND(((('Quantification_Results'!AB66-'Quantification_Config'!$S$12)/('Quantification_Config'!$T$12-'Quantification_Config'!$S$12))*100),'Quantification_Config'!$U$2),""),"")</x:f>
        <x:v>50</x:v>
      </x:c>
      <x:c r="AD66" t="inlineStr">
        <x:is>
          <x:t xml:space="preserve">SYSTEM-TEST-ONLY-NO-NETWORK-NOT-AN-EDUCATIONAL-EVALUATION</x:t>
        </x:is>
      </x:c>
      <x:c r="AE66" t="inlineStr">
        <x:is>
          <x:t xml:space="preserve"/>
        </x:is>
      </x:c>
      <x:c r="AF66" t="inlineStr">
        <x:is>
          <x:t xml:space="preserve">NONE</x:t>
        </x:is>
      </x:c>
      <x:c r="AG66" t="inlineStr">
        <x:is>
          <x:t xml:space="preserve"/>
        </x:is>
      </x:c>
      <x:c r="AH66" t="inlineStr">
        <x:is>
          <x:t xml:space="preserve">SUCCESS</x:t>
        </x:is>
      </x:c>
      <x:c r="AI66" t="n">
        <x:f>IF((COUNT('Quantification_Results'!AC66)=1),IFERROR(ROUND((SUM(('Quantification_Results'!AC66*'Quantification_Config'!$R$12))/SUM('Quantification_Config'!$R$12)),'Quantification_Config'!$U$2),""),"")</x:f>
        <x:v>50</x:v>
      </x:c>
      <x:c r="AJ66" t="n">
        <x:f>IF((COUNT('Quantification_Results'!AI66)=1),IFERROR(ROUND((SUM(('Quantification_Results'!AI66*'Quantification_Config'!$R$11))/SUM('Quantification_Config'!$R$11)),'Quantification_Config'!$U$2),""),"")</x:f>
        <x:v>50</x:v>
      </x:c>
      <x:c r="AK66" t="n">
        <x:v>1</x:v>
      </x:c>
      <x:c r="AL66" t="n">
        <x:v>5</x:v>
      </x:c>
      <x:c r="AM66"/>
      <x:c r="AN66" t="n">
        <x:f>IF(('Quantification_Results'!AK66&lt;&gt;1),"",IF(('Quantification_Results'!AM66=""),IF(ISNUMBER('Quantification_Results'!AL66),IF(('Quantification_Results'!AL66&lt;'Quantification_Config'!$S$15),"",IF(('Quantification_Results'!AL66&gt;'Quantification_Config'!$T$15),"",'Quantification_Results'!AL66)),""),IF(ISNUMBER('Quantification_Results'!AM66),IF(('Quantification_Results'!AM66&lt;'Quantification_Config'!$S$15),"",IF(('Quantification_Results'!AM66&gt;'Quantification_Config'!$T$15),"",'Quantification_Results'!AM66)),"")))</x:f>
        <x:v>5</x:v>
      </x:c>
      <x:c r="AO66" t="n">
        <x:f>IF(ISNUMBER('Quantification_Results'!AN66),IFERROR(ROUND(((('Quantification_Results'!AN66-'Quantification_Config'!$S$15)/('Quantification_Config'!$T$15-'Quantification_Config'!$S$15))*100),'Quantification_Config'!$U$2),""),"")</x:f>
        <x:v>50</x:v>
      </x:c>
      <x:c r="AP66" t="inlineStr">
        <x:is>
          <x:t xml:space="preserve">SYSTEM-TEST-ONLY-NO-NETWORK-NOT-AN-EDUCATIONAL-EVALUATION</x:t>
        </x:is>
      </x:c>
      <x:c r="AQ66" t="inlineStr">
        <x:is>
          <x:t xml:space="preserve"/>
        </x:is>
      </x:c>
      <x:c r="AR66" t="inlineStr">
        <x:is>
          <x:t xml:space="preserve">NONE</x:t>
        </x:is>
      </x:c>
      <x:c r="AS66" t="inlineStr">
        <x:is>
          <x:t xml:space="preserve"/>
        </x:is>
      </x:c>
      <x:c r="AT66" t="inlineStr">
        <x:is>
          <x:t xml:space="preserve">SUCCESS</x:t>
        </x:is>
      </x:c>
      <x:c r="AU66" t="n">
        <x:f>IF((COUNT('Quantification_Results'!AO66)=1),IFERROR(ROUND((SUM(('Quantification_Results'!AO66*'Quantification_Config'!$R$15))/SUM('Quantification_Config'!$R$15)),'Quantification_Config'!$U$2),""),"")</x:f>
        <x:v>50</x:v>
      </x:c>
      <x:c r="AV66" t="n">
        <x:f>IF((COUNT('Quantification_Results'!AU66)=1),IFERROR(ROUND((SUM(('Quantification_Results'!AU66*'Quantification_Config'!$R$14))/SUM('Quantification_Config'!$R$14)),'Quantification_Config'!$U$2),""),"")</x:f>
        <x:v>50</x:v>
      </x:c>
      <x:c r="AW66" t="n">
        <x:v>1</x:v>
      </x:c>
      <x:c r="AX66" t="n">
        <x:v>5</x:v>
      </x:c>
      <x:c r="AY66"/>
      <x:c r="AZ66" t="n">
        <x:f>IF(('Quantification_Results'!AW66&lt;&gt;1),"",IF(('Quantification_Results'!AY66=""),IF(ISNUMBER('Quantification_Results'!AX66),IF(('Quantification_Results'!AX66&lt;'Quantification_Config'!$S$19),"",IF(('Quantification_Results'!AX66&gt;'Quantification_Config'!$T$19),"",'Quantification_Results'!AX66)),""),IF(ISNUMBER('Quantification_Results'!AY66),IF(('Quantification_Results'!AY66&lt;'Quantification_Config'!$S$19),"",IF(('Quantification_Results'!AY66&gt;'Quantification_Config'!$T$19),"",'Quantification_Results'!AY66)),"")))</x:f>
        <x:v>5</x:v>
      </x:c>
      <x:c r="BA66" t="n">
        <x:f>IF(ISNUMBER('Quantification_Results'!AZ66),IFERROR(ROUND(((('Quantification_Results'!AZ66-'Quantification_Config'!$S$19)/('Quantification_Config'!$T$19-'Quantification_Config'!$S$19))*100),'Quantification_Config'!$U$2),""),"")</x:f>
        <x:v>50</x:v>
      </x:c>
      <x:c r="BB66" t="inlineStr">
        <x:is>
          <x:t xml:space="preserve">SYSTEM-TEST-ONLY-NO-NETWORK-NOT-AN-EDUCATIONAL-EVALUATION</x:t>
        </x:is>
      </x:c>
      <x:c r="BC66" t="inlineStr">
        <x:is>
          <x:t xml:space="preserve"/>
        </x:is>
      </x:c>
      <x:c r="BD66" t="inlineStr">
        <x:is>
          <x:t xml:space="preserve">NONE</x:t>
        </x:is>
      </x:c>
      <x:c r="BE66" t="inlineStr">
        <x:is>
          <x:t xml:space="preserve"/>
        </x:is>
      </x:c>
      <x:c r="BF66" t="inlineStr">
        <x:is>
          <x:t xml:space="preserve">SUCCESS</x:t>
        </x:is>
      </x:c>
      <x:c r="BG66" t="n">
        <x:f>IF((COUNT('Quantification_Results'!BA66)=1),IFERROR(ROUND((SUM(('Quantification_Results'!BA66*'Quantification_Config'!$R$19))/SUM('Quantification_Config'!$R$19)),'Quantification_Config'!$U$2),""),"")</x:f>
        <x:v>50</x:v>
      </x:c>
      <x:c r="BH66" t="n">
        <x:f>IF((COUNT('Quantification_Results'!BG66)=1),IFERROR(ROUND((SUM(('Quantification_Results'!BG66*'Quantification_Config'!$R$18))/SUM('Quantification_Config'!$R$18)),'Quantification_Config'!$U$2),""),"")</x:f>
        <x:v>50</x:v>
      </x:c>
      <x:c r="BI66" t="n">
        <x:f>IF((COUNT('Quantification_Results'!L66,'Quantification_Results'!X66,'Quantification_Results'!AJ66,'Quantification_Results'!AV66,'Quantification_Results'!BH66)=5),IFERROR(ROUND((SUM(('Quantification_Results'!L66*'Quantification_Config'!$R$4),('Quantification_Results'!X66*'Quantification_Config'!$R$7),('Quantification_Results'!AJ66*'Quantification_Config'!$R$10),('Quantification_Results'!AV66*'Quantification_Config'!$R$13),('Quantification_Results'!BH66*'Quantification_Config'!$R$16))/SUM('Quantification_Config'!$R$4,'Quantification_Config'!$R$7,'Quantification_Config'!$R$10,'Quantification_Config'!$R$13,'Quantification_Config'!$R$16)),'Quantification_Config'!$U$2),""),"")</x:f>
        <x:v>50</x:v>
      </x:c>
    </x:row>
    <x:row r="67">
      <x:c r="A67" t="n">
        <x:v>1</x:v>
      </x:c>
      <x:c r="B67" t="n">
        <x:v>5</x:v>
      </x:c>
      <x:c r="C67"/>
      <x:c r="D67" t="n">
        <x:f>IF(('Quantification_Results'!A67&lt;&gt;1),"",IF(('Quantification_Results'!C67=""),IF(ISNUMBER('Quantification_Results'!B67),IF(('Quantification_Results'!B67&lt;'Quantification_Config'!$S$6),"",IF(('Quantification_Results'!B67&gt;'Quantification_Config'!$T$6),"",'Quantification_Results'!B67)),""),IF(ISNUMBER('Quantification_Results'!C67),IF(('Quantification_Results'!C67&lt;'Quantification_Config'!$S$6),"",IF(('Quantification_Results'!C67&gt;'Quantification_Config'!$T$6),"",'Quantification_Results'!C67)),"")))</x:f>
        <x:v>5</x:v>
      </x:c>
      <x:c r="E67" t="n">
        <x:f>IF(ISNUMBER('Quantification_Results'!D67),IFERROR(ROUND(((('Quantification_Results'!D67-'Quantification_Config'!$S$6)/('Quantification_Config'!$T$6-'Quantification_Config'!$S$6))*100),'Quantification_Config'!$U$2),""),"")</x:f>
        <x:v>50</x:v>
      </x:c>
      <x:c r="F67" t="inlineStr">
        <x:is>
          <x:t xml:space="preserve">SYSTEM-TEST-ONLY-NO-NETWORK-NOT-AN-EDUCATIONAL-EVALUATION</x:t>
        </x:is>
      </x:c>
      <x:c r="G67" t="inlineStr">
        <x:is>
          <x:t xml:space="preserve"/>
        </x:is>
      </x:c>
      <x:c r="H67" t="inlineStr">
        <x:is>
          <x:t xml:space="preserve">NONE</x:t>
        </x:is>
      </x:c>
      <x:c r="I67" t="inlineStr">
        <x:is>
          <x:t xml:space="preserve"/>
        </x:is>
      </x:c>
      <x:c r="J67" t="inlineStr">
        <x:is>
          <x:t xml:space="preserve">SUCCESS</x:t>
        </x:is>
      </x:c>
      <x:c r="K67" t="n">
        <x:f>IF((COUNT('Quantification_Results'!E67)=1),IFERROR(ROUND((SUM(('Quantification_Results'!E67*'Quantification_Config'!$R$6))/SUM('Quantification_Config'!$R$6)),'Quantification_Config'!$U$2),""),"")</x:f>
        <x:v>50</x:v>
      </x:c>
      <x:c r="L67" t="n">
        <x:f>IF((COUNT('Quantification_Results'!K67)=1),IFERROR(ROUND((SUM(('Quantification_Results'!K67*'Quantification_Config'!$R$5))/SUM('Quantification_Config'!$R$5)),'Quantification_Config'!$U$2),""),"")</x:f>
        <x:v>50</x:v>
      </x:c>
      <x:c r="M67" t="n">
        <x:v>1</x:v>
      </x:c>
      <x:c r="N67" t="n">
        <x:v>5</x:v>
      </x:c>
      <x:c r="O67"/>
      <x:c r="P67" t="n">
        <x:f>IF(('Quantification_Results'!M67&lt;&gt;1),"",IF(('Quantification_Results'!O67=""),IF(ISNUMBER('Quantification_Results'!N67),IF(('Quantification_Results'!N67&lt;'Quantification_Config'!$S$9),"",IF(('Quantification_Results'!N67&gt;'Quantification_Config'!$T$9),"",'Quantification_Results'!N67)),""),IF(ISNUMBER('Quantification_Results'!O67),IF(('Quantification_Results'!O67&lt;'Quantification_Config'!$S$9),"",IF(('Quantification_Results'!O67&gt;'Quantification_Config'!$T$9),"",'Quantification_Results'!O67)),"")))</x:f>
        <x:v>5</x:v>
      </x:c>
      <x:c r="Q67" t="n">
        <x:f>IF(ISNUMBER('Quantification_Results'!P67),IFERROR(ROUND(((('Quantification_Results'!P67-'Quantification_Config'!$S$9)/('Quantification_Config'!$T$9-'Quantification_Config'!$S$9))*100),'Quantification_Config'!$U$2),""),"")</x:f>
        <x:v>50</x:v>
      </x:c>
      <x:c r="R67" t="inlineStr">
        <x:is>
          <x:t xml:space="preserve">SYSTEM-TEST-ONLY-NO-NETWORK-NOT-AN-EDUCATIONAL-EVALUATION</x:t>
        </x:is>
      </x:c>
      <x:c r="S67" t="inlineStr">
        <x:is>
          <x:t xml:space="preserve"/>
        </x:is>
      </x:c>
      <x:c r="T67" t="inlineStr">
        <x:is>
          <x:t xml:space="preserve">NONE</x:t>
        </x:is>
      </x:c>
      <x:c r="U67" t="inlineStr">
        <x:is>
          <x:t xml:space="preserve"/>
        </x:is>
      </x:c>
      <x:c r="V67" t="inlineStr">
        <x:is>
          <x:t xml:space="preserve">SUCCESS</x:t>
        </x:is>
      </x:c>
      <x:c r="W67" t="n">
        <x:f>IF((COUNT('Quantification_Results'!Q67)=1),IFERROR(ROUND((SUM(('Quantification_Results'!Q67*'Quantification_Config'!$R$9))/SUM('Quantification_Config'!$R$9)),'Quantification_Config'!$U$2),""),"")</x:f>
        <x:v>50</x:v>
      </x:c>
      <x:c r="X67" t="n">
        <x:f>IF((COUNT('Quantification_Results'!W67)=1),IFERROR(ROUND((SUM(('Quantification_Results'!W67*'Quantification_Config'!$R$8))/SUM('Quantification_Config'!$R$8)),'Quantification_Config'!$U$2),""),"")</x:f>
        <x:v>50</x:v>
      </x:c>
      <x:c r="Y67" t="n">
        <x:v>0</x:v>
      </x:c>
      <x:c r="Z67"/>
      <x:c r="AA67"/>
      <x:c r="AB67">
        <x:f>IF(('Quantification_Results'!Y67&lt;&gt;1),"",IF(('Quantification_Results'!AA67=""),IF(ISNUMBER('Quantification_Results'!Z67),IF(('Quantification_Results'!Z67&lt;'Quantification_Config'!$S$12),"",IF(('Quantification_Results'!Z67&gt;'Quantification_Config'!$T$12),"",'Quantification_Results'!Z67)),""),IF(ISNUMBER('Quantification_Results'!AA67),IF(('Quantification_Results'!AA67&lt;'Quantification_Config'!$S$12),"",IF(('Quantification_Results'!AA67&gt;'Quantification_Config'!$T$12),"",'Quantification_Results'!AA67)),"")))</x:f>
      </x:c>
      <x:c r="AC67">
        <x:f>IF(ISNUMBER('Quantification_Results'!AB67),IFERROR(ROUND(((('Quantification_Results'!AB67-'Quantification_Config'!$S$12)/('Quantification_Config'!$T$12-'Quantification_Config'!$S$12))*100),'Quantification_Config'!$U$2),""),"")</x:f>
      </x:c>
      <x:c r="AD67" t="inlineStr">
        <x:is>
          <x:t xml:space="preserve"/>
        </x:is>
      </x:c>
      <x:c r="AE67" t="inlineStr">
        <x:is>
          <x:t xml:space="preserve"/>
        </x:is>
      </x:c>
      <x:c r="AF67" t="inlineStr">
        <x:is>
          <x:t xml:space="preserve"/>
        </x:is>
      </x:c>
      <x:c r="AG67" t="inlineStr">
        <x:is>
          <x:t xml:space="preserve"/>
        </x:is>
      </x:c>
      <x:c r="AH67" t="inlineStr">
        <x:is>
          <x:t xml:space="preserve">EMPTY</x:t>
        </x:is>
      </x:c>
      <x:c r="AI67">
        <x:f>IF((COUNT('Quantification_Results'!AC67)=1),IFERROR(ROUND((SUM(('Quantification_Results'!AC67*'Quantification_Config'!$R$12))/SUM('Quantification_Config'!$R$12)),'Quantification_Config'!$U$2),""),"")</x:f>
      </x:c>
      <x:c r="AJ67">
        <x:f>IF((COUNT('Quantification_Results'!AI67)=1),IFERROR(ROUND((SUM(('Quantification_Results'!AI67*'Quantification_Config'!$R$11))/SUM('Quantification_Config'!$R$11)),'Quantification_Config'!$U$2),""),"")</x:f>
      </x:c>
      <x:c r="AK67" t="n">
        <x:v>1</x:v>
      </x:c>
      <x:c r="AL67" t="n">
        <x:v>5</x:v>
      </x:c>
      <x:c r="AM67"/>
      <x:c r="AN67" t="n">
        <x:f>IF(('Quantification_Results'!AK67&lt;&gt;1),"",IF(('Quantification_Results'!AM67=""),IF(ISNUMBER('Quantification_Results'!AL67),IF(('Quantification_Results'!AL67&lt;'Quantification_Config'!$S$15),"",IF(('Quantification_Results'!AL67&gt;'Quantification_Config'!$T$15),"",'Quantification_Results'!AL67)),""),IF(ISNUMBER('Quantification_Results'!AM67),IF(('Quantification_Results'!AM67&lt;'Quantification_Config'!$S$15),"",IF(('Quantification_Results'!AM67&gt;'Quantification_Config'!$T$15),"",'Quantification_Results'!AM67)),"")))</x:f>
        <x:v>5</x:v>
      </x:c>
      <x:c r="AO67" t="n">
        <x:f>IF(ISNUMBER('Quantification_Results'!AN67),IFERROR(ROUND(((('Quantification_Results'!AN67-'Quantification_Config'!$S$15)/('Quantification_Config'!$T$15-'Quantification_Config'!$S$15))*100),'Quantification_Config'!$U$2),""),"")</x:f>
        <x:v>50</x:v>
      </x:c>
      <x:c r="AP67" t="inlineStr">
        <x:is>
          <x:t xml:space="preserve">SYSTEM-TEST-ONLY-NO-NETWORK-NOT-AN-EDUCATIONAL-EVALUATION</x:t>
        </x:is>
      </x:c>
      <x:c r="AQ67" t="inlineStr">
        <x:is>
          <x:t xml:space="preserve"/>
        </x:is>
      </x:c>
      <x:c r="AR67" t="inlineStr">
        <x:is>
          <x:t xml:space="preserve">NONE</x:t>
        </x:is>
      </x:c>
      <x:c r="AS67" t="inlineStr">
        <x:is>
          <x:t xml:space="preserve"/>
        </x:is>
      </x:c>
      <x:c r="AT67" t="inlineStr">
        <x:is>
          <x:t xml:space="preserve">SUCCESS</x:t>
        </x:is>
      </x:c>
      <x:c r="AU67" t="n">
        <x:f>IF((COUNT('Quantification_Results'!AO67)=1),IFERROR(ROUND((SUM(('Quantification_Results'!AO67*'Quantification_Config'!$R$15))/SUM('Quantification_Config'!$R$15)),'Quantification_Config'!$U$2),""),"")</x:f>
        <x:v>50</x:v>
      </x:c>
      <x:c r="AV67" t="n">
        <x:f>IF((COUNT('Quantification_Results'!AU67)=1),IFERROR(ROUND((SUM(('Quantification_Results'!AU67*'Quantification_Config'!$R$14))/SUM('Quantification_Config'!$R$14)),'Quantification_Config'!$U$2),""),"")</x:f>
        <x:v>50</x:v>
      </x:c>
      <x:c r="AW67" t="n">
        <x:v>1</x:v>
      </x:c>
      <x:c r="AX67" t="n">
        <x:v>5</x:v>
      </x:c>
      <x:c r="AY67"/>
      <x:c r="AZ67" t="n">
        <x:f>IF(('Quantification_Results'!AW67&lt;&gt;1),"",IF(('Quantification_Results'!AY67=""),IF(ISNUMBER('Quantification_Results'!AX67),IF(('Quantification_Results'!AX67&lt;'Quantification_Config'!$S$19),"",IF(('Quantification_Results'!AX67&gt;'Quantification_Config'!$T$19),"",'Quantification_Results'!AX67)),""),IF(ISNUMBER('Quantification_Results'!AY67),IF(('Quantification_Results'!AY67&lt;'Quantification_Config'!$S$19),"",IF(('Quantification_Results'!AY67&gt;'Quantification_Config'!$T$19),"",'Quantification_Results'!AY67)),"")))</x:f>
        <x:v>5</x:v>
      </x:c>
      <x:c r="BA67" t="n">
        <x:f>IF(ISNUMBER('Quantification_Results'!AZ67),IFERROR(ROUND(((('Quantification_Results'!AZ67-'Quantification_Config'!$S$19)/('Quantification_Config'!$T$19-'Quantification_Config'!$S$19))*100),'Quantification_Config'!$U$2),""),"")</x:f>
        <x:v>50</x:v>
      </x:c>
      <x:c r="BB67" t="inlineStr">
        <x:is>
          <x:t xml:space="preserve">SYSTEM-TEST-ONLY-NO-NETWORK-NOT-AN-EDUCATIONAL-EVALUATION</x:t>
        </x:is>
      </x:c>
      <x:c r="BC67" t="inlineStr">
        <x:is>
          <x:t xml:space="preserve"/>
        </x:is>
      </x:c>
      <x:c r="BD67" t="inlineStr">
        <x:is>
          <x:t xml:space="preserve">NONE</x:t>
        </x:is>
      </x:c>
      <x:c r="BE67" t="inlineStr">
        <x:is>
          <x:t xml:space="preserve"/>
        </x:is>
      </x:c>
      <x:c r="BF67" t="inlineStr">
        <x:is>
          <x:t xml:space="preserve">SUCCESS</x:t>
        </x:is>
      </x:c>
      <x:c r="BG67" t="n">
        <x:f>IF((COUNT('Quantification_Results'!BA67)=1),IFERROR(ROUND((SUM(('Quantification_Results'!BA67*'Quantification_Config'!$R$19))/SUM('Quantification_Config'!$R$19)),'Quantification_Config'!$U$2),""),"")</x:f>
        <x:v>50</x:v>
      </x:c>
      <x:c r="BH67" t="n">
        <x:f>IF((COUNT('Quantification_Results'!BG67)=1),IFERROR(ROUND((SUM(('Quantification_Results'!BG67*'Quantification_Config'!$R$18))/SUM('Quantification_Config'!$R$18)),'Quantification_Config'!$U$2),""),"")</x:f>
        <x:v>50</x:v>
      </x:c>
      <x:c r="BI67">
        <x:f>IF((COUNT('Quantification_Results'!L67,'Quantification_Results'!X67,'Quantification_Results'!AJ67,'Quantification_Results'!AV67,'Quantification_Results'!BH67)=5),IFERROR(ROUND((SUM(('Quantification_Results'!L67*'Quantification_Config'!$R$4),('Quantification_Results'!X67*'Quantification_Config'!$R$7),('Quantification_Results'!AJ67*'Quantification_Config'!$R$10),('Quantification_Results'!AV67*'Quantification_Config'!$R$13),('Quantification_Results'!BH67*'Quantification_Config'!$R$16))/SUM('Quantification_Config'!$R$4,'Quantification_Config'!$R$7,'Quantification_Config'!$R$10,'Quantification_Config'!$R$13,'Quantification_Config'!$R$16)),'Quantification_Config'!$U$2),""),"")</x:f>
      </x:c>
    </x:row>
    <x:row r="68">
      <x:c r="A68" t="n">
        <x:v>1</x:v>
      </x:c>
      <x:c r="B68" t="n">
        <x:v>5</x:v>
      </x:c>
      <x:c r="C68"/>
      <x:c r="D68" t="n">
        <x:f>IF(('Quantification_Results'!A68&lt;&gt;1),"",IF(('Quantification_Results'!C68=""),IF(ISNUMBER('Quantification_Results'!B68),IF(('Quantification_Results'!B68&lt;'Quantification_Config'!$S$6),"",IF(('Quantification_Results'!B68&gt;'Quantification_Config'!$T$6),"",'Quantification_Results'!B68)),""),IF(ISNUMBER('Quantification_Results'!C68),IF(('Quantification_Results'!C68&lt;'Quantification_Config'!$S$6),"",IF(('Quantification_Results'!C68&gt;'Quantification_Config'!$T$6),"",'Quantification_Results'!C68)),"")))</x:f>
        <x:v>5</x:v>
      </x:c>
      <x:c r="E68" t="n">
        <x:f>IF(ISNUMBER('Quantification_Results'!D68),IFERROR(ROUND(((('Quantification_Results'!D68-'Quantification_Config'!$S$6)/('Quantification_Config'!$T$6-'Quantification_Config'!$S$6))*100),'Quantification_Config'!$U$2),""),"")</x:f>
        <x:v>50</x:v>
      </x:c>
      <x:c r="F68" t="inlineStr">
        <x:is>
          <x:t xml:space="preserve">SYSTEM-TEST-ONLY-NO-NETWORK-NOT-AN-EDUCATIONAL-EVALUATION</x:t>
        </x:is>
      </x:c>
      <x:c r="G68" t="inlineStr">
        <x:is>
          <x:t xml:space="preserve"/>
        </x:is>
      </x:c>
      <x:c r="H68" t="inlineStr">
        <x:is>
          <x:t xml:space="preserve">NONE</x:t>
        </x:is>
      </x:c>
      <x:c r="I68" t="inlineStr">
        <x:is>
          <x:t xml:space="preserve"/>
        </x:is>
      </x:c>
      <x:c r="J68" t="inlineStr">
        <x:is>
          <x:t xml:space="preserve">SUCCESS</x:t>
        </x:is>
      </x:c>
      <x:c r="K68" t="n">
        <x:f>IF((COUNT('Quantification_Results'!E68)=1),IFERROR(ROUND((SUM(('Quantification_Results'!E68*'Quantification_Config'!$R$6))/SUM('Quantification_Config'!$R$6)),'Quantification_Config'!$U$2),""),"")</x:f>
        <x:v>50</x:v>
      </x:c>
      <x:c r="L68" t="n">
        <x:f>IF((COUNT('Quantification_Results'!K68)=1),IFERROR(ROUND((SUM(('Quantification_Results'!K68*'Quantification_Config'!$R$5))/SUM('Quantification_Config'!$R$5)),'Quantification_Config'!$U$2),""),"")</x:f>
        <x:v>50</x:v>
      </x:c>
      <x:c r="M68" t="n">
        <x:v>1</x:v>
      </x:c>
      <x:c r="N68" t="n">
        <x:v>5</x:v>
      </x:c>
      <x:c r="O68"/>
      <x:c r="P68" t="n">
        <x:f>IF(('Quantification_Results'!M68&lt;&gt;1),"",IF(('Quantification_Results'!O68=""),IF(ISNUMBER('Quantification_Results'!N68),IF(('Quantification_Results'!N68&lt;'Quantification_Config'!$S$9),"",IF(('Quantification_Results'!N68&gt;'Quantification_Config'!$T$9),"",'Quantification_Results'!N68)),""),IF(ISNUMBER('Quantification_Results'!O68),IF(('Quantification_Results'!O68&lt;'Quantification_Config'!$S$9),"",IF(('Quantification_Results'!O68&gt;'Quantification_Config'!$T$9),"",'Quantification_Results'!O68)),"")))</x:f>
        <x:v>5</x:v>
      </x:c>
      <x:c r="Q68" t="n">
        <x:f>IF(ISNUMBER('Quantification_Results'!P68),IFERROR(ROUND(((('Quantification_Results'!P68-'Quantification_Config'!$S$9)/('Quantification_Config'!$T$9-'Quantification_Config'!$S$9))*100),'Quantification_Config'!$U$2),""),"")</x:f>
        <x:v>50</x:v>
      </x:c>
      <x:c r="R68" t="inlineStr">
        <x:is>
          <x:t xml:space="preserve">SYSTEM-TEST-ONLY-NO-NETWORK-NOT-AN-EDUCATIONAL-EVALUATION</x:t>
        </x:is>
      </x:c>
      <x:c r="S68" t="inlineStr">
        <x:is>
          <x:t xml:space="preserve"/>
        </x:is>
      </x:c>
      <x:c r="T68" t="inlineStr">
        <x:is>
          <x:t xml:space="preserve">NONE</x:t>
        </x:is>
      </x:c>
      <x:c r="U68" t="inlineStr">
        <x:is>
          <x:t xml:space="preserve"/>
        </x:is>
      </x:c>
      <x:c r="V68" t="inlineStr">
        <x:is>
          <x:t xml:space="preserve">SUCCESS</x:t>
        </x:is>
      </x:c>
      <x:c r="W68" t="n">
        <x:f>IF((COUNT('Quantification_Results'!Q68)=1),IFERROR(ROUND((SUM(('Quantification_Results'!Q68*'Quantification_Config'!$R$9))/SUM('Quantification_Config'!$R$9)),'Quantification_Config'!$U$2),""),"")</x:f>
        <x:v>50</x:v>
      </x:c>
      <x:c r="X68" t="n">
        <x:f>IF((COUNT('Quantification_Results'!W68)=1),IFERROR(ROUND((SUM(('Quantification_Results'!W68*'Quantification_Config'!$R$8))/SUM('Quantification_Config'!$R$8)),'Quantification_Config'!$U$2),""),"")</x:f>
        <x:v>50</x:v>
      </x:c>
      <x:c r="Y68" t="n">
        <x:v>1</x:v>
      </x:c>
      <x:c r="Z68" t="n">
        <x:v>5</x:v>
      </x:c>
      <x:c r="AA68"/>
      <x:c r="AB68" t="n">
        <x:f>IF(('Quantification_Results'!Y68&lt;&gt;1),"",IF(('Quantification_Results'!AA68=""),IF(ISNUMBER('Quantification_Results'!Z68),IF(('Quantification_Results'!Z68&lt;'Quantification_Config'!$S$12),"",IF(('Quantification_Results'!Z68&gt;'Quantification_Config'!$T$12),"",'Quantification_Results'!Z68)),""),IF(ISNUMBER('Quantification_Results'!AA68),IF(('Quantification_Results'!AA68&lt;'Quantification_Config'!$S$12),"",IF(('Quantification_Results'!AA68&gt;'Quantification_Config'!$T$12),"",'Quantification_Results'!AA68)),"")))</x:f>
        <x:v>5</x:v>
      </x:c>
      <x:c r="AC68" t="n">
        <x:f>IF(ISNUMBER('Quantification_Results'!AB68),IFERROR(ROUND(((('Quantification_Results'!AB68-'Quantification_Config'!$S$12)/('Quantification_Config'!$T$12-'Quantification_Config'!$S$12))*100),'Quantification_Config'!$U$2),""),"")</x:f>
        <x:v>50</x:v>
      </x:c>
      <x:c r="AD68" t="inlineStr">
        <x:is>
          <x:t xml:space="preserve">SYSTEM-TEST-ONLY-NO-NETWORK-NOT-AN-EDUCATIONAL-EVALUATION</x:t>
        </x:is>
      </x:c>
      <x:c r="AE68" t="inlineStr">
        <x:is>
          <x:t xml:space="preserve"/>
        </x:is>
      </x:c>
      <x:c r="AF68" t="inlineStr">
        <x:is>
          <x:t xml:space="preserve">NONE</x:t>
        </x:is>
      </x:c>
      <x:c r="AG68" t="inlineStr">
        <x:is>
          <x:t xml:space="preserve"/>
        </x:is>
      </x:c>
      <x:c r="AH68" t="inlineStr">
        <x:is>
          <x:t xml:space="preserve">SUCCESS</x:t>
        </x:is>
      </x:c>
      <x:c r="AI68" t="n">
        <x:f>IF((COUNT('Quantification_Results'!AC68)=1),IFERROR(ROUND((SUM(('Quantification_Results'!AC68*'Quantification_Config'!$R$12))/SUM('Quantification_Config'!$R$12)),'Quantification_Config'!$U$2),""),"")</x:f>
        <x:v>50</x:v>
      </x:c>
      <x:c r="AJ68" t="n">
        <x:f>IF((COUNT('Quantification_Results'!AI68)=1),IFERROR(ROUND((SUM(('Quantification_Results'!AI68*'Quantification_Config'!$R$11))/SUM('Quantification_Config'!$R$11)),'Quantification_Config'!$U$2),""),"")</x:f>
        <x:v>50</x:v>
      </x:c>
      <x:c r="AK68" t="n">
        <x:v>1</x:v>
      </x:c>
      <x:c r="AL68" t="n">
        <x:v>5</x:v>
      </x:c>
      <x:c r="AM68"/>
      <x:c r="AN68" t="n">
        <x:f>IF(('Quantification_Results'!AK68&lt;&gt;1),"",IF(('Quantification_Results'!AM68=""),IF(ISNUMBER('Quantification_Results'!AL68),IF(('Quantification_Results'!AL68&lt;'Quantification_Config'!$S$15),"",IF(('Quantification_Results'!AL68&gt;'Quantification_Config'!$T$15),"",'Quantification_Results'!AL68)),""),IF(ISNUMBER('Quantification_Results'!AM68),IF(('Quantification_Results'!AM68&lt;'Quantification_Config'!$S$15),"",IF(('Quantification_Results'!AM68&gt;'Quantification_Config'!$T$15),"",'Quantification_Results'!AM68)),"")))</x:f>
        <x:v>5</x:v>
      </x:c>
      <x:c r="AO68" t="n">
        <x:f>IF(ISNUMBER('Quantification_Results'!AN68),IFERROR(ROUND(((('Quantification_Results'!AN68-'Quantification_Config'!$S$15)/('Quantification_Config'!$T$15-'Quantification_Config'!$S$15))*100),'Quantification_Config'!$U$2),""),"")</x:f>
        <x:v>50</x:v>
      </x:c>
      <x:c r="AP68" t="inlineStr">
        <x:is>
          <x:t xml:space="preserve">SYSTEM-TEST-ONLY-NO-NETWORK-NOT-AN-EDUCATIONAL-EVALUATION</x:t>
        </x:is>
      </x:c>
      <x:c r="AQ68" t="inlineStr">
        <x:is>
          <x:t xml:space="preserve"/>
        </x:is>
      </x:c>
      <x:c r="AR68" t="inlineStr">
        <x:is>
          <x:t xml:space="preserve">NONE</x:t>
        </x:is>
      </x:c>
      <x:c r="AS68" t="inlineStr">
        <x:is>
          <x:t xml:space="preserve"/>
        </x:is>
      </x:c>
      <x:c r="AT68" t="inlineStr">
        <x:is>
          <x:t xml:space="preserve">SUCCESS</x:t>
        </x:is>
      </x:c>
      <x:c r="AU68" t="n">
        <x:f>IF((COUNT('Quantification_Results'!AO68)=1),IFERROR(ROUND((SUM(('Quantification_Results'!AO68*'Quantification_Config'!$R$15))/SUM('Quantification_Config'!$R$15)),'Quantification_Config'!$U$2),""),"")</x:f>
        <x:v>50</x:v>
      </x:c>
      <x:c r="AV68" t="n">
        <x:f>IF((COUNT('Quantification_Results'!AU68)=1),IFERROR(ROUND((SUM(('Quantification_Results'!AU68*'Quantification_Config'!$R$14))/SUM('Quantification_Config'!$R$14)),'Quantification_Config'!$U$2),""),"")</x:f>
        <x:v>50</x:v>
      </x:c>
      <x:c r="AW68" t="n">
        <x:v>1</x:v>
      </x:c>
      <x:c r="AX68" t="n">
        <x:v>5</x:v>
      </x:c>
      <x:c r="AY68"/>
      <x:c r="AZ68" t="n">
        <x:f>IF(('Quantification_Results'!AW68&lt;&gt;1),"",IF(('Quantification_Results'!AY68=""),IF(ISNUMBER('Quantification_Results'!AX68),IF(('Quantification_Results'!AX68&lt;'Quantification_Config'!$S$19),"",IF(('Quantification_Results'!AX68&gt;'Quantification_Config'!$T$19),"",'Quantification_Results'!AX68)),""),IF(ISNUMBER('Quantification_Results'!AY68),IF(('Quantification_Results'!AY68&lt;'Quantification_Config'!$S$19),"",IF(('Quantification_Results'!AY68&gt;'Quantification_Config'!$T$19),"",'Quantification_Results'!AY68)),"")))</x:f>
        <x:v>5</x:v>
      </x:c>
      <x:c r="BA68" t="n">
        <x:f>IF(ISNUMBER('Quantification_Results'!AZ68),IFERROR(ROUND(((('Quantification_Results'!AZ68-'Quantification_Config'!$S$19)/('Quantification_Config'!$T$19-'Quantification_Config'!$S$19))*100),'Quantification_Config'!$U$2),""),"")</x:f>
        <x:v>50</x:v>
      </x:c>
      <x:c r="BB68" t="inlineStr">
        <x:is>
          <x:t xml:space="preserve">SYSTEM-TEST-ONLY-NO-NETWORK-NOT-AN-EDUCATIONAL-EVALUATION</x:t>
        </x:is>
      </x:c>
      <x:c r="BC68" t="inlineStr">
        <x:is>
          <x:t xml:space="preserve"/>
        </x:is>
      </x:c>
      <x:c r="BD68" t="inlineStr">
        <x:is>
          <x:t xml:space="preserve">NONE</x:t>
        </x:is>
      </x:c>
      <x:c r="BE68" t="inlineStr">
        <x:is>
          <x:t xml:space="preserve"/>
        </x:is>
      </x:c>
      <x:c r="BF68" t="inlineStr">
        <x:is>
          <x:t xml:space="preserve">SUCCESS</x:t>
        </x:is>
      </x:c>
      <x:c r="BG68" t="n">
        <x:f>IF((COUNT('Quantification_Results'!BA68)=1),IFERROR(ROUND((SUM(('Quantification_Results'!BA68*'Quantification_Config'!$R$19))/SUM('Quantification_Config'!$R$19)),'Quantification_Config'!$U$2),""),"")</x:f>
        <x:v>50</x:v>
      </x:c>
      <x:c r="BH68" t="n">
        <x:f>IF((COUNT('Quantification_Results'!BG68)=1),IFERROR(ROUND((SUM(('Quantification_Results'!BG68*'Quantification_Config'!$R$18))/SUM('Quantification_Config'!$R$18)),'Quantification_Config'!$U$2),""),"")</x:f>
        <x:v>50</x:v>
      </x:c>
      <x:c r="BI68" t="n">
        <x:f>IF((COUNT('Quantification_Results'!L68,'Quantification_Results'!X68,'Quantification_Results'!AJ68,'Quantification_Results'!AV68,'Quantification_Results'!BH68)=5),IFERROR(ROUND((SUM(('Quantification_Results'!L68*'Quantification_Config'!$R$4),('Quantification_Results'!X68*'Quantification_Config'!$R$7),('Quantification_Results'!AJ68*'Quantification_Config'!$R$10),('Quantification_Results'!AV68*'Quantification_Config'!$R$13),('Quantification_Results'!BH68*'Quantification_Config'!$R$16))/SUM('Quantification_Config'!$R$4,'Quantification_Config'!$R$7,'Quantification_Config'!$R$10,'Quantification_Config'!$R$13,'Quantification_Config'!$R$16)),'Quantification_Config'!$U$2),""),"")</x:f>
        <x:v>50</x:v>
      </x:c>
    </x:row>
    <x:row r="69">
      <x:c r="A69" t="n">
        <x:v>1</x:v>
      </x:c>
      <x:c r="B69" t="n">
        <x:v>5</x:v>
      </x:c>
      <x:c r="C69"/>
      <x:c r="D69" t="n">
        <x:f>IF(('Quantification_Results'!A69&lt;&gt;1),"",IF(('Quantification_Results'!C69=""),IF(ISNUMBER('Quantification_Results'!B69),IF(('Quantification_Results'!B69&lt;'Quantification_Config'!$S$6),"",IF(('Quantification_Results'!B69&gt;'Quantification_Config'!$T$6),"",'Quantification_Results'!B69)),""),IF(ISNUMBER('Quantification_Results'!C69),IF(('Quantification_Results'!C69&lt;'Quantification_Config'!$S$6),"",IF(('Quantification_Results'!C69&gt;'Quantification_Config'!$T$6),"",'Quantification_Results'!C69)),"")))</x:f>
        <x:v>5</x:v>
      </x:c>
      <x:c r="E69" t="n">
        <x:f>IF(ISNUMBER('Quantification_Results'!D69),IFERROR(ROUND(((('Quantification_Results'!D69-'Quantification_Config'!$S$6)/('Quantification_Config'!$T$6-'Quantification_Config'!$S$6))*100),'Quantification_Config'!$U$2),""),"")</x:f>
        <x:v>50</x:v>
      </x:c>
      <x:c r="F69" t="inlineStr">
        <x:is>
          <x:t xml:space="preserve">SYSTEM-TEST-ONLY-NO-NETWORK-NOT-AN-EDUCATIONAL-EVALUATION</x:t>
        </x:is>
      </x:c>
      <x:c r="G69" t="inlineStr">
        <x:is>
          <x:t xml:space="preserve"/>
        </x:is>
      </x:c>
      <x:c r="H69" t="inlineStr">
        <x:is>
          <x:t xml:space="preserve">NONE</x:t>
        </x:is>
      </x:c>
      <x:c r="I69" t="inlineStr">
        <x:is>
          <x:t xml:space="preserve"/>
        </x:is>
      </x:c>
      <x:c r="J69" t="inlineStr">
        <x:is>
          <x:t xml:space="preserve">SUCCESS</x:t>
        </x:is>
      </x:c>
      <x:c r="K69" t="n">
        <x:f>IF((COUNT('Quantification_Results'!E69)=1),IFERROR(ROUND((SUM(('Quantification_Results'!E69*'Quantification_Config'!$R$6))/SUM('Quantification_Config'!$R$6)),'Quantification_Config'!$U$2),""),"")</x:f>
        <x:v>50</x:v>
      </x:c>
      <x:c r="L69" t="n">
        <x:f>IF((COUNT('Quantification_Results'!K69)=1),IFERROR(ROUND((SUM(('Quantification_Results'!K69*'Quantification_Config'!$R$5))/SUM('Quantification_Config'!$R$5)),'Quantification_Config'!$U$2),""),"")</x:f>
        <x:v>50</x:v>
      </x:c>
      <x:c r="M69" t="n">
        <x:v>1</x:v>
      </x:c>
      <x:c r="N69" t="n">
        <x:v>5</x:v>
      </x:c>
      <x:c r="O69"/>
      <x:c r="P69" t="n">
        <x:f>IF(('Quantification_Results'!M69&lt;&gt;1),"",IF(('Quantification_Results'!O69=""),IF(ISNUMBER('Quantification_Results'!N69),IF(('Quantification_Results'!N69&lt;'Quantification_Config'!$S$9),"",IF(('Quantification_Results'!N69&gt;'Quantification_Config'!$T$9),"",'Quantification_Results'!N69)),""),IF(ISNUMBER('Quantification_Results'!O69),IF(('Quantification_Results'!O69&lt;'Quantification_Config'!$S$9),"",IF(('Quantification_Results'!O69&gt;'Quantification_Config'!$T$9),"",'Quantification_Results'!O69)),"")))</x:f>
        <x:v>5</x:v>
      </x:c>
      <x:c r="Q69" t="n">
        <x:f>IF(ISNUMBER('Quantification_Results'!P69),IFERROR(ROUND(((('Quantification_Results'!P69-'Quantification_Config'!$S$9)/('Quantification_Config'!$T$9-'Quantification_Config'!$S$9))*100),'Quantification_Config'!$U$2),""),"")</x:f>
        <x:v>50</x:v>
      </x:c>
      <x:c r="R69" t="inlineStr">
        <x:is>
          <x:t xml:space="preserve">SYSTEM-TEST-ONLY-NO-NETWORK-NOT-AN-EDUCATIONAL-EVALUATION</x:t>
        </x:is>
      </x:c>
      <x:c r="S69" t="inlineStr">
        <x:is>
          <x:t xml:space="preserve"/>
        </x:is>
      </x:c>
      <x:c r="T69" t="inlineStr">
        <x:is>
          <x:t xml:space="preserve">NONE</x:t>
        </x:is>
      </x:c>
      <x:c r="U69" t="inlineStr">
        <x:is>
          <x:t xml:space="preserve"/>
        </x:is>
      </x:c>
      <x:c r="V69" t="inlineStr">
        <x:is>
          <x:t xml:space="preserve">SUCCESS</x:t>
        </x:is>
      </x:c>
      <x:c r="W69" t="n">
        <x:f>IF((COUNT('Quantification_Results'!Q69)=1),IFERROR(ROUND((SUM(('Quantification_Results'!Q69*'Quantification_Config'!$R$9))/SUM('Quantification_Config'!$R$9)),'Quantification_Config'!$U$2),""),"")</x:f>
        <x:v>50</x:v>
      </x:c>
      <x:c r="X69" t="n">
        <x:f>IF((COUNT('Quantification_Results'!W69)=1),IFERROR(ROUND((SUM(('Quantification_Results'!W69*'Quantification_Config'!$R$8))/SUM('Quantification_Config'!$R$8)),'Quantification_Config'!$U$2),""),"")</x:f>
        <x:v>50</x:v>
      </x:c>
      <x:c r="Y69" t="n">
        <x:v>1</x:v>
      </x:c>
      <x:c r="Z69" t="n">
        <x:v>5</x:v>
      </x:c>
      <x:c r="AA69"/>
      <x:c r="AB69" t="n">
        <x:f>IF(('Quantification_Results'!Y69&lt;&gt;1),"",IF(('Quantification_Results'!AA69=""),IF(ISNUMBER('Quantification_Results'!Z69),IF(('Quantification_Results'!Z69&lt;'Quantification_Config'!$S$12),"",IF(('Quantification_Results'!Z69&gt;'Quantification_Config'!$T$12),"",'Quantification_Results'!Z69)),""),IF(ISNUMBER('Quantification_Results'!AA69),IF(('Quantification_Results'!AA69&lt;'Quantification_Config'!$S$12),"",IF(('Quantification_Results'!AA69&gt;'Quantification_Config'!$T$12),"",'Quantification_Results'!AA69)),"")))</x:f>
        <x:v>5</x:v>
      </x:c>
      <x:c r="AC69" t="n">
        <x:f>IF(ISNUMBER('Quantification_Results'!AB69),IFERROR(ROUND(((('Quantification_Results'!AB69-'Quantification_Config'!$S$12)/('Quantification_Config'!$T$12-'Quantification_Config'!$S$12))*100),'Quantification_Config'!$U$2),""),"")</x:f>
        <x:v>50</x:v>
      </x:c>
      <x:c r="AD69" t="inlineStr">
        <x:is>
          <x:t xml:space="preserve">SYSTEM-TEST-ONLY-NO-NETWORK-NOT-AN-EDUCATIONAL-EVALUATION</x:t>
        </x:is>
      </x:c>
      <x:c r="AE69" t="inlineStr">
        <x:is>
          <x:t xml:space="preserve"/>
        </x:is>
      </x:c>
      <x:c r="AF69" t="inlineStr">
        <x:is>
          <x:t xml:space="preserve">NONE</x:t>
        </x:is>
      </x:c>
      <x:c r="AG69" t="inlineStr">
        <x:is>
          <x:t xml:space="preserve"/>
        </x:is>
      </x:c>
      <x:c r="AH69" t="inlineStr">
        <x:is>
          <x:t xml:space="preserve">SUCCESS</x:t>
        </x:is>
      </x:c>
      <x:c r="AI69" t="n">
        <x:f>IF((COUNT('Quantification_Results'!AC69)=1),IFERROR(ROUND((SUM(('Quantification_Results'!AC69*'Quantification_Config'!$R$12))/SUM('Quantification_Config'!$R$12)),'Quantification_Config'!$U$2),""),"")</x:f>
        <x:v>50</x:v>
      </x:c>
      <x:c r="AJ69" t="n">
        <x:f>IF((COUNT('Quantification_Results'!AI69)=1),IFERROR(ROUND((SUM(('Quantification_Results'!AI69*'Quantification_Config'!$R$11))/SUM('Quantification_Config'!$R$11)),'Quantification_Config'!$U$2),""),"")</x:f>
        <x:v>50</x:v>
      </x:c>
      <x:c r="AK69" t="n">
        <x:v>1</x:v>
      </x:c>
      <x:c r="AL69" t="n">
        <x:v>5</x:v>
      </x:c>
      <x:c r="AM69"/>
      <x:c r="AN69" t="n">
        <x:f>IF(('Quantification_Results'!AK69&lt;&gt;1),"",IF(('Quantification_Results'!AM69=""),IF(ISNUMBER('Quantification_Results'!AL69),IF(('Quantification_Results'!AL69&lt;'Quantification_Config'!$S$15),"",IF(('Quantification_Results'!AL69&gt;'Quantification_Config'!$T$15),"",'Quantification_Results'!AL69)),""),IF(ISNUMBER('Quantification_Results'!AM69),IF(('Quantification_Results'!AM69&lt;'Quantification_Config'!$S$15),"",IF(('Quantification_Results'!AM69&gt;'Quantification_Config'!$T$15),"",'Quantification_Results'!AM69)),"")))</x:f>
        <x:v>5</x:v>
      </x:c>
      <x:c r="AO69" t="n">
        <x:f>IF(ISNUMBER('Quantification_Results'!AN69),IFERROR(ROUND(((('Quantification_Results'!AN69-'Quantification_Config'!$S$15)/('Quantification_Config'!$T$15-'Quantification_Config'!$S$15))*100),'Quantification_Config'!$U$2),""),"")</x:f>
        <x:v>50</x:v>
      </x:c>
      <x:c r="AP69" t="inlineStr">
        <x:is>
          <x:t xml:space="preserve">SYSTEM-TEST-ONLY-NO-NETWORK-NOT-AN-EDUCATIONAL-EVALUATION</x:t>
        </x:is>
      </x:c>
      <x:c r="AQ69" t="inlineStr">
        <x:is>
          <x:t xml:space="preserve"/>
        </x:is>
      </x:c>
      <x:c r="AR69" t="inlineStr">
        <x:is>
          <x:t xml:space="preserve">NONE</x:t>
        </x:is>
      </x:c>
      <x:c r="AS69" t="inlineStr">
        <x:is>
          <x:t xml:space="preserve"/>
        </x:is>
      </x:c>
      <x:c r="AT69" t="inlineStr">
        <x:is>
          <x:t xml:space="preserve">SUCCESS</x:t>
        </x:is>
      </x:c>
      <x:c r="AU69" t="n">
        <x:f>IF((COUNT('Quantification_Results'!AO69)=1),IFERROR(ROUND((SUM(('Quantification_Results'!AO69*'Quantification_Config'!$R$15))/SUM('Quantification_Config'!$R$15)),'Quantification_Config'!$U$2),""),"")</x:f>
        <x:v>50</x:v>
      </x:c>
      <x:c r="AV69" t="n">
        <x:f>IF((COUNT('Quantification_Results'!AU69)=1),IFERROR(ROUND((SUM(('Quantification_Results'!AU69*'Quantification_Config'!$R$14))/SUM('Quantification_Config'!$R$14)),'Quantification_Config'!$U$2),""),"")</x:f>
        <x:v>50</x:v>
      </x:c>
      <x:c r="AW69" t="n">
        <x:v>1</x:v>
      </x:c>
      <x:c r="AX69" t="n">
        <x:v>5</x:v>
      </x:c>
      <x:c r="AY69"/>
      <x:c r="AZ69" t="n">
        <x:f>IF(('Quantification_Results'!AW69&lt;&gt;1),"",IF(('Quantification_Results'!AY69=""),IF(ISNUMBER('Quantification_Results'!AX69),IF(('Quantification_Results'!AX69&lt;'Quantification_Config'!$S$19),"",IF(('Quantification_Results'!AX69&gt;'Quantification_Config'!$T$19),"",'Quantification_Results'!AX69)),""),IF(ISNUMBER('Quantification_Results'!AY69),IF(('Quantification_Results'!AY69&lt;'Quantification_Config'!$S$19),"",IF(('Quantification_Results'!AY69&gt;'Quantification_Config'!$T$19),"",'Quantification_Results'!AY69)),"")))</x:f>
        <x:v>5</x:v>
      </x:c>
      <x:c r="BA69" t="n">
        <x:f>IF(ISNUMBER('Quantification_Results'!AZ69),IFERROR(ROUND(((('Quantification_Results'!AZ69-'Quantification_Config'!$S$19)/('Quantification_Config'!$T$19-'Quantification_Config'!$S$19))*100),'Quantification_Config'!$U$2),""),"")</x:f>
        <x:v>50</x:v>
      </x:c>
      <x:c r="BB69" t="inlineStr">
        <x:is>
          <x:t xml:space="preserve">SYSTEM-TEST-ONLY-NO-NETWORK-NOT-AN-EDUCATIONAL-EVALUATION</x:t>
        </x:is>
      </x:c>
      <x:c r="BC69" t="inlineStr">
        <x:is>
          <x:t xml:space="preserve"/>
        </x:is>
      </x:c>
      <x:c r="BD69" t="inlineStr">
        <x:is>
          <x:t xml:space="preserve">NONE</x:t>
        </x:is>
      </x:c>
      <x:c r="BE69" t="inlineStr">
        <x:is>
          <x:t xml:space="preserve"/>
        </x:is>
      </x:c>
      <x:c r="BF69" t="inlineStr">
        <x:is>
          <x:t xml:space="preserve">SUCCESS</x:t>
        </x:is>
      </x:c>
      <x:c r="BG69" t="n">
        <x:f>IF((COUNT('Quantification_Results'!BA69)=1),IFERROR(ROUND((SUM(('Quantification_Results'!BA69*'Quantification_Config'!$R$19))/SUM('Quantification_Config'!$R$19)),'Quantification_Config'!$U$2),""),"")</x:f>
        <x:v>50</x:v>
      </x:c>
      <x:c r="BH69" t="n">
        <x:f>IF((COUNT('Quantification_Results'!BG69)=1),IFERROR(ROUND((SUM(('Quantification_Results'!BG69*'Quantification_Config'!$R$18))/SUM('Quantification_Config'!$R$18)),'Quantification_Config'!$U$2),""),"")</x:f>
        <x:v>50</x:v>
      </x:c>
      <x:c r="BI69" t="n">
        <x:f>IF((COUNT('Quantification_Results'!L69,'Quantification_Results'!X69,'Quantification_Results'!AJ69,'Quantification_Results'!AV69,'Quantification_Results'!BH69)=5),IFERROR(ROUND((SUM(('Quantification_Results'!L69*'Quantification_Config'!$R$4),('Quantification_Results'!X69*'Quantification_Config'!$R$7),('Quantification_Results'!AJ69*'Quantification_Config'!$R$10),('Quantification_Results'!AV69*'Quantification_Config'!$R$13),('Quantification_Results'!BH69*'Quantification_Config'!$R$16))/SUM('Quantification_Config'!$R$4,'Quantification_Config'!$R$7,'Quantification_Config'!$R$10,'Quantification_Config'!$R$13,'Quantification_Config'!$R$16)),'Quantification_Config'!$U$2),""),"")</x:f>
        <x:v>50</x:v>
      </x:c>
    </x:row>
    <x:row r="70">
      <x:c r="A70" t="n">
        <x:v>1</x:v>
      </x:c>
      <x:c r="B70" t="n">
        <x:v>5</x:v>
      </x:c>
      <x:c r="C70"/>
      <x:c r="D70" t="n">
        <x:f>IF(('Quantification_Results'!A70&lt;&gt;1),"",IF(('Quantification_Results'!C70=""),IF(ISNUMBER('Quantification_Results'!B70),IF(('Quantification_Results'!B70&lt;'Quantification_Config'!$S$6),"",IF(('Quantification_Results'!B70&gt;'Quantification_Config'!$T$6),"",'Quantification_Results'!B70)),""),IF(ISNUMBER('Quantification_Results'!C70),IF(('Quantification_Results'!C70&lt;'Quantification_Config'!$S$6),"",IF(('Quantification_Results'!C70&gt;'Quantification_Config'!$T$6),"",'Quantification_Results'!C70)),"")))</x:f>
        <x:v>5</x:v>
      </x:c>
      <x:c r="E70" t="n">
        <x:f>IF(ISNUMBER('Quantification_Results'!D70),IFERROR(ROUND(((('Quantification_Results'!D70-'Quantification_Config'!$S$6)/('Quantification_Config'!$T$6-'Quantification_Config'!$S$6))*100),'Quantification_Config'!$U$2),""),"")</x:f>
        <x:v>50</x:v>
      </x:c>
      <x:c r="F70" t="inlineStr">
        <x:is>
          <x:t xml:space="preserve">SYSTEM-TEST-ONLY-NO-NETWORK-NOT-AN-EDUCATIONAL-EVALUATION</x:t>
        </x:is>
      </x:c>
      <x:c r="G70" t="inlineStr">
        <x:is>
          <x:t xml:space="preserve"/>
        </x:is>
      </x:c>
      <x:c r="H70" t="inlineStr">
        <x:is>
          <x:t xml:space="preserve">NONE</x:t>
        </x:is>
      </x:c>
      <x:c r="I70" t="inlineStr">
        <x:is>
          <x:t xml:space="preserve"/>
        </x:is>
      </x:c>
      <x:c r="J70" t="inlineStr">
        <x:is>
          <x:t xml:space="preserve">SUCCESS</x:t>
        </x:is>
      </x:c>
      <x:c r="K70" t="n">
        <x:f>IF((COUNT('Quantification_Results'!E70)=1),IFERROR(ROUND((SUM(('Quantification_Results'!E70*'Quantification_Config'!$R$6))/SUM('Quantification_Config'!$R$6)),'Quantification_Config'!$U$2),""),"")</x:f>
        <x:v>50</x:v>
      </x:c>
      <x:c r="L70" t="n">
        <x:f>IF((COUNT('Quantification_Results'!K70)=1),IFERROR(ROUND((SUM(('Quantification_Results'!K70*'Quantification_Config'!$R$5))/SUM('Quantification_Config'!$R$5)),'Quantification_Config'!$U$2),""),"")</x:f>
        <x:v>50</x:v>
      </x:c>
      <x:c r="M70" t="n">
        <x:v>1</x:v>
      </x:c>
      <x:c r="N70" t="n">
        <x:v>5</x:v>
      </x:c>
      <x:c r="O70"/>
      <x:c r="P70" t="n">
        <x:f>IF(('Quantification_Results'!M70&lt;&gt;1),"",IF(('Quantification_Results'!O70=""),IF(ISNUMBER('Quantification_Results'!N70),IF(('Quantification_Results'!N70&lt;'Quantification_Config'!$S$9),"",IF(('Quantification_Results'!N70&gt;'Quantification_Config'!$T$9),"",'Quantification_Results'!N70)),""),IF(ISNUMBER('Quantification_Results'!O70),IF(('Quantification_Results'!O70&lt;'Quantification_Config'!$S$9),"",IF(('Quantification_Results'!O70&gt;'Quantification_Config'!$T$9),"",'Quantification_Results'!O70)),"")))</x:f>
        <x:v>5</x:v>
      </x:c>
      <x:c r="Q70" t="n">
        <x:f>IF(ISNUMBER('Quantification_Results'!P70),IFERROR(ROUND(((('Quantification_Results'!P70-'Quantification_Config'!$S$9)/('Quantification_Config'!$T$9-'Quantification_Config'!$S$9))*100),'Quantification_Config'!$U$2),""),"")</x:f>
        <x:v>50</x:v>
      </x:c>
      <x:c r="R70" t="inlineStr">
        <x:is>
          <x:t xml:space="preserve">SYSTEM-TEST-ONLY-NO-NETWORK-NOT-AN-EDUCATIONAL-EVALUATION</x:t>
        </x:is>
      </x:c>
      <x:c r="S70" t="inlineStr">
        <x:is>
          <x:t xml:space="preserve"/>
        </x:is>
      </x:c>
      <x:c r="T70" t="inlineStr">
        <x:is>
          <x:t xml:space="preserve">NONE</x:t>
        </x:is>
      </x:c>
      <x:c r="U70" t="inlineStr">
        <x:is>
          <x:t xml:space="preserve"/>
        </x:is>
      </x:c>
      <x:c r="V70" t="inlineStr">
        <x:is>
          <x:t xml:space="preserve">SUCCESS</x:t>
        </x:is>
      </x:c>
      <x:c r="W70" t="n">
        <x:f>IF((COUNT('Quantification_Results'!Q70)=1),IFERROR(ROUND((SUM(('Quantification_Results'!Q70*'Quantification_Config'!$R$9))/SUM('Quantification_Config'!$R$9)),'Quantification_Config'!$U$2),""),"")</x:f>
        <x:v>50</x:v>
      </x:c>
      <x:c r="X70" t="n">
        <x:f>IF((COUNT('Quantification_Results'!W70)=1),IFERROR(ROUND((SUM(('Quantification_Results'!W70*'Quantification_Config'!$R$8))/SUM('Quantification_Config'!$R$8)),'Quantification_Config'!$U$2),""),"")</x:f>
        <x:v>50</x:v>
      </x:c>
      <x:c r="Y70" t="n">
        <x:v>0</x:v>
      </x:c>
      <x:c r="Z70"/>
      <x:c r="AA70"/>
      <x:c r="AB70">
        <x:f>IF(('Quantification_Results'!Y70&lt;&gt;1),"",IF(('Quantification_Results'!AA70=""),IF(ISNUMBER('Quantification_Results'!Z70),IF(('Quantification_Results'!Z70&lt;'Quantification_Config'!$S$12),"",IF(('Quantification_Results'!Z70&gt;'Quantification_Config'!$T$12),"",'Quantification_Results'!Z70)),""),IF(ISNUMBER('Quantification_Results'!AA70),IF(('Quantification_Results'!AA70&lt;'Quantification_Config'!$S$12),"",IF(('Quantification_Results'!AA70&gt;'Quantification_Config'!$T$12),"",'Quantification_Results'!AA70)),"")))</x:f>
      </x:c>
      <x:c r="AC70">
        <x:f>IF(ISNUMBER('Quantification_Results'!AB70),IFERROR(ROUND(((('Quantification_Results'!AB70-'Quantification_Config'!$S$12)/('Quantification_Config'!$T$12-'Quantification_Config'!$S$12))*100),'Quantification_Config'!$U$2),""),"")</x:f>
      </x:c>
      <x:c r="AD70" t="inlineStr">
        <x:is>
          <x:t xml:space="preserve"/>
        </x:is>
      </x:c>
      <x:c r="AE70" t="inlineStr">
        <x:is>
          <x:t xml:space="preserve"/>
        </x:is>
      </x:c>
      <x:c r="AF70" t="inlineStr">
        <x:is>
          <x:t xml:space="preserve"/>
        </x:is>
      </x:c>
      <x:c r="AG70" t="inlineStr">
        <x:is>
          <x:t xml:space="preserve"/>
        </x:is>
      </x:c>
      <x:c r="AH70" t="inlineStr">
        <x:is>
          <x:t xml:space="preserve">EMPTY</x:t>
        </x:is>
      </x:c>
      <x:c r="AI70">
        <x:f>IF((COUNT('Quantification_Results'!AC70)=1),IFERROR(ROUND((SUM(('Quantification_Results'!AC70*'Quantification_Config'!$R$12))/SUM('Quantification_Config'!$R$12)),'Quantification_Config'!$U$2),""),"")</x:f>
      </x:c>
      <x:c r="AJ70">
        <x:f>IF((COUNT('Quantification_Results'!AI70)=1),IFERROR(ROUND((SUM(('Quantification_Results'!AI70*'Quantification_Config'!$R$11))/SUM('Quantification_Config'!$R$11)),'Quantification_Config'!$U$2),""),"")</x:f>
      </x:c>
      <x:c r="AK70" t="n">
        <x:v>1</x:v>
      </x:c>
      <x:c r="AL70" t="n">
        <x:v>5</x:v>
      </x:c>
      <x:c r="AM70"/>
      <x:c r="AN70" t="n">
        <x:f>IF(('Quantification_Results'!AK70&lt;&gt;1),"",IF(('Quantification_Results'!AM70=""),IF(ISNUMBER('Quantification_Results'!AL70),IF(('Quantification_Results'!AL70&lt;'Quantification_Config'!$S$15),"",IF(('Quantification_Results'!AL70&gt;'Quantification_Config'!$T$15),"",'Quantification_Results'!AL70)),""),IF(ISNUMBER('Quantification_Results'!AM70),IF(('Quantification_Results'!AM70&lt;'Quantification_Config'!$S$15),"",IF(('Quantification_Results'!AM70&gt;'Quantification_Config'!$T$15),"",'Quantification_Results'!AM70)),"")))</x:f>
        <x:v>5</x:v>
      </x:c>
      <x:c r="AO70" t="n">
        <x:f>IF(ISNUMBER('Quantification_Results'!AN70),IFERROR(ROUND(((('Quantification_Results'!AN70-'Quantification_Config'!$S$15)/('Quantification_Config'!$T$15-'Quantification_Config'!$S$15))*100),'Quantification_Config'!$U$2),""),"")</x:f>
        <x:v>50</x:v>
      </x:c>
      <x:c r="AP70" t="inlineStr">
        <x:is>
          <x:t xml:space="preserve">SYSTEM-TEST-ONLY-NO-NETWORK-NOT-AN-EDUCATIONAL-EVALUATION</x:t>
        </x:is>
      </x:c>
      <x:c r="AQ70" t="inlineStr">
        <x:is>
          <x:t xml:space="preserve"/>
        </x:is>
      </x:c>
      <x:c r="AR70" t="inlineStr">
        <x:is>
          <x:t xml:space="preserve">NONE</x:t>
        </x:is>
      </x:c>
      <x:c r="AS70" t="inlineStr">
        <x:is>
          <x:t xml:space="preserve"/>
        </x:is>
      </x:c>
      <x:c r="AT70" t="inlineStr">
        <x:is>
          <x:t xml:space="preserve">SUCCESS</x:t>
        </x:is>
      </x:c>
      <x:c r="AU70" t="n">
        <x:f>IF((COUNT('Quantification_Results'!AO70)=1),IFERROR(ROUND((SUM(('Quantification_Results'!AO70*'Quantification_Config'!$R$15))/SUM('Quantification_Config'!$R$15)),'Quantification_Config'!$U$2),""),"")</x:f>
        <x:v>50</x:v>
      </x:c>
      <x:c r="AV70" t="n">
        <x:f>IF((COUNT('Quantification_Results'!AU70)=1),IFERROR(ROUND((SUM(('Quantification_Results'!AU70*'Quantification_Config'!$R$14))/SUM('Quantification_Config'!$R$14)),'Quantification_Config'!$U$2),""),"")</x:f>
        <x:v>50</x:v>
      </x:c>
      <x:c r="AW70" t="n">
        <x:v>1</x:v>
      </x:c>
      <x:c r="AX70" t="n">
        <x:v>5</x:v>
      </x:c>
      <x:c r="AY70"/>
      <x:c r="AZ70" t="n">
        <x:f>IF(('Quantification_Results'!AW70&lt;&gt;1),"",IF(('Quantification_Results'!AY70=""),IF(ISNUMBER('Quantification_Results'!AX70),IF(('Quantification_Results'!AX70&lt;'Quantification_Config'!$S$19),"",IF(('Quantification_Results'!AX70&gt;'Quantification_Config'!$T$19),"",'Quantification_Results'!AX70)),""),IF(ISNUMBER('Quantification_Results'!AY70),IF(('Quantification_Results'!AY70&lt;'Quantification_Config'!$S$19),"",IF(('Quantification_Results'!AY70&gt;'Quantification_Config'!$T$19),"",'Quantification_Results'!AY70)),"")))</x:f>
        <x:v>5</x:v>
      </x:c>
      <x:c r="BA70" t="n">
        <x:f>IF(ISNUMBER('Quantification_Results'!AZ70),IFERROR(ROUND(((('Quantification_Results'!AZ70-'Quantification_Config'!$S$19)/('Quantification_Config'!$T$19-'Quantification_Config'!$S$19))*100),'Quantification_Config'!$U$2),""),"")</x:f>
        <x:v>50</x:v>
      </x:c>
      <x:c r="BB70" t="inlineStr">
        <x:is>
          <x:t xml:space="preserve">SYSTEM-TEST-ONLY-NO-NETWORK-NOT-AN-EDUCATIONAL-EVALUATION</x:t>
        </x:is>
      </x:c>
      <x:c r="BC70" t="inlineStr">
        <x:is>
          <x:t xml:space="preserve"/>
        </x:is>
      </x:c>
      <x:c r="BD70" t="inlineStr">
        <x:is>
          <x:t xml:space="preserve">NONE</x:t>
        </x:is>
      </x:c>
      <x:c r="BE70" t="inlineStr">
        <x:is>
          <x:t xml:space="preserve"/>
        </x:is>
      </x:c>
      <x:c r="BF70" t="inlineStr">
        <x:is>
          <x:t xml:space="preserve">SUCCESS</x:t>
        </x:is>
      </x:c>
      <x:c r="BG70" t="n">
        <x:f>IF((COUNT('Quantification_Results'!BA70)=1),IFERROR(ROUND((SUM(('Quantification_Results'!BA70*'Quantification_Config'!$R$19))/SUM('Quantification_Config'!$R$19)),'Quantification_Config'!$U$2),""),"")</x:f>
        <x:v>50</x:v>
      </x:c>
      <x:c r="BH70" t="n">
        <x:f>IF((COUNT('Quantification_Results'!BG70)=1),IFERROR(ROUND((SUM(('Quantification_Results'!BG70*'Quantification_Config'!$R$18))/SUM('Quantification_Config'!$R$18)),'Quantification_Config'!$U$2),""),"")</x:f>
        <x:v>50</x:v>
      </x:c>
      <x:c r="BI70">
        <x:f>IF((COUNT('Quantification_Results'!L70,'Quantification_Results'!X70,'Quantification_Results'!AJ70,'Quantification_Results'!AV70,'Quantification_Results'!BH70)=5),IFERROR(ROUND((SUM(('Quantification_Results'!L70*'Quantification_Config'!$R$4),('Quantification_Results'!X70*'Quantification_Config'!$R$7),('Quantification_Results'!AJ70*'Quantification_Config'!$R$10),('Quantification_Results'!AV70*'Quantification_Config'!$R$13),('Quantification_Results'!BH70*'Quantification_Config'!$R$16))/SUM('Quantification_Config'!$R$4,'Quantification_Config'!$R$7,'Quantification_Config'!$R$10,'Quantification_Config'!$R$13,'Quantification_Config'!$R$16)),'Quantification_Config'!$U$2),""),"")</x:f>
      </x:c>
    </x:row>
    <x:row r="71">
      <x:c r="A71" t="n">
        <x:v>1</x:v>
      </x:c>
      <x:c r="B71" t="n">
        <x:v>5</x:v>
      </x:c>
      <x:c r="C71"/>
      <x:c r="D71" t="n">
        <x:f>IF(('Quantification_Results'!A71&lt;&gt;1),"",IF(('Quantification_Results'!C71=""),IF(ISNUMBER('Quantification_Results'!B71),IF(('Quantification_Results'!B71&lt;'Quantification_Config'!$S$6),"",IF(('Quantification_Results'!B71&gt;'Quantification_Config'!$T$6),"",'Quantification_Results'!B71)),""),IF(ISNUMBER('Quantification_Results'!C71),IF(('Quantification_Results'!C71&lt;'Quantification_Config'!$S$6),"",IF(('Quantification_Results'!C71&gt;'Quantification_Config'!$T$6),"",'Quantification_Results'!C71)),"")))</x:f>
        <x:v>5</x:v>
      </x:c>
      <x:c r="E71" t="n">
        <x:f>IF(ISNUMBER('Quantification_Results'!D71),IFERROR(ROUND(((('Quantification_Results'!D71-'Quantification_Config'!$S$6)/('Quantification_Config'!$T$6-'Quantification_Config'!$S$6))*100),'Quantification_Config'!$U$2),""),"")</x:f>
        <x:v>50</x:v>
      </x:c>
      <x:c r="F71" t="inlineStr">
        <x:is>
          <x:t xml:space="preserve">SYSTEM-TEST-ONLY-NO-NETWORK-NOT-AN-EDUCATIONAL-EVALUATION</x:t>
        </x:is>
      </x:c>
      <x:c r="G71" t="inlineStr">
        <x:is>
          <x:t xml:space="preserve"/>
        </x:is>
      </x:c>
      <x:c r="H71" t="inlineStr">
        <x:is>
          <x:t xml:space="preserve">NONE</x:t>
        </x:is>
      </x:c>
      <x:c r="I71" t="inlineStr">
        <x:is>
          <x:t xml:space="preserve"/>
        </x:is>
      </x:c>
      <x:c r="J71" t="inlineStr">
        <x:is>
          <x:t xml:space="preserve">SUCCESS</x:t>
        </x:is>
      </x:c>
      <x:c r="K71" t="n">
        <x:f>IF((COUNT('Quantification_Results'!E71)=1),IFERROR(ROUND((SUM(('Quantification_Results'!E71*'Quantification_Config'!$R$6))/SUM('Quantification_Config'!$R$6)),'Quantification_Config'!$U$2),""),"")</x:f>
        <x:v>50</x:v>
      </x:c>
      <x:c r="L71" t="n">
        <x:f>IF((COUNT('Quantification_Results'!K71)=1),IFERROR(ROUND((SUM(('Quantification_Results'!K71*'Quantification_Config'!$R$5))/SUM('Quantification_Config'!$R$5)),'Quantification_Config'!$U$2),""),"")</x:f>
        <x:v>50</x:v>
      </x:c>
      <x:c r="M71" t="n">
        <x:v>1</x:v>
      </x:c>
      <x:c r="N71" t="n">
        <x:v>5</x:v>
      </x:c>
      <x:c r="O71"/>
      <x:c r="P71" t="n">
        <x:f>IF(('Quantification_Results'!M71&lt;&gt;1),"",IF(('Quantification_Results'!O71=""),IF(ISNUMBER('Quantification_Results'!N71),IF(('Quantification_Results'!N71&lt;'Quantification_Config'!$S$9),"",IF(('Quantification_Results'!N71&gt;'Quantification_Config'!$T$9),"",'Quantification_Results'!N71)),""),IF(ISNUMBER('Quantification_Results'!O71),IF(('Quantification_Results'!O71&lt;'Quantification_Config'!$S$9),"",IF(('Quantification_Results'!O71&gt;'Quantification_Config'!$T$9),"",'Quantification_Results'!O71)),"")))</x:f>
        <x:v>5</x:v>
      </x:c>
      <x:c r="Q71" t="n">
        <x:f>IF(ISNUMBER('Quantification_Results'!P71),IFERROR(ROUND(((('Quantification_Results'!P71-'Quantification_Config'!$S$9)/('Quantification_Config'!$T$9-'Quantification_Config'!$S$9))*100),'Quantification_Config'!$U$2),""),"")</x:f>
        <x:v>50</x:v>
      </x:c>
      <x:c r="R71" t="inlineStr">
        <x:is>
          <x:t xml:space="preserve">SYSTEM-TEST-ONLY-NO-NETWORK-NOT-AN-EDUCATIONAL-EVALUATION</x:t>
        </x:is>
      </x:c>
      <x:c r="S71" t="inlineStr">
        <x:is>
          <x:t xml:space="preserve"/>
        </x:is>
      </x:c>
      <x:c r="T71" t="inlineStr">
        <x:is>
          <x:t xml:space="preserve">NONE</x:t>
        </x:is>
      </x:c>
      <x:c r="U71" t="inlineStr">
        <x:is>
          <x:t xml:space="preserve"/>
        </x:is>
      </x:c>
      <x:c r="V71" t="inlineStr">
        <x:is>
          <x:t xml:space="preserve">SUCCESS</x:t>
        </x:is>
      </x:c>
      <x:c r="W71" t="n">
        <x:f>IF((COUNT('Quantification_Results'!Q71)=1),IFERROR(ROUND((SUM(('Quantification_Results'!Q71*'Quantification_Config'!$R$9))/SUM('Quantification_Config'!$R$9)),'Quantification_Config'!$U$2),""),"")</x:f>
        <x:v>50</x:v>
      </x:c>
      <x:c r="X71" t="n">
        <x:f>IF((COUNT('Quantification_Results'!W71)=1),IFERROR(ROUND((SUM(('Quantification_Results'!W71*'Quantification_Config'!$R$8))/SUM('Quantification_Config'!$R$8)),'Quantification_Config'!$U$2),""),"")</x:f>
        <x:v>50</x:v>
      </x:c>
      <x:c r="Y71" t="n">
        <x:v>0</x:v>
      </x:c>
      <x:c r="Z71"/>
      <x:c r="AA71"/>
      <x:c r="AB71">
        <x:f>IF(('Quantification_Results'!Y71&lt;&gt;1),"",IF(('Quantification_Results'!AA71=""),IF(ISNUMBER('Quantification_Results'!Z71),IF(('Quantification_Results'!Z71&lt;'Quantification_Config'!$S$12),"",IF(('Quantification_Results'!Z71&gt;'Quantification_Config'!$T$12),"",'Quantification_Results'!Z71)),""),IF(ISNUMBER('Quantification_Results'!AA71),IF(('Quantification_Results'!AA71&lt;'Quantification_Config'!$S$12),"",IF(('Quantification_Results'!AA71&gt;'Quantification_Config'!$T$12),"",'Quantification_Results'!AA71)),"")))</x:f>
      </x:c>
      <x:c r="AC71">
        <x:f>IF(ISNUMBER('Quantification_Results'!AB71),IFERROR(ROUND(((('Quantification_Results'!AB71-'Quantification_Config'!$S$12)/('Quantification_Config'!$T$12-'Quantification_Config'!$S$12))*100),'Quantification_Config'!$U$2),""),"")</x:f>
      </x:c>
      <x:c r="AD71" t="inlineStr">
        <x:is>
          <x:t xml:space="preserve"/>
        </x:is>
      </x:c>
      <x:c r="AE71" t="inlineStr">
        <x:is>
          <x:t xml:space="preserve"/>
        </x:is>
      </x:c>
      <x:c r="AF71" t="inlineStr">
        <x:is>
          <x:t xml:space="preserve"/>
        </x:is>
      </x:c>
      <x:c r="AG71" t="inlineStr">
        <x:is>
          <x:t xml:space="preserve"/>
        </x:is>
      </x:c>
      <x:c r="AH71" t="inlineStr">
        <x:is>
          <x:t xml:space="preserve">EMPTY</x:t>
        </x:is>
      </x:c>
      <x:c r="AI71">
        <x:f>IF((COUNT('Quantification_Results'!AC71)=1),IFERROR(ROUND((SUM(('Quantification_Results'!AC71*'Quantification_Config'!$R$12))/SUM('Quantification_Config'!$R$12)),'Quantification_Config'!$U$2),""),"")</x:f>
      </x:c>
      <x:c r="AJ71">
        <x:f>IF((COUNT('Quantification_Results'!AI71)=1),IFERROR(ROUND((SUM(('Quantification_Results'!AI71*'Quantification_Config'!$R$11))/SUM('Quantification_Config'!$R$11)),'Quantification_Config'!$U$2),""),"")</x:f>
      </x:c>
      <x:c r="AK71" t="n">
        <x:v>1</x:v>
      </x:c>
      <x:c r="AL71" t="n">
        <x:v>5</x:v>
      </x:c>
      <x:c r="AM71"/>
      <x:c r="AN71" t="n">
        <x:f>IF(('Quantification_Results'!AK71&lt;&gt;1),"",IF(('Quantification_Results'!AM71=""),IF(ISNUMBER('Quantification_Results'!AL71),IF(('Quantification_Results'!AL71&lt;'Quantification_Config'!$S$15),"",IF(('Quantification_Results'!AL71&gt;'Quantification_Config'!$T$15),"",'Quantification_Results'!AL71)),""),IF(ISNUMBER('Quantification_Results'!AM71),IF(('Quantification_Results'!AM71&lt;'Quantification_Config'!$S$15),"",IF(('Quantification_Results'!AM71&gt;'Quantification_Config'!$T$15),"",'Quantification_Results'!AM71)),"")))</x:f>
        <x:v>5</x:v>
      </x:c>
      <x:c r="AO71" t="n">
        <x:f>IF(ISNUMBER('Quantification_Results'!AN71),IFERROR(ROUND(((('Quantification_Results'!AN71-'Quantification_Config'!$S$15)/('Quantification_Config'!$T$15-'Quantification_Config'!$S$15))*100),'Quantification_Config'!$U$2),""),"")</x:f>
        <x:v>50</x:v>
      </x:c>
      <x:c r="AP71" t="inlineStr">
        <x:is>
          <x:t xml:space="preserve">SYSTEM-TEST-ONLY-NO-NETWORK-NOT-AN-EDUCATIONAL-EVALUATION</x:t>
        </x:is>
      </x:c>
      <x:c r="AQ71" t="inlineStr">
        <x:is>
          <x:t xml:space="preserve"/>
        </x:is>
      </x:c>
      <x:c r="AR71" t="inlineStr">
        <x:is>
          <x:t xml:space="preserve">NONE</x:t>
        </x:is>
      </x:c>
      <x:c r="AS71" t="inlineStr">
        <x:is>
          <x:t xml:space="preserve"/>
        </x:is>
      </x:c>
      <x:c r="AT71" t="inlineStr">
        <x:is>
          <x:t xml:space="preserve">SUCCESS</x:t>
        </x:is>
      </x:c>
      <x:c r="AU71" t="n">
        <x:f>IF((COUNT('Quantification_Results'!AO71)=1),IFERROR(ROUND((SUM(('Quantification_Results'!AO71*'Quantification_Config'!$R$15))/SUM('Quantification_Config'!$R$15)),'Quantification_Config'!$U$2),""),"")</x:f>
        <x:v>50</x:v>
      </x:c>
      <x:c r="AV71" t="n">
        <x:f>IF((COUNT('Quantification_Results'!AU71)=1),IFERROR(ROUND((SUM(('Quantification_Results'!AU71*'Quantification_Config'!$R$14))/SUM('Quantification_Config'!$R$14)),'Quantification_Config'!$U$2),""),"")</x:f>
        <x:v>50</x:v>
      </x:c>
      <x:c r="AW71" t="n">
        <x:v>1</x:v>
      </x:c>
      <x:c r="AX71" t="n">
        <x:v>5</x:v>
      </x:c>
      <x:c r="AY71"/>
      <x:c r="AZ71" t="n">
        <x:f>IF(('Quantification_Results'!AW71&lt;&gt;1),"",IF(('Quantification_Results'!AY71=""),IF(ISNUMBER('Quantification_Results'!AX71),IF(('Quantification_Results'!AX71&lt;'Quantification_Config'!$S$19),"",IF(('Quantification_Results'!AX71&gt;'Quantification_Config'!$T$19),"",'Quantification_Results'!AX71)),""),IF(ISNUMBER('Quantification_Results'!AY71),IF(('Quantification_Results'!AY71&lt;'Quantification_Config'!$S$19),"",IF(('Quantification_Results'!AY71&gt;'Quantification_Config'!$T$19),"",'Quantification_Results'!AY71)),"")))</x:f>
        <x:v>5</x:v>
      </x:c>
      <x:c r="BA71" t="n">
        <x:f>IF(ISNUMBER('Quantification_Results'!AZ71),IFERROR(ROUND(((('Quantification_Results'!AZ71-'Quantification_Config'!$S$19)/('Quantification_Config'!$T$19-'Quantification_Config'!$S$19))*100),'Quantification_Config'!$U$2),""),"")</x:f>
        <x:v>50</x:v>
      </x:c>
      <x:c r="BB71" t="inlineStr">
        <x:is>
          <x:t xml:space="preserve">SYSTEM-TEST-ONLY-NO-NETWORK-NOT-AN-EDUCATIONAL-EVALUATION</x:t>
        </x:is>
      </x:c>
      <x:c r="BC71" t="inlineStr">
        <x:is>
          <x:t xml:space="preserve"/>
        </x:is>
      </x:c>
      <x:c r="BD71" t="inlineStr">
        <x:is>
          <x:t xml:space="preserve">NONE</x:t>
        </x:is>
      </x:c>
      <x:c r="BE71" t="inlineStr">
        <x:is>
          <x:t xml:space="preserve"/>
        </x:is>
      </x:c>
      <x:c r="BF71" t="inlineStr">
        <x:is>
          <x:t xml:space="preserve">SUCCESS</x:t>
        </x:is>
      </x:c>
      <x:c r="BG71" t="n">
        <x:f>IF((COUNT('Quantification_Results'!BA71)=1),IFERROR(ROUND((SUM(('Quantification_Results'!BA71*'Quantification_Config'!$R$19))/SUM('Quantification_Config'!$R$19)),'Quantification_Config'!$U$2),""),"")</x:f>
        <x:v>50</x:v>
      </x:c>
      <x:c r="BH71" t="n">
        <x:f>IF((COUNT('Quantification_Results'!BG71)=1),IFERROR(ROUND((SUM(('Quantification_Results'!BG71*'Quantification_Config'!$R$18))/SUM('Quantification_Config'!$R$18)),'Quantification_Config'!$U$2),""),"")</x:f>
        <x:v>50</x:v>
      </x:c>
      <x:c r="BI71">
        <x:f>IF((COUNT('Quantification_Results'!L71,'Quantification_Results'!X71,'Quantification_Results'!AJ71,'Quantification_Results'!AV71,'Quantification_Results'!BH71)=5),IFERROR(ROUND((SUM(('Quantification_Results'!L71*'Quantification_Config'!$R$4),('Quantification_Results'!X71*'Quantification_Config'!$R$7),('Quantification_Results'!AJ71*'Quantification_Config'!$R$10),('Quantification_Results'!AV71*'Quantification_Config'!$R$13),('Quantification_Results'!BH71*'Quantification_Config'!$R$16))/SUM('Quantification_Config'!$R$4,'Quantification_Config'!$R$7,'Quantification_Config'!$R$10,'Quantification_Config'!$R$13,'Quantification_Config'!$R$16)),'Quantification_Config'!$U$2),""),"")</x:f>
      </x:c>
    </x:row>
    <x:row r="72">
      <x:c r="A72" t="n">
        <x:v>1</x:v>
      </x:c>
      <x:c r="B72" t="n">
        <x:v>5</x:v>
      </x:c>
      <x:c r="C72"/>
      <x:c r="D72" t="n">
        <x:f>IF(('Quantification_Results'!A72&lt;&gt;1),"",IF(('Quantification_Results'!C72=""),IF(ISNUMBER('Quantification_Results'!B72),IF(('Quantification_Results'!B72&lt;'Quantification_Config'!$S$6),"",IF(('Quantification_Results'!B72&gt;'Quantification_Config'!$T$6),"",'Quantification_Results'!B72)),""),IF(ISNUMBER('Quantification_Results'!C72),IF(('Quantification_Results'!C72&lt;'Quantification_Config'!$S$6),"",IF(('Quantification_Results'!C72&gt;'Quantification_Config'!$T$6),"",'Quantification_Results'!C72)),"")))</x:f>
        <x:v>5</x:v>
      </x:c>
      <x:c r="E72" t="n">
        <x:f>IF(ISNUMBER('Quantification_Results'!D72),IFERROR(ROUND(((('Quantification_Results'!D72-'Quantification_Config'!$S$6)/('Quantification_Config'!$T$6-'Quantification_Config'!$S$6))*100),'Quantification_Config'!$U$2),""),"")</x:f>
        <x:v>50</x:v>
      </x:c>
      <x:c r="F72" t="inlineStr">
        <x:is>
          <x:t xml:space="preserve">SYSTEM-TEST-ONLY-NO-NETWORK-NOT-AN-EDUCATIONAL-EVALUATION</x:t>
        </x:is>
      </x:c>
      <x:c r="G72" t="inlineStr">
        <x:is>
          <x:t xml:space="preserve"/>
        </x:is>
      </x:c>
      <x:c r="H72" t="inlineStr">
        <x:is>
          <x:t xml:space="preserve">NONE</x:t>
        </x:is>
      </x:c>
      <x:c r="I72" t="inlineStr">
        <x:is>
          <x:t xml:space="preserve"/>
        </x:is>
      </x:c>
      <x:c r="J72" t="inlineStr">
        <x:is>
          <x:t xml:space="preserve">SUCCESS</x:t>
        </x:is>
      </x:c>
      <x:c r="K72" t="n">
        <x:f>IF((COUNT('Quantification_Results'!E72)=1),IFERROR(ROUND((SUM(('Quantification_Results'!E72*'Quantification_Config'!$R$6))/SUM('Quantification_Config'!$R$6)),'Quantification_Config'!$U$2),""),"")</x:f>
        <x:v>50</x:v>
      </x:c>
      <x:c r="L72" t="n">
        <x:f>IF((COUNT('Quantification_Results'!K72)=1),IFERROR(ROUND((SUM(('Quantification_Results'!K72*'Quantification_Config'!$R$5))/SUM('Quantification_Config'!$R$5)),'Quantification_Config'!$U$2),""),"")</x:f>
        <x:v>50</x:v>
      </x:c>
      <x:c r="M72" t="n">
        <x:v>0</x:v>
      </x:c>
      <x:c r="N72"/>
      <x:c r="O72"/>
      <x:c r="P72">
        <x:f>IF(('Quantification_Results'!M72&lt;&gt;1),"",IF(('Quantification_Results'!O72=""),IF(ISNUMBER('Quantification_Results'!N72),IF(('Quantification_Results'!N72&lt;'Quantification_Config'!$S$9),"",IF(('Quantification_Results'!N72&gt;'Quantification_Config'!$T$9),"",'Quantification_Results'!N72)),""),IF(ISNUMBER('Quantification_Results'!O72),IF(('Quantification_Results'!O72&lt;'Quantification_Config'!$S$9),"",IF(('Quantification_Results'!O72&gt;'Quantification_Config'!$T$9),"",'Quantification_Results'!O72)),"")))</x:f>
      </x:c>
      <x:c r="Q72">
        <x:f>IF(ISNUMBER('Quantification_Results'!P72),IFERROR(ROUND(((('Quantification_Results'!P72-'Quantification_Config'!$S$9)/('Quantification_Config'!$T$9-'Quantification_Config'!$S$9))*100),'Quantification_Config'!$U$2),""),"")</x:f>
      </x:c>
      <x:c r="R72" t="inlineStr">
        <x:is>
          <x:t xml:space="preserve"/>
        </x:is>
      </x:c>
      <x:c r="S72" t="inlineStr">
        <x:is>
          <x:t xml:space="preserve"/>
        </x:is>
      </x:c>
      <x:c r="T72" t="inlineStr">
        <x:is>
          <x:t xml:space="preserve"/>
        </x:is>
      </x:c>
      <x:c r="U72" t="inlineStr">
        <x:is>
          <x:t xml:space="preserve"/>
        </x:is>
      </x:c>
      <x:c r="V72" t="inlineStr">
        <x:is>
          <x:t xml:space="preserve">EMPTY</x:t>
        </x:is>
      </x:c>
      <x:c r="W72">
        <x:f>IF((COUNT('Quantification_Results'!Q72)=1),IFERROR(ROUND((SUM(('Quantification_Results'!Q72*'Quantification_Config'!$R$9))/SUM('Quantification_Config'!$R$9)),'Quantification_Config'!$U$2),""),"")</x:f>
      </x:c>
      <x:c r="X72">
        <x:f>IF((COUNT('Quantification_Results'!W72)=1),IFERROR(ROUND((SUM(('Quantification_Results'!W72*'Quantification_Config'!$R$8))/SUM('Quantification_Config'!$R$8)),'Quantification_Config'!$U$2),""),"")</x:f>
      </x:c>
      <x:c r="Y72" t="n">
        <x:v>0</x:v>
      </x:c>
      <x:c r="Z72"/>
      <x:c r="AA72"/>
      <x:c r="AB72">
        <x:f>IF(('Quantification_Results'!Y72&lt;&gt;1),"",IF(('Quantification_Results'!AA72=""),IF(ISNUMBER('Quantification_Results'!Z72),IF(('Quantification_Results'!Z72&lt;'Quantification_Config'!$S$12),"",IF(('Quantification_Results'!Z72&gt;'Quantification_Config'!$T$12),"",'Quantification_Results'!Z72)),""),IF(ISNUMBER('Quantification_Results'!AA72),IF(('Quantification_Results'!AA72&lt;'Quantification_Config'!$S$12),"",IF(('Quantification_Results'!AA72&gt;'Quantification_Config'!$T$12),"",'Quantification_Results'!AA72)),"")))</x:f>
      </x:c>
      <x:c r="AC72">
        <x:f>IF(ISNUMBER('Quantification_Results'!AB72),IFERROR(ROUND(((('Quantification_Results'!AB72-'Quantification_Config'!$S$12)/('Quantification_Config'!$T$12-'Quantification_Config'!$S$12))*100),'Quantification_Config'!$U$2),""),"")</x:f>
      </x:c>
      <x:c r="AD72" t="inlineStr">
        <x:is>
          <x:t xml:space="preserve"/>
        </x:is>
      </x:c>
      <x:c r="AE72" t="inlineStr">
        <x:is>
          <x:t xml:space="preserve"/>
        </x:is>
      </x:c>
      <x:c r="AF72" t="inlineStr">
        <x:is>
          <x:t xml:space="preserve"/>
        </x:is>
      </x:c>
      <x:c r="AG72" t="inlineStr">
        <x:is>
          <x:t xml:space="preserve"/>
        </x:is>
      </x:c>
      <x:c r="AH72" t="inlineStr">
        <x:is>
          <x:t xml:space="preserve">EMPTY</x:t>
        </x:is>
      </x:c>
      <x:c r="AI72">
        <x:f>IF((COUNT('Quantification_Results'!AC72)=1),IFERROR(ROUND((SUM(('Quantification_Results'!AC72*'Quantification_Config'!$R$12))/SUM('Quantification_Config'!$R$12)),'Quantification_Config'!$U$2),""),"")</x:f>
      </x:c>
      <x:c r="AJ72">
        <x:f>IF((COUNT('Quantification_Results'!AI72)=1),IFERROR(ROUND((SUM(('Quantification_Results'!AI72*'Quantification_Config'!$R$11))/SUM('Quantification_Config'!$R$11)),'Quantification_Config'!$U$2),""),"")</x:f>
      </x:c>
      <x:c r="AK72" t="n">
        <x:v>1</x:v>
      </x:c>
      <x:c r="AL72" t="n">
        <x:v>5</x:v>
      </x:c>
      <x:c r="AM72"/>
      <x:c r="AN72" t="n">
        <x:f>IF(('Quantification_Results'!AK72&lt;&gt;1),"",IF(('Quantification_Results'!AM72=""),IF(ISNUMBER('Quantification_Results'!AL72),IF(('Quantification_Results'!AL72&lt;'Quantification_Config'!$S$15),"",IF(('Quantification_Results'!AL72&gt;'Quantification_Config'!$T$15),"",'Quantification_Results'!AL72)),""),IF(ISNUMBER('Quantification_Results'!AM72),IF(('Quantification_Results'!AM72&lt;'Quantification_Config'!$S$15),"",IF(('Quantification_Results'!AM72&gt;'Quantification_Config'!$T$15),"",'Quantification_Results'!AM72)),"")))</x:f>
        <x:v>5</x:v>
      </x:c>
      <x:c r="AO72" t="n">
        <x:f>IF(ISNUMBER('Quantification_Results'!AN72),IFERROR(ROUND(((('Quantification_Results'!AN72-'Quantification_Config'!$S$15)/('Quantification_Config'!$T$15-'Quantification_Config'!$S$15))*100),'Quantification_Config'!$U$2),""),"")</x:f>
        <x:v>50</x:v>
      </x:c>
      <x:c r="AP72" t="inlineStr">
        <x:is>
          <x:t xml:space="preserve">SYSTEM-TEST-ONLY-NO-NETWORK-NOT-AN-EDUCATIONAL-EVALUATION</x:t>
        </x:is>
      </x:c>
      <x:c r="AQ72" t="inlineStr">
        <x:is>
          <x:t xml:space="preserve"/>
        </x:is>
      </x:c>
      <x:c r="AR72" t="inlineStr">
        <x:is>
          <x:t xml:space="preserve">NONE</x:t>
        </x:is>
      </x:c>
      <x:c r="AS72" t="inlineStr">
        <x:is>
          <x:t xml:space="preserve"/>
        </x:is>
      </x:c>
      <x:c r="AT72" t="inlineStr">
        <x:is>
          <x:t xml:space="preserve">SUCCESS</x:t>
        </x:is>
      </x:c>
      <x:c r="AU72" t="n">
        <x:f>IF((COUNT('Quantification_Results'!AO72)=1),IFERROR(ROUND((SUM(('Quantification_Results'!AO72*'Quantification_Config'!$R$15))/SUM('Quantification_Config'!$R$15)),'Quantification_Config'!$U$2),""),"")</x:f>
        <x:v>50</x:v>
      </x:c>
      <x:c r="AV72" t="n">
        <x:f>IF((COUNT('Quantification_Results'!AU72)=1),IFERROR(ROUND((SUM(('Quantification_Results'!AU72*'Quantification_Config'!$R$14))/SUM('Quantification_Config'!$R$14)),'Quantification_Config'!$U$2),""),"")</x:f>
        <x:v>50</x:v>
      </x:c>
      <x:c r="AW72" t="n">
        <x:v>0</x:v>
      </x:c>
      <x:c r="AX72"/>
      <x:c r="AY72"/>
      <x:c r="AZ72">
        <x:f>IF(('Quantification_Results'!AW72&lt;&gt;1),"",IF(('Quantification_Results'!AY72=""),IF(ISNUMBER('Quantification_Results'!AX72),IF(('Quantification_Results'!AX72&lt;'Quantification_Config'!$S$19),"",IF(('Quantification_Results'!AX72&gt;'Quantification_Config'!$T$19),"",'Quantification_Results'!AX72)),""),IF(ISNUMBER('Quantification_Results'!AY72),IF(('Quantification_Results'!AY72&lt;'Quantification_Config'!$S$19),"",IF(('Quantification_Results'!AY72&gt;'Quantification_Config'!$T$19),"",'Quantification_Results'!AY72)),"")))</x:f>
      </x:c>
      <x:c r="BA72">
        <x:f>IF(ISNUMBER('Quantification_Results'!AZ72),IFERROR(ROUND(((('Quantification_Results'!AZ72-'Quantification_Config'!$S$19)/('Quantification_Config'!$T$19-'Quantification_Config'!$S$19))*100),'Quantification_Config'!$U$2),""),"")</x:f>
      </x:c>
      <x:c r="BB72" t="inlineStr">
        <x:is>
          <x:t xml:space="preserve"/>
        </x:is>
      </x:c>
      <x:c r="BC72" t="inlineStr">
        <x:is>
          <x:t xml:space="preserve"/>
        </x:is>
      </x:c>
      <x:c r="BD72" t="inlineStr">
        <x:is>
          <x:t xml:space="preserve"/>
        </x:is>
      </x:c>
      <x:c r="BE72" t="inlineStr">
        <x:is>
          <x:t xml:space="preserve"/>
        </x:is>
      </x:c>
      <x:c r="BF72" t="inlineStr">
        <x:is>
          <x:t xml:space="preserve">EMPTY</x:t>
        </x:is>
      </x:c>
      <x:c r="BG72">
        <x:f>IF((COUNT('Quantification_Results'!BA72)=1),IFERROR(ROUND((SUM(('Quantification_Results'!BA72*'Quantification_Config'!$R$19))/SUM('Quantification_Config'!$R$19)),'Quantification_Config'!$U$2),""),"")</x:f>
      </x:c>
      <x:c r="BH72">
        <x:f>IF((COUNT('Quantification_Results'!BG72)=1),IFERROR(ROUND((SUM(('Quantification_Results'!BG72*'Quantification_Config'!$R$18))/SUM('Quantification_Config'!$R$18)),'Quantification_Config'!$U$2),""),"")</x:f>
      </x:c>
      <x:c r="BI72">
        <x:f>IF((COUNT('Quantification_Results'!L72,'Quantification_Results'!X72,'Quantification_Results'!AJ72,'Quantification_Results'!AV72,'Quantification_Results'!BH72)=5),IFERROR(ROUND((SUM(('Quantification_Results'!L72*'Quantification_Config'!$R$4),('Quantification_Results'!X72*'Quantification_Config'!$R$7),('Quantification_Results'!AJ72*'Quantification_Config'!$R$10),('Quantification_Results'!AV72*'Quantification_Config'!$R$13),('Quantification_Results'!BH72*'Quantification_Config'!$R$16))/SUM('Quantification_Config'!$R$4,'Quantification_Config'!$R$7,'Quantification_Config'!$R$10,'Quantification_Config'!$R$13,'Quantification_Config'!$R$16)),'Quantification_Config'!$U$2),""),"")</x:f>
      </x:c>
    </x:row>
    <x:row r="73">
      <x:c r="A73" t="n">
        <x:v>1</x:v>
      </x:c>
      <x:c r="B73" t="n">
        <x:v>5</x:v>
      </x:c>
      <x:c r="C73"/>
      <x:c r="D73" t="n">
        <x:f>IF(('Quantification_Results'!A73&lt;&gt;1),"",IF(('Quantification_Results'!C73=""),IF(ISNUMBER('Quantification_Results'!B73),IF(('Quantification_Results'!B73&lt;'Quantification_Config'!$S$6),"",IF(('Quantification_Results'!B73&gt;'Quantification_Config'!$T$6),"",'Quantification_Results'!B73)),""),IF(ISNUMBER('Quantification_Results'!C73),IF(('Quantification_Results'!C73&lt;'Quantification_Config'!$S$6),"",IF(('Quantification_Results'!C73&gt;'Quantification_Config'!$T$6),"",'Quantification_Results'!C73)),"")))</x:f>
        <x:v>5</x:v>
      </x:c>
      <x:c r="E73" t="n">
        <x:f>IF(ISNUMBER('Quantification_Results'!D73),IFERROR(ROUND(((('Quantification_Results'!D73-'Quantification_Config'!$S$6)/('Quantification_Config'!$T$6-'Quantification_Config'!$S$6))*100),'Quantification_Config'!$U$2),""),"")</x:f>
        <x:v>50</x:v>
      </x:c>
      <x:c r="F73" t="inlineStr">
        <x:is>
          <x:t xml:space="preserve">SYSTEM-TEST-ONLY-NO-NETWORK-NOT-AN-EDUCATIONAL-EVALUATION</x:t>
        </x:is>
      </x:c>
      <x:c r="G73" t="inlineStr">
        <x:is>
          <x:t xml:space="preserve"/>
        </x:is>
      </x:c>
      <x:c r="H73" t="inlineStr">
        <x:is>
          <x:t xml:space="preserve">NONE</x:t>
        </x:is>
      </x:c>
      <x:c r="I73" t="inlineStr">
        <x:is>
          <x:t xml:space="preserve"/>
        </x:is>
      </x:c>
      <x:c r="J73" t="inlineStr">
        <x:is>
          <x:t xml:space="preserve">SUCCESS</x:t>
        </x:is>
      </x:c>
      <x:c r="K73" t="n">
        <x:f>IF((COUNT('Quantification_Results'!E73)=1),IFERROR(ROUND((SUM(('Quantification_Results'!E73*'Quantification_Config'!$R$6))/SUM('Quantification_Config'!$R$6)),'Quantification_Config'!$U$2),""),"")</x:f>
        <x:v>50</x:v>
      </x:c>
      <x:c r="L73" t="n">
        <x:f>IF((COUNT('Quantification_Results'!K73)=1),IFERROR(ROUND((SUM(('Quantification_Results'!K73*'Quantification_Config'!$R$5))/SUM('Quantification_Config'!$R$5)),'Quantification_Config'!$U$2),""),"")</x:f>
        <x:v>50</x:v>
      </x:c>
      <x:c r="M73" t="n">
        <x:v>1</x:v>
      </x:c>
      <x:c r="N73" t="n">
        <x:v>5</x:v>
      </x:c>
      <x:c r="O73"/>
      <x:c r="P73" t="n">
        <x:f>IF(('Quantification_Results'!M73&lt;&gt;1),"",IF(('Quantification_Results'!O73=""),IF(ISNUMBER('Quantification_Results'!N73),IF(('Quantification_Results'!N73&lt;'Quantification_Config'!$S$9),"",IF(('Quantification_Results'!N73&gt;'Quantification_Config'!$T$9),"",'Quantification_Results'!N73)),""),IF(ISNUMBER('Quantification_Results'!O73),IF(('Quantification_Results'!O73&lt;'Quantification_Config'!$S$9),"",IF(('Quantification_Results'!O73&gt;'Quantification_Config'!$T$9),"",'Quantification_Results'!O73)),"")))</x:f>
        <x:v>5</x:v>
      </x:c>
      <x:c r="Q73" t="n">
        <x:f>IF(ISNUMBER('Quantification_Results'!P73),IFERROR(ROUND(((('Quantification_Results'!P73-'Quantification_Config'!$S$9)/('Quantification_Config'!$T$9-'Quantification_Config'!$S$9))*100),'Quantification_Config'!$U$2),""),"")</x:f>
        <x:v>50</x:v>
      </x:c>
      <x:c r="R73" t="inlineStr">
        <x:is>
          <x:t xml:space="preserve">SYSTEM-TEST-ONLY-NO-NETWORK-NOT-AN-EDUCATIONAL-EVALUATION</x:t>
        </x:is>
      </x:c>
      <x:c r="S73" t="inlineStr">
        <x:is>
          <x:t xml:space="preserve"/>
        </x:is>
      </x:c>
      <x:c r="T73" t="inlineStr">
        <x:is>
          <x:t xml:space="preserve">NONE</x:t>
        </x:is>
      </x:c>
      <x:c r="U73" t="inlineStr">
        <x:is>
          <x:t xml:space="preserve"/>
        </x:is>
      </x:c>
      <x:c r="V73" t="inlineStr">
        <x:is>
          <x:t xml:space="preserve">SUCCESS</x:t>
        </x:is>
      </x:c>
      <x:c r="W73" t="n">
        <x:f>IF((COUNT('Quantification_Results'!Q73)=1),IFERROR(ROUND((SUM(('Quantification_Results'!Q73*'Quantification_Config'!$R$9))/SUM('Quantification_Config'!$R$9)),'Quantification_Config'!$U$2),""),"")</x:f>
        <x:v>50</x:v>
      </x:c>
      <x:c r="X73" t="n">
        <x:f>IF((COUNT('Quantification_Results'!W73)=1),IFERROR(ROUND((SUM(('Quantification_Results'!W73*'Quantification_Config'!$R$8))/SUM('Quantification_Config'!$R$8)),'Quantification_Config'!$U$2),""),"")</x:f>
        <x:v>50</x:v>
      </x:c>
      <x:c r="Y73" t="n">
        <x:v>0</x:v>
      </x:c>
      <x:c r="Z73"/>
      <x:c r="AA73"/>
      <x:c r="AB73">
        <x:f>IF(('Quantification_Results'!Y73&lt;&gt;1),"",IF(('Quantification_Results'!AA73=""),IF(ISNUMBER('Quantification_Results'!Z73),IF(('Quantification_Results'!Z73&lt;'Quantification_Config'!$S$12),"",IF(('Quantification_Results'!Z73&gt;'Quantification_Config'!$T$12),"",'Quantification_Results'!Z73)),""),IF(ISNUMBER('Quantification_Results'!AA73),IF(('Quantification_Results'!AA73&lt;'Quantification_Config'!$S$12),"",IF(('Quantification_Results'!AA73&gt;'Quantification_Config'!$T$12),"",'Quantification_Results'!AA73)),"")))</x:f>
      </x:c>
      <x:c r="AC73">
        <x:f>IF(ISNUMBER('Quantification_Results'!AB73),IFERROR(ROUND(((('Quantification_Results'!AB73-'Quantification_Config'!$S$12)/('Quantification_Config'!$T$12-'Quantification_Config'!$S$12))*100),'Quantification_Config'!$U$2),""),"")</x:f>
      </x:c>
      <x:c r="AD73" t="inlineStr">
        <x:is>
          <x:t xml:space="preserve"/>
        </x:is>
      </x:c>
      <x:c r="AE73" t="inlineStr">
        <x:is>
          <x:t xml:space="preserve"/>
        </x:is>
      </x:c>
      <x:c r="AF73" t="inlineStr">
        <x:is>
          <x:t xml:space="preserve"/>
        </x:is>
      </x:c>
      <x:c r="AG73" t="inlineStr">
        <x:is>
          <x:t xml:space="preserve"/>
        </x:is>
      </x:c>
      <x:c r="AH73" t="inlineStr">
        <x:is>
          <x:t xml:space="preserve">EMPTY</x:t>
        </x:is>
      </x:c>
      <x:c r="AI73">
        <x:f>IF((COUNT('Quantification_Results'!AC73)=1),IFERROR(ROUND((SUM(('Quantification_Results'!AC73*'Quantification_Config'!$R$12))/SUM('Quantification_Config'!$R$12)),'Quantification_Config'!$U$2),""),"")</x:f>
      </x:c>
      <x:c r="AJ73">
        <x:f>IF((COUNT('Quantification_Results'!AI73)=1),IFERROR(ROUND((SUM(('Quantification_Results'!AI73*'Quantification_Config'!$R$11))/SUM('Quantification_Config'!$R$11)),'Quantification_Config'!$U$2),""),"")</x:f>
      </x:c>
      <x:c r="AK73" t="n">
        <x:v>1</x:v>
      </x:c>
      <x:c r="AL73" t="n">
        <x:v>5</x:v>
      </x:c>
      <x:c r="AM73"/>
      <x:c r="AN73" t="n">
        <x:f>IF(('Quantification_Results'!AK73&lt;&gt;1),"",IF(('Quantification_Results'!AM73=""),IF(ISNUMBER('Quantification_Results'!AL73),IF(('Quantification_Results'!AL73&lt;'Quantification_Config'!$S$15),"",IF(('Quantification_Results'!AL73&gt;'Quantification_Config'!$T$15),"",'Quantification_Results'!AL73)),""),IF(ISNUMBER('Quantification_Results'!AM73),IF(('Quantification_Results'!AM73&lt;'Quantification_Config'!$S$15),"",IF(('Quantification_Results'!AM73&gt;'Quantification_Config'!$T$15),"",'Quantification_Results'!AM73)),"")))</x:f>
        <x:v>5</x:v>
      </x:c>
      <x:c r="AO73" t="n">
        <x:f>IF(ISNUMBER('Quantification_Results'!AN73),IFERROR(ROUND(((('Quantification_Results'!AN73-'Quantification_Config'!$S$15)/('Quantification_Config'!$T$15-'Quantification_Config'!$S$15))*100),'Quantification_Config'!$U$2),""),"")</x:f>
        <x:v>50</x:v>
      </x:c>
      <x:c r="AP73" t="inlineStr">
        <x:is>
          <x:t xml:space="preserve">SYSTEM-TEST-ONLY-NO-NETWORK-NOT-AN-EDUCATIONAL-EVALUATION</x:t>
        </x:is>
      </x:c>
      <x:c r="AQ73" t="inlineStr">
        <x:is>
          <x:t xml:space="preserve"/>
        </x:is>
      </x:c>
      <x:c r="AR73" t="inlineStr">
        <x:is>
          <x:t xml:space="preserve">NONE</x:t>
        </x:is>
      </x:c>
      <x:c r="AS73" t="inlineStr">
        <x:is>
          <x:t xml:space="preserve"/>
        </x:is>
      </x:c>
      <x:c r="AT73" t="inlineStr">
        <x:is>
          <x:t xml:space="preserve">SUCCESS</x:t>
        </x:is>
      </x:c>
      <x:c r="AU73" t="n">
        <x:f>IF((COUNT('Quantification_Results'!AO73)=1),IFERROR(ROUND((SUM(('Quantification_Results'!AO73*'Quantification_Config'!$R$15))/SUM('Quantification_Config'!$R$15)),'Quantification_Config'!$U$2),""),"")</x:f>
        <x:v>50</x:v>
      </x:c>
      <x:c r="AV73" t="n">
        <x:f>IF((COUNT('Quantification_Results'!AU73)=1),IFERROR(ROUND((SUM(('Quantification_Results'!AU73*'Quantification_Config'!$R$14))/SUM('Quantification_Config'!$R$14)),'Quantification_Config'!$U$2),""),"")</x:f>
        <x:v>50</x:v>
      </x:c>
      <x:c r="AW73" t="n">
        <x:v>1</x:v>
      </x:c>
      <x:c r="AX73" t="n">
        <x:v>5</x:v>
      </x:c>
      <x:c r="AY73"/>
      <x:c r="AZ73" t="n">
        <x:f>IF(('Quantification_Results'!AW73&lt;&gt;1),"",IF(('Quantification_Results'!AY73=""),IF(ISNUMBER('Quantification_Results'!AX73),IF(('Quantification_Results'!AX73&lt;'Quantification_Config'!$S$19),"",IF(('Quantification_Results'!AX73&gt;'Quantification_Config'!$T$19),"",'Quantification_Results'!AX73)),""),IF(ISNUMBER('Quantification_Results'!AY73),IF(('Quantification_Results'!AY73&lt;'Quantification_Config'!$S$19),"",IF(('Quantification_Results'!AY73&gt;'Quantification_Config'!$T$19),"",'Quantification_Results'!AY73)),"")))</x:f>
        <x:v>5</x:v>
      </x:c>
      <x:c r="BA73" t="n">
        <x:f>IF(ISNUMBER('Quantification_Results'!AZ73),IFERROR(ROUND(((('Quantification_Results'!AZ73-'Quantification_Config'!$S$19)/('Quantification_Config'!$T$19-'Quantification_Config'!$S$19))*100),'Quantification_Config'!$U$2),""),"")</x:f>
        <x:v>50</x:v>
      </x:c>
      <x:c r="BB73" t="inlineStr">
        <x:is>
          <x:t xml:space="preserve">SYSTEM-TEST-ONLY-NO-NETWORK-NOT-AN-EDUCATIONAL-EVALUATION</x:t>
        </x:is>
      </x:c>
      <x:c r="BC73" t="inlineStr">
        <x:is>
          <x:t xml:space="preserve"/>
        </x:is>
      </x:c>
      <x:c r="BD73" t="inlineStr">
        <x:is>
          <x:t xml:space="preserve">NONE</x:t>
        </x:is>
      </x:c>
      <x:c r="BE73" t="inlineStr">
        <x:is>
          <x:t xml:space="preserve"/>
        </x:is>
      </x:c>
      <x:c r="BF73" t="inlineStr">
        <x:is>
          <x:t xml:space="preserve">SUCCESS</x:t>
        </x:is>
      </x:c>
      <x:c r="BG73" t="n">
        <x:f>IF((COUNT('Quantification_Results'!BA73)=1),IFERROR(ROUND((SUM(('Quantification_Results'!BA73*'Quantification_Config'!$R$19))/SUM('Quantification_Config'!$R$19)),'Quantification_Config'!$U$2),""),"")</x:f>
        <x:v>50</x:v>
      </x:c>
      <x:c r="BH73" t="n">
        <x:f>IF((COUNT('Quantification_Results'!BG73)=1),IFERROR(ROUND((SUM(('Quantification_Results'!BG73*'Quantification_Config'!$R$18))/SUM('Quantification_Config'!$R$18)),'Quantification_Config'!$U$2),""),"")</x:f>
        <x:v>50</x:v>
      </x:c>
      <x:c r="BI73">
        <x:f>IF((COUNT('Quantification_Results'!L73,'Quantification_Results'!X73,'Quantification_Results'!AJ73,'Quantification_Results'!AV73,'Quantification_Results'!BH73)=5),IFERROR(ROUND((SUM(('Quantification_Results'!L73*'Quantification_Config'!$R$4),('Quantification_Results'!X73*'Quantification_Config'!$R$7),('Quantification_Results'!AJ73*'Quantification_Config'!$R$10),('Quantification_Results'!AV73*'Quantification_Config'!$R$13),('Quantification_Results'!BH73*'Quantification_Config'!$R$16))/SUM('Quantification_Config'!$R$4,'Quantification_Config'!$R$7,'Quantification_Config'!$R$10,'Quantification_Config'!$R$13,'Quantification_Config'!$R$16)),'Quantification_Config'!$U$2),""),"")</x:f>
      </x:c>
    </x:row>
    <x:row r="74">
      <x:c r="A74" t="n">
        <x:v>1</x:v>
      </x:c>
      <x:c r="B74" t="n">
        <x:v>5</x:v>
      </x:c>
      <x:c r="C74"/>
      <x:c r="D74" t="n">
        <x:f>IF(('Quantification_Results'!A74&lt;&gt;1),"",IF(('Quantification_Results'!C74=""),IF(ISNUMBER('Quantification_Results'!B74),IF(('Quantification_Results'!B74&lt;'Quantification_Config'!$S$6),"",IF(('Quantification_Results'!B74&gt;'Quantification_Config'!$T$6),"",'Quantification_Results'!B74)),""),IF(ISNUMBER('Quantification_Results'!C74),IF(('Quantification_Results'!C74&lt;'Quantification_Config'!$S$6),"",IF(('Quantification_Results'!C74&gt;'Quantification_Config'!$T$6),"",'Quantification_Results'!C74)),"")))</x:f>
        <x:v>5</x:v>
      </x:c>
      <x:c r="E74" t="n">
        <x:f>IF(ISNUMBER('Quantification_Results'!D74),IFERROR(ROUND(((('Quantification_Results'!D74-'Quantification_Config'!$S$6)/('Quantification_Config'!$T$6-'Quantification_Config'!$S$6))*100),'Quantification_Config'!$U$2),""),"")</x:f>
        <x:v>50</x:v>
      </x:c>
      <x:c r="F74" t="inlineStr">
        <x:is>
          <x:t xml:space="preserve">SYSTEM-TEST-ONLY-NO-NETWORK-NOT-AN-EDUCATIONAL-EVALUATION</x:t>
        </x:is>
      </x:c>
      <x:c r="G74" t="inlineStr">
        <x:is>
          <x:t xml:space="preserve"/>
        </x:is>
      </x:c>
      <x:c r="H74" t="inlineStr">
        <x:is>
          <x:t xml:space="preserve">NONE</x:t>
        </x:is>
      </x:c>
      <x:c r="I74" t="inlineStr">
        <x:is>
          <x:t xml:space="preserve"/>
        </x:is>
      </x:c>
      <x:c r="J74" t="inlineStr">
        <x:is>
          <x:t xml:space="preserve">SUCCESS</x:t>
        </x:is>
      </x:c>
      <x:c r="K74" t="n">
        <x:f>IF((COUNT('Quantification_Results'!E74)=1),IFERROR(ROUND((SUM(('Quantification_Results'!E74*'Quantification_Config'!$R$6))/SUM('Quantification_Config'!$R$6)),'Quantification_Config'!$U$2),""),"")</x:f>
        <x:v>50</x:v>
      </x:c>
      <x:c r="L74" t="n">
        <x:f>IF((COUNT('Quantification_Results'!K74)=1),IFERROR(ROUND((SUM(('Quantification_Results'!K74*'Quantification_Config'!$R$5))/SUM('Quantification_Config'!$R$5)),'Quantification_Config'!$U$2),""),"")</x:f>
        <x:v>50</x:v>
      </x:c>
      <x:c r="M74" t="n">
        <x:v>1</x:v>
      </x:c>
      <x:c r="N74" t="n">
        <x:v>5</x:v>
      </x:c>
      <x:c r="O74"/>
      <x:c r="P74" t="n">
        <x:f>IF(('Quantification_Results'!M74&lt;&gt;1),"",IF(('Quantification_Results'!O74=""),IF(ISNUMBER('Quantification_Results'!N74),IF(('Quantification_Results'!N74&lt;'Quantification_Config'!$S$9),"",IF(('Quantification_Results'!N74&gt;'Quantification_Config'!$T$9),"",'Quantification_Results'!N74)),""),IF(ISNUMBER('Quantification_Results'!O74),IF(('Quantification_Results'!O74&lt;'Quantification_Config'!$S$9),"",IF(('Quantification_Results'!O74&gt;'Quantification_Config'!$T$9),"",'Quantification_Results'!O74)),"")))</x:f>
        <x:v>5</x:v>
      </x:c>
      <x:c r="Q74" t="n">
        <x:f>IF(ISNUMBER('Quantification_Results'!P74),IFERROR(ROUND(((('Quantification_Results'!P74-'Quantification_Config'!$S$9)/('Quantification_Config'!$T$9-'Quantification_Config'!$S$9))*100),'Quantification_Config'!$U$2),""),"")</x:f>
        <x:v>50</x:v>
      </x:c>
      <x:c r="R74" t="inlineStr">
        <x:is>
          <x:t xml:space="preserve">SYSTEM-TEST-ONLY-NO-NETWORK-NOT-AN-EDUCATIONAL-EVALUATION</x:t>
        </x:is>
      </x:c>
      <x:c r="S74" t="inlineStr">
        <x:is>
          <x:t xml:space="preserve"/>
        </x:is>
      </x:c>
      <x:c r="T74" t="inlineStr">
        <x:is>
          <x:t xml:space="preserve">NONE</x:t>
        </x:is>
      </x:c>
      <x:c r="U74" t="inlineStr">
        <x:is>
          <x:t xml:space="preserve"/>
        </x:is>
      </x:c>
      <x:c r="V74" t="inlineStr">
        <x:is>
          <x:t xml:space="preserve">SUCCESS</x:t>
        </x:is>
      </x:c>
      <x:c r="W74" t="n">
        <x:f>IF((COUNT('Quantification_Results'!Q74)=1),IFERROR(ROUND((SUM(('Quantification_Results'!Q74*'Quantification_Config'!$R$9))/SUM('Quantification_Config'!$R$9)),'Quantification_Config'!$U$2),""),"")</x:f>
        <x:v>50</x:v>
      </x:c>
      <x:c r="X74" t="n">
        <x:f>IF((COUNT('Quantification_Results'!W74)=1),IFERROR(ROUND((SUM(('Quantification_Results'!W74*'Quantification_Config'!$R$8))/SUM('Quantification_Config'!$R$8)),'Quantification_Config'!$U$2),""),"")</x:f>
        <x:v>50</x:v>
      </x:c>
      <x:c r="Y74" t="n">
        <x:v>1</x:v>
      </x:c>
      <x:c r="Z74" t="n">
        <x:v>5</x:v>
      </x:c>
      <x:c r="AA74"/>
      <x:c r="AB74" t="n">
        <x:f>IF(('Quantification_Results'!Y74&lt;&gt;1),"",IF(('Quantification_Results'!AA74=""),IF(ISNUMBER('Quantification_Results'!Z74),IF(('Quantification_Results'!Z74&lt;'Quantification_Config'!$S$12),"",IF(('Quantification_Results'!Z74&gt;'Quantification_Config'!$T$12),"",'Quantification_Results'!Z74)),""),IF(ISNUMBER('Quantification_Results'!AA74),IF(('Quantification_Results'!AA74&lt;'Quantification_Config'!$S$12),"",IF(('Quantification_Results'!AA74&gt;'Quantification_Config'!$T$12),"",'Quantification_Results'!AA74)),"")))</x:f>
        <x:v>5</x:v>
      </x:c>
      <x:c r="AC74" t="n">
        <x:f>IF(ISNUMBER('Quantification_Results'!AB74),IFERROR(ROUND(((('Quantification_Results'!AB74-'Quantification_Config'!$S$12)/('Quantification_Config'!$T$12-'Quantification_Config'!$S$12))*100),'Quantification_Config'!$U$2),""),"")</x:f>
        <x:v>50</x:v>
      </x:c>
      <x:c r="AD74" t="inlineStr">
        <x:is>
          <x:t xml:space="preserve">SYSTEM-TEST-ONLY-NO-NETWORK-NOT-AN-EDUCATIONAL-EVALUATION</x:t>
        </x:is>
      </x:c>
      <x:c r="AE74" t="inlineStr">
        <x:is>
          <x:t xml:space="preserve"/>
        </x:is>
      </x:c>
      <x:c r="AF74" t="inlineStr">
        <x:is>
          <x:t xml:space="preserve">NONE</x:t>
        </x:is>
      </x:c>
      <x:c r="AG74" t="inlineStr">
        <x:is>
          <x:t xml:space="preserve"/>
        </x:is>
      </x:c>
      <x:c r="AH74" t="inlineStr">
        <x:is>
          <x:t xml:space="preserve">SUCCESS</x:t>
        </x:is>
      </x:c>
      <x:c r="AI74" t="n">
        <x:f>IF((COUNT('Quantification_Results'!AC74)=1),IFERROR(ROUND((SUM(('Quantification_Results'!AC74*'Quantification_Config'!$R$12))/SUM('Quantification_Config'!$R$12)),'Quantification_Config'!$U$2),""),"")</x:f>
        <x:v>50</x:v>
      </x:c>
      <x:c r="AJ74" t="n">
        <x:f>IF((COUNT('Quantification_Results'!AI74)=1),IFERROR(ROUND((SUM(('Quantification_Results'!AI74*'Quantification_Config'!$R$11))/SUM('Quantification_Config'!$R$11)),'Quantification_Config'!$U$2),""),"")</x:f>
        <x:v>50</x:v>
      </x:c>
      <x:c r="AK74" t="n">
        <x:v>1</x:v>
      </x:c>
      <x:c r="AL74" t="n">
        <x:v>5</x:v>
      </x:c>
      <x:c r="AM74"/>
      <x:c r="AN74" t="n">
        <x:f>IF(('Quantification_Results'!AK74&lt;&gt;1),"",IF(('Quantification_Results'!AM74=""),IF(ISNUMBER('Quantification_Results'!AL74),IF(('Quantification_Results'!AL74&lt;'Quantification_Config'!$S$15),"",IF(('Quantification_Results'!AL74&gt;'Quantification_Config'!$T$15),"",'Quantification_Results'!AL74)),""),IF(ISNUMBER('Quantification_Results'!AM74),IF(('Quantification_Results'!AM74&lt;'Quantification_Config'!$S$15),"",IF(('Quantification_Results'!AM74&gt;'Quantification_Config'!$T$15),"",'Quantification_Results'!AM74)),"")))</x:f>
        <x:v>5</x:v>
      </x:c>
      <x:c r="AO74" t="n">
        <x:f>IF(ISNUMBER('Quantification_Results'!AN74),IFERROR(ROUND(((('Quantification_Results'!AN74-'Quantification_Config'!$S$15)/('Quantification_Config'!$T$15-'Quantification_Config'!$S$15))*100),'Quantification_Config'!$U$2),""),"")</x:f>
        <x:v>50</x:v>
      </x:c>
      <x:c r="AP74" t="inlineStr">
        <x:is>
          <x:t xml:space="preserve">SYSTEM-TEST-ONLY-NO-NETWORK-NOT-AN-EDUCATIONAL-EVALUATION</x:t>
        </x:is>
      </x:c>
      <x:c r="AQ74" t="inlineStr">
        <x:is>
          <x:t xml:space="preserve"/>
        </x:is>
      </x:c>
      <x:c r="AR74" t="inlineStr">
        <x:is>
          <x:t xml:space="preserve">NONE</x:t>
        </x:is>
      </x:c>
      <x:c r="AS74" t="inlineStr">
        <x:is>
          <x:t xml:space="preserve"/>
        </x:is>
      </x:c>
      <x:c r="AT74" t="inlineStr">
        <x:is>
          <x:t xml:space="preserve">SUCCESS</x:t>
        </x:is>
      </x:c>
      <x:c r="AU74" t="n">
        <x:f>IF((COUNT('Quantification_Results'!AO74)=1),IFERROR(ROUND((SUM(('Quantification_Results'!AO74*'Quantification_Config'!$R$15))/SUM('Quantification_Config'!$R$15)),'Quantification_Config'!$U$2),""),"")</x:f>
        <x:v>50</x:v>
      </x:c>
      <x:c r="AV74" t="n">
        <x:f>IF((COUNT('Quantification_Results'!AU74)=1),IFERROR(ROUND((SUM(('Quantification_Results'!AU74*'Quantification_Config'!$R$14))/SUM('Quantification_Config'!$R$14)),'Quantification_Config'!$U$2),""),"")</x:f>
        <x:v>50</x:v>
      </x:c>
      <x:c r="AW74" t="n">
        <x:v>1</x:v>
      </x:c>
      <x:c r="AX74" t="n">
        <x:v>5</x:v>
      </x:c>
      <x:c r="AY74"/>
      <x:c r="AZ74" t="n">
        <x:f>IF(('Quantification_Results'!AW74&lt;&gt;1),"",IF(('Quantification_Results'!AY74=""),IF(ISNUMBER('Quantification_Results'!AX74),IF(('Quantification_Results'!AX74&lt;'Quantification_Config'!$S$19),"",IF(('Quantification_Results'!AX74&gt;'Quantification_Config'!$T$19),"",'Quantification_Results'!AX74)),""),IF(ISNUMBER('Quantification_Results'!AY74),IF(('Quantification_Results'!AY74&lt;'Quantification_Config'!$S$19),"",IF(('Quantification_Results'!AY74&gt;'Quantification_Config'!$T$19),"",'Quantification_Results'!AY74)),"")))</x:f>
        <x:v>5</x:v>
      </x:c>
      <x:c r="BA74" t="n">
        <x:f>IF(ISNUMBER('Quantification_Results'!AZ74),IFERROR(ROUND(((('Quantification_Results'!AZ74-'Quantification_Config'!$S$19)/('Quantification_Config'!$T$19-'Quantification_Config'!$S$19))*100),'Quantification_Config'!$U$2),""),"")</x:f>
        <x:v>50</x:v>
      </x:c>
      <x:c r="BB74" t="inlineStr">
        <x:is>
          <x:t xml:space="preserve">SYSTEM-TEST-ONLY-NO-NETWORK-NOT-AN-EDUCATIONAL-EVALUATION</x:t>
        </x:is>
      </x:c>
      <x:c r="BC74" t="inlineStr">
        <x:is>
          <x:t xml:space="preserve"/>
        </x:is>
      </x:c>
      <x:c r="BD74" t="inlineStr">
        <x:is>
          <x:t xml:space="preserve">NONE</x:t>
        </x:is>
      </x:c>
      <x:c r="BE74" t="inlineStr">
        <x:is>
          <x:t xml:space="preserve"/>
        </x:is>
      </x:c>
      <x:c r="BF74" t="inlineStr">
        <x:is>
          <x:t xml:space="preserve">SUCCESS</x:t>
        </x:is>
      </x:c>
      <x:c r="BG74" t="n">
        <x:f>IF((COUNT('Quantification_Results'!BA74)=1),IFERROR(ROUND((SUM(('Quantification_Results'!BA74*'Quantification_Config'!$R$19))/SUM('Quantification_Config'!$R$19)),'Quantification_Config'!$U$2),""),"")</x:f>
        <x:v>50</x:v>
      </x:c>
      <x:c r="BH74" t="n">
        <x:f>IF((COUNT('Quantification_Results'!BG74)=1),IFERROR(ROUND((SUM(('Quantification_Results'!BG74*'Quantification_Config'!$R$18))/SUM('Quantification_Config'!$R$18)),'Quantification_Config'!$U$2),""),"")</x:f>
        <x:v>50</x:v>
      </x:c>
      <x:c r="BI74" t="n">
        <x:f>IF((COUNT('Quantification_Results'!L74,'Quantification_Results'!X74,'Quantification_Results'!AJ74,'Quantification_Results'!AV74,'Quantification_Results'!BH74)=5),IFERROR(ROUND((SUM(('Quantification_Results'!L74*'Quantification_Config'!$R$4),('Quantification_Results'!X74*'Quantification_Config'!$R$7),('Quantification_Results'!AJ74*'Quantification_Config'!$R$10),('Quantification_Results'!AV74*'Quantification_Config'!$R$13),('Quantification_Results'!BH74*'Quantification_Config'!$R$16))/SUM('Quantification_Config'!$R$4,'Quantification_Config'!$R$7,'Quantification_Config'!$R$10,'Quantification_Config'!$R$13,'Quantification_Config'!$R$16)),'Quantification_Config'!$U$2),""),"")</x:f>
        <x:v>50</x:v>
      </x:c>
    </x:row>
    <x:row r="75">
      <x:c r="A75" t="n">
        <x:v>1</x:v>
      </x:c>
      <x:c r="B75" t="n">
        <x:v>5</x:v>
      </x:c>
      <x:c r="C75"/>
      <x:c r="D75" t="n">
        <x:f>IF(('Quantification_Results'!A75&lt;&gt;1),"",IF(('Quantification_Results'!C75=""),IF(ISNUMBER('Quantification_Results'!B75),IF(('Quantification_Results'!B75&lt;'Quantification_Config'!$S$6),"",IF(('Quantification_Results'!B75&gt;'Quantification_Config'!$T$6),"",'Quantification_Results'!B75)),""),IF(ISNUMBER('Quantification_Results'!C75),IF(('Quantification_Results'!C75&lt;'Quantification_Config'!$S$6),"",IF(('Quantification_Results'!C75&gt;'Quantification_Config'!$T$6),"",'Quantification_Results'!C75)),"")))</x:f>
        <x:v>5</x:v>
      </x:c>
      <x:c r="E75" t="n">
        <x:f>IF(ISNUMBER('Quantification_Results'!D75),IFERROR(ROUND(((('Quantification_Results'!D75-'Quantification_Config'!$S$6)/('Quantification_Config'!$T$6-'Quantification_Config'!$S$6))*100),'Quantification_Config'!$U$2),""),"")</x:f>
        <x:v>50</x:v>
      </x:c>
      <x:c r="F75" t="inlineStr">
        <x:is>
          <x:t xml:space="preserve">SYSTEM-TEST-ONLY-NO-NETWORK-NOT-AN-EDUCATIONAL-EVALUATION</x:t>
        </x:is>
      </x:c>
      <x:c r="G75" t="inlineStr">
        <x:is>
          <x:t xml:space="preserve"/>
        </x:is>
      </x:c>
      <x:c r="H75" t="inlineStr">
        <x:is>
          <x:t xml:space="preserve">NONE</x:t>
        </x:is>
      </x:c>
      <x:c r="I75" t="inlineStr">
        <x:is>
          <x:t xml:space="preserve"/>
        </x:is>
      </x:c>
      <x:c r="J75" t="inlineStr">
        <x:is>
          <x:t xml:space="preserve">SUCCESS</x:t>
        </x:is>
      </x:c>
      <x:c r="K75" t="n">
        <x:f>IF((COUNT('Quantification_Results'!E75)=1),IFERROR(ROUND((SUM(('Quantification_Results'!E75*'Quantification_Config'!$R$6))/SUM('Quantification_Config'!$R$6)),'Quantification_Config'!$U$2),""),"")</x:f>
        <x:v>50</x:v>
      </x:c>
      <x:c r="L75" t="n">
        <x:f>IF((COUNT('Quantification_Results'!K75)=1),IFERROR(ROUND((SUM(('Quantification_Results'!K75*'Quantification_Config'!$R$5))/SUM('Quantification_Config'!$R$5)),'Quantification_Config'!$U$2),""),"")</x:f>
        <x:v>50</x:v>
      </x:c>
      <x:c r="M75" t="n">
        <x:v>1</x:v>
      </x:c>
      <x:c r="N75" t="n">
        <x:v>5</x:v>
      </x:c>
      <x:c r="O75"/>
      <x:c r="P75" t="n">
        <x:f>IF(('Quantification_Results'!M75&lt;&gt;1),"",IF(('Quantification_Results'!O75=""),IF(ISNUMBER('Quantification_Results'!N75),IF(('Quantification_Results'!N75&lt;'Quantification_Config'!$S$9),"",IF(('Quantification_Results'!N75&gt;'Quantification_Config'!$T$9),"",'Quantification_Results'!N75)),""),IF(ISNUMBER('Quantification_Results'!O75),IF(('Quantification_Results'!O75&lt;'Quantification_Config'!$S$9),"",IF(('Quantification_Results'!O75&gt;'Quantification_Config'!$T$9),"",'Quantification_Results'!O75)),"")))</x:f>
        <x:v>5</x:v>
      </x:c>
      <x:c r="Q75" t="n">
        <x:f>IF(ISNUMBER('Quantification_Results'!P75),IFERROR(ROUND(((('Quantification_Results'!P75-'Quantification_Config'!$S$9)/('Quantification_Config'!$T$9-'Quantification_Config'!$S$9))*100),'Quantification_Config'!$U$2),""),"")</x:f>
        <x:v>50</x:v>
      </x:c>
      <x:c r="R75" t="inlineStr">
        <x:is>
          <x:t xml:space="preserve">SYSTEM-TEST-ONLY-NO-NETWORK-NOT-AN-EDUCATIONAL-EVALUATION</x:t>
        </x:is>
      </x:c>
      <x:c r="S75" t="inlineStr">
        <x:is>
          <x:t xml:space="preserve"/>
        </x:is>
      </x:c>
      <x:c r="T75" t="inlineStr">
        <x:is>
          <x:t xml:space="preserve">NONE</x:t>
        </x:is>
      </x:c>
      <x:c r="U75" t="inlineStr">
        <x:is>
          <x:t xml:space="preserve"/>
        </x:is>
      </x:c>
      <x:c r="V75" t="inlineStr">
        <x:is>
          <x:t xml:space="preserve">SUCCESS</x:t>
        </x:is>
      </x:c>
      <x:c r="W75" t="n">
        <x:f>IF((COUNT('Quantification_Results'!Q75)=1),IFERROR(ROUND((SUM(('Quantification_Results'!Q75*'Quantification_Config'!$R$9))/SUM('Quantification_Config'!$R$9)),'Quantification_Config'!$U$2),""),"")</x:f>
        <x:v>50</x:v>
      </x:c>
      <x:c r="X75" t="n">
        <x:f>IF((COUNT('Quantification_Results'!W75)=1),IFERROR(ROUND((SUM(('Quantification_Results'!W75*'Quantification_Config'!$R$8))/SUM('Quantification_Config'!$R$8)),'Quantification_Config'!$U$2),""),"")</x:f>
        <x:v>50</x:v>
      </x:c>
      <x:c r="Y75" t="n">
        <x:v>0</x:v>
      </x:c>
      <x:c r="Z75"/>
      <x:c r="AA75"/>
      <x:c r="AB75">
        <x:f>IF(('Quantification_Results'!Y75&lt;&gt;1),"",IF(('Quantification_Results'!AA75=""),IF(ISNUMBER('Quantification_Results'!Z75),IF(('Quantification_Results'!Z75&lt;'Quantification_Config'!$S$12),"",IF(('Quantification_Results'!Z75&gt;'Quantification_Config'!$T$12),"",'Quantification_Results'!Z75)),""),IF(ISNUMBER('Quantification_Results'!AA75),IF(('Quantification_Results'!AA75&lt;'Quantification_Config'!$S$12),"",IF(('Quantification_Results'!AA75&gt;'Quantification_Config'!$T$12),"",'Quantification_Results'!AA75)),"")))</x:f>
      </x:c>
      <x:c r="AC75">
        <x:f>IF(ISNUMBER('Quantification_Results'!AB75),IFERROR(ROUND(((('Quantification_Results'!AB75-'Quantification_Config'!$S$12)/('Quantification_Config'!$T$12-'Quantification_Config'!$S$12))*100),'Quantification_Config'!$U$2),""),"")</x:f>
      </x:c>
      <x:c r="AD75" t="inlineStr">
        <x:is>
          <x:t xml:space="preserve"/>
        </x:is>
      </x:c>
      <x:c r="AE75" t="inlineStr">
        <x:is>
          <x:t xml:space="preserve"/>
        </x:is>
      </x:c>
      <x:c r="AF75" t="inlineStr">
        <x:is>
          <x:t xml:space="preserve"/>
        </x:is>
      </x:c>
      <x:c r="AG75" t="inlineStr">
        <x:is>
          <x:t xml:space="preserve"/>
        </x:is>
      </x:c>
      <x:c r="AH75" t="inlineStr">
        <x:is>
          <x:t xml:space="preserve">EMPTY</x:t>
        </x:is>
      </x:c>
      <x:c r="AI75">
        <x:f>IF((COUNT('Quantification_Results'!AC75)=1),IFERROR(ROUND((SUM(('Quantification_Results'!AC75*'Quantification_Config'!$R$12))/SUM('Quantification_Config'!$R$12)),'Quantification_Config'!$U$2),""),"")</x:f>
      </x:c>
      <x:c r="AJ75">
        <x:f>IF((COUNT('Quantification_Results'!AI75)=1),IFERROR(ROUND((SUM(('Quantification_Results'!AI75*'Quantification_Config'!$R$11))/SUM('Quantification_Config'!$R$11)),'Quantification_Config'!$U$2),""),"")</x:f>
      </x:c>
      <x:c r="AK75" t="n">
        <x:v>1</x:v>
      </x:c>
      <x:c r="AL75" t="n">
        <x:v>5</x:v>
      </x:c>
      <x:c r="AM75"/>
      <x:c r="AN75" t="n">
        <x:f>IF(('Quantification_Results'!AK75&lt;&gt;1),"",IF(('Quantification_Results'!AM75=""),IF(ISNUMBER('Quantification_Results'!AL75),IF(('Quantification_Results'!AL75&lt;'Quantification_Config'!$S$15),"",IF(('Quantification_Results'!AL75&gt;'Quantification_Config'!$T$15),"",'Quantification_Results'!AL75)),""),IF(ISNUMBER('Quantification_Results'!AM75),IF(('Quantification_Results'!AM75&lt;'Quantification_Config'!$S$15),"",IF(('Quantification_Results'!AM75&gt;'Quantification_Config'!$T$15),"",'Quantification_Results'!AM75)),"")))</x:f>
        <x:v>5</x:v>
      </x:c>
      <x:c r="AO75" t="n">
        <x:f>IF(ISNUMBER('Quantification_Results'!AN75),IFERROR(ROUND(((('Quantification_Results'!AN75-'Quantification_Config'!$S$15)/('Quantification_Config'!$T$15-'Quantification_Config'!$S$15))*100),'Quantification_Config'!$U$2),""),"")</x:f>
        <x:v>50</x:v>
      </x:c>
      <x:c r="AP75" t="inlineStr">
        <x:is>
          <x:t xml:space="preserve">SYSTEM-TEST-ONLY-NO-NETWORK-NOT-AN-EDUCATIONAL-EVALUATION</x:t>
        </x:is>
      </x:c>
      <x:c r="AQ75" t="inlineStr">
        <x:is>
          <x:t xml:space="preserve"/>
        </x:is>
      </x:c>
      <x:c r="AR75" t="inlineStr">
        <x:is>
          <x:t xml:space="preserve">NONE</x:t>
        </x:is>
      </x:c>
      <x:c r="AS75" t="inlineStr">
        <x:is>
          <x:t xml:space="preserve"/>
        </x:is>
      </x:c>
      <x:c r="AT75" t="inlineStr">
        <x:is>
          <x:t xml:space="preserve">SUCCESS</x:t>
        </x:is>
      </x:c>
      <x:c r="AU75" t="n">
        <x:f>IF((COUNT('Quantification_Results'!AO75)=1),IFERROR(ROUND((SUM(('Quantification_Results'!AO75*'Quantification_Config'!$R$15))/SUM('Quantification_Config'!$R$15)),'Quantification_Config'!$U$2),""),"")</x:f>
        <x:v>50</x:v>
      </x:c>
      <x:c r="AV75" t="n">
        <x:f>IF((COUNT('Quantification_Results'!AU75)=1),IFERROR(ROUND((SUM(('Quantification_Results'!AU75*'Quantification_Config'!$R$14))/SUM('Quantification_Config'!$R$14)),'Quantification_Config'!$U$2),""),"")</x:f>
        <x:v>50</x:v>
      </x:c>
      <x:c r="AW75" t="n">
        <x:v>1</x:v>
      </x:c>
      <x:c r="AX75" t="n">
        <x:v>5</x:v>
      </x:c>
      <x:c r="AY75"/>
      <x:c r="AZ75" t="n">
        <x:f>IF(('Quantification_Results'!AW75&lt;&gt;1),"",IF(('Quantification_Results'!AY75=""),IF(ISNUMBER('Quantification_Results'!AX75),IF(('Quantification_Results'!AX75&lt;'Quantification_Config'!$S$19),"",IF(('Quantification_Results'!AX75&gt;'Quantification_Config'!$T$19),"",'Quantification_Results'!AX75)),""),IF(ISNUMBER('Quantification_Results'!AY75),IF(('Quantification_Results'!AY75&lt;'Quantification_Config'!$S$19),"",IF(('Quantification_Results'!AY75&gt;'Quantification_Config'!$T$19),"",'Quantification_Results'!AY75)),"")))</x:f>
        <x:v>5</x:v>
      </x:c>
      <x:c r="BA75" t="n">
        <x:f>IF(ISNUMBER('Quantification_Results'!AZ75),IFERROR(ROUND(((('Quantification_Results'!AZ75-'Quantification_Config'!$S$19)/('Quantification_Config'!$T$19-'Quantification_Config'!$S$19))*100),'Quantification_Config'!$U$2),""),"")</x:f>
        <x:v>50</x:v>
      </x:c>
      <x:c r="BB75" t="inlineStr">
        <x:is>
          <x:t xml:space="preserve">SYSTEM-TEST-ONLY-NO-NETWORK-NOT-AN-EDUCATIONAL-EVALUATION</x:t>
        </x:is>
      </x:c>
      <x:c r="BC75" t="inlineStr">
        <x:is>
          <x:t xml:space="preserve"/>
        </x:is>
      </x:c>
      <x:c r="BD75" t="inlineStr">
        <x:is>
          <x:t xml:space="preserve">NONE</x:t>
        </x:is>
      </x:c>
      <x:c r="BE75" t="inlineStr">
        <x:is>
          <x:t xml:space="preserve"/>
        </x:is>
      </x:c>
      <x:c r="BF75" t="inlineStr">
        <x:is>
          <x:t xml:space="preserve">SUCCESS</x:t>
        </x:is>
      </x:c>
      <x:c r="BG75" t="n">
        <x:f>IF((COUNT('Quantification_Results'!BA75)=1),IFERROR(ROUND((SUM(('Quantification_Results'!BA75*'Quantification_Config'!$R$19))/SUM('Quantification_Config'!$R$19)),'Quantification_Config'!$U$2),""),"")</x:f>
        <x:v>50</x:v>
      </x:c>
      <x:c r="BH75" t="n">
        <x:f>IF((COUNT('Quantification_Results'!BG75)=1),IFERROR(ROUND((SUM(('Quantification_Results'!BG75*'Quantification_Config'!$R$18))/SUM('Quantification_Config'!$R$18)),'Quantification_Config'!$U$2),""),"")</x:f>
        <x:v>50</x:v>
      </x:c>
      <x:c r="BI75">
        <x:f>IF((COUNT('Quantification_Results'!L75,'Quantification_Results'!X75,'Quantification_Results'!AJ75,'Quantification_Results'!AV75,'Quantification_Results'!BH75)=5),IFERROR(ROUND((SUM(('Quantification_Results'!L75*'Quantification_Config'!$R$4),('Quantification_Results'!X75*'Quantification_Config'!$R$7),('Quantification_Results'!AJ75*'Quantification_Config'!$R$10),('Quantification_Results'!AV75*'Quantification_Config'!$R$13),('Quantification_Results'!BH75*'Quantification_Config'!$R$16))/SUM('Quantification_Config'!$R$4,'Quantification_Config'!$R$7,'Quantification_Config'!$R$10,'Quantification_Config'!$R$13,'Quantification_Config'!$R$16)),'Quantification_Config'!$U$2),""),"")</x:f>
      </x:c>
    </x:row>
    <x:row r="76">
      <x:c r="A76" t="n">
        <x:v>1</x:v>
      </x:c>
      <x:c r="B76" t="n">
        <x:v>5</x:v>
      </x:c>
      <x:c r="C76"/>
      <x:c r="D76" t="n">
        <x:f>IF(('Quantification_Results'!A76&lt;&gt;1),"",IF(('Quantification_Results'!C76=""),IF(ISNUMBER('Quantification_Results'!B76),IF(('Quantification_Results'!B76&lt;'Quantification_Config'!$S$6),"",IF(('Quantification_Results'!B76&gt;'Quantification_Config'!$T$6),"",'Quantification_Results'!B76)),""),IF(ISNUMBER('Quantification_Results'!C76),IF(('Quantification_Results'!C76&lt;'Quantification_Config'!$S$6),"",IF(('Quantification_Results'!C76&gt;'Quantification_Config'!$T$6),"",'Quantification_Results'!C76)),"")))</x:f>
        <x:v>5</x:v>
      </x:c>
      <x:c r="E76" t="n">
        <x:f>IF(ISNUMBER('Quantification_Results'!D76),IFERROR(ROUND(((('Quantification_Results'!D76-'Quantification_Config'!$S$6)/('Quantification_Config'!$T$6-'Quantification_Config'!$S$6))*100),'Quantification_Config'!$U$2),""),"")</x:f>
        <x:v>50</x:v>
      </x:c>
      <x:c r="F76" t="inlineStr">
        <x:is>
          <x:t xml:space="preserve">SYSTEM-TEST-ONLY-NO-NETWORK-NOT-AN-EDUCATIONAL-EVALUATION</x:t>
        </x:is>
      </x:c>
      <x:c r="G76" t="inlineStr">
        <x:is>
          <x:t xml:space="preserve"/>
        </x:is>
      </x:c>
      <x:c r="H76" t="inlineStr">
        <x:is>
          <x:t xml:space="preserve">NONE</x:t>
        </x:is>
      </x:c>
      <x:c r="I76" t="inlineStr">
        <x:is>
          <x:t xml:space="preserve"/>
        </x:is>
      </x:c>
      <x:c r="J76" t="inlineStr">
        <x:is>
          <x:t xml:space="preserve">SUCCESS</x:t>
        </x:is>
      </x:c>
      <x:c r="K76" t="n">
        <x:f>IF((COUNT('Quantification_Results'!E76)=1),IFERROR(ROUND((SUM(('Quantification_Results'!E76*'Quantification_Config'!$R$6))/SUM('Quantification_Config'!$R$6)),'Quantification_Config'!$U$2),""),"")</x:f>
        <x:v>50</x:v>
      </x:c>
      <x:c r="L76" t="n">
        <x:f>IF((COUNT('Quantification_Results'!K76)=1),IFERROR(ROUND((SUM(('Quantification_Results'!K76*'Quantification_Config'!$R$5))/SUM('Quantification_Config'!$R$5)),'Quantification_Config'!$U$2),""),"")</x:f>
        <x:v>50</x:v>
      </x:c>
      <x:c r="M76" t="n">
        <x:v>1</x:v>
      </x:c>
      <x:c r="N76" t="n">
        <x:v>5</x:v>
      </x:c>
      <x:c r="O76"/>
      <x:c r="P76" t="n">
        <x:f>IF(('Quantification_Results'!M76&lt;&gt;1),"",IF(('Quantification_Results'!O76=""),IF(ISNUMBER('Quantification_Results'!N76),IF(('Quantification_Results'!N76&lt;'Quantification_Config'!$S$9),"",IF(('Quantification_Results'!N76&gt;'Quantification_Config'!$T$9),"",'Quantification_Results'!N76)),""),IF(ISNUMBER('Quantification_Results'!O76),IF(('Quantification_Results'!O76&lt;'Quantification_Config'!$S$9),"",IF(('Quantification_Results'!O76&gt;'Quantification_Config'!$T$9),"",'Quantification_Results'!O76)),"")))</x:f>
        <x:v>5</x:v>
      </x:c>
      <x:c r="Q76" t="n">
        <x:f>IF(ISNUMBER('Quantification_Results'!P76),IFERROR(ROUND(((('Quantification_Results'!P76-'Quantification_Config'!$S$9)/('Quantification_Config'!$T$9-'Quantification_Config'!$S$9))*100),'Quantification_Config'!$U$2),""),"")</x:f>
        <x:v>50</x:v>
      </x:c>
      <x:c r="R76" t="inlineStr">
        <x:is>
          <x:t xml:space="preserve">SYSTEM-TEST-ONLY-NO-NETWORK-NOT-AN-EDUCATIONAL-EVALUATION</x:t>
        </x:is>
      </x:c>
      <x:c r="S76" t="inlineStr">
        <x:is>
          <x:t xml:space="preserve"/>
        </x:is>
      </x:c>
      <x:c r="T76" t="inlineStr">
        <x:is>
          <x:t xml:space="preserve">NONE</x:t>
        </x:is>
      </x:c>
      <x:c r="U76" t="inlineStr">
        <x:is>
          <x:t xml:space="preserve"/>
        </x:is>
      </x:c>
      <x:c r="V76" t="inlineStr">
        <x:is>
          <x:t xml:space="preserve">SUCCESS</x:t>
        </x:is>
      </x:c>
      <x:c r="W76" t="n">
        <x:f>IF((COUNT('Quantification_Results'!Q76)=1),IFERROR(ROUND((SUM(('Quantification_Results'!Q76*'Quantification_Config'!$R$9))/SUM('Quantification_Config'!$R$9)),'Quantification_Config'!$U$2),""),"")</x:f>
        <x:v>50</x:v>
      </x:c>
      <x:c r="X76" t="n">
        <x:f>IF((COUNT('Quantification_Results'!W76)=1),IFERROR(ROUND((SUM(('Quantification_Results'!W76*'Quantification_Config'!$R$8))/SUM('Quantification_Config'!$R$8)),'Quantification_Config'!$U$2),""),"")</x:f>
        <x:v>50</x:v>
      </x:c>
      <x:c r="Y76" t="n">
        <x:v>0</x:v>
      </x:c>
      <x:c r="Z76"/>
      <x:c r="AA76"/>
      <x:c r="AB76">
        <x:f>IF(('Quantification_Results'!Y76&lt;&gt;1),"",IF(('Quantification_Results'!AA76=""),IF(ISNUMBER('Quantification_Results'!Z76),IF(('Quantification_Results'!Z76&lt;'Quantification_Config'!$S$12),"",IF(('Quantification_Results'!Z76&gt;'Quantification_Config'!$T$12),"",'Quantification_Results'!Z76)),""),IF(ISNUMBER('Quantification_Results'!AA76),IF(('Quantification_Results'!AA76&lt;'Quantification_Config'!$S$12),"",IF(('Quantification_Results'!AA76&gt;'Quantification_Config'!$T$12),"",'Quantification_Results'!AA76)),"")))</x:f>
      </x:c>
      <x:c r="AC76">
        <x:f>IF(ISNUMBER('Quantification_Results'!AB76),IFERROR(ROUND(((('Quantification_Results'!AB76-'Quantification_Config'!$S$12)/('Quantification_Config'!$T$12-'Quantification_Config'!$S$12))*100),'Quantification_Config'!$U$2),""),"")</x:f>
      </x:c>
      <x:c r="AD76" t="inlineStr">
        <x:is>
          <x:t xml:space="preserve"/>
        </x:is>
      </x:c>
      <x:c r="AE76" t="inlineStr">
        <x:is>
          <x:t xml:space="preserve"/>
        </x:is>
      </x:c>
      <x:c r="AF76" t="inlineStr">
        <x:is>
          <x:t xml:space="preserve"/>
        </x:is>
      </x:c>
      <x:c r="AG76" t="inlineStr">
        <x:is>
          <x:t xml:space="preserve"/>
        </x:is>
      </x:c>
      <x:c r="AH76" t="inlineStr">
        <x:is>
          <x:t xml:space="preserve">EMPTY</x:t>
        </x:is>
      </x:c>
      <x:c r="AI76">
        <x:f>IF((COUNT('Quantification_Results'!AC76)=1),IFERROR(ROUND((SUM(('Quantification_Results'!AC76*'Quantification_Config'!$R$12))/SUM('Quantification_Config'!$R$12)),'Quantification_Config'!$U$2),""),"")</x:f>
      </x:c>
      <x:c r="AJ76">
        <x:f>IF((COUNT('Quantification_Results'!AI76)=1),IFERROR(ROUND((SUM(('Quantification_Results'!AI76*'Quantification_Config'!$R$11))/SUM('Quantification_Config'!$R$11)),'Quantification_Config'!$U$2),""),"")</x:f>
      </x:c>
      <x:c r="AK76" t="n">
        <x:v>1</x:v>
      </x:c>
      <x:c r="AL76" t="n">
        <x:v>5</x:v>
      </x:c>
      <x:c r="AM76"/>
      <x:c r="AN76" t="n">
        <x:f>IF(('Quantification_Results'!AK76&lt;&gt;1),"",IF(('Quantification_Results'!AM76=""),IF(ISNUMBER('Quantification_Results'!AL76),IF(('Quantification_Results'!AL76&lt;'Quantification_Config'!$S$15),"",IF(('Quantification_Results'!AL76&gt;'Quantification_Config'!$T$15),"",'Quantification_Results'!AL76)),""),IF(ISNUMBER('Quantification_Results'!AM76),IF(('Quantification_Results'!AM76&lt;'Quantification_Config'!$S$15),"",IF(('Quantification_Results'!AM76&gt;'Quantification_Config'!$T$15),"",'Quantification_Results'!AM76)),"")))</x:f>
        <x:v>5</x:v>
      </x:c>
      <x:c r="AO76" t="n">
        <x:f>IF(ISNUMBER('Quantification_Results'!AN76),IFERROR(ROUND(((('Quantification_Results'!AN76-'Quantification_Config'!$S$15)/('Quantification_Config'!$T$15-'Quantification_Config'!$S$15))*100),'Quantification_Config'!$U$2),""),"")</x:f>
        <x:v>50</x:v>
      </x:c>
      <x:c r="AP76" t="inlineStr">
        <x:is>
          <x:t xml:space="preserve">SYSTEM-TEST-ONLY-NO-NETWORK-NOT-AN-EDUCATIONAL-EVALUATION</x:t>
        </x:is>
      </x:c>
      <x:c r="AQ76" t="inlineStr">
        <x:is>
          <x:t xml:space="preserve"/>
        </x:is>
      </x:c>
      <x:c r="AR76" t="inlineStr">
        <x:is>
          <x:t xml:space="preserve">NONE</x:t>
        </x:is>
      </x:c>
      <x:c r="AS76" t="inlineStr">
        <x:is>
          <x:t xml:space="preserve"/>
        </x:is>
      </x:c>
      <x:c r="AT76" t="inlineStr">
        <x:is>
          <x:t xml:space="preserve">SUCCESS</x:t>
        </x:is>
      </x:c>
      <x:c r="AU76" t="n">
        <x:f>IF((COUNT('Quantification_Results'!AO76)=1),IFERROR(ROUND((SUM(('Quantification_Results'!AO76*'Quantification_Config'!$R$15))/SUM('Quantification_Config'!$R$15)),'Quantification_Config'!$U$2),""),"")</x:f>
        <x:v>50</x:v>
      </x:c>
      <x:c r="AV76" t="n">
        <x:f>IF((COUNT('Quantification_Results'!AU76)=1),IFERROR(ROUND((SUM(('Quantification_Results'!AU76*'Quantification_Config'!$R$14))/SUM('Quantification_Config'!$R$14)),'Quantification_Config'!$U$2),""),"")</x:f>
        <x:v>50</x:v>
      </x:c>
      <x:c r="AW76" t="n">
        <x:v>1</x:v>
      </x:c>
      <x:c r="AX76" t="n">
        <x:v>5</x:v>
      </x:c>
      <x:c r="AY76"/>
      <x:c r="AZ76" t="n">
        <x:f>IF(('Quantification_Results'!AW76&lt;&gt;1),"",IF(('Quantification_Results'!AY76=""),IF(ISNUMBER('Quantification_Results'!AX76),IF(('Quantification_Results'!AX76&lt;'Quantification_Config'!$S$19),"",IF(('Quantification_Results'!AX76&gt;'Quantification_Config'!$T$19),"",'Quantification_Results'!AX76)),""),IF(ISNUMBER('Quantification_Results'!AY76),IF(('Quantification_Results'!AY76&lt;'Quantification_Config'!$S$19),"",IF(('Quantification_Results'!AY76&gt;'Quantification_Config'!$T$19),"",'Quantification_Results'!AY76)),"")))</x:f>
        <x:v>5</x:v>
      </x:c>
      <x:c r="BA76" t="n">
        <x:f>IF(ISNUMBER('Quantification_Results'!AZ76),IFERROR(ROUND(((('Quantification_Results'!AZ76-'Quantification_Config'!$S$19)/('Quantification_Config'!$T$19-'Quantification_Config'!$S$19))*100),'Quantification_Config'!$U$2),""),"")</x:f>
        <x:v>50</x:v>
      </x:c>
      <x:c r="BB76" t="inlineStr">
        <x:is>
          <x:t xml:space="preserve">SYSTEM-TEST-ONLY-NO-NETWORK-NOT-AN-EDUCATIONAL-EVALUATION</x:t>
        </x:is>
      </x:c>
      <x:c r="BC76" t="inlineStr">
        <x:is>
          <x:t xml:space="preserve"/>
        </x:is>
      </x:c>
      <x:c r="BD76" t="inlineStr">
        <x:is>
          <x:t xml:space="preserve">NONE</x:t>
        </x:is>
      </x:c>
      <x:c r="BE76" t="inlineStr">
        <x:is>
          <x:t xml:space="preserve"/>
        </x:is>
      </x:c>
      <x:c r="BF76" t="inlineStr">
        <x:is>
          <x:t xml:space="preserve">SUCCESS</x:t>
        </x:is>
      </x:c>
      <x:c r="BG76" t="n">
        <x:f>IF((COUNT('Quantification_Results'!BA76)=1),IFERROR(ROUND((SUM(('Quantification_Results'!BA76*'Quantification_Config'!$R$19))/SUM('Quantification_Config'!$R$19)),'Quantification_Config'!$U$2),""),"")</x:f>
        <x:v>50</x:v>
      </x:c>
      <x:c r="BH76" t="n">
        <x:f>IF((COUNT('Quantification_Results'!BG76)=1),IFERROR(ROUND((SUM(('Quantification_Results'!BG76*'Quantification_Config'!$R$18))/SUM('Quantification_Config'!$R$18)),'Quantification_Config'!$U$2),""),"")</x:f>
        <x:v>50</x:v>
      </x:c>
      <x:c r="BI76">
        <x:f>IF((COUNT('Quantification_Results'!L76,'Quantification_Results'!X76,'Quantification_Results'!AJ76,'Quantification_Results'!AV76,'Quantification_Results'!BH76)=5),IFERROR(ROUND((SUM(('Quantification_Results'!L76*'Quantification_Config'!$R$4),('Quantification_Results'!X76*'Quantification_Config'!$R$7),('Quantification_Results'!AJ76*'Quantification_Config'!$R$10),('Quantification_Results'!AV76*'Quantification_Config'!$R$13),('Quantification_Results'!BH76*'Quantification_Config'!$R$16))/SUM('Quantification_Config'!$R$4,'Quantification_Config'!$R$7,'Quantification_Config'!$R$10,'Quantification_Config'!$R$13,'Quantification_Config'!$R$16)),'Quantification_Config'!$U$2),""),"")</x:f>
      </x:c>
    </x:row>
    <x:row r="77">
      <x:c r="A77" t="n">
        <x:v>1</x:v>
      </x:c>
      <x:c r="B77" t="n">
        <x:v>5</x:v>
      </x:c>
      <x:c r="C77"/>
      <x:c r="D77" t="n">
        <x:f>IF(('Quantification_Results'!A77&lt;&gt;1),"",IF(('Quantification_Results'!C77=""),IF(ISNUMBER('Quantification_Results'!B77),IF(('Quantification_Results'!B77&lt;'Quantification_Config'!$S$6),"",IF(('Quantification_Results'!B77&gt;'Quantification_Config'!$T$6),"",'Quantification_Results'!B77)),""),IF(ISNUMBER('Quantification_Results'!C77),IF(('Quantification_Results'!C77&lt;'Quantification_Config'!$S$6),"",IF(('Quantification_Results'!C77&gt;'Quantification_Config'!$T$6),"",'Quantification_Results'!C77)),"")))</x:f>
        <x:v>5</x:v>
      </x:c>
      <x:c r="E77" t="n">
        <x:f>IF(ISNUMBER('Quantification_Results'!D77),IFERROR(ROUND(((('Quantification_Results'!D77-'Quantification_Config'!$S$6)/('Quantification_Config'!$T$6-'Quantification_Config'!$S$6))*100),'Quantification_Config'!$U$2),""),"")</x:f>
        <x:v>50</x:v>
      </x:c>
      <x:c r="F77" t="inlineStr">
        <x:is>
          <x:t xml:space="preserve">SYSTEM-TEST-ONLY-NO-NETWORK-NOT-AN-EDUCATIONAL-EVALUATION</x:t>
        </x:is>
      </x:c>
      <x:c r="G77" t="inlineStr">
        <x:is>
          <x:t xml:space="preserve"/>
        </x:is>
      </x:c>
      <x:c r="H77" t="inlineStr">
        <x:is>
          <x:t xml:space="preserve">NONE</x:t>
        </x:is>
      </x:c>
      <x:c r="I77" t="inlineStr">
        <x:is>
          <x:t xml:space="preserve"/>
        </x:is>
      </x:c>
      <x:c r="J77" t="inlineStr">
        <x:is>
          <x:t xml:space="preserve">SUCCESS</x:t>
        </x:is>
      </x:c>
      <x:c r="K77" t="n">
        <x:f>IF((COUNT('Quantification_Results'!E77)=1),IFERROR(ROUND((SUM(('Quantification_Results'!E77*'Quantification_Config'!$R$6))/SUM('Quantification_Config'!$R$6)),'Quantification_Config'!$U$2),""),"")</x:f>
        <x:v>50</x:v>
      </x:c>
      <x:c r="L77" t="n">
        <x:f>IF((COUNT('Quantification_Results'!K77)=1),IFERROR(ROUND((SUM(('Quantification_Results'!K77*'Quantification_Config'!$R$5))/SUM('Quantification_Config'!$R$5)),'Quantification_Config'!$U$2),""),"")</x:f>
        <x:v>50</x:v>
      </x:c>
      <x:c r="M77" t="n">
        <x:v>1</x:v>
      </x:c>
      <x:c r="N77" t="n">
        <x:v>5</x:v>
      </x:c>
      <x:c r="O77"/>
      <x:c r="P77" t="n">
        <x:f>IF(('Quantification_Results'!M77&lt;&gt;1),"",IF(('Quantification_Results'!O77=""),IF(ISNUMBER('Quantification_Results'!N77),IF(('Quantification_Results'!N77&lt;'Quantification_Config'!$S$9),"",IF(('Quantification_Results'!N77&gt;'Quantification_Config'!$T$9),"",'Quantification_Results'!N77)),""),IF(ISNUMBER('Quantification_Results'!O77),IF(('Quantification_Results'!O77&lt;'Quantification_Config'!$S$9),"",IF(('Quantification_Results'!O77&gt;'Quantification_Config'!$T$9),"",'Quantification_Results'!O77)),"")))</x:f>
        <x:v>5</x:v>
      </x:c>
      <x:c r="Q77" t="n">
        <x:f>IF(ISNUMBER('Quantification_Results'!P77),IFERROR(ROUND(((('Quantification_Results'!P77-'Quantification_Config'!$S$9)/('Quantification_Config'!$T$9-'Quantification_Config'!$S$9))*100),'Quantification_Config'!$U$2),""),"")</x:f>
        <x:v>50</x:v>
      </x:c>
      <x:c r="R77" t="inlineStr">
        <x:is>
          <x:t xml:space="preserve">SYSTEM-TEST-ONLY-NO-NETWORK-NOT-AN-EDUCATIONAL-EVALUATION</x:t>
        </x:is>
      </x:c>
      <x:c r="S77" t="inlineStr">
        <x:is>
          <x:t xml:space="preserve"/>
        </x:is>
      </x:c>
      <x:c r="T77" t="inlineStr">
        <x:is>
          <x:t xml:space="preserve">NONE</x:t>
        </x:is>
      </x:c>
      <x:c r="U77" t="inlineStr">
        <x:is>
          <x:t xml:space="preserve"/>
        </x:is>
      </x:c>
      <x:c r="V77" t="inlineStr">
        <x:is>
          <x:t xml:space="preserve">SUCCESS</x:t>
        </x:is>
      </x:c>
      <x:c r="W77" t="n">
        <x:f>IF((COUNT('Quantification_Results'!Q77)=1),IFERROR(ROUND((SUM(('Quantification_Results'!Q77*'Quantification_Config'!$R$9))/SUM('Quantification_Config'!$R$9)),'Quantification_Config'!$U$2),""),"")</x:f>
        <x:v>50</x:v>
      </x:c>
      <x:c r="X77" t="n">
        <x:f>IF((COUNT('Quantification_Results'!W77)=1),IFERROR(ROUND((SUM(('Quantification_Results'!W77*'Quantification_Config'!$R$8))/SUM('Quantification_Config'!$R$8)),'Quantification_Config'!$U$2),""),"")</x:f>
        <x:v>50</x:v>
      </x:c>
      <x:c r="Y77" t="n">
        <x:v>0</x:v>
      </x:c>
      <x:c r="Z77"/>
      <x:c r="AA77"/>
      <x:c r="AB77">
        <x:f>IF(('Quantification_Results'!Y77&lt;&gt;1),"",IF(('Quantification_Results'!AA77=""),IF(ISNUMBER('Quantification_Results'!Z77),IF(('Quantification_Results'!Z77&lt;'Quantification_Config'!$S$12),"",IF(('Quantification_Results'!Z77&gt;'Quantification_Config'!$T$12),"",'Quantification_Results'!Z77)),""),IF(ISNUMBER('Quantification_Results'!AA77),IF(('Quantification_Results'!AA77&lt;'Quantification_Config'!$S$12),"",IF(('Quantification_Results'!AA77&gt;'Quantification_Config'!$T$12),"",'Quantification_Results'!AA77)),"")))</x:f>
      </x:c>
      <x:c r="AC77">
        <x:f>IF(ISNUMBER('Quantification_Results'!AB77),IFERROR(ROUND(((('Quantification_Results'!AB77-'Quantification_Config'!$S$12)/('Quantification_Config'!$T$12-'Quantification_Config'!$S$12))*100),'Quantification_Config'!$U$2),""),"")</x:f>
      </x:c>
      <x:c r="AD77" t="inlineStr">
        <x:is>
          <x:t xml:space="preserve"/>
        </x:is>
      </x:c>
      <x:c r="AE77" t="inlineStr">
        <x:is>
          <x:t xml:space="preserve"/>
        </x:is>
      </x:c>
      <x:c r="AF77" t="inlineStr">
        <x:is>
          <x:t xml:space="preserve"/>
        </x:is>
      </x:c>
      <x:c r="AG77" t="inlineStr">
        <x:is>
          <x:t xml:space="preserve"/>
        </x:is>
      </x:c>
      <x:c r="AH77" t="inlineStr">
        <x:is>
          <x:t xml:space="preserve">EMPTY</x:t>
        </x:is>
      </x:c>
      <x:c r="AI77">
        <x:f>IF((COUNT('Quantification_Results'!AC77)=1),IFERROR(ROUND((SUM(('Quantification_Results'!AC77*'Quantification_Config'!$R$12))/SUM('Quantification_Config'!$R$12)),'Quantification_Config'!$U$2),""),"")</x:f>
      </x:c>
      <x:c r="AJ77">
        <x:f>IF((COUNT('Quantification_Results'!AI77)=1),IFERROR(ROUND((SUM(('Quantification_Results'!AI77*'Quantification_Config'!$R$11))/SUM('Quantification_Config'!$R$11)),'Quantification_Config'!$U$2),""),"")</x:f>
      </x:c>
      <x:c r="AK77" t="n">
        <x:v>1</x:v>
      </x:c>
      <x:c r="AL77" t="n">
        <x:v>5</x:v>
      </x:c>
      <x:c r="AM77"/>
      <x:c r="AN77" t="n">
        <x:f>IF(('Quantification_Results'!AK77&lt;&gt;1),"",IF(('Quantification_Results'!AM77=""),IF(ISNUMBER('Quantification_Results'!AL77),IF(('Quantification_Results'!AL77&lt;'Quantification_Config'!$S$15),"",IF(('Quantification_Results'!AL77&gt;'Quantification_Config'!$T$15),"",'Quantification_Results'!AL77)),""),IF(ISNUMBER('Quantification_Results'!AM77),IF(('Quantification_Results'!AM77&lt;'Quantification_Config'!$S$15),"",IF(('Quantification_Results'!AM77&gt;'Quantification_Config'!$T$15),"",'Quantification_Results'!AM77)),"")))</x:f>
        <x:v>5</x:v>
      </x:c>
      <x:c r="AO77" t="n">
        <x:f>IF(ISNUMBER('Quantification_Results'!AN77),IFERROR(ROUND(((('Quantification_Results'!AN77-'Quantification_Config'!$S$15)/('Quantification_Config'!$T$15-'Quantification_Config'!$S$15))*100),'Quantification_Config'!$U$2),""),"")</x:f>
        <x:v>50</x:v>
      </x:c>
      <x:c r="AP77" t="inlineStr">
        <x:is>
          <x:t xml:space="preserve">SYSTEM-TEST-ONLY-NO-NETWORK-NOT-AN-EDUCATIONAL-EVALUATION</x:t>
        </x:is>
      </x:c>
      <x:c r="AQ77" t="inlineStr">
        <x:is>
          <x:t xml:space="preserve"/>
        </x:is>
      </x:c>
      <x:c r="AR77" t="inlineStr">
        <x:is>
          <x:t xml:space="preserve">NONE</x:t>
        </x:is>
      </x:c>
      <x:c r="AS77" t="inlineStr">
        <x:is>
          <x:t xml:space="preserve"/>
        </x:is>
      </x:c>
      <x:c r="AT77" t="inlineStr">
        <x:is>
          <x:t xml:space="preserve">SUCCESS</x:t>
        </x:is>
      </x:c>
      <x:c r="AU77" t="n">
        <x:f>IF((COUNT('Quantification_Results'!AO77)=1),IFERROR(ROUND((SUM(('Quantification_Results'!AO77*'Quantification_Config'!$R$15))/SUM('Quantification_Config'!$R$15)),'Quantification_Config'!$U$2),""),"")</x:f>
        <x:v>50</x:v>
      </x:c>
      <x:c r="AV77" t="n">
        <x:f>IF((COUNT('Quantification_Results'!AU77)=1),IFERROR(ROUND((SUM(('Quantification_Results'!AU77*'Quantification_Config'!$R$14))/SUM('Quantification_Config'!$R$14)),'Quantification_Config'!$U$2),""),"")</x:f>
        <x:v>50</x:v>
      </x:c>
      <x:c r="AW77" t="n">
        <x:v>1</x:v>
      </x:c>
      <x:c r="AX77" t="n">
        <x:v>5</x:v>
      </x:c>
      <x:c r="AY77"/>
      <x:c r="AZ77" t="n">
        <x:f>IF(('Quantification_Results'!AW77&lt;&gt;1),"",IF(('Quantification_Results'!AY77=""),IF(ISNUMBER('Quantification_Results'!AX77),IF(('Quantification_Results'!AX77&lt;'Quantification_Config'!$S$19),"",IF(('Quantification_Results'!AX77&gt;'Quantification_Config'!$T$19),"",'Quantification_Results'!AX77)),""),IF(ISNUMBER('Quantification_Results'!AY77),IF(('Quantification_Results'!AY77&lt;'Quantification_Config'!$S$19),"",IF(('Quantification_Results'!AY77&gt;'Quantification_Config'!$T$19),"",'Quantification_Results'!AY77)),"")))</x:f>
        <x:v>5</x:v>
      </x:c>
      <x:c r="BA77" t="n">
        <x:f>IF(ISNUMBER('Quantification_Results'!AZ77),IFERROR(ROUND(((('Quantification_Results'!AZ77-'Quantification_Config'!$S$19)/('Quantification_Config'!$T$19-'Quantification_Config'!$S$19))*100),'Quantification_Config'!$U$2),""),"")</x:f>
        <x:v>50</x:v>
      </x:c>
      <x:c r="BB77" t="inlineStr">
        <x:is>
          <x:t xml:space="preserve">SYSTEM-TEST-ONLY-NO-NETWORK-NOT-AN-EDUCATIONAL-EVALUATION</x:t>
        </x:is>
      </x:c>
      <x:c r="BC77" t="inlineStr">
        <x:is>
          <x:t xml:space="preserve"/>
        </x:is>
      </x:c>
      <x:c r="BD77" t="inlineStr">
        <x:is>
          <x:t xml:space="preserve">NONE</x:t>
        </x:is>
      </x:c>
      <x:c r="BE77" t="inlineStr">
        <x:is>
          <x:t xml:space="preserve"/>
        </x:is>
      </x:c>
      <x:c r="BF77" t="inlineStr">
        <x:is>
          <x:t xml:space="preserve">SUCCESS</x:t>
        </x:is>
      </x:c>
      <x:c r="BG77" t="n">
        <x:f>IF((COUNT('Quantification_Results'!BA77)=1),IFERROR(ROUND((SUM(('Quantification_Results'!BA77*'Quantification_Config'!$R$19))/SUM('Quantification_Config'!$R$19)),'Quantification_Config'!$U$2),""),"")</x:f>
        <x:v>50</x:v>
      </x:c>
      <x:c r="BH77" t="n">
        <x:f>IF((COUNT('Quantification_Results'!BG77)=1),IFERROR(ROUND((SUM(('Quantification_Results'!BG77*'Quantification_Config'!$R$18))/SUM('Quantification_Config'!$R$18)),'Quantification_Config'!$U$2),""),"")</x:f>
        <x:v>50</x:v>
      </x:c>
      <x:c r="BI77">
        <x:f>IF((COUNT('Quantification_Results'!L77,'Quantification_Results'!X77,'Quantification_Results'!AJ77,'Quantification_Results'!AV77,'Quantification_Results'!BH77)=5),IFERROR(ROUND((SUM(('Quantification_Results'!L77*'Quantification_Config'!$R$4),('Quantification_Results'!X77*'Quantification_Config'!$R$7),('Quantification_Results'!AJ77*'Quantification_Config'!$R$10),('Quantification_Results'!AV77*'Quantification_Config'!$R$13),('Quantification_Results'!BH77*'Quantification_Config'!$R$16))/SUM('Quantification_Config'!$R$4,'Quantification_Config'!$R$7,'Quantification_Config'!$R$10,'Quantification_Config'!$R$13,'Quantification_Config'!$R$16)),'Quantification_Config'!$U$2),""),"")</x:f>
      </x:c>
    </x:row>
    <x:row r="78">
      <x:c r="A78" t="n">
        <x:v>1</x:v>
      </x:c>
      <x:c r="B78" t="n">
        <x:v>5</x:v>
      </x:c>
      <x:c r="C78"/>
      <x:c r="D78" t="n">
        <x:f>IF(('Quantification_Results'!A78&lt;&gt;1),"",IF(('Quantification_Results'!C78=""),IF(ISNUMBER('Quantification_Results'!B78),IF(('Quantification_Results'!B78&lt;'Quantification_Config'!$S$6),"",IF(('Quantification_Results'!B78&gt;'Quantification_Config'!$T$6),"",'Quantification_Results'!B78)),""),IF(ISNUMBER('Quantification_Results'!C78),IF(('Quantification_Results'!C78&lt;'Quantification_Config'!$S$6),"",IF(('Quantification_Results'!C78&gt;'Quantification_Config'!$T$6),"",'Quantification_Results'!C78)),"")))</x:f>
        <x:v>5</x:v>
      </x:c>
      <x:c r="E78" t="n">
        <x:f>IF(ISNUMBER('Quantification_Results'!D78),IFERROR(ROUND(((('Quantification_Results'!D78-'Quantification_Config'!$S$6)/('Quantification_Config'!$T$6-'Quantification_Config'!$S$6))*100),'Quantification_Config'!$U$2),""),"")</x:f>
        <x:v>50</x:v>
      </x:c>
      <x:c r="F78" t="inlineStr">
        <x:is>
          <x:t xml:space="preserve">SYSTEM-TEST-ONLY-NO-NETWORK-NOT-AN-EDUCATIONAL-EVALUATION</x:t>
        </x:is>
      </x:c>
      <x:c r="G78" t="inlineStr">
        <x:is>
          <x:t xml:space="preserve"/>
        </x:is>
      </x:c>
      <x:c r="H78" t="inlineStr">
        <x:is>
          <x:t xml:space="preserve">NONE</x:t>
        </x:is>
      </x:c>
      <x:c r="I78" t="inlineStr">
        <x:is>
          <x:t xml:space="preserve"/>
        </x:is>
      </x:c>
      <x:c r="J78" t="inlineStr">
        <x:is>
          <x:t xml:space="preserve">SUCCESS</x:t>
        </x:is>
      </x:c>
      <x:c r="K78" t="n">
        <x:f>IF((COUNT('Quantification_Results'!E78)=1),IFERROR(ROUND((SUM(('Quantification_Results'!E78*'Quantification_Config'!$R$6))/SUM('Quantification_Config'!$R$6)),'Quantification_Config'!$U$2),""),"")</x:f>
        <x:v>50</x:v>
      </x:c>
      <x:c r="L78" t="n">
        <x:f>IF((COUNT('Quantification_Results'!K78)=1),IFERROR(ROUND((SUM(('Quantification_Results'!K78*'Quantification_Config'!$R$5))/SUM('Quantification_Config'!$R$5)),'Quantification_Config'!$U$2),""),"")</x:f>
        <x:v>50</x:v>
      </x:c>
      <x:c r="M78" t="n">
        <x:v>1</x:v>
      </x:c>
      <x:c r="N78" t="n">
        <x:v>5</x:v>
      </x:c>
      <x:c r="O78"/>
      <x:c r="P78" t="n">
        <x:f>IF(('Quantification_Results'!M78&lt;&gt;1),"",IF(('Quantification_Results'!O78=""),IF(ISNUMBER('Quantification_Results'!N78),IF(('Quantification_Results'!N78&lt;'Quantification_Config'!$S$9),"",IF(('Quantification_Results'!N78&gt;'Quantification_Config'!$T$9),"",'Quantification_Results'!N78)),""),IF(ISNUMBER('Quantification_Results'!O78),IF(('Quantification_Results'!O78&lt;'Quantification_Config'!$S$9),"",IF(('Quantification_Results'!O78&gt;'Quantification_Config'!$T$9),"",'Quantification_Results'!O78)),"")))</x:f>
        <x:v>5</x:v>
      </x:c>
      <x:c r="Q78" t="n">
        <x:f>IF(ISNUMBER('Quantification_Results'!P78),IFERROR(ROUND(((('Quantification_Results'!P78-'Quantification_Config'!$S$9)/('Quantification_Config'!$T$9-'Quantification_Config'!$S$9))*100),'Quantification_Config'!$U$2),""),"")</x:f>
        <x:v>50</x:v>
      </x:c>
      <x:c r="R78" t="inlineStr">
        <x:is>
          <x:t xml:space="preserve">SYSTEM-TEST-ONLY-NO-NETWORK-NOT-AN-EDUCATIONAL-EVALUATION</x:t>
        </x:is>
      </x:c>
      <x:c r="S78" t="inlineStr">
        <x:is>
          <x:t xml:space="preserve"/>
        </x:is>
      </x:c>
      <x:c r="T78" t="inlineStr">
        <x:is>
          <x:t xml:space="preserve">NONE</x:t>
        </x:is>
      </x:c>
      <x:c r="U78" t="inlineStr">
        <x:is>
          <x:t xml:space="preserve"/>
        </x:is>
      </x:c>
      <x:c r="V78" t="inlineStr">
        <x:is>
          <x:t xml:space="preserve">SUCCESS</x:t>
        </x:is>
      </x:c>
      <x:c r="W78" t="n">
        <x:f>IF((COUNT('Quantification_Results'!Q78)=1),IFERROR(ROUND((SUM(('Quantification_Results'!Q78*'Quantification_Config'!$R$9))/SUM('Quantification_Config'!$R$9)),'Quantification_Config'!$U$2),""),"")</x:f>
        <x:v>50</x:v>
      </x:c>
      <x:c r="X78" t="n">
        <x:f>IF((COUNT('Quantification_Results'!W78)=1),IFERROR(ROUND((SUM(('Quantification_Results'!W78*'Quantification_Config'!$R$8))/SUM('Quantification_Config'!$R$8)),'Quantification_Config'!$U$2),""),"")</x:f>
        <x:v>50</x:v>
      </x:c>
      <x:c r="Y78" t="n">
        <x:v>0</x:v>
      </x:c>
      <x:c r="Z78"/>
      <x:c r="AA78"/>
      <x:c r="AB78">
        <x:f>IF(('Quantification_Results'!Y78&lt;&gt;1),"",IF(('Quantification_Results'!AA78=""),IF(ISNUMBER('Quantification_Results'!Z78),IF(('Quantification_Results'!Z78&lt;'Quantification_Config'!$S$12),"",IF(('Quantification_Results'!Z78&gt;'Quantification_Config'!$T$12),"",'Quantification_Results'!Z78)),""),IF(ISNUMBER('Quantification_Results'!AA78),IF(('Quantification_Results'!AA78&lt;'Quantification_Config'!$S$12),"",IF(('Quantification_Results'!AA78&gt;'Quantification_Config'!$T$12),"",'Quantification_Results'!AA78)),"")))</x:f>
      </x:c>
      <x:c r="AC78">
        <x:f>IF(ISNUMBER('Quantification_Results'!AB78),IFERROR(ROUND(((('Quantification_Results'!AB78-'Quantification_Config'!$S$12)/('Quantification_Config'!$T$12-'Quantification_Config'!$S$12))*100),'Quantification_Config'!$U$2),""),"")</x:f>
      </x:c>
      <x:c r="AD78" t="inlineStr">
        <x:is>
          <x:t xml:space="preserve"/>
        </x:is>
      </x:c>
      <x:c r="AE78" t="inlineStr">
        <x:is>
          <x:t xml:space="preserve"/>
        </x:is>
      </x:c>
      <x:c r="AF78" t="inlineStr">
        <x:is>
          <x:t xml:space="preserve"/>
        </x:is>
      </x:c>
      <x:c r="AG78" t="inlineStr">
        <x:is>
          <x:t xml:space="preserve"/>
        </x:is>
      </x:c>
      <x:c r="AH78" t="inlineStr">
        <x:is>
          <x:t xml:space="preserve">EMPTY</x:t>
        </x:is>
      </x:c>
      <x:c r="AI78">
        <x:f>IF((COUNT('Quantification_Results'!AC78)=1),IFERROR(ROUND((SUM(('Quantification_Results'!AC78*'Quantification_Config'!$R$12))/SUM('Quantification_Config'!$R$12)),'Quantification_Config'!$U$2),""),"")</x:f>
      </x:c>
      <x:c r="AJ78">
        <x:f>IF((COUNT('Quantification_Results'!AI78)=1),IFERROR(ROUND((SUM(('Quantification_Results'!AI78*'Quantification_Config'!$R$11))/SUM('Quantification_Config'!$R$11)),'Quantification_Config'!$U$2),""),"")</x:f>
      </x:c>
      <x:c r="AK78" t="n">
        <x:v>1</x:v>
      </x:c>
      <x:c r="AL78" t="n">
        <x:v>5</x:v>
      </x:c>
      <x:c r="AM78"/>
      <x:c r="AN78" t="n">
        <x:f>IF(('Quantification_Results'!AK78&lt;&gt;1),"",IF(('Quantification_Results'!AM78=""),IF(ISNUMBER('Quantification_Results'!AL78),IF(('Quantification_Results'!AL78&lt;'Quantification_Config'!$S$15),"",IF(('Quantification_Results'!AL78&gt;'Quantification_Config'!$T$15),"",'Quantification_Results'!AL78)),""),IF(ISNUMBER('Quantification_Results'!AM78),IF(('Quantification_Results'!AM78&lt;'Quantification_Config'!$S$15),"",IF(('Quantification_Results'!AM78&gt;'Quantification_Config'!$T$15),"",'Quantification_Results'!AM78)),"")))</x:f>
        <x:v>5</x:v>
      </x:c>
      <x:c r="AO78" t="n">
        <x:f>IF(ISNUMBER('Quantification_Results'!AN78),IFERROR(ROUND(((('Quantification_Results'!AN78-'Quantification_Config'!$S$15)/('Quantification_Config'!$T$15-'Quantification_Config'!$S$15))*100),'Quantification_Config'!$U$2),""),"")</x:f>
        <x:v>50</x:v>
      </x:c>
      <x:c r="AP78" t="inlineStr">
        <x:is>
          <x:t xml:space="preserve">SYSTEM-TEST-ONLY-NO-NETWORK-NOT-AN-EDUCATIONAL-EVALUATION</x:t>
        </x:is>
      </x:c>
      <x:c r="AQ78" t="inlineStr">
        <x:is>
          <x:t xml:space="preserve"/>
        </x:is>
      </x:c>
      <x:c r="AR78" t="inlineStr">
        <x:is>
          <x:t xml:space="preserve">NONE</x:t>
        </x:is>
      </x:c>
      <x:c r="AS78" t="inlineStr">
        <x:is>
          <x:t xml:space="preserve"/>
        </x:is>
      </x:c>
      <x:c r="AT78" t="inlineStr">
        <x:is>
          <x:t xml:space="preserve">SUCCESS</x:t>
        </x:is>
      </x:c>
      <x:c r="AU78" t="n">
        <x:f>IF((COUNT('Quantification_Results'!AO78)=1),IFERROR(ROUND((SUM(('Quantification_Results'!AO78*'Quantification_Config'!$R$15))/SUM('Quantification_Config'!$R$15)),'Quantification_Config'!$U$2),""),"")</x:f>
        <x:v>50</x:v>
      </x:c>
      <x:c r="AV78" t="n">
        <x:f>IF((COUNT('Quantification_Results'!AU78)=1),IFERROR(ROUND((SUM(('Quantification_Results'!AU78*'Quantification_Config'!$R$14))/SUM('Quantification_Config'!$R$14)),'Quantification_Config'!$U$2),""),"")</x:f>
        <x:v>50</x:v>
      </x:c>
      <x:c r="AW78" t="n">
        <x:v>1</x:v>
      </x:c>
      <x:c r="AX78" t="n">
        <x:v>5</x:v>
      </x:c>
      <x:c r="AY78"/>
      <x:c r="AZ78" t="n">
        <x:f>IF(('Quantification_Results'!AW78&lt;&gt;1),"",IF(('Quantification_Results'!AY78=""),IF(ISNUMBER('Quantification_Results'!AX78),IF(('Quantification_Results'!AX78&lt;'Quantification_Config'!$S$19),"",IF(('Quantification_Results'!AX78&gt;'Quantification_Config'!$T$19),"",'Quantification_Results'!AX78)),""),IF(ISNUMBER('Quantification_Results'!AY78),IF(('Quantification_Results'!AY78&lt;'Quantification_Config'!$S$19),"",IF(('Quantification_Results'!AY78&gt;'Quantification_Config'!$T$19),"",'Quantification_Results'!AY78)),"")))</x:f>
        <x:v>5</x:v>
      </x:c>
      <x:c r="BA78" t="n">
        <x:f>IF(ISNUMBER('Quantification_Results'!AZ78),IFERROR(ROUND(((('Quantification_Results'!AZ78-'Quantification_Config'!$S$19)/('Quantification_Config'!$T$19-'Quantification_Config'!$S$19))*100),'Quantification_Config'!$U$2),""),"")</x:f>
        <x:v>50</x:v>
      </x:c>
      <x:c r="BB78" t="inlineStr">
        <x:is>
          <x:t xml:space="preserve">SYSTEM-TEST-ONLY-NO-NETWORK-NOT-AN-EDUCATIONAL-EVALUATION</x:t>
        </x:is>
      </x:c>
      <x:c r="BC78" t="inlineStr">
        <x:is>
          <x:t xml:space="preserve"/>
        </x:is>
      </x:c>
      <x:c r="BD78" t="inlineStr">
        <x:is>
          <x:t xml:space="preserve">NONE</x:t>
        </x:is>
      </x:c>
      <x:c r="BE78" t="inlineStr">
        <x:is>
          <x:t xml:space="preserve"/>
        </x:is>
      </x:c>
      <x:c r="BF78" t="inlineStr">
        <x:is>
          <x:t xml:space="preserve">SUCCESS</x:t>
        </x:is>
      </x:c>
      <x:c r="BG78" t="n">
        <x:f>IF((COUNT('Quantification_Results'!BA78)=1),IFERROR(ROUND((SUM(('Quantification_Results'!BA78*'Quantification_Config'!$R$19))/SUM('Quantification_Config'!$R$19)),'Quantification_Config'!$U$2),""),"")</x:f>
        <x:v>50</x:v>
      </x:c>
      <x:c r="BH78" t="n">
        <x:f>IF((COUNT('Quantification_Results'!BG78)=1),IFERROR(ROUND((SUM(('Quantification_Results'!BG78*'Quantification_Config'!$R$18))/SUM('Quantification_Config'!$R$18)),'Quantification_Config'!$U$2),""),"")</x:f>
        <x:v>50</x:v>
      </x:c>
      <x:c r="BI78">
        <x:f>IF((COUNT('Quantification_Results'!L78,'Quantification_Results'!X78,'Quantification_Results'!AJ78,'Quantification_Results'!AV78,'Quantification_Results'!BH78)=5),IFERROR(ROUND((SUM(('Quantification_Results'!L78*'Quantification_Config'!$R$4),('Quantification_Results'!X78*'Quantification_Config'!$R$7),('Quantification_Results'!AJ78*'Quantification_Config'!$R$10),('Quantification_Results'!AV78*'Quantification_Config'!$R$13),('Quantification_Results'!BH78*'Quantification_Config'!$R$16))/SUM('Quantification_Config'!$R$4,'Quantification_Config'!$R$7,'Quantification_Config'!$R$10,'Quantification_Config'!$R$13,'Quantification_Config'!$R$16)),'Quantification_Config'!$U$2),""),"")</x:f>
      </x:c>
    </x:row>
    <x:row r="79">
      <x:c r="A79" t="n">
        <x:v>1</x:v>
      </x:c>
      <x:c r="B79" t="n">
        <x:v>5</x:v>
      </x:c>
      <x:c r="C79"/>
      <x:c r="D79" t="n">
        <x:f>IF(('Quantification_Results'!A79&lt;&gt;1),"",IF(('Quantification_Results'!C79=""),IF(ISNUMBER('Quantification_Results'!B79),IF(('Quantification_Results'!B79&lt;'Quantification_Config'!$S$6),"",IF(('Quantification_Results'!B79&gt;'Quantification_Config'!$T$6),"",'Quantification_Results'!B79)),""),IF(ISNUMBER('Quantification_Results'!C79),IF(('Quantification_Results'!C79&lt;'Quantification_Config'!$S$6),"",IF(('Quantification_Results'!C79&gt;'Quantification_Config'!$T$6),"",'Quantification_Results'!C79)),"")))</x:f>
        <x:v>5</x:v>
      </x:c>
      <x:c r="E79" t="n">
        <x:f>IF(ISNUMBER('Quantification_Results'!D79),IFERROR(ROUND(((('Quantification_Results'!D79-'Quantification_Config'!$S$6)/('Quantification_Config'!$T$6-'Quantification_Config'!$S$6))*100),'Quantification_Config'!$U$2),""),"")</x:f>
        <x:v>50</x:v>
      </x:c>
      <x:c r="F79" t="inlineStr">
        <x:is>
          <x:t xml:space="preserve">SYSTEM-TEST-ONLY-NO-NETWORK-NOT-AN-EDUCATIONAL-EVALUATION</x:t>
        </x:is>
      </x:c>
      <x:c r="G79" t="inlineStr">
        <x:is>
          <x:t xml:space="preserve"/>
        </x:is>
      </x:c>
      <x:c r="H79" t="inlineStr">
        <x:is>
          <x:t xml:space="preserve">NONE</x:t>
        </x:is>
      </x:c>
      <x:c r="I79" t="inlineStr">
        <x:is>
          <x:t xml:space="preserve"/>
        </x:is>
      </x:c>
      <x:c r="J79" t="inlineStr">
        <x:is>
          <x:t xml:space="preserve">SUCCESS</x:t>
        </x:is>
      </x:c>
      <x:c r="K79" t="n">
        <x:f>IF((COUNT('Quantification_Results'!E79)=1),IFERROR(ROUND((SUM(('Quantification_Results'!E79*'Quantification_Config'!$R$6))/SUM('Quantification_Config'!$R$6)),'Quantification_Config'!$U$2),""),"")</x:f>
        <x:v>50</x:v>
      </x:c>
      <x:c r="L79" t="n">
        <x:f>IF((COUNT('Quantification_Results'!K79)=1),IFERROR(ROUND((SUM(('Quantification_Results'!K79*'Quantification_Config'!$R$5))/SUM('Quantification_Config'!$R$5)),'Quantification_Config'!$U$2),""),"")</x:f>
        <x:v>50</x:v>
      </x:c>
      <x:c r="M79" t="n">
        <x:v>1</x:v>
      </x:c>
      <x:c r="N79" t="n">
        <x:v>5</x:v>
      </x:c>
      <x:c r="O79"/>
      <x:c r="P79" t="n">
        <x:f>IF(('Quantification_Results'!M79&lt;&gt;1),"",IF(('Quantification_Results'!O79=""),IF(ISNUMBER('Quantification_Results'!N79),IF(('Quantification_Results'!N79&lt;'Quantification_Config'!$S$9),"",IF(('Quantification_Results'!N79&gt;'Quantification_Config'!$T$9),"",'Quantification_Results'!N79)),""),IF(ISNUMBER('Quantification_Results'!O79),IF(('Quantification_Results'!O79&lt;'Quantification_Config'!$S$9),"",IF(('Quantification_Results'!O79&gt;'Quantification_Config'!$T$9),"",'Quantification_Results'!O79)),"")))</x:f>
        <x:v>5</x:v>
      </x:c>
      <x:c r="Q79" t="n">
        <x:f>IF(ISNUMBER('Quantification_Results'!P79),IFERROR(ROUND(((('Quantification_Results'!P79-'Quantification_Config'!$S$9)/('Quantification_Config'!$T$9-'Quantification_Config'!$S$9))*100),'Quantification_Config'!$U$2),""),"")</x:f>
        <x:v>50</x:v>
      </x:c>
      <x:c r="R79" t="inlineStr">
        <x:is>
          <x:t xml:space="preserve">SYSTEM-TEST-ONLY-NO-NETWORK-NOT-AN-EDUCATIONAL-EVALUATION</x:t>
        </x:is>
      </x:c>
      <x:c r="S79" t="inlineStr">
        <x:is>
          <x:t xml:space="preserve"/>
        </x:is>
      </x:c>
      <x:c r="T79" t="inlineStr">
        <x:is>
          <x:t xml:space="preserve">NONE</x:t>
        </x:is>
      </x:c>
      <x:c r="U79" t="inlineStr">
        <x:is>
          <x:t xml:space="preserve"/>
        </x:is>
      </x:c>
      <x:c r="V79" t="inlineStr">
        <x:is>
          <x:t xml:space="preserve">SUCCESS</x:t>
        </x:is>
      </x:c>
      <x:c r="W79" t="n">
        <x:f>IF((COUNT('Quantification_Results'!Q79)=1),IFERROR(ROUND((SUM(('Quantification_Results'!Q79*'Quantification_Config'!$R$9))/SUM('Quantification_Config'!$R$9)),'Quantification_Config'!$U$2),""),"")</x:f>
        <x:v>50</x:v>
      </x:c>
      <x:c r="X79" t="n">
        <x:f>IF((COUNT('Quantification_Results'!W79)=1),IFERROR(ROUND((SUM(('Quantification_Results'!W79*'Quantification_Config'!$R$8))/SUM('Quantification_Config'!$R$8)),'Quantification_Config'!$U$2),""),"")</x:f>
        <x:v>50</x:v>
      </x:c>
      <x:c r="Y79" t="n">
        <x:v>0</x:v>
      </x:c>
      <x:c r="Z79"/>
      <x:c r="AA79"/>
      <x:c r="AB79">
        <x:f>IF(('Quantification_Results'!Y79&lt;&gt;1),"",IF(('Quantification_Results'!AA79=""),IF(ISNUMBER('Quantification_Results'!Z79),IF(('Quantification_Results'!Z79&lt;'Quantification_Config'!$S$12),"",IF(('Quantification_Results'!Z79&gt;'Quantification_Config'!$T$12),"",'Quantification_Results'!Z79)),""),IF(ISNUMBER('Quantification_Results'!AA79),IF(('Quantification_Results'!AA79&lt;'Quantification_Config'!$S$12),"",IF(('Quantification_Results'!AA79&gt;'Quantification_Config'!$T$12),"",'Quantification_Results'!AA79)),"")))</x:f>
      </x:c>
      <x:c r="AC79">
        <x:f>IF(ISNUMBER('Quantification_Results'!AB79),IFERROR(ROUND(((('Quantification_Results'!AB79-'Quantification_Config'!$S$12)/('Quantification_Config'!$T$12-'Quantification_Config'!$S$12))*100),'Quantification_Config'!$U$2),""),"")</x:f>
      </x:c>
      <x:c r="AD79" t="inlineStr">
        <x:is>
          <x:t xml:space="preserve"/>
        </x:is>
      </x:c>
      <x:c r="AE79" t="inlineStr">
        <x:is>
          <x:t xml:space="preserve"/>
        </x:is>
      </x:c>
      <x:c r="AF79" t="inlineStr">
        <x:is>
          <x:t xml:space="preserve"/>
        </x:is>
      </x:c>
      <x:c r="AG79" t="inlineStr">
        <x:is>
          <x:t xml:space="preserve"/>
        </x:is>
      </x:c>
      <x:c r="AH79" t="inlineStr">
        <x:is>
          <x:t xml:space="preserve">EMPTY</x:t>
        </x:is>
      </x:c>
      <x:c r="AI79">
        <x:f>IF((COUNT('Quantification_Results'!AC79)=1),IFERROR(ROUND((SUM(('Quantification_Results'!AC79*'Quantification_Config'!$R$12))/SUM('Quantification_Config'!$R$12)),'Quantification_Config'!$U$2),""),"")</x:f>
      </x:c>
      <x:c r="AJ79">
        <x:f>IF((COUNT('Quantification_Results'!AI79)=1),IFERROR(ROUND((SUM(('Quantification_Results'!AI79*'Quantification_Config'!$R$11))/SUM('Quantification_Config'!$R$11)),'Quantification_Config'!$U$2),""),"")</x:f>
      </x:c>
      <x:c r="AK79" t="n">
        <x:v>1</x:v>
      </x:c>
      <x:c r="AL79" t="n">
        <x:v>5</x:v>
      </x:c>
      <x:c r="AM79"/>
      <x:c r="AN79" t="n">
        <x:f>IF(('Quantification_Results'!AK79&lt;&gt;1),"",IF(('Quantification_Results'!AM79=""),IF(ISNUMBER('Quantification_Results'!AL79),IF(('Quantification_Results'!AL79&lt;'Quantification_Config'!$S$15),"",IF(('Quantification_Results'!AL79&gt;'Quantification_Config'!$T$15),"",'Quantification_Results'!AL79)),""),IF(ISNUMBER('Quantification_Results'!AM79),IF(('Quantification_Results'!AM79&lt;'Quantification_Config'!$S$15),"",IF(('Quantification_Results'!AM79&gt;'Quantification_Config'!$T$15),"",'Quantification_Results'!AM79)),"")))</x:f>
        <x:v>5</x:v>
      </x:c>
      <x:c r="AO79" t="n">
        <x:f>IF(ISNUMBER('Quantification_Results'!AN79),IFERROR(ROUND(((('Quantification_Results'!AN79-'Quantification_Config'!$S$15)/('Quantification_Config'!$T$15-'Quantification_Config'!$S$15))*100),'Quantification_Config'!$U$2),""),"")</x:f>
        <x:v>50</x:v>
      </x:c>
      <x:c r="AP79" t="inlineStr">
        <x:is>
          <x:t xml:space="preserve">SYSTEM-TEST-ONLY-NO-NETWORK-NOT-AN-EDUCATIONAL-EVALUATION</x:t>
        </x:is>
      </x:c>
      <x:c r="AQ79" t="inlineStr">
        <x:is>
          <x:t xml:space="preserve"/>
        </x:is>
      </x:c>
      <x:c r="AR79" t="inlineStr">
        <x:is>
          <x:t xml:space="preserve">NONE</x:t>
        </x:is>
      </x:c>
      <x:c r="AS79" t="inlineStr">
        <x:is>
          <x:t xml:space="preserve"/>
        </x:is>
      </x:c>
      <x:c r="AT79" t="inlineStr">
        <x:is>
          <x:t xml:space="preserve">SUCCESS</x:t>
        </x:is>
      </x:c>
      <x:c r="AU79" t="n">
        <x:f>IF((COUNT('Quantification_Results'!AO79)=1),IFERROR(ROUND((SUM(('Quantification_Results'!AO79*'Quantification_Config'!$R$15))/SUM('Quantification_Config'!$R$15)),'Quantification_Config'!$U$2),""),"")</x:f>
        <x:v>50</x:v>
      </x:c>
      <x:c r="AV79" t="n">
        <x:f>IF((COUNT('Quantification_Results'!AU79)=1),IFERROR(ROUND((SUM(('Quantification_Results'!AU79*'Quantification_Config'!$R$14))/SUM('Quantification_Config'!$R$14)),'Quantification_Config'!$U$2),""),"")</x:f>
        <x:v>50</x:v>
      </x:c>
      <x:c r="AW79" t="n">
        <x:v>1</x:v>
      </x:c>
      <x:c r="AX79" t="n">
        <x:v>5</x:v>
      </x:c>
      <x:c r="AY79"/>
      <x:c r="AZ79" t="n">
        <x:f>IF(('Quantification_Results'!AW79&lt;&gt;1),"",IF(('Quantification_Results'!AY79=""),IF(ISNUMBER('Quantification_Results'!AX79),IF(('Quantification_Results'!AX79&lt;'Quantification_Config'!$S$19),"",IF(('Quantification_Results'!AX79&gt;'Quantification_Config'!$T$19),"",'Quantification_Results'!AX79)),""),IF(ISNUMBER('Quantification_Results'!AY79),IF(('Quantification_Results'!AY79&lt;'Quantification_Config'!$S$19),"",IF(('Quantification_Results'!AY79&gt;'Quantification_Config'!$T$19),"",'Quantification_Results'!AY79)),"")))</x:f>
        <x:v>5</x:v>
      </x:c>
      <x:c r="BA79" t="n">
        <x:f>IF(ISNUMBER('Quantification_Results'!AZ79),IFERROR(ROUND(((('Quantification_Results'!AZ79-'Quantification_Config'!$S$19)/('Quantification_Config'!$T$19-'Quantification_Config'!$S$19))*100),'Quantification_Config'!$U$2),""),"")</x:f>
        <x:v>50</x:v>
      </x:c>
      <x:c r="BB79" t="inlineStr">
        <x:is>
          <x:t xml:space="preserve">SYSTEM-TEST-ONLY-NO-NETWORK-NOT-AN-EDUCATIONAL-EVALUATION</x:t>
        </x:is>
      </x:c>
      <x:c r="BC79" t="inlineStr">
        <x:is>
          <x:t xml:space="preserve"/>
        </x:is>
      </x:c>
      <x:c r="BD79" t="inlineStr">
        <x:is>
          <x:t xml:space="preserve">NONE</x:t>
        </x:is>
      </x:c>
      <x:c r="BE79" t="inlineStr">
        <x:is>
          <x:t xml:space="preserve"/>
        </x:is>
      </x:c>
      <x:c r="BF79" t="inlineStr">
        <x:is>
          <x:t xml:space="preserve">SUCCESS</x:t>
        </x:is>
      </x:c>
      <x:c r="BG79" t="n">
        <x:f>IF((COUNT('Quantification_Results'!BA79)=1),IFERROR(ROUND((SUM(('Quantification_Results'!BA79*'Quantification_Config'!$R$19))/SUM('Quantification_Config'!$R$19)),'Quantification_Config'!$U$2),""),"")</x:f>
        <x:v>50</x:v>
      </x:c>
      <x:c r="BH79" t="n">
        <x:f>IF((COUNT('Quantification_Results'!BG79)=1),IFERROR(ROUND((SUM(('Quantification_Results'!BG79*'Quantification_Config'!$R$18))/SUM('Quantification_Config'!$R$18)),'Quantification_Config'!$U$2),""),"")</x:f>
        <x:v>50</x:v>
      </x:c>
      <x:c r="BI79">
        <x:f>IF((COUNT('Quantification_Results'!L79,'Quantification_Results'!X79,'Quantification_Results'!AJ79,'Quantification_Results'!AV79,'Quantification_Results'!BH79)=5),IFERROR(ROUND((SUM(('Quantification_Results'!L79*'Quantification_Config'!$R$4),('Quantification_Results'!X79*'Quantification_Config'!$R$7),('Quantification_Results'!AJ79*'Quantification_Config'!$R$10),('Quantification_Results'!AV79*'Quantification_Config'!$R$13),('Quantification_Results'!BH79*'Quantification_Config'!$R$16))/SUM('Quantification_Config'!$R$4,'Quantification_Config'!$R$7,'Quantification_Config'!$R$10,'Quantification_Config'!$R$13,'Quantification_Config'!$R$16)),'Quantification_Config'!$U$2),""),"")</x:f>
      </x:c>
    </x:row>
    <x:row r="80">
      <x:c r="A80" t="n">
        <x:v>1</x:v>
      </x:c>
      <x:c r="B80" t="n">
        <x:v>5</x:v>
      </x:c>
      <x:c r="C80"/>
      <x:c r="D80" t="n">
        <x:f>IF(('Quantification_Results'!A80&lt;&gt;1),"",IF(('Quantification_Results'!C80=""),IF(ISNUMBER('Quantification_Results'!B80),IF(('Quantification_Results'!B80&lt;'Quantification_Config'!$S$6),"",IF(('Quantification_Results'!B80&gt;'Quantification_Config'!$T$6),"",'Quantification_Results'!B80)),""),IF(ISNUMBER('Quantification_Results'!C80),IF(('Quantification_Results'!C80&lt;'Quantification_Config'!$S$6),"",IF(('Quantification_Results'!C80&gt;'Quantification_Config'!$T$6),"",'Quantification_Results'!C80)),"")))</x:f>
        <x:v>5</x:v>
      </x:c>
      <x:c r="E80" t="n">
        <x:f>IF(ISNUMBER('Quantification_Results'!D80),IFERROR(ROUND(((('Quantification_Results'!D80-'Quantification_Config'!$S$6)/('Quantification_Config'!$T$6-'Quantification_Config'!$S$6))*100),'Quantification_Config'!$U$2),""),"")</x:f>
        <x:v>50</x:v>
      </x:c>
      <x:c r="F80" t="inlineStr">
        <x:is>
          <x:t xml:space="preserve">SYSTEM-TEST-ONLY-NO-NETWORK-NOT-AN-EDUCATIONAL-EVALUATION</x:t>
        </x:is>
      </x:c>
      <x:c r="G80" t="inlineStr">
        <x:is>
          <x:t xml:space="preserve"/>
        </x:is>
      </x:c>
      <x:c r="H80" t="inlineStr">
        <x:is>
          <x:t xml:space="preserve">NONE</x:t>
        </x:is>
      </x:c>
      <x:c r="I80" t="inlineStr">
        <x:is>
          <x:t xml:space="preserve"/>
        </x:is>
      </x:c>
      <x:c r="J80" t="inlineStr">
        <x:is>
          <x:t xml:space="preserve">SUCCESS</x:t>
        </x:is>
      </x:c>
      <x:c r="K80" t="n">
        <x:f>IF((COUNT('Quantification_Results'!E80)=1),IFERROR(ROUND((SUM(('Quantification_Results'!E80*'Quantification_Config'!$R$6))/SUM('Quantification_Config'!$R$6)),'Quantification_Config'!$U$2),""),"")</x:f>
        <x:v>50</x:v>
      </x:c>
      <x:c r="L80" t="n">
        <x:f>IF((COUNT('Quantification_Results'!K80)=1),IFERROR(ROUND((SUM(('Quantification_Results'!K80*'Quantification_Config'!$R$5))/SUM('Quantification_Config'!$R$5)),'Quantification_Config'!$U$2),""),"")</x:f>
        <x:v>50</x:v>
      </x:c>
      <x:c r="M80" t="n">
        <x:v>1</x:v>
      </x:c>
      <x:c r="N80" t="n">
        <x:v>5</x:v>
      </x:c>
      <x:c r="O80"/>
      <x:c r="P80" t="n">
        <x:f>IF(('Quantification_Results'!M80&lt;&gt;1),"",IF(('Quantification_Results'!O80=""),IF(ISNUMBER('Quantification_Results'!N80),IF(('Quantification_Results'!N80&lt;'Quantification_Config'!$S$9),"",IF(('Quantification_Results'!N80&gt;'Quantification_Config'!$T$9),"",'Quantification_Results'!N80)),""),IF(ISNUMBER('Quantification_Results'!O80),IF(('Quantification_Results'!O80&lt;'Quantification_Config'!$S$9),"",IF(('Quantification_Results'!O80&gt;'Quantification_Config'!$T$9),"",'Quantification_Results'!O80)),"")))</x:f>
        <x:v>5</x:v>
      </x:c>
      <x:c r="Q80" t="n">
        <x:f>IF(ISNUMBER('Quantification_Results'!P80),IFERROR(ROUND(((('Quantification_Results'!P80-'Quantification_Config'!$S$9)/('Quantification_Config'!$T$9-'Quantification_Config'!$S$9))*100),'Quantification_Config'!$U$2),""),"")</x:f>
        <x:v>50</x:v>
      </x:c>
      <x:c r="R80" t="inlineStr">
        <x:is>
          <x:t xml:space="preserve">SYSTEM-TEST-ONLY-NO-NETWORK-NOT-AN-EDUCATIONAL-EVALUATION</x:t>
        </x:is>
      </x:c>
      <x:c r="S80" t="inlineStr">
        <x:is>
          <x:t xml:space="preserve"/>
        </x:is>
      </x:c>
      <x:c r="T80" t="inlineStr">
        <x:is>
          <x:t xml:space="preserve">NONE</x:t>
        </x:is>
      </x:c>
      <x:c r="U80" t="inlineStr">
        <x:is>
          <x:t xml:space="preserve"/>
        </x:is>
      </x:c>
      <x:c r="V80" t="inlineStr">
        <x:is>
          <x:t xml:space="preserve">SUCCESS</x:t>
        </x:is>
      </x:c>
      <x:c r="W80" t="n">
        <x:f>IF((COUNT('Quantification_Results'!Q80)=1),IFERROR(ROUND((SUM(('Quantification_Results'!Q80*'Quantification_Config'!$R$9))/SUM('Quantification_Config'!$R$9)),'Quantification_Config'!$U$2),""),"")</x:f>
        <x:v>50</x:v>
      </x:c>
      <x:c r="X80" t="n">
        <x:f>IF((COUNT('Quantification_Results'!W80)=1),IFERROR(ROUND((SUM(('Quantification_Results'!W80*'Quantification_Config'!$R$8))/SUM('Quantification_Config'!$R$8)),'Quantification_Config'!$U$2),""),"")</x:f>
        <x:v>50</x:v>
      </x:c>
      <x:c r="Y80" t="n">
        <x:v>0</x:v>
      </x:c>
      <x:c r="Z80"/>
      <x:c r="AA80"/>
      <x:c r="AB80">
        <x:f>IF(('Quantification_Results'!Y80&lt;&gt;1),"",IF(('Quantification_Results'!AA80=""),IF(ISNUMBER('Quantification_Results'!Z80),IF(('Quantification_Results'!Z80&lt;'Quantification_Config'!$S$12),"",IF(('Quantification_Results'!Z80&gt;'Quantification_Config'!$T$12),"",'Quantification_Results'!Z80)),""),IF(ISNUMBER('Quantification_Results'!AA80),IF(('Quantification_Results'!AA80&lt;'Quantification_Config'!$S$12),"",IF(('Quantification_Results'!AA80&gt;'Quantification_Config'!$T$12),"",'Quantification_Results'!AA80)),"")))</x:f>
      </x:c>
      <x:c r="AC80">
        <x:f>IF(ISNUMBER('Quantification_Results'!AB80),IFERROR(ROUND(((('Quantification_Results'!AB80-'Quantification_Config'!$S$12)/('Quantification_Config'!$T$12-'Quantification_Config'!$S$12))*100),'Quantification_Config'!$U$2),""),"")</x:f>
      </x:c>
      <x:c r="AD80" t="inlineStr">
        <x:is>
          <x:t xml:space="preserve"/>
        </x:is>
      </x:c>
      <x:c r="AE80" t="inlineStr">
        <x:is>
          <x:t xml:space="preserve"/>
        </x:is>
      </x:c>
      <x:c r="AF80" t="inlineStr">
        <x:is>
          <x:t xml:space="preserve"/>
        </x:is>
      </x:c>
      <x:c r="AG80" t="inlineStr">
        <x:is>
          <x:t xml:space="preserve"/>
        </x:is>
      </x:c>
      <x:c r="AH80" t="inlineStr">
        <x:is>
          <x:t xml:space="preserve">EMPTY</x:t>
        </x:is>
      </x:c>
      <x:c r="AI80">
        <x:f>IF((COUNT('Quantification_Results'!AC80)=1),IFERROR(ROUND((SUM(('Quantification_Results'!AC80*'Quantification_Config'!$R$12))/SUM('Quantification_Config'!$R$12)),'Quantification_Config'!$U$2),""),"")</x:f>
      </x:c>
      <x:c r="AJ80">
        <x:f>IF((COUNT('Quantification_Results'!AI80)=1),IFERROR(ROUND((SUM(('Quantification_Results'!AI80*'Quantification_Config'!$R$11))/SUM('Quantification_Config'!$R$11)),'Quantification_Config'!$U$2),""),"")</x:f>
      </x:c>
      <x:c r="AK80" t="n">
        <x:v>1</x:v>
      </x:c>
      <x:c r="AL80" t="n">
        <x:v>5</x:v>
      </x:c>
      <x:c r="AM80"/>
      <x:c r="AN80" t="n">
        <x:f>IF(('Quantification_Results'!AK80&lt;&gt;1),"",IF(('Quantification_Results'!AM80=""),IF(ISNUMBER('Quantification_Results'!AL80),IF(('Quantification_Results'!AL80&lt;'Quantification_Config'!$S$15),"",IF(('Quantification_Results'!AL80&gt;'Quantification_Config'!$T$15),"",'Quantification_Results'!AL80)),""),IF(ISNUMBER('Quantification_Results'!AM80),IF(('Quantification_Results'!AM80&lt;'Quantification_Config'!$S$15),"",IF(('Quantification_Results'!AM80&gt;'Quantification_Config'!$T$15),"",'Quantification_Results'!AM80)),"")))</x:f>
        <x:v>5</x:v>
      </x:c>
      <x:c r="AO80" t="n">
        <x:f>IF(ISNUMBER('Quantification_Results'!AN80),IFERROR(ROUND(((('Quantification_Results'!AN80-'Quantification_Config'!$S$15)/('Quantification_Config'!$T$15-'Quantification_Config'!$S$15))*100),'Quantification_Config'!$U$2),""),"")</x:f>
        <x:v>50</x:v>
      </x:c>
      <x:c r="AP80" t="inlineStr">
        <x:is>
          <x:t xml:space="preserve">SYSTEM-TEST-ONLY-NO-NETWORK-NOT-AN-EDUCATIONAL-EVALUATION</x:t>
        </x:is>
      </x:c>
      <x:c r="AQ80" t="inlineStr">
        <x:is>
          <x:t xml:space="preserve"/>
        </x:is>
      </x:c>
      <x:c r="AR80" t="inlineStr">
        <x:is>
          <x:t xml:space="preserve">NONE</x:t>
        </x:is>
      </x:c>
      <x:c r="AS80" t="inlineStr">
        <x:is>
          <x:t xml:space="preserve"/>
        </x:is>
      </x:c>
      <x:c r="AT80" t="inlineStr">
        <x:is>
          <x:t xml:space="preserve">SUCCESS</x:t>
        </x:is>
      </x:c>
      <x:c r="AU80" t="n">
        <x:f>IF((COUNT('Quantification_Results'!AO80)=1),IFERROR(ROUND((SUM(('Quantification_Results'!AO80*'Quantification_Config'!$R$15))/SUM('Quantification_Config'!$R$15)),'Quantification_Config'!$U$2),""),"")</x:f>
        <x:v>50</x:v>
      </x:c>
      <x:c r="AV80" t="n">
        <x:f>IF((COUNT('Quantification_Results'!AU80)=1),IFERROR(ROUND((SUM(('Quantification_Results'!AU80*'Quantification_Config'!$R$14))/SUM('Quantification_Config'!$R$14)),'Quantification_Config'!$U$2),""),"")</x:f>
        <x:v>50</x:v>
      </x:c>
      <x:c r="AW80" t="n">
        <x:v>0</x:v>
      </x:c>
      <x:c r="AX80"/>
      <x:c r="AY80"/>
      <x:c r="AZ80">
        <x:f>IF(('Quantification_Results'!AW80&lt;&gt;1),"",IF(('Quantification_Results'!AY80=""),IF(ISNUMBER('Quantification_Results'!AX80),IF(('Quantification_Results'!AX80&lt;'Quantification_Config'!$S$19),"",IF(('Quantification_Results'!AX80&gt;'Quantification_Config'!$T$19),"",'Quantification_Results'!AX80)),""),IF(ISNUMBER('Quantification_Results'!AY80),IF(('Quantification_Results'!AY80&lt;'Quantification_Config'!$S$19),"",IF(('Quantification_Results'!AY80&gt;'Quantification_Config'!$T$19),"",'Quantification_Results'!AY80)),"")))</x:f>
      </x:c>
      <x:c r="BA80">
        <x:f>IF(ISNUMBER('Quantification_Results'!AZ80),IFERROR(ROUND(((('Quantification_Results'!AZ80-'Quantification_Config'!$S$19)/('Quantification_Config'!$T$19-'Quantification_Config'!$S$19))*100),'Quantification_Config'!$U$2),""),"")</x:f>
      </x:c>
      <x:c r="BB80" t="inlineStr">
        <x:is>
          <x:t xml:space="preserve"/>
        </x:is>
      </x:c>
      <x:c r="BC80" t="inlineStr">
        <x:is>
          <x:t xml:space="preserve"/>
        </x:is>
      </x:c>
      <x:c r="BD80" t="inlineStr">
        <x:is>
          <x:t xml:space="preserve"/>
        </x:is>
      </x:c>
      <x:c r="BE80" t="inlineStr">
        <x:is>
          <x:t xml:space="preserve"/>
        </x:is>
      </x:c>
      <x:c r="BF80" t="inlineStr">
        <x:is>
          <x:t xml:space="preserve">EMPTY</x:t>
        </x:is>
      </x:c>
      <x:c r="BG80">
        <x:f>IF((COUNT('Quantification_Results'!BA80)=1),IFERROR(ROUND((SUM(('Quantification_Results'!BA80*'Quantification_Config'!$R$19))/SUM('Quantification_Config'!$R$19)),'Quantification_Config'!$U$2),""),"")</x:f>
      </x:c>
      <x:c r="BH80">
        <x:f>IF((COUNT('Quantification_Results'!BG80)=1),IFERROR(ROUND((SUM(('Quantification_Results'!BG80*'Quantification_Config'!$R$18))/SUM('Quantification_Config'!$R$18)),'Quantification_Config'!$U$2),""),"")</x:f>
      </x:c>
      <x:c r="BI80">
        <x:f>IF((COUNT('Quantification_Results'!L80,'Quantification_Results'!X80,'Quantification_Results'!AJ80,'Quantification_Results'!AV80,'Quantification_Results'!BH80)=5),IFERROR(ROUND((SUM(('Quantification_Results'!L80*'Quantification_Config'!$R$4),('Quantification_Results'!X80*'Quantification_Config'!$R$7),('Quantification_Results'!AJ80*'Quantification_Config'!$R$10),('Quantification_Results'!AV80*'Quantification_Config'!$R$13),('Quantification_Results'!BH80*'Quantification_Config'!$R$16))/SUM('Quantification_Config'!$R$4,'Quantification_Config'!$R$7,'Quantification_Config'!$R$10,'Quantification_Config'!$R$13,'Quantification_Config'!$R$16)),'Quantification_Config'!$U$2),""),"")</x:f>
      </x:c>
    </x:row>
    <x:row r="81">
      <x:c r="A81" t="n">
        <x:v>1</x:v>
      </x:c>
      <x:c r="B81" t="n">
        <x:v>5</x:v>
      </x:c>
      <x:c r="C81"/>
      <x:c r="D81" t="n">
        <x:f>IF(('Quantification_Results'!A81&lt;&gt;1),"",IF(('Quantification_Results'!C81=""),IF(ISNUMBER('Quantification_Results'!B81),IF(('Quantification_Results'!B81&lt;'Quantification_Config'!$S$6),"",IF(('Quantification_Results'!B81&gt;'Quantification_Config'!$T$6),"",'Quantification_Results'!B81)),""),IF(ISNUMBER('Quantification_Results'!C81),IF(('Quantification_Results'!C81&lt;'Quantification_Config'!$S$6),"",IF(('Quantification_Results'!C81&gt;'Quantification_Config'!$T$6),"",'Quantification_Results'!C81)),"")))</x:f>
        <x:v>5</x:v>
      </x:c>
      <x:c r="E81" t="n">
        <x:f>IF(ISNUMBER('Quantification_Results'!D81),IFERROR(ROUND(((('Quantification_Results'!D81-'Quantification_Config'!$S$6)/('Quantification_Config'!$T$6-'Quantification_Config'!$S$6))*100),'Quantification_Config'!$U$2),""),"")</x:f>
        <x:v>50</x:v>
      </x:c>
      <x:c r="F81" t="inlineStr">
        <x:is>
          <x:t xml:space="preserve">SYSTEM-TEST-ONLY-NO-NETWORK-NOT-AN-EDUCATIONAL-EVALUATION</x:t>
        </x:is>
      </x:c>
      <x:c r="G81" t="inlineStr">
        <x:is>
          <x:t xml:space="preserve"/>
        </x:is>
      </x:c>
      <x:c r="H81" t="inlineStr">
        <x:is>
          <x:t xml:space="preserve">NONE</x:t>
        </x:is>
      </x:c>
      <x:c r="I81" t="inlineStr">
        <x:is>
          <x:t xml:space="preserve"/>
        </x:is>
      </x:c>
      <x:c r="J81" t="inlineStr">
        <x:is>
          <x:t xml:space="preserve">SUCCESS</x:t>
        </x:is>
      </x:c>
      <x:c r="K81" t="n">
        <x:f>IF((COUNT('Quantification_Results'!E81)=1),IFERROR(ROUND((SUM(('Quantification_Results'!E81*'Quantification_Config'!$R$6))/SUM('Quantification_Config'!$R$6)),'Quantification_Config'!$U$2),""),"")</x:f>
        <x:v>50</x:v>
      </x:c>
      <x:c r="L81" t="n">
        <x:f>IF((COUNT('Quantification_Results'!K81)=1),IFERROR(ROUND((SUM(('Quantification_Results'!K81*'Quantification_Config'!$R$5))/SUM('Quantification_Config'!$R$5)),'Quantification_Config'!$U$2),""),"")</x:f>
        <x:v>50</x:v>
      </x:c>
      <x:c r="M81" t="n">
        <x:v>1</x:v>
      </x:c>
      <x:c r="N81" t="n">
        <x:v>5</x:v>
      </x:c>
      <x:c r="O81"/>
      <x:c r="P81" t="n">
        <x:f>IF(('Quantification_Results'!M81&lt;&gt;1),"",IF(('Quantification_Results'!O81=""),IF(ISNUMBER('Quantification_Results'!N81),IF(('Quantification_Results'!N81&lt;'Quantification_Config'!$S$9),"",IF(('Quantification_Results'!N81&gt;'Quantification_Config'!$T$9),"",'Quantification_Results'!N81)),""),IF(ISNUMBER('Quantification_Results'!O81),IF(('Quantification_Results'!O81&lt;'Quantification_Config'!$S$9),"",IF(('Quantification_Results'!O81&gt;'Quantification_Config'!$T$9),"",'Quantification_Results'!O81)),"")))</x:f>
        <x:v>5</x:v>
      </x:c>
      <x:c r="Q81" t="n">
        <x:f>IF(ISNUMBER('Quantification_Results'!P81),IFERROR(ROUND(((('Quantification_Results'!P81-'Quantification_Config'!$S$9)/('Quantification_Config'!$T$9-'Quantification_Config'!$S$9))*100),'Quantification_Config'!$U$2),""),"")</x:f>
        <x:v>50</x:v>
      </x:c>
      <x:c r="R81" t="inlineStr">
        <x:is>
          <x:t xml:space="preserve">SYSTEM-TEST-ONLY-NO-NETWORK-NOT-AN-EDUCATIONAL-EVALUATION</x:t>
        </x:is>
      </x:c>
      <x:c r="S81" t="inlineStr">
        <x:is>
          <x:t xml:space="preserve"/>
        </x:is>
      </x:c>
      <x:c r="T81" t="inlineStr">
        <x:is>
          <x:t xml:space="preserve">NONE</x:t>
        </x:is>
      </x:c>
      <x:c r="U81" t="inlineStr">
        <x:is>
          <x:t xml:space="preserve"/>
        </x:is>
      </x:c>
      <x:c r="V81" t="inlineStr">
        <x:is>
          <x:t xml:space="preserve">SUCCESS</x:t>
        </x:is>
      </x:c>
      <x:c r="W81" t="n">
        <x:f>IF((COUNT('Quantification_Results'!Q81)=1),IFERROR(ROUND((SUM(('Quantification_Results'!Q81*'Quantification_Config'!$R$9))/SUM('Quantification_Config'!$R$9)),'Quantification_Config'!$U$2),""),"")</x:f>
        <x:v>50</x:v>
      </x:c>
      <x:c r="X81" t="n">
        <x:f>IF((COUNT('Quantification_Results'!W81)=1),IFERROR(ROUND((SUM(('Quantification_Results'!W81*'Quantification_Config'!$R$8))/SUM('Quantification_Config'!$R$8)),'Quantification_Config'!$U$2),""),"")</x:f>
        <x:v>50</x:v>
      </x:c>
      <x:c r="Y81" t="n">
        <x:v>0</x:v>
      </x:c>
      <x:c r="Z81"/>
      <x:c r="AA81"/>
      <x:c r="AB81">
        <x:f>IF(('Quantification_Results'!Y81&lt;&gt;1),"",IF(('Quantification_Results'!AA81=""),IF(ISNUMBER('Quantification_Results'!Z81),IF(('Quantification_Results'!Z81&lt;'Quantification_Config'!$S$12),"",IF(('Quantification_Results'!Z81&gt;'Quantification_Config'!$T$12),"",'Quantification_Results'!Z81)),""),IF(ISNUMBER('Quantification_Results'!AA81),IF(('Quantification_Results'!AA81&lt;'Quantification_Config'!$S$12),"",IF(('Quantification_Results'!AA81&gt;'Quantification_Config'!$T$12),"",'Quantification_Results'!AA81)),"")))</x:f>
      </x:c>
      <x:c r="AC81">
        <x:f>IF(ISNUMBER('Quantification_Results'!AB81),IFERROR(ROUND(((('Quantification_Results'!AB81-'Quantification_Config'!$S$12)/('Quantification_Config'!$T$12-'Quantification_Config'!$S$12))*100),'Quantification_Config'!$U$2),""),"")</x:f>
      </x:c>
      <x:c r="AD81" t="inlineStr">
        <x:is>
          <x:t xml:space="preserve"/>
        </x:is>
      </x:c>
      <x:c r="AE81" t="inlineStr">
        <x:is>
          <x:t xml:space="preserve"/>
        </x:is>
      </x:c>
      <x:c r="AF81" t="inlineStr">
        <x:is>
          <x:t xml:space="preserve"/>
        </x:is>
      </x:c>
      <x:c r="AG81" t="inlineStr">
        <x:is>
          <x:t xml:space="preserve"/>
        </x:is>
      </x:c>
      <x:c r="AH81" t="inlineStr">
        <x:is>
          <x:t xml:space="preserve">EMPTY</x:t>
        </x:is>
      </x:c>
      <x:c r="AI81">
        <x:f>IF((COUNT('Quantification_Results'!AC81)=1),IFERROR(ROUND((SUM(('Quantification_Results'!AC81*'Quantification_Config'!$R$12))/SUM('Quantification_Config'!$R$12)),'Quantification_Config'!$U$2),""),"")</x:f>
      </x:c>
      <x:c r="AJ81">
        <x:f>IF((COUNT('Quantification_Results'!AI81)=1),IFERROR(ROUND((SUM(('Quantification_Results'!AI81*'Quantification_Config'!$R$11))/SUM('Quantification_Config'!$R$11)),'Quantification_Config'!$U$2),""),"")</x:f>
      </x:c>
      <x:c r="AK81" t="n">
        <x:v>1</x:v>
      </x:c>
      <x:c r="AL81" t="n">
        <x:v>5</x:v>
      </x:c>
      <x:c r="AM81"/>
      <x:c r="AN81" t="n">
        <x:f>IF(('Quantification_Results'!AK81&lt;&gt;1),"",IF(('Quantification_Results'!AM81=""),IF(ISNUMBER('Quantification_Results'!AL81),IF(('Quantification_Results'!AL81&lt;'Quantification_Config'!$S$15),"",IF(('Quantification_Results'!AL81&gt;'Quantification_Config'!$T$15),"",'Quantification_Results'!AL81)),""),IF(ISNUMBER('Quantification_Results'!AM81),IF(('Quantification_Results'!AM81&lt;'Quantification_Config'!$S$15),"",IF(('Quantification_Results'!AM81&gt;'Quantification_Config'!$T$15),"",'Quantification_Results'!AM81)),"")))</x:f>
        <x:v>5</x:v>
      </x:c>
      <x:c r="AO81" t="n">
        <x:f>IF(ISNUMBER('Quantification_Results'!AN81),IFERROR(ROUND(((('Quantification_Results'!AN81-'Quantification_Config'!$S$15)/('Quantification_Config'!$T$15-'Quantification_Config'!$S$15))*100),'Quantification_Config'!$U$2),""),"")</x:f>
        <x:v>50</x:v>
      </x:c>
      <x:c r="AP81" t="inlineStr">
        <x:is>
          <x:t xml:space="preserve">SYSTEM-TEST-ONLY-NO-NETWORK-NOT-AN-EDUCATIONAL-EVALUATION</x:t>
        </x:is>
      </x:c>
      <x:c r="AQ81" t="inlineStr">
        <x:is>
          <x:t xml:space="preserve"/>
        </x:is>
      </x:c>
      <x:c r="AR81" t="inlineStr">
        <x:is>
          <x:t xml:space="preserve">NONE</x:t>
        </x:is>
      </x:c>
      <x:c r="AS81" t="inlineStr">
        <x:is>
          <x:t xml:space="preserve"/>
        </x:is>
      </x:c>
      <x:c r="AT81" t="inlineStr">
        <x:is>
          <x:t xml:space="preserve">SUCCESS</x:t>
        </x:is>
      </x:c>
      <x:c r="AU81" t="n">
        <x:f>IF((COUNT('Quantification_Results'!AO81)=1),IFERROR(ROUND((SUM(('Quantification_Results'!AO81*'Quantification_Config'!$R$15))/SUM('Quantification_Config'!$R$15)),'Quantification_Config'!$U$2),""),"")</x:f>
        <x:v>50</x:v>
      </x:c>
      <x:c r="AV81" t="n">
        <x:f>IF((COUNT('Quantification_Results'!AU81)=1),IFERROR(ROUND((SUM(('Quantification_Results'!AU81*'Quantification_Config'!$R$14))/SUM('Quantification_Config'!$R$14)),'Quantification_Config'!$U$2),""),"")</x:f>
        <x:v>50</x:v>
      </x:c>
      <x:c r="AW81" t="n">
        <x:v>1</x:v>
      </x:c>
      <x:c r="AX81" t="n">
        <x:v>5</x:v>
      </x:c>
      <x:c r="AY81"/>
      <x:c r="AZ81" t="n">
        <x:f>IF(('Quantification_Results'!AW81&lt;&gt;1),"",IF(('Quantification_Results'!AY81=""),IF(ISNUMBER('Quantification_Results'!AX81),IF(('Quantification_Results'!AX81&lt;'Quantification_Config'!$S$19),"",IF(('Quantification_Results'!AX81&gt;'Quantification_Config'!$T$19),"",'Quantification_Results'!AX81)),""),IF(ISNUMBER('Quantification_Results'!AY81),IF(('Quantification_Results'!AY81&lt;'Quantification_Config'!$S$19),"",IF(('Quantification_Results'!AY81&gt;'Quantification_Config'!$T$19),"",'Quantification_Results'!AY81)),"")))</x:f>
        <x:v>5</x:v>
      </x:c>
      <x:c r="BA81" t="n">
        <x:f>IF(ISNUMBER('Quantification_Results'!AZ81),IFERROR(ROUND(((('Quantification_Results'!AZ81-'Quantification_Config'!$S$19)/('Quantification_Config'!$T$19-'Quantification_Config'!$S$19))*100),'Quantification_Config'!$U$2),""),"")</x:f>
        <x:v>50</x:v>
      </x:c>
      <x:c r="BB81" t="inlineStr">
        <x:is>
          <x:t xml:space="preserve">SYSTEM-TEST-ONLY-NO-NETWORK-NOT-AN-EDUCATIONAL-EVALUATION</x:t>
        </x:is>
      </x:c>
      <x:c r="BC81" t="inlineStr">
        <x:is>
          <x:t xml:space="preserve"/>
        </x:is>
      </x:c>
      <x:c r="BD81" t="inlineStr">
        <x:is>
          <x:t xml:space="preserve">NONE</x:t>
        </x:is>
      </x:c>
      <x:c r="BE81" t="inlineStr">
        <x:is>
          <x:t xml:space="preserve"/>
        </x:is>
      </x:c>
      <x:c r="BF81" t="inlineStr">
        <x:is>
          <x:t xml:space="preserve">SUCCESS</x:t>
        </x:is>
      </x:c>
      <x:c r="BG81" t="n">
        <x:f>IF((COUNT('Quantification_Results'!BA81)=1),IFERROR(ROUND((SUM(('Quantification_Results'!BA81*'Quantification_Config'!$R$19))/SUM('Quantification_Config'!$R$19)),'Quantification_Config'!$U$2),""),"")</x:f>
        <x:v>50</x:v>
      </x:c>
      <x:c r="BH81" t="n">
        <x:f>IF((COUNT('Quantification_Results'!BG81)=1),IFERROR(ROUND((SUM(('Quantification_Results'!BG81*'Quantification_Config'!$R$18))/SUM('Quantification_Config'!$R$18)),'Quantification_Config'!$U$2),""),"")</x:f>
        <x:v>50</x:v>
      </x:c>
      <x:c r="BI81">
        <x:f>IF((COUNT('Quantification_Results'!L81,'Quantification_Results'!X81,'Quantification_Results'!AJ81,'Quantification_Results'!AV81,'Quantification_Results'!BH81)=5),IFERROR(ROUND((SUM(('Quantification_Results'!L81*'Quantification_Config'!$R$4),('Quantification_Results'!X81*'Quantification_Config'!$R$7),('Quantification_Results'!AJ81*'Quantification_Config'!$R$10),('Quantification_Results'!AV81*'Quantification_Config'!$R$13),('Quantification_Results'!BH81*'Quantification_Config'!$R$16))/SUM('Quantification_Config'!$R$4,'Quantification_Config'!$R$7,'Quantification_Config'!$R$10,'Quantification_Config'!$R$13,'Quantification_Config'!$R$16)),'Quantification_Config'!$U$2),""),"")</x:f>
      </x:c>
    </x:row>
    <x:row r="82">
      <x:c r="A82" t="n">
        <x:v>1</x:v>
      </x:c>
      <x:c r="B82" t="n">
        <x:v>5</x:v>
      </x:c>
      <x:c r="C82"/>
      <x:c r="D82" t="n">
        <x:f>IF(('Quantification_Results'!A82&lt;&gt;1),"",IF(('Quantification_Results'!C82=""),IF(ISNUMBER('Quantification_Results'!B82),IF(('Quantification_Results'!B82&lt;'Quantification_Config'!$S$6),"",IF(('Quantification_Results'!B82&gt;'Quantification_Config'!$T$6),"",'Quantification_Results'!B82)),""),IF(ISNUMBER('Quantification_Results'!C82),IF(('Quantification_Results'!C82&lt;'Quantification_Config'!$S$6),"",IF(('Quantification_Results'!C82&gt;'Quantification_Config'!$T$6),"",'Quantification_Results'!C82)),"")))</x:f>
        <x:v>5</x:v>
      </x:c>
      <x:c r="E82" t="n">
        <x:f>IF(ISNUMBER('Quantification_Results'!D82),IFERROR(ROUND(((('Quantification_Results'!D82-'Quantification_Config'!$S$6)/('Quantification_Config'!$T$6-'Quantification_Config'!$S$6))*100),'Quantification_Config'!$U$2),""),"")</x:f>
        <x:v>50</x:v>
      </x:c>
      <x:c r="F82" t="inlineStr">
        <x:is>
          <x:t xml:space="preserve">SYSTEM-TEST-ONLY-NO-NETWORK-NOT-AN-EDUCATIONAL-EVALUATION</x:t>
        </x:is>
      </x:c>
      <x:c r="G82" t="inlineStr">
        <x:is>
          <x:t xml:space="preserve"/>
        </x:is>
      </x:c>
      <x:c r="H82" t="inlineStr">
        <x:is>
          <x:t xml:space="preserve">NONE</x:t>
        </x:is>
      </x:c>
      <x:c r="I82" t="inlineStr">
        <x:is>
          <x:t xml:space="preserve"/>
        </x:is>
      </x:c>
      <x:c r="J82" t="inlineStr">
        <x:is>
          <x:t xml:space="preserve">SUCCESS</x:t>
        </x:is>
      </x:c>
      <x:c r="K82" t="n">
        <x:f>IF((COUNT('Quantification_Results'!E82)=1),IFERROR(ROUND((SUM(('Quantification_Results'!E82*'Quantification_Config'!$R$6))/SUM('Quantification_Config'!$R$6)),'Quantification_Config'!$U$2),""),"")</x:f>
        <x:v>50</x:v>
      </x:c>
      <x:c r="L82" t="n">
        <x:f>IF((COUNT('Quantification_Results'!K82)=1),IFERROR(ROUND((SUM(('Quantification_Results'!K82*'Quantification_Config'!$R$5))/SUM('Quantification_Config'!$R$5)),'Quantification_Config'!$U$2),""),"")</x:f>
        <x:v>50</x:v>
      </x:c>
      <x:c r="M82" t="n">
        <x:v>1</x:v>
      </x:c>
      <x:c r="N82" t="n">
        <x:v>5</x:v>
      </x:c>
      <x:c r="O82"/>
      <x:c r="P82" t="n">
        <x:f>IF(('Quantification_Results'!M82&lt;&gt;1),"",IF(('Quantification_Results'!O82=""),IF(ISNUMBER('Quantification_Results'!N82),IF(('Quantification_Results'!N82&lt;'Quantification_Config'!$S$9),"",IF(('Quantification_Results'!N82&gt;'Quantification_Config'!$T$9),"",'Quantification_Results'!N82)),""),IF(ISNUMBER('Quantification_Results'!O82),IF(('Quantification_Results'!O82&lt;'Quantification_Config'!$S$9),"",IF(('Quantification_Results'!O82&gt;'Quantification_Config'!$T$9),"",'Quantification_Results'!O82)),"")))</x:f>
        <x:v>5</x:v>
      </x:c>
      <x:c r="Q82" t="n">
        <x:f>IF(ISNUMBER('Quantification_Results'!P82),IFERROR(ROUND(((('Quantification_Results'!P82-'Quantification_Config'!$S$9)/('Quantification_Config'!$T$9-'Quantification_Config'!$S$9))*100),'Quantification_Config'!$U$2),""),"")</x:f>
        <x:v>50</x:v>
      </x:c>
      <x:c r="R82" t="inlineStr">
        <x:is>
          <x:t xml:space="preserve">SYSTEM-TEST-ONLY-NO-NETWORK-NOT-AN-EDUCATIONAL-EVALUATION</x:t>
        </x:is>
      </x:c>
      <x:c r="S82" t="inlineStr">
        <x:is>
          <x:t xml:space="preserve"/>
        </x:is>
      </x:c>
      <x:c r="T82" t="inlineStr">
        <x:is>
          <x:t xml:space="preserve">NONE</x:t>
        </x:is>
      </x:c>
      <x:c r="U82" t="inlineStr">
        <x:is>
          <x:t xml:space="preserve"/>
        </x:is>
      </x:c>
      <x:c r="V82" t="inlineStr">
        <x:is>
          <x:t xml:space="preserve">SUCCESS</x:t>
        </x:is>
      </x:c>
      <x:c r="W82" t="n">
        <x:f>IF((COUNT('Quantification_Results'!Q82)=1),IFERROR(ROUND((SUM(('Quantification_Results'!Q82*'Quantification_Config'!$R$9))/SUM('Quantification_Config'!$R$9)),'Quantification_Config'!$U$2),""),"")</x:f>
        <x:v>50</x:v>
      </x:c>
      <x:c r="X82" t="n">
        <x:f>IF((COUNT('Quantification_Results'!W82)=1),IFERROR(ROUND((SUM(('Quantification_Results'!W82*'Quantification_Config'!$R$8))/SUM('Quantification_Config'!$R$8)),'Quantification_Config'!$U$2),""),"")</x:f>
        <x:v>50</x:v>
      </x:c>
      <x:c r="Y82" t="n">
        <x:v>0</x:v>
      </x:c>
      <x:c r="Z82"/>
      <x:c r="AA82"/>
      <x:c r="AB82">
        <x:f>IF(('Quantification_Results'!Y82&lt;&gt;1),"",IF(('Quantification_Results'!AA82=""),IF(ISNUMBER('Quantification_Results'!Z82),IF(('Quantification_Results'!Z82&lt;'Quantification_Config'!$S$12),"",IF(('Quantification_Results'!Z82&gt;'Quantification_Config'!$T$12),"",'Quantification_Results'!Z82)),""),IF(ISNUMBER('Quantification_Results'!AA82),IF(('Quantification_Results'!AA82&lt;'Quantification_Config'!$S$12),"",IF(('Quantification_Results'!AA82&gt;'Quantification_Config'!$T$12),"",'Quantification_Results'!AA82)),"")))</x:f>
      </x:c>
      <x:c r="AC82">
        <x:f>IF(ISNUMBER('Quantification_Results'!AB82),IFERROR(ROUND(((('Quantification_Results'!AB82-'Quantification_Config'!$S$12)/('Quantification_Config'!$T$12-'Quantification_Config'!$S$12))*100),'Quantification_Config'!$U$2),""),"")</x:f>
      </x:c>
      <x:c r="AD82" t="inlineStr">
        <x:is>
          <x:t xml:space="preserve"/>
        </x:is>
      </x:c>
      <x:c r="AE82" t="inlineStr">
        <x:is>
          <x:t xml:space="preserve"/>
        </x:is>
      </x:c>
      <x:c r="AF82" t="inlineStr">
        <x:is>
          <x:t xml:space="preserve"/>
        </x:is>
      </x:c>
      <x:c r="AG82" t="inlineStr">
        <x:is>
          <x:t xml:space="preserve"/>
        </x:is>
      </x:c>
      <x:c r="AH82" t="inlineStr">
        <x:is>
          <x:t xml:space="preserve">EMPTY</x:t>
        </x:is>
      </x:c>
      <x:c r="AI82">
        <x:f>IF((COUNT('Quantification_Results'!AC82)=1),IFERROR(ROUND((SUM(('Quantification_Results'!AC82*'Quantification_Config'!$R$12))/SUM('Quantification_Config'!$R$12)),'Quantification_Config'!$U$2),""),"")</x:f>
      </x:c>
      <x:c r="AJ82">
        <x:f>IF((COUNT('Quantification_Results'!AI82)=1),IFERROR(ROUND((SUM(('Quantification_Results'!AI82*'Quantification_Config'!$R$11))/SUM('Quantification_Config'!$R$11)),'Quantification_Config'!$U$2),""),"")</x:f>
      </x:c>
      <x:c r="AK82" t="n">
        <x:v>1</x:v>
      </x:c>
      <x:c r="AL82" t="n">
        <x:v>5</x:v>
      </x:c>
      <x:c r="AM82"/>
      <x:c r="AN82" t="n">
        <x:f>IF(('Quantification_Results'!AK82&lt;&gt;1),"",IF(('Quantification_Results'!AM82=""),IF(ISNUMBER('Quantification_Results'!AL82),IF(('Quantification_Results'!AL82&lt;'Quantification_Config'!$S$15),"",IF(('Quantification_Results'!AL82&gt;'Quantification_Config'!$T$15),"",'Quantification_Results'!AL82)),""),IF(ISNUMBER('Quantification_Results'!AM82),IF(('Quantification_Results'!AM82&lt;'Quantification_Config'!$S$15),"",IF(('Quantification_Results'!AM82&gt;'Quantification_Config'!$T$15),"",'Quantification_Results'!AM82)),"")))</x:f>
        <x:v>5</x:v>
      </x:c>
      <x:c r="AO82" t="n">
        <x:f>IF(ISNUMBER('Quantification_Results'!AN82),IFERROR(ROUND(((('Quantification_Results'!AN82-'Quantification_Config'!$S$15)/('Quantification_Config'!$T$15-'Quantification_Config'!$S$15))*100),'Quantification_Config'!$U$2),""),"")</x:f>
        <x:v>50</x:v>
      </x:c>
      <x:c r="AP82" t="inlineStr">
        <x:is>
          <x:t xml:space="preserve">SYSTEM-TEST-ONLY-NO-NETWORK-NOT-AN-EDUCATIONAL-EVALUATION</x:t>
        </x:is>
      </x:c>
      <x:c r="AQ82" t="inlineStr">
        <x:is>
          <x:t xml:space="preserve"/>
        </x:is>
      </x:c>
      <x:c r="AR82" t="inlineStr">
        <x:is>
          <x:t xml:space="preserve">NONE</x:t>
        </x:is>
      </x:c>
      <x:c r="AS82" t="inlineStr">
        <x:is>
          <x:t xml:space="preserve"/>
        </x:is>
      </x:c>
      <x:c r="AT82" t="inlineStr">
        <x:is>
          <x:t xml:space="preserve">SUCCESS</x:t>
        </x:is>
      </x:c>
      <x:c r="AU82" t="n">
        <x:f>IF((COUNT('Quantification_Results'!AO82)=1),IFERROR(ROUND((SUM(('Quantification_Results'!AO82*'Quantification_Config'!$R$15))/SUM('Quantification_Config'!$R$15)),'Quantification_Config'!$U$2),""),"")</x:f>
        <x:v>50</x:v>
      </x:c>
      <x:c r="AV82" t="n">
        <x:f>IF((COUNT('Quantification_Results'!AU82)=1),IFERROR(ROUND((SUM(('Quantification_Results'!AU82*'Quantification_Config'!$R$14))/SUM('Quantification_Config'!$R$14)),'Quantification_Config'!$U$2),""),"")</x:f>
        <x:v>50</x:v>
      </x:c>
      <x:c r="AW82" t="n">
        <x:v>1</x:v>
      </x:c>
      <x:c r="AX82" t="n">
        <x:v>5</x:v>
      </x:c>
      <x:c r="AY82"/>
      <x:c r="AZ82" t="n">
        <x:f>IF(('Quantification_Results'!AW82&lt;&gt;1),"",IF(('Quantification_Results'!AY82=""),IF(ISNUMBER('Quantification_Results'!AX82),IF(('Quantification_Results'!AX82&lt;'Quantification_Config'!$S$19),"",IF(('Quantification_Results'!AX82&gt;'Quantification_Config'!$T$19),"",'Quantification_Results'!AX82)),""),IF(ISNUMBER('Quantification_Results'!AY82),IF(('Quantification_Results'!AY82&lt;'Quantification_Config'!$S$19),"",IF(('Quantification_Results'!AY82&gt;'Quantification_Config'!$T$19),"",'Quantification_Results'!AY82)),"")))</x:f>
        <x:v>5</x:v>
      </x:c>
      <x:c r="BA82" t="n">
        <x:f>IF(ISNUMBER('Quantification_Results'!AZ82),IFERROR(ROUND(((('Quantification_Results'!AZ82-'Quantification_Config'!$S$19)/('Quantification_Config'!$T$19-'Quantification_Config'!$S$19))*100),'Quantification_Config'!$U$2),""),"")</x:f>
        <x:v>50</x:v>
      </x:c>
      <x:c r="BB82" t="inlineStr">
        <x:is>
          <x:t xml:space="preserve">SYSTEM-TEST-ONLY-NO-NETWORK-NOT-AN-EDUCATIONAL-EVALUATION</x:t>
        </x:is>
      </x:c>
      <x:c r="BC82" t="inlineStr">
        <x:is>
          <x:t xml:space="preserve"/>
        </x:is>
      </x:c>
      <x:c r="BD82" t="inlineStr">
        <x:is>
          <x:t xml:space="preserve">NONE</x:t>
        </x:is>
      </x:c>
      <x:c r="BE82" t="inlineStr">
        <x:is>
          <x:t xml:space="preserve"/>
        </x:is>
      </x:c>
      <x:c r="BF82" t="inlineStr">
        <x:is>
          <x:t xml:space="preserve">SUCCESS</x:t>
        </x:is>
      </x:c>
      <x:c r="BG82" t="n">
        <x:f>IF((COUNT('Quantification_Results'!BA82)=1),IFERROR(ROUND((SUM(('Quantification_Results'!BA82*'Quantification_Config'!$R$19))/SUM('Quantification_Config'!$R$19)),'Quantification_Config'!$U$2),""),"")</x:f>
        <x:v>50</x:v>
      </x:c>
      <x:c r="BH82" t="n">
        <x:f>IF((COUNT('Quantification_Results'!BG82)=1),IFERROR(ROUND((SUM(('Quantification_Results'!BG82*'Quantification_Config'!$R$18))/SUM('Quantification_Config'!$R$18)),'Quantification_Config'!$U$2),""),"")</x:f>
        <x:v>50</x:v>
      </x:c>
      <x:c r="BI82">
        <x:f>IF((COUNT('Quantification_Results'!L82,'Quantification_Results'!X82,'Quantification_Results'!AJ82,'Quantification_Results'!AV82,'Quantification_Results'!BH82)=5),IFERROR(ROUND((SUM(('Quantification_Results'!L82*'Quantification_Config'!$R$4),('Quantification_Results'!X82*'Quantification_Config'!$R$7),('Quantification_Results'!AJ82*'Quantification_Config'!$R$10),('Quantification_Results'!AV82*'Quantification_Config'!$R$13),('Quantification_Results'!BH82*'Quantification_Config'!$R$16))/SUM('Quantification_Config'!$R$4,'Quantification_Config'!$R$7,'Quantification_Config'!$R$10,'Quantification_Config'!$R$13,'Quantification_Config'!$R$16)),'Quantification_Config'!$U$2),""),"")</x:f>
      </x:c>
    </x:row>
    <x:row r="83">
      <x:c r="A83" t="n">
        <x:v>1</x:v>
      </x:c>
      <x:c r="B83" t="n">
        <x:v>5</x:v>
      </x:c>
      <x:c r="C83"/>
      <x:c r="D83" t="n">
        <x:f>IF(('Quantification_Results'!A83&lt;&gt;1),"",IF(('Quantification_Results'!C83=""),IF(ISNUMBER('Quantification_Results'!B83),IF(('Quantification_Results'!B83&lt;'Quantification_Config'!$S$6),"",IF(('Quantification_Results'!B83&gt;'Quantification_Config'!$T$6),"",'Quantification_Results'!B83)),""),IF(ISNUMBER('Quantification_Results'!C83),IF(('Quantification_Results'!C83&lt;'Quantification_Config'!$S$6),"",IF(('Quantification_Results'!C83&gt;'Quantification_Config'!$T$6),"",'Quantification_Results'!C83)),"")))</x:f>
        <x:v>5</x:v>
      </x:c>
      <x:c r="E83" t="n">
        <x:f>IF(ISNUMBER('Quantification_Results'!D83),IFERROR(ROUND(((('Quantification_Results'!D83-'Quantification_Config'!$S$6)/('Quantification_Config'!$T$6-'Quantification_Config'!$S$6))*100),'Quantification_Config'!$U$2),""),"")</x:f>
        <x:v>50</x:v>
      </x:c>
      <x:c r="F83" t="inlineStr">
        <x:is>
          <x:t xml:space="preserve">SYSTEM-TEST-ONLY-NO-NETWORK-NOT-AN-EDUCATIONAL-EVALUATION</x:t>
        </x:is>
      </x:c>
      <x:c r="G83" t="inlineStr">
        <x:is>
          <x:t xml:space="preserve"/>
        </x:is>
      </x:c>
      <x:c r="H83" t="inlineStr">
        <x:is>
          <x:t xml:space="preserve">NONE</x:t>
        </x:is>
      </x:c>
      <x:c r="I83" t="inlineStr">
        <x:is>
          <x:t xml:space="preserve"/>
        </x:is>
      </x:c>
      <x:c r="J83" t="inlineStr">
        <x:is>
          <x:t xml:space="preserve">SUCCESS</x:t>
        </x:is>
      </x:c>
      <x:c r="K83" t="n">
        <x:f>IF((COUNT('Quantification_Results'!E83)=1),IFERROR(ROUND((SUM(('Quantification_Results'!E83*'Quantification_Config'!$R$6))/SUM('Quantification_Config'!$R$6)),'Quantification_Config'!$U$2),""),"")</x:f>
        <x:v>50</x:v>
      </x:c>
      <x:c r="L83" t="n">
        <x:f>IF((COUNT('Quantification_Results'!K83)=1),IFERROR(ROUND((SUM(('Quantification_Results'!K83*'Quantification_Config'!$R$5))/SUM('Quantification_Config'!$R$5)),'Quantification_Config'!$U$2),""),"")</x:f>
        <x:v>50</x:v>
      </x:c>
      <x:c r="M83" t="n">
        <x:v>1</x:v>
      </x:c>
      <x:c r="N83" t="n">
        <x:v>5</x:v>
      </x:c>
      <x:c r="O83"/>
      <x:c r="P83" t="n">
        <x:f>IF(('Quantification_Results'!M83&lt;&gt;1),"",IF(('Quantification_Results'!O83=""),IF(ISNUMBER('Quantification_Results'!N83),IF(('Quantification_Results'!N83&lt;'Quantification_Config'!$S$9),"",IF(('Quantification_Results'!N83&gt;'Quantification_Config'!$T$9),"",'Quantification_Results'!N83)),""),IF(ISNUMBER('Quantification_Results'!O83),IF(('Quantification_Results'!O83&lt;'Quantification_Config'!$S$9),"",IF(('Quantification_Results'!O83&gt;'Quantification_Config'!$T$9),"",'Quantification_Results'!O83)),"")))</x:f>
        <x:v>5</x:v>
      </x:c>
      <x:c r="Q83" t="n">
        <x:f>IF(ISNUMBER('Quantification_Results'!P83),IFERROR(ROUND(((('Quantification_Results'!P83-'Quantification_Config'!$S$9)/('Quantification_Config'!$T$9-'Quantification_Config'!$S$9))*100),'Quantification_Config'!$U$2),""),"")</x:f>
        <x:v>50</x:v>
      </x:c>
      <x:c r="R83" t="inlineStr">
        <x:is>
          <x:t xml:space="preserve">SYSTEM-TEST-ONLY-NO-NETWORK-NOT-AN-EDUCATIONAL-EVALUATION</x:t>
        </x:is>
      </x:c>
      <x:c r="S83" t="inlineStr">
        <x:is>
          <x:t xml:space="preserve"/>
        </x:is>
      </x:c>
      <x:c r="T83" t="inlineStr">
        <x:is>
          <x:t xml:space="preserve">NONE</x:t>
        </x:is>
      </x:c>
      <x:c r="U83" t="inlineStr">
        <x:is>
          <x:t xml:space="preserve"/>
        </x:is>
      </x:c>
      <x:c r="V83" t="inlineStr">
        <x:is>
          <x:t xml:space="preserve">SUCCESS</x:t>
        </x:is>
      </x:c>
      <x:c r="W83" t="n">
        <x:f>IF((COUNT('Quantification_Results'!Q83)=1),IFERROR(ROUND((SUM(('Quantification_Results'!Q83*'Quantification_Config'!$R$9))/SUM('Quantification_Config'!$R$9)),'Quantification_Config'!$U$2),""),"")</x:f>
        <x:v>50</x:v>
      </x:c>
      <x:c r="X83" t="n">
        <x:f>IF((COUNT('Quantification_Results'!W83)=1),IFERROR(ROUND((SUM(('Quantification_Results'!W83*'Quantification_Config'!$R$8))/SUM('Quantification_Config'!$R$8)),'Quantification_Config'!$U$2),""),"")</x:f>
        <x:v>50</x:v>
      </x:c>
      <x:c r="Y83" t="n">
        <x:v>0</x:v>
      </x:c>
      <x:c r="Z83"/>
      <x:c r="AA83"/>
      <x:c r="AB83">
        <x:f>IF(('Quantification_Results'!Y83&lt;&gt;1),"",IF(('Quantification_Results'!AA83=""),IF(ISNUMBER('Quantification_Results'!Z83),IF(('Quantification_Results'!Z83&lt;'Quantification_Config'!$S$12),"",IF(('Quantification_Results'!Z83&gt;'Quantification_Config'!$T$12),"",'Quantification_Results'!Z83)),""),IF(ISNUMBER('Quantification_Results'!AA83),IF(('Quantification_Results'!AA83&lt;'Quantification_Config'!$S$12),"",IF(('Quantification_Results'!AA83&gt;'Quantification_Config'!$T$12),"",'Quantification_Results'!AA83)),"")))</x:f>
      </x:c>
      <x:c r="AC83">
        <x:f>IF(ISNUMBER('Quantification_Results'!AB83),IFERROR(ROUND(((('Quantification_Results'!AB83-'Quantification_Config'!$S$12)/('Quantification_Config'!$T$12-'Quantification_Config'!$S$12))*100),'Quantification_Config'!$U$2),""),"")</x:f>
      </x:c>
      <x:c r="AD83" t="inlineStr">
        <x:is>
          <x:t xml:space="preserve"/>
        </x:is>
      </x:c>
      <x:c r="AE83" t="inlineStr">
        <x:is>
          <x:t xml:space="preserve"/>
        </x:is>
      </x:c>
      <x:c r="AF83" t="inlineStr">
        <x:is>
          <x:t xml:space="preserve"/>
        </x:is>
      </x:c>
      <x:c r="AG83" t="inlineStr">
        <x:is>
          <x:t xml:space="preserve"/>
        </x:is>
      </x:c>
      <x:c r="AH83" t="inlineStr">
        <x:is>
          <x:t xml:space="preserve">EMPTY</x:t>
        </x:is>
      </x:c>
      <x:c r="AI83">
        <x:f>IF((COUNT('Quantification_Results'!AC83)=1),IFERROR(ROUND((SUM(('Quantification_Results'!AC83*'Quantification_Config'!$R$12))/SUM('Quantification_Config'!$R$12)),'Quantification_Config'!$U$2),""),"")</x:f>
      </x:c>
      <x:c r="AJ83">
        <x:f>IF((COUNT('Quantification_Results'!AI83)=1),IFERROR(ROUND((SUM(('Quantification_Results'!AI83*'Quantification_Config'!$R$11))/SUM('Quantification_Config'!$R$11)),'Quantification_Config'!$U$2),""),"")</x:f>
      </x:c>
      <x:c r="AK83" t="n">
        <x:v>1</x:v>
      </x:c>
      <x:c r="AL83" t="n">
        <x:v>5</x:v>
      </x:c>
      <x:c r="AM83"/>
      <x:c r="AN83" t="n">
        <x:f>IF(('Quantification_Results'!AK83&lt;&gt;1),"",IF(('Quantification_Results'!AM83=""),IF(ISNUMBER('Quantification_Results'!AL83),IF(('Quantification_Results'!AL83&lt;'Quantification_Config'!$S$15),"",IF(('Quantification_Results'!AL83&gt;'Quantification_Config'!$T$15),"",'Quantification_Results'!AL83)),""),IF(ISNUMBER('Quantification_Results'!AM83),IF(('Quantification_Results'!AM83&lt;'Quantification_Config'!$S$15),"",IF(('Quantification_Results'!AM83&gt;'Quantification_Config'!$T$15),"",'Quantification_Results'!AM83)),"")))</x:f>
        <x:v>5</x:v>
      </x:c>
      <x:c r="AO83" t="n">
        <x:f>IF(ISNUMBER('Quantification_Results'!AN83),IFERROR(ROUND(((('Quantification_Results'!AN83-'Quantification_Config'!$S$15)/('Quantification_Config'!$T$15-'Quantification_Config'!$S$15))*100),'Quantification_Config'!$U$2),""),"")</x:f>
        <x:v>50</x:v>
      </x:c>
      <x:c r="AP83" t="inlineStr">
        <x:is>
          <x:t xml:space="preserve">SYSTEM-TEST-ONLY-NO-NETWORK-NOT-AN-EDUCATIONAL-EVALUATION</x:t>
        </x:is>
      </x:c>
      <x:c r="AQ83" t="inlineStr">
        <x:is>
          <x:t xml:space="preserve"/>
        </x:is>
      </x:c>
      <x:c r="AR83" t="inlineStr">
        <x:is>
          <x:t xml:space="preserve">NONE</x:t>
        </x:is>
      </x:c>
      <x:c r="AS83" t="inlineStr">
        <x:is>
          <x:t xml:space="preserve"/>
        </x:is>
      </x:c>
      <x:c r="AT83" t="inlineStr">
        <x:is>
          <x:t xml:space="preserve">SUCCESS</x:t>
        </x:is>
      </x:c>
      <x:c r="AU83" t="n">
        <x:f>IF((COUNT('Quantification_Results'!AO83)=1),IFERROR(ROUND((SUM(('Quantification_Results'!AO83*'Quantification_Config'!$R$15))/SUM('Quantification_Config'!$R$15)),'Quantification_Config'!$U$2),""),"")</x:f>
        <x:v>50</x:v>
      </x:c>
      <x:c r="AV83" t="n">
        <x:f>IF((COUNT('Quantification_Results'!AU83)=1),IFERROR(ROUND((SUM(('Quantification_Results'!AU83*'Quantification_Config'!$R$14))/SUM('Quantification_Config'!$R$14)),'Quantification_Config'!$U$2),""),"")</x:f>
        <x:v>50</x:v>
      </x:c>
      <x:c r="AW83" t="n">
        <x:v>1</x:v>
      </x:c>
      <x:c r="AX83" t="n">
        <x:v>5</x:v>
      </x:c>
      <x:c r="AY83"/>
      <x:c r="AZ83" t="n">
        <x:f>IF(('Quantification_Results'!AW83&lt;&gt;1),"",IF(('Quantification_Results'!AY83=""),IF(ISNUMBER('Quantification_Results'!AX83),IF(('Quantification_Results'!AX83&lt;'Quantification_Config'!$S$19),"",IF(('Quantification_Results'!AX83&gt;'Quantification_Config'!$T$19),"",'Quantification_Results'!AX83)),""),IF(ISNUMBER('Quantification_Results'!AY83),IF(('Quantification_Results'!AY83&lt;'Quantification_Config'!$S$19),"",IF(('Quantification_Results'!AY83&gt;'Quantification_Config'!$T$19),"",'Quantification_Results'!AY83)),"")))</x:f>
        <x:v>5</x:v>
      </x:c>
      <x:c r="BA83" t="n">
        <x:f>IF(ISNUMBER('Quantification_Results'!AZ83),IFERROR(ROUND(((('Quantification_Results'!AZ83-'Quantification_Config'!$S$19)/('Quantification_Config'!$T$19-'Quantification_Config'!$S$19))*100),'Quantification_Config'!$U$2),""),"")</x:f>
        <x:v>50</x:v>
      </x:c>
      <x:c r="BB83" t="inlineStr">
        <x:is>
          <x:t xml:space="preserve">SYSTEM-TEST-ONLY-NO-NETWORK-NOT-AN-EDUCATIONAL-EVALUATION</x:t>
        </x:is>
      </x:c>
      <x:c r="BC83" t="inlineStr">
        <x:is>
          <x:t xml:space="preserve"/>
        </x:is>
      </x:c>
      <x:c r="BD83" t="inlineStr">
        <x:is>
          <x:t xml:space="preserve">NONE</x:t>
        </x:is>
      </x:c>
      <x:c r="BE83" t="inlineStr">
        <x:is>
          <x:t xml:space="preserve"/>
        </x:is>
      </x:c>
      <x:c r="BF83" t="inlineStr">
        <x:is>
          <x:t xml:space="preserve">SUCCESS</x:t>
        </x:is>
      </x:c>
      <x:c r="BG83" t="n">
        <x:f>IF((COUNT('Quantification_Results'!BA83)=1),IFERROR(ROUND((SUM(('Quantification_Results'!BA83*'Quantification_Config'!$R$19))/SUM('Quantification_Config'!$R$19)),'Quantification_Config'!$U$2),""),"")</x:f>
        <x:v>50</x:v>
      </x:c>
      <x:c r="BH83" t="n">
        <x:f>IF((COUNT('Quantification_Results'!BG83)=1),IFERROR(ROUND((SUM(('Quantification_Results'!BG83*'Quantification_Config'!$R$18))/SUM('Quantification_Config'!$R$18)),'Quantification_Config'!$U$2),""),"")</x:f>
        <x:v>50</x:v>
      </x:c>
      <x:c r="BI83">
        <x:f>IF((COUNT('Quantification_Results'!L83,'Quantification_Results'!X83,'Quantification_Results'!AJ83,'Quantification_Results'!AV83,'Quantification_Results'!BH83)=5),IFERROR(ROUND((SUM(('Quantification_Results'!L83*'Quantification_Config'!$R$4),('Quantification_Results'!X83*'Quantification_Config'!$R$7),('Quantification_Results'!AJ83*'Quantification_Config'!$R$10),('Quantification_Results'!AV83*'Quantification_Config'!$R$13),('Quantification_Results'!BH83*'Quantification_Config'!$R$16))/SUM('Quantification_Config'!$R$4,'Quantification_Config'!$R$7,'Quantification_Config'!$R$10,'Quantification_Config'!$R$13,'Quantification_Config'!$R$16)),'Quantification_Config'!$U$2),""),"")</x:f>
      </x:c>
    </x:row>
    <x:row r="84">
      <x:c r="A84" t="n">
        <x:v>1</x:v>
      </x:c>
      <x:c r="B84" t="n">
        <x:v>5</x:v>
      </x:c>
      <x:c r="C84"/>
      <x:c r="D84" t="n">
        <x:f>IF(('Quantification_Results'!A84&lt;&gt;1),"",IF(('Quantification_Results'!C84=""),IF(ISNUMBER('Quantification_Results'!B84),IF(('Quantification_Results'!B84&lt;'Quantification_Config'!$S$6),"",IF(('Quantification_Results'!B84&gt;'Quantification_Config'!$T$6),"",'Quantification_Results'!B84)),""),IF(ISNUMBER('Quantification_Results'!C84),IF(('Quantification_Results'!C84&lt;'Quantification_Config'!$S$6),"",IF(('Quantification_Results'!C84&gt;'Quantification_Config'!$T$6),"",'Quantification_Results'!C84)),"")))</x:f>
        <x:v>5</x:v>
      </x:c>
      <x:c r="E84" t="n">
        <x:f>IF(ISNUMBER('Quantification_Results'!D84),IFERROR(ROUND(((('Quantification_Results'!D84-'Quantification_Config'!$S$6)/('Quantification_Config'!$T$6-'Quantification_Config'!$S$6))*100),'Quantification_Config'!$U$2),""),"")</x:f>
        <x:v>50</x:v>
      </x:c>
      <x:c r="F84" t="inlineStr">
        <x:is>
          <x:t xml:space="preserve">SYSTEM-TEST-ONLY-NO-NETWORK-NOT-AN-EDUCATIONAL-EVALUATION</x:t>
        </x:is>
      </x:c>
      <x:c r="G84" t="inlineStr">
        <x:is>
          <x:t xml:space="preserve"/>
        </x:is>
      </x:c>
      <x:c r="H84" t="inlineStr">
        <x:is>
          <x:t xml:space="preserve">NONE</x:t>
        </x:is>
      </x:c>
      <x:c r="I84" t="inlineStr">
        <x:is>
          <x:t xml:space="preserve"/>
        </x:is>
      </x:c>
      <x:c r="J84" t="inlineStr">
        <x:is>
          <x:t xml:space="preserve">SUCCESS</x:t>
        </x:is>
      </x:c>
      <x:c r="K84" t="n">
        <x:f>IF((COUNT('Quantification_Results'!E84)=1),IFERROR(ROUND((SUM(('Quantification_Results'!E84*'Quantification_Config'!$R$6))/SUM('Quantification_Config'!$R$6)),'Quantification_Config'!$U$2),""),"")</x:f>
        <x:v>50</x:v>
      </x:c>
      <x:c r="L84" t="n">
        <x:f>IF((COUNT('Quantification_Results'!K84)=1),IFERROR(ROUND((SUM(('Quantification_Results'!K84*'Quantification_Config'!$R$5))/SUM('Quantification_Config'!$R$5)),'Quantification_Config'!$U$2),""),"")</x:f>
        <x:v>50</x:v>
      </x:c>
      <x:c r="M84" t="n">
        <x:v>1</x:v>
      </x:c>
      <x:c r="N84" t="n">
        <x:v>5</x:v>
      </x:c>
      <x:c r="O84"/>
      <x:c r="P84" t="n">
        <x:f>IF(('Quantification_Results'!M84&lt;&gt;1),"",IF(('Quantification_Results'!O84=""),IF(ISNUMBER('Quantification_Results'!N84),IF(('Quantification_Results'!N84&lt;'Quantification_Config'!$S$9),"",IF(('Quantification_Results'!N84&gt;'Quantification_Config'!$T$9),"",'Quantification_Results'!N84)),""),IF(ISNUMBER('Quantification_Results'!O84),IF(('Quantification_Results'!O84&lt;'Quantification_Config'!$S$9),"",IF(('Quantification_Results'!O84&gt;'Quantification_Config'!$T$9),"",'Quantification_Results'!O84)),"")))</x:f>
        <x:v>5</x:v>
      </x:c>
      <x:c r="Q84" t="n">
        <x:f>IF(ISNUMBER('Quantification_Results'!P84),IFERROR(ROUND(((('Quantification_Results'!P84-'Quantification_Config'!$S$9)/('Quantification_Config'!$T$9-'Quantification_Config'!$S$9))*100),'Quantification_Config'!$U$2),""),"")</x:f>
        <x:v>50</x:v>
      </x:c>
      <x:c r="R84" t="inlineStr">
        <x:is>
          <x:t xml:space="preserve">SYSTEM-TEST-ONLY-NO-NETWORK-NOT-AN-EDUCATIONAL-EVALUATION</x:t>
        </x:is>
      </x:c>
      <x:c r="S84" t="inlineStr">
        <x:is>
          <x:t xml:space="preserve"/>
        </x:is>
      </x:c>
      <x:c r="T84" t="inlineStr">
        <x:is>
          <x:t xml:space="preserve">NONE</x:t>
        </x:is>
      </x:c>
      <x:c r="U84" t="inlineStr">
        <x:is>
          <x:t xml:space="preserve"/>
        </x:is>
      </x:c>
      <x:c r="V84" t="inlineStr">
        <x:is>
          <x:t xml:space="preserve">SUCCESS</x:t>
        </x:is>
      </x:c>
      <x:c r="W84" t="n">
        <x:f>IF((COUNT('Quantification_Results'!Q84)=1),IFERROR(ROUND((SUM(('Quantification_Results'!Q84*'Quantification_Config'!$R$9))/SUM('Quantification_Config'!$R$9)),'Quantification_Config'!$U$2),""),"")</x:f>
        <x:v>50</x:v>
      </x:c>
      <x:c r="X84" t="n">
        <x:f>IF((COUNT('Quantification_Results'!W84)=1),IFERROR(ROUND((SUM(('Quantification_Results'!W84*'Quantification_Config'!$R$8))/SUM('Quantification_Config'!$R$8)),'Quantification_Config'!$U$2),""),"")</x:f>
        <x:v>50</x:v>
      </x:c>
      <x:c r="Y84" t="n">
        <x:v>0</x:v>
      </x:c>
      <x:c r="Z84"/>
      <x:c r="AA84"/>
      <x:c r="AB84">
        <x:f>IF(('Quantification_Results'!Y84&lt;&gt;1),"",IF(('Quantification_Results'!AA84=""),IF(ISNUMBER('Quantification_Results'!Z84),IF(('Quantification_Results'!Z84&lt;'Quantification_Config'!$S$12),"",IF(('Quantification_Results'!Z84&gt;'Quantification_Config'!$T$12),"",'Quantification_Results'!Z84)),""),IF(ISNUMBER('Quantification_Results'!AA84),IF(('Quantification_Results'!AA84&lt;'Quantification_Config'!$S$12),"",IF(('Quantification_Results'!AA84&gt;'Quantification_Config'!$T$12),"",'Quantification_Results'!AA84)),"")))</x:f>
      </x:c>
      <x:c r="AC84">
        <x:f>IF(ISNUMBER('Quantification_Results'!AB84),IFERROR(ROUND(((('Quantification_Results'!AB84-'Quantification_Config'!$S$12)/('Quantification_Config'!$T$12-'Quantification_Config'!$S$12))*100),'Quantification_Config'!$U$2),""),"")</x:f>
      </x:c>
      <x:c r="AD84" t="inlineStr">
        <x:is>
          <x:t xml:space="preserve"/>
        </x:is>
      </x:c>
      <x:c r="AE84" t="inlineStr">
        <x:is>
          <x:t xml:space="preserve"/>
        </x:is>
      </x:c>
      <x:c r="AF84" t="inlineStr">
        <x:is>
          <x:t xml:space="preserve"/>
        </x:is>
      </x:c>
      <x:c r="AG84" t="inlineStr">
        <x:is>
          <x:t xml:space="preserve"/>
        </x:is>
      </x:c>
      <x:c r="AH84" t="inlineStr">
        <x:is>
          <x:t xml:space="preserve">EMPTY</x:t>
        </x:is>
      </x:c>
      <x:c r="AI84">
        <x:f>IF((COUNT('Quantification_Results'!AC84)=1),IFERROR(ROUND((SUM(('Quantification_Results'!AC84*'Quantification_Config'!$R$12))/SUM('Quantification_Config'!$R$12)),'Quantification_Config'!$U$2),""),"")</x:f>
      </x:c>
      <x:c r="AJ84">
        <x:f>IF((COUNT('Quantification_Results'!AI84)=1),IFERROR(ROUND((SUM(('Quantification_Results'!AI84*'Quantification_Config'!$R$11))/SUM('Quantification_Config'!$R$11)),'Quantification_Config'!$U$2),""),"")</x:f>
      </x:c>
      <x:c r="AK84" t="n">
        <x:v>1</x:v>
      </x:c>
      <x:c r="AL84" t="n">
        <x:v>5</x:v>
      </x:c>
      <x:c r="AM84"/>
      <x:c r="AN84" t="n">
        <x:f>IF(('Quantification_Results'!AK84&lt;&gt;1),"",IF(('Quantification_Results'!AM84=""),IF(ISNUMBER('Quantification_Results'!AL84),IF(('Quantification_Results'!AL84&lt;'Quantification_Config'!$S$15),"",IF(('Quantification_Results'!AL84&gt;'Quantification_Config'!$T$15),"",'Quantification_Results'!AL84)),""),IF(ISNUMBER('Quantification_Results'!AM84),IF(('Quantification_Results'!AM84&lt;'Quantification_Config'!$S$15),"",IF(('Quantification_Results'!AM84&gt;'Quantification_Config'!$T$15),"",'Quantification_Results'!AM84)),"")))</x:f>
        <x:v>5</x:v>
      </x:c>
      <x:c r="AO84" t="n">
        <x:f>IF(ISNUMBER('Quantification_Results'!AN84),IFERROR(ROUND(((('Quantification_Results'!AN84-'Quantification_Config'!$S$15)/('Quantification_Config'!$T$15-'Quantification_Config'!$S$15))*100),'Quantification_Config'!$U$2),""),"")</x:f>
        <x:v>50</x:v>
      </x:c>
      <x:c r="AP84" t="inlineStr">
        <x:is>
          <x:t xml:space="preserve">SYSTEM-TEST-ONLY-NO-NETWORK-NOT-AN-EDUCATIONAL-EVALUATION</x:t>
        </x:is>
      </x:c>
      <x:c r="AQ84" t="inlineStr">
        <x:is>
          <x:t xml:space="preserve"/>
        </x:is>
      </x:c>
      <x:c r="AR84" t="inlineStr">
        <x:is>
          <x:t xml:space="preserve">NONE</x:t>
        </x:is>
      </x:c>
      <x:c r="AS84" t="inlineStr">
        <x:is>
          <x:t xml:space="preserve"/>
        </x:is>
      </x:c>
      <x:c r="AT84" t="inlineStr">
        <x:is>
          <x:t xml:space="preserve">SUCCESS</x:t>
        </x:is>
      </x:c>
      <x:c r="AU84" t="n">
        <x:f>IF((COUNT('Quantification_Results'!AO84)=1),IFERROR(ROUND((SUM(('Quantification_Results'!AO84*'Quantification_Config'!$R$15))/SUM('Quantification_Config'!$R$15)),'Quantification_Config'!$U$2),""),"")</x:f>
        <x:v>50</x:v>
      </x:c>
      <x:c r="AV84" t="n">
        <x:f>IF((COUNT('Quantification_Results'!AU84)=1),IFERROR(ROUND((SUM(('Quantification_Results'!AU84*'Quantification_Config'!$R$14))/SUM('Quantification_Config'!$R$14)),'Quantification_Config'!$U$2),""),"")</x:f>
        <x:v>50</x:v>
      </x:c>
      <x:c r="AW84" t="n">
        <x:v>1</x:v>
      </x:c>
      <x:c r="AX84" t="n">
        <x:v>5</x:v>
      </x:c>
      <x:c r="AY84"/>
      <x:c r="AZ84" t="n">
        <x:f>IF(('Quantification_Results'!AW84&lt;&gt;1),"",IF(('Quantification_Results'!AY84=""),IF(ISNUMBER('Quantification_Results'!AX84),IF(('Quantification_Results'!AX84&lt;'Quantification_Config'!$S$19),"",IF(('Quantification_Results'!AX84&gt;'Quantification_Config'!$T$19),"",'Quantification_Results'!AX84)),""),IF(ISNUMBER('Quantification_Results'!AY84),IF(('Quantification_Results'!AY84&lt;'Quantification_Config'!$S$19),"",IF(('Quantification_Results'!AY84&gt;'Quantification_Config'!$T$19),"",'Quantification_Results'!AY84)),"")))</x:f>
        <x:v>5</x:v>
      </x:c>
      <x:c r="BA84" t="n">
        <x:f>IF(ISNUMBER('Quantification_Results'!AZ84),IFERROR(ROUND(((('Quantification_Results'!AZ84-'Quantification_Config'!$S$19)/('Quantification_Config'!$T$19-'Quantification_Config'!$S$19))*100),'Quantification_Config'!$U$2),""),"")</x:f>
        <x:v>50</x:v>
      </x:c>
      <x:c r="BB84" t="inlineStr">
        <x:is>
          <x:t xml:space="preserve">SYSTEM-TEST-ONLY-NO-NETWORK-NOT-AN-EDUCATIONAL-EVALUATION</x:t>
        </x:is>
      </x:c>
      <x:c r="BC84" t="inlineStr">
        <x:is>
          <x:t xml:space="preserve"/>
        </x:is>
      </x:c>
      <x:c r="BD84" t="inlineStr">
        <x:is>
          <x:t xml:space="preserve">NONE</x:t>
        </x:is>
      </x:c>
      <x:c r="BE84" t="inlineStr">
        <x:is>
          <x:t xml:space="preserve"/>
        </x:is>
      </x:c>
      <x:c r="BF84" t="inlineStr">
        <x:is>
          <x:t xml:space="preserve">SUCCESS</x:t>
        </x:is>
      </x:c>
      <x:c r="BG84" t="n">
        <x:f>IF((COUNT('Quantification_Results'!BA84)=1),IFERROR(ROUND((SUM(('Quantification_Results'!BA84*'Quantification_Config'!$R$19))/SUM('Quantification_Config'!$R$19)),'Quantification_Config'!$U$2),""),"")</x:f>
        <x:v>50</x:v>
      </x:c>
      <x:c r="BH84" t="n">
        <x:f>IF((COUNT('Quantification_Results'!BG84)=1),IFERROR(ROUND((SUM(('Quantification_Results'!BG84*'Quantification_Config'!$R$18))/SUM('Quantification_Config'!$R$18)),'Quantification_Config'!$U$2),""),"")</x:f>
        <x:v>50</x:v>
      </x:c>
      <x:c r="BI84">
        <x:f>IF((COUNT('Quantification_Results'!L84,'Quantification_Results'!X84,'Quantification_Results'!AJ84,'Quantification_Results'!AV84,'Quantification_Results'!BH84)=5),IFERROR(ROUND((SUM(('Quantification_Results'!L84*'Quantification_Config'!$R$4),('Quantification_Results'!X84*'Quantification_Config'!$R$7),('Quantification_Results'!AJ84*'Quantification_Config'!$R$10),('Quantification_Results'!AV84*'Quantification_Config'!$R$13),('Quantification_Results'!BH84*'Quantification_Config'!$R$16))/SUM('Quantification_Config'!$R$4,'Quantification_Config'!$R$7,'Quantification_Config'!$R$10,'Quantification_Config'!$R$13,'Quantification_Config'!$R$16)),'Quantification_Config'!$U$2),""),"")</x:f>
      </x:c>
    </x:row>
    <x:row r="85">
      <x:c r="A85" t="n">
        <x:v>1</x:v>
      </x:c>
      <x:c r="B85" t="n">
        <x:v>5</x:v>
      </x:c>
      <x:c r="C85"/>
      <x:c r="D85" t="n">
        <x:f>IF(('Quantification_Results'!A85&lt;&gt;1),"",IF(('Quantification_Results'!C85=""),IF(ISNUMBER('Quantification_Results'!B85),IF(('Quantification_Results'!B85&lt;'Quantification_Config'!$S$6),"",IF(('Quantification_Results'!B85&gt;'Quantification_Config'!$T$6),"",'Quantification_Results'!B85)),""),IF(ISNUMBER('Quantification_Results'!C85),IF(('Quantification_Results'!C85&lt;'Quantification_Config'!$S$6),"",IF(('Quantification_Results'!C85&gt;'Quantification_Config'!$T$6),"",'Quantification_Results'!C85)),"")))</x:f>
        <x:v>5</x:v>
      </x:c>
      <x:c r="E85" t="n">
        <x:f>IF(ISNUMBER('Quantification_Results'!D85),IFERROR(ROUND(((('Quantification_Results'!D85-'Quantification_Config'!$S$6)/('Quantification_Config'!$T$6-'Quantification_Config'!$S$6))*100),'Quantification_Config'!$U$2),""),"")</x:f>
        <x:v>50</x:v>
      </x:c>
      <x:c r="F85" t="inlineStr">
        <x:is>
          <x:t xml:space="preserve">SYSTEM-TEST-ONLY-NO-NETWORK-NOT-AN-EDUCATIONAL-EVALUATION</x:t>
        </x:is>
      </x:c>
      <x:c r="G85" t="inlineStr">
        <x:is>
          <x:t xml:space="preserve"/>
        </x:is>
      </x:c>
      <x:c r="H85" t="inlineStr">
        <x:is>
          <x:t xml:space="preserve">NONE</x:t>
        </x:is>
      </x:c>
      <x:c r="I85" t="inlineStr">
        <x:is>
          <x:t xml:space="preserve"/>
        </x:is>
      </x:c>
      <x:c r="J85" t="inlineStr">
        <x:is>
          <x:t xml:space="preserve">SUCCESS</x:t>
        </x:is>
      </x:c>
      <x:c r="K85" t="n">
        <x:f>IF((COUNT('Quantification_Results'!E85)=1),IFERROR(ROUND((SUM(('Quantification_Results'!E85*'Quantification_Config'!$R$6))/SUM('Quantification_Config'!$R$6)),'Quantification_Config'!$U$2),""),"")</x:f>
        <x:v>50</x:v>
      </x:c>
      <x:c r="L85" t="n">
        <x:f>IF((COUNT('Quantification_Results'!K85)=1),IFERROR(ROUND((SUM(('Quantification_Results'!K85*'Quantification_Config'!$R$5))/SUM('Quantification_Config'!$R$5)),'Quantification_Config'!$U$2),""),"")</x:f>
        <x:v>50</x:v>
      </x:c>
      <x:c r="M85" t="n">
        <x:v>1</x:v>
      </x:c>
      <x:c r="N85" t="n">
        <x:v>5</x:v>
      </x:c>
      <x:c r="O85"/>
      <x:c r="P85" t="n">
        <x:f>IF(('Quantification_Results'!M85&lt;&gt;1),"",IF(('Quantification_Results'!O85=""),IF(ISNUMBER('Quantification_Results'!N85),IF(('Quantification_Results'!N85&lt;'Quantification_Config'!$S$9),"",IF(('Quantification_Results'!N85&gt;'Quantification_Config'!$T$9),"",'Quantification_Results'!N85)),""),IF(ISNUMBER('Quantification_Results'!O85),IF(('Quantification_Results'!O85&lt;'Quantification_Config'!$S$9),"",IF(('Quantification_Results'!O85&gt;'Quantification_Config'!$T$9),"",'Quantification_Results'!O85)),"")))</x:f>
        <x:v>5</x:v>
      </x:c>
      <x:c r="Q85" t="n">
        <x:f>IF(ISNUMBER('Quantification_Results'!P85),IFERROR(ROUND(((('Quantification_Results'!P85-'Quantification_Config'!$S$9)/('Quantification_Config'!$T$9-'Quantification_Config'!$S$9))*100),'Quantification_Config'!$U$2),""),"")</x:f>
        <x:v>50</x:v>
      </x:c>
      <x:c r="R85" t="inlineStr">
        <x:is>
          <x:t xml:space="preserve">SYSTEM-TEST-ONLY-NO-NETWORK-NOT-AN-EDUCATIONAL-EVALUATION</x:t>
        </x:is>
      </x:c>
      <x:c r="S85" t="inlineStr">
        <x:is>
          <x:t xml:space="preserve"/>
        </x:is>
      </x:c>
      <x:c r="T85" t="inlineStr">
        <x:is>
          <x:t xml:space="preserve">NONE</x:t>
        </x:is>
      </x:c>
      <x:c r="U85" t="inlineStr">
        <x:is>
          <x:t xml:space="preserve"/>
        </x:is>
      </x:c>
      <x:c r="V85" t="inlineStr">
        <x:is>
          <x:t xml:space="preserve">SUCCESS</x:t>
        </x:is>
      </x:c>
      <x:c r="W85" t="n">
        <x:f>IF((COUNT('Quantification_Results'!Q85)=1),IFERROR(ROUND((SUM(('Quantification_Results'!Q85*'Quantification_Config'!$R$9))/SUM('Quantification_Config'!$R$9)),'Quantification_Config'!$U$2),""),"")</x:f>
        <x:v>50</x:v>
      </x:c>
      <x:c r="X85" t="n">
        <x:f>IF((COUNT('Quantification_Results'!W85)=1),IFERROR(ROUND((SUM(('Quantification_Results'!W85*'Quantification_Config'!$R$8))/SUM('Quantification_Config'!$R$8)),'Quantification_Config'!$U$2),""),"")</x:f>
        <x:v>50</x:v>
      </x:c>
      <x:c r="Y85" t="n">
        <x:v>1</x:v>
      </x:c>
      <x:c r="Z85" t="n">
        <x:v>5</x:v>
      </x:c>
      <x:c r="AA85"/>
      <x:c r="AB85" t="n">
        <x:f>IF(('Quantification_Results'!Y85&lt;&gt;1),"",IF(('Quantification_Results'!AA85=""),IF(ISNUMBER('Quantification_Results'!Z85),IF(('Quantification_Results'!Z85&lt;'Quantification_Config'!$S$12),"",IF(('Quantification_Results'!Z85&gt;'Quantification_Config'!$T$12),"",'Quantification_Results'!Z85)),""),IF(ISNUMBER('Quantification_Results'!AA85),IF(('Quantification_Results'!AA85&lt;'Quantification_Config'!$S$12),"",IF(('Quantification_Results'!AA85&gt;'Quantification_Config'!$T$12),"",'Quantification_Results'!AA85)),"")))</x:f>
        <x:v>5</x:v>
      </x:c>
      <x:c r="AC85" t="n">
        <x:f>IF(ISNUMBER('Quantification_Results'!AB85),IFERROR(ROUND(((('Quantification_Results'!AB85-'Quantification_Config'!$S$12)/('Quantification_Config'!$T$12-'Quantification_Config'!$S$12))*100),'Quantification_Config'!$U$2),""),"")</x:f>
        <x:v>50</x:v>
      </x:c>
      <x:c r="AD85" t="inlineStr">
        <x:is>
          <x:t xml:space="preserve">SYSTEM-TEST-ONLY-NO-NETWORK-NOT-AN-EDUCATIONAL-EVALUATION</x:t>
        </x:is>
      </x:c>
      <x:c r="AE85" t="inlineStr">
        <x:is>
          <x:t xml:space="preserve"/>
        </x:is>
      </x:c>
      <x:c r="AF85" t="inlineStr">
        <x:is>
          <x:t xml:space="preserve">NONE</x:t>
        </x:is>
      </x:c>
      <x:c r="AG85" t="inlineStr">
        <x:is>
          <x:t xml:space="preserve"/>
        </x:is>
      </x:c>
      <x:c r="AH85" t="inlineStr">
        <x:is>
          <x:t xml:space="preserve">SUCCESS</x:t>
        </x:is>
      </x:c>
      <x:c r="AI85" t="n">
        <x:f>IF((COUNT('Quantification_Results'!AC85)=1),IFERROR(ROUND((SUM(('Quantification_Results'!AC85*'Quantification_Config'!$R$12))/SUM('Quantification_Config'!$R$12)),'Quantification_Config'!$U$2),""),"")</x:f>
        <x:v>50</x:v>
      </x:c>
      <x:c r="AJ85" t="n">
        <x:f>IF((COUNT('Quantification_Results'!AI85)=1),IFERROR(ROUND((SUM(('Quantification_Results'!AI85*'Quantification_Config'!$R$11))/SUM('Quantification_Config'!$R$11)),'Quantification_Config'!$U$2),""),"")</x:f>
        <x:v>50</x:v>
      </x:c>
      <x:c r="AK85" t="n">
        <x:v>1</x:v>
      </x:c>
      <x:c r="AL85" t="n">
        <x:v>5</x:v>
      </x:c>
      <x:c r="AM85"/>
      <x:c r="AN85" t="n">
        <x:f>IF(('Quantification_Results'!AK85&lt;&gt;1),"",IF(('Quantification_Results'!AM85=""),IF(ISNUMBER('Quantification_Results'!AL85),IF(('Quantification_Results'!AL85&lt;'Quantification_Config'!$S$15),"",IF(('Quantification_Results'!AL85&gt;'Quantification_Config'!$T$15),"",'Quantification_Results'!AL85)),""),IF(ISNUMBER('Quantification_Results'!AM85),IF(('Quantification_Results'!AM85&lt;'Quantification_Config'!$S$15),"",IF(('Quantification_Results'!AM85&gt;'Quantification_Config'!$T$15),"",'Quantification_Results'!AM85)),"")))</x:f>
        <x:v>5</x:v>
      </x:c>
      <x:c r="AO85" t="n">
        <x:f>IF(ISNUMBER('Quantification_Results'!AN85),IFERROR(ROUND(((('Quantification_Results'!AN85-'Quantification_Config'!$S$15)/('Quantification_Config'!$T$15-'Quantification_Config'!$S$15))*100),'Quantification_Config'!$U$2),""),"")</x:f>
        <x:v>50</x:v>
      </x:c>
      <x:c r="AP85" t="inlineStr">
        <x:is>
          <x:t xml:space="preserve">SYSTEM-TEST-ONLY-NO-NETWORK-NOT-AN-EDUCATIONAL-EVALUATION</x:t>
        </x:is>
      </x:c>
      <x:c r="AQ85" t="inlineStr">
        <x:is>
          <x:t xml:space="preserve"/>
        </x:is>
      </x:c>
      <x:c r="AR85" t="inlineStr">
        <x:is>
          <x:t xml:space="preserve">NONE</x:t>
        </x:is>
      </x:c>
      <x:c r="AS85" t="inlineStr">
        <x:is>
          <x:t xml:space="preserve"/>
        </x:is>
      </x:c>
      <x:c r="AT85" t="inlineStr">
        <x:is>
          <x:t xml:space="preserve">SUCCESS</x:t>
        </x:is>
      </x:c>
      <x:c r="AU85" t="n">
        <x:f>IF((COUNT('Quantification_Results'!AO85)=1),IFERROR(ROUND((SUM(('Quantification_Results'!AO85*'Quantification_Config'!$R$15))/SUM('Quantification_Config'!$R$15)),'Quantification_Config'!$U$2),""),"")</x:f>
        <x:v>50</x:v>
      </x:c>
      <x:c r="AV85" t="n">
        <x:f>IF((COUNT('Quantification_Results'!AU85)=1),IFERROR(ROUND((SUM(('Quantification_Results'!AU85*'Quantification_Config'!$R$14))/SUM('Quantification_Config'!$R$14)),'Quantification_Config'!$U$2),""),"")</x:f>
        <x:v>50</x:v>
      </x:c>
      <x:c r="AW85" t="n">
        <x:v>1</x:v>
      </x:c>
      <x:c r="AX85" t="n">
        <x:v>5</x:v>
      </x:c>
      <x:c r="AY85"/>
      <x:c r="AZ85" t="n">
        <x:f>IF(('Quantification_Results'!AW85&lt;&gt;1),"",IF(('Quantification_Results'!AY85=""),IF(ISNUMBER('Quantification_Results'!AX85),IF(('Quantification_Results'!AX85&lt;'Quantification_Config'!$S$19),"",IF(('Quantification_Results'!AX85&gt;'Quantification_Config'!$T$19),"",'Quantification_Results'!AX85)),""),IF(ISNUMBER('Quantification_Results'!AY85),IF(('Quantification_Results'!AY85&lt;'Quantification_Config'!$S$19),"",IF(('Quantification_Results'!AY85&gt;'Quantification_Config'!$T$19),"",'Quantification_Results'!AY85)),"")))</x:f>
        <x:v>5</x:v>
      </x:c>
      <x:c r="BA85" t="n">
        <x:f>IF(ISNUMBER('Quantification_Results'!AZ85),IFERROR(ROUND(((('Quantification_Results'!AZ85-'Quantification_Config'!$S$19)/('Quantification_Config'!$T$19-'Quantification_Config'!$S$19))*100),'Quantification_Config'!$U$2),""),"")</x:f>
        <x:v>50</x:v>
      </x:c>
      <x:c r="BB85" t="inlineStr">
        <x:is>
          <x:t xml:space="preserve">SYSTEM-TEST-ONLY-NO-NETWORK-NOT-AN-EDUCATIONAL-EVALUATION</x:t>
        </x:is>
      </x:c>
      <x:c r="BC85" t="inlineStr">
        <x:is>
          <x:t xml:space="preserve"/>
        </x:is>
      </x:c>
      <x:c r="BD85" t="inlineStr">
        <x:is>
          <x:t xml:space="preserve">NONE</x:t>
        </x:is>
      </x:c>
      <x:c r="BE85" t="inlineStr">
        <x:is>
          <x:t xml:space="preserve"/>
        </x:is>
      </x:c>
      <x:c r="BF85" t="inlineStr">
        <x:is>
          <x:t xml:space="preserve">SUCCESS</x:t>
        </x:is>
      </x:c>
      <x:c r="BG85" t="n">
        <x:f>IF((COUNT('Quantification_Results'!BA85)=1),IFERROR(ROUND((SUM(('Quantification_Results'!BA85*'Quantification_Config'!$R$19))/SUM('Quantification_Config'!$R$19)),'Quantification_Config'!$U$2),""),"")</x:f>
        <x:v>50</x:v>
      </x:c>
      <x:c r="BH85" t="n">
        <x:f>IF((COUNT('Quantification_Results'!BG85)=1),IFERROR(ROUND((SUM(('Quantification_Results'!BG85*'Quantification_Config'!$R$18))/SUM('Quantification_Config'!$R$18)),'Quantification_Config'!$U$2),""),"")</x:f>
        <x:v>50</x:v>
      </x:c>
      <x:c r="BI85" t="n">
        <x:f>IF((COUNT('Quantification_Results'!L85,'Quantification_Results'!X85,'Quantification_Results'!AJ85,'Quantification_Results'!AV85,'Quantification_Results'!BH85)=5),IFERROR(ROUND((SUM(('Quantification_Results'!L85*'Quantification_Config'!$R$4),('Quantification_Results'!X85*'Quantification_Config'!$R$7),('Quantification_Results'!AJ85*'Quantification_Config'!$R$10),('Quantification_Results'!AV85*'Quantification_Config'!$R$13),('Quantification_Results'!BH85*'Quantification_Config'!$R$16))/SUM('Quantification_Config'!$R$4,'Quantification_Config'!$R$7,'Quantification_Config'!$R$10,'Quantification_Config'!$R$13,'Quantification_Config'!$R$16)),'Quantification_Config'!$U$2),""),"")</x:f>
        <x:v>50</x:v>
      </x:c>
    </x:row>
    <x:row r="86">
      <x:c r="A86" t="n">
        <x:v>1</x:v>
      </x:c>
      <x:c r="B86" t="n">
        <x:v>5</x:v>
      </x:c>
      <x:c r="C86"/>
      <x:c r="D86" t="n">
        <x:f>IF(('Quantification_Results'!A86&lt;&gt;1),"",IF(('Quantification_Results'!C86=""),IF(ISNUMBER('Quantification_Results'!B86),IF(('Quantification_Results'!B86&lt;'Quantification_Config'!$S$6),"",IF(('Quantification_Results'!B86&gt;'Quantification_Config'!$T$6),"",'Quantification_Results'!B86)),""),IF(ISNUMBER('Quantification_Results'!C86),IF(('Quantification_Results'!C86&lt;'Quantification_Config'!$S$6),"",IF(('Quantification_Results'!C86&gt;'Quantification_Config'!$T$6),"",'Quantification_Results'!C86)),"")))</x:f>
        <x:v>5</x:v>
      </x:c>
      <x:c r="E86" t="n">
        <x:f>IF(ISNUMBER('Quantification_Results'!D86),IFERROR(ROUND(((('Quantification_Results'!D86-'Quantification_Config'!$S$6)/('Quantification_Config'!$T$6-'Quantification_Config'!$S$6))*100),'Quantification_Config'!$U$2),""),"")</x:f>
        <x:v>50</x:v>
      </x:c>
      <x:c r="F86" t="inlineStr">
        <x:is>
          <x:t xml:space="preserve">SYSTEM-TEST-ONLY-NO-NETWORK-NOT-AN-EDUCATIONAL-EVALUATION</x:t>
        </x:is>
      </x:c>
      <x:c r="G86" t="inlineStr">
        <x:is>
          <x:t xml:space="preserve"/>
        </x:is>
      </x:c>
      <x:c r="H86" t="inlineStr">
        <x:is>
          <x:t xml:space="preserve">NONE</x:t>
        </x:is>
      </x:c>
      <x:c r="I86" t="inlineStr">
        <x:is>
          <x:t xml:space="preserve"/>
        </x:is>
      </x:c>
      <x:c r="J86" t="inlineStr">
        <x:is>
          <x:t xml:space="preserve">SUCCESS</x:t>
        </x:is>
      </x:c>
      <x:c r="K86" t="n">
        <x:f>IF((COUNT('Quantification_Results'!E86)=1),IFERROR(ROUND((SUM(('Quantification_Results'!E86*'Quantification_Config'!$R$6))/SUM('Quantification_Config'!$R$6)),'Quantification_Config'!$U$2),""),"")</x:f>
        <x:v>50</x:v>
      </x:c>
      <x:c r="L86" t="n">
        <x:f>IF((COUNT('Quantification_Results'!K86)=1),IFERROR(ROUND((SUM(('Quantification_Results'!K86*'Quantification_Config'!$R$5))/SUM('Quantification_Config'!$R$5)),'Quantification_Config'!$U$2),""),"")</x:f>
        <x:v>50</x:v>
      </x:c>
      <x:c r="M86" t="n">
        <x:v>1</x:v>
      </x:c>
      <x:c r="N86" t="n">
        <x:v>5</x:v>
      </x:c>
      <x:c r="O86"/>
      <x:c r="P86" t="n">
        <x:f>IF(('Quantification_Results'!M86&lt;&gt;1),"",IF(('Quantification_Results'!O86=""),IF(ISNUMBER('Quantification_Results'!N86),IF(('Quantification_Results'!N86&lt;'Quantification_Config'!$S$9),"",IF(('Quantification_Results'!N86&gt;'Quantification_Config'!$T$9),"",'Quantification_Results'!N86)),""),IF(ISNUMBER('Quantification_Results'!O86),IF(('Quantification_Results'!O86&lt;'Quantification_Config'!$S$9),"",IF(('Quantification_Results'!O86&gt;'Quantification_Config'!$T$9),"",'Quantification_Results'!O86)),"")))</x:f>
        <x:v>5</x:v>
      </x:c>
      <x:c r="Q86" t="n">
        <x:f>IF(ISNUMBER('Quantification_Results'!P86),IFERROR(ROUND(((('Quantification_Results'!P86-'Quantification_Config'!$S$9)/('Quantification_Config'!$T$9-'Quantification_Config'!$S$9))*100),'Quantification_Config'!$U$2),""),"")</x:f>
        <x:v>50</x:v>
      </x:c>
      <x:c r="R86" t="inlineStr">
        <x:is>
          <x:t xml:space="preserve">SYSTEM-TEST-ONLY-NO-NETWORK-NOT-AN-EDUCATIONAL-EVALUATION</x:t>
        </x:is>
      </x:c>
      <x:c r="S86" t="inlineStr">
        <x:is>
          <x:t xml:space="preserve"/>
        </x:is>
      </x:c>
      <x:c r="T86" t="inlineStr">
        <x:is>
          <x:t xml:space="preserve">NONE</x:t>
        </x:is>
      </x:c>
      <x:c r="U86" t="inlineStr">
        <x:is>
          <x:t xml:space="preserve"/>
        </x:is>
      </x:c>
      <x:c r="V86" t="inlineStr">
        <x:is>
          <x:t xml:space="preserve">SUCCESS</x:t>
        </x:is>
      </x:c>
      <x:c r="W86" t="n">
        <x:f>IF((COUNT('Quantification_Results'!Q86)=1),IFERROR(ROUND((SUM(('Quantification_Results'!Q86*'Quantification_Config'!$R$9))/SUM('Quantification_Config'!$R$9)),'Quantification_Config'!$U$2),""),"")</x:f>
        <x:v>50</x:v>
      </x:c>
      <x:c r="X86" t="n">
        <x:f>IF((COUNT('Quantification_Results'!W86)=1),IFERROR(ROUND((SUM(('Quantification_Results'!W86*'Quantification_Config'!$R$8))/SUM('Quantification_Config'!$R$8)),'Quantification_Config'!$U$2),""),"")</x:f>
        <x:v>50</x:v>
      </x:c>
      <x:c r="Y86" t="n">
        <x:v>1</x:v>
      </x:c>
      <x:c r="Z86" t="n">
        <x:v>5</x:v>
      </x:c>
      <x:c r="AA86"/>
      <x:c r="AB86" t="n">
        <x:f>IF(('Quantification_Results'!Y86&lt;&gt;1),"",IF(('Quantification_Results'!AA86=""),IF(ISNUMBER('Quantification_Results'!Z86),IF(('Quantification_Results'!Z86&lt;'Quantification_Config'!$S$12),"",IF(('Quantification_Results'!Z86&gt;'Quantification_Config'!$T$12),"",'Quantification_Results'!Z86)),""),IF(ISNUMBER('Quantification_Results'!AA86),IF(('Quantification_Results'!AA86&lt;'Quantification_Config'!$S$12),"",IF(('Quantification_Results'!AA86&gt;'Quantification_Config'!$T$12),"",'Quantification_Results'!AA86)),"")))</x:f>
        <x:v>5</x:v>
      </x:c>
      <x:c r="AC86" t="n">
        <x:f>IF(ISNUMBER('Quantification_Results'!AB86),IFERROR(ROUND(((('Quantification_Results'!AB86-'Quantification_Config'!$S$12)/('Quantification_Config'!$T$12-'Quantification_Config'!$S$12))*100),'Quantification_Config'!$U$2),""),"")</x:f>
        <x:v>50</x:v>
      </x:c>
      <x:c r="AD86" t="inlineStr">
        <x:is>
          <x:t xml:space="preserve">SYSTEM-TEST-ONLY-NO-NETWORK-NOT-AN-EDUCATIONAL-EVALUATION</x:t>
        </x:is>
      </x:c>
      <x:c r="AE86" t="inlineStr">
        <x:is>
          <x:t xml:space="preserve"/>
        </x:is>
      </x:c>
      <x:c r="AF86" t="inlineStr">
        <x:is>
          <x:t xml:space="preserve">NONE</x:t>
        </x:is>
      </x:c>
      <x:c r="AG86" t="inlineStr">
        <x:is>
          <x:t xml:space="preserve"/>
        </x:is>
      </x:c>
      <x:c r="AH86" t="inlineStr">
        <x:is>
          <x:t xml:space="preserve">SUCCESS</x:t>
        </x:is>
      </x:c>
      <x:c r="AI86" t="n">
        <x:f>IF((COUNT('Quantification_Results'!AC86)=1),IFERROR(ROUND((SUM(('Quantification_Results'!AC86*'Quantification_Config'!$R$12))/SUM('Quantification_Config'!$R$12)),'Quantification_Config'!$U$2),""),"")</x:f>
        <x:v>50</x:v>
      </x:c>
      <x:c r="AJ86" t="n">
        <x:f>IF((COUNT('Quantification_Results'!AI86)=1),IFERROR(ROUND((SUM(('Quantification_Results'!AI86*'Quantification_Config'!$R$11))/SUM('Quantification_Config'!$R$11)),'Quantification_Config'!$U$2),""),"")</x:f>
        <x:v>50</x:v>
      </x:c>
      <x:c r="AK86" t="n">
        <x:v>1</x:v>
      </x:c>
      <x:c r="AL86" t="n">
        <x:v>5</x:v>
      </x:c>
      <x:c r="AM86"/>
      <x:c r="AN86" t="n">
        <x:f>IF(('Quantification_Results'!AK86&lt;&gt;1),"",IF(('Quantification_Results'!AM86=""),IF(ISNUMBER('Quantification_Results'!AL86),IF(('Quantification_Results'!AL86&lt;'Quantification_Config'!$S$15),"",IF(('Quantification_Results'!AL86&gt;'Quantification_Config'!$T$15),"",'Quantification_Results'!AL86)),""),IF(ISNUMBER('Quantification_Results'!AM86),IF(('Quantification_Results'!AM86&lt;'Quantification_Config'!$S$15),"",IF(('Quantification_Results'!AM86&gt;'Quantification_Config'!$T$15),"",'Quantification_Results'!AM86)),"")))</x:f>
        <x:v>5</x:v>
      </x:c>
      <x:c r="AO86" t="n">
        <x:f>IF(ISNUMBER('Quantification_Results'!AN86),IFERROR(ROUND(((('Quantification_Results'!AN86-'Quantification_Config'!$S$15)/('Quantification_Config'!$T$15-'Quantification_Config'!$S$15))*100),'Quantification_Config'!$U$2),""),"")</x:f>
        <x:v>50</x:v>
      </x:c>
      <x:c r="AP86" t="inlineStr">
        <x:is>
          <x:t xml:space="preserve">SYSTEM-TEST-ONLY-NO-NETWORK-NOT-AN-EDUCATIONAL-EVALUATION</x:t>
        </x:is>
      </x:c>
      <x:c r="AQ86" t="inlineStr">
        <x:is>
          <x:t xml:space="preserve"/>
        </x:is>
      </x:c>
      <x:c r="AR86" t="inlineStr">
        <x:is>
          <x:t xml:space="preserve">NONE</x:t>
        </x:is>
      </x:c>
      <x:c r="AS86" t="inlineStr">
        <x:is>
          <x:t xml:space="preserve"/>
        </x:is>
      </x:c>
      <x:c r="AT86" t="inlineStr">
        <x:is>
          <x:t xml:space="preserve">SUCCESS</x:t>
        </x:is>
      </x:c>
      <x:c r="AU86" t="n">
        <x:f>IF((COUNT('Quantification_Results'!AO86)=1),IFERROR(ROUND((SUM(('Quantification_Results'!AO86*'Quantification_Config'!$R$15))/SUM('Quantification_Config'!$R$15)),'Quantification_Config'!$U$2),""),"")</x:f>
        <x:v>50</x:v>
      </x:c>
      <x:c r="AV86" t="n">
        <x:f>IF((COUNT('Quantification_Results'!AU86)=1),IFERROR(ROUND((SUM(('Quantification_Results'!AU86*'Quantification_Config'!$R$14))/SUM('Quantification_Config'!$R$14)),'Quantification_Config'!$U$2),""),"")</x:f>
        <x:v>50</x:v>
      </x:c>
      <x:c r="AW86" t="n">
        <x:v>1</x:v>
      </x:c>
      <x:c r="AX86" t="n">
        <x:v>5</x:v>
      </x:c>
      <x:c r="AY86"/>
      <x:c r="AZ86" t="n">
        <x:f>IF(('Quantification_Results'!AW86&lt;&gt;1),"",IF(('Quantification_Results'!AY86=""),IF(ISNUMBER('Quantification_Results'!AX86),IF(('Quantification_Results'!AX86&lt;'Quantification_Config'!$S$19),"",IF(('Quantification_Results'!AX86&gt;'Quantification_Config'!$T$19),"",'Quantification_Results'!AX86)),""),IF(ISNUMBER('Quantification_Results'!AY86),IF(('Quantification_Results'!AY86&lt;'Quantification_Config'!$S$19),"",IF(('Quantification_Results'!AY86&gt;'Quantification_Config'!$T$19),"",'Quantification_Results'!AY86)),"")))</x:f>
        <x:v>5</x:v>
      </x:c>
      <x:c r="BA86" t="n">
        <x:f>IF(ISNUMBER('Quantification_Results'!AZ86),IFERROR(ROUND(((('Quantification_Results'!AZ86-'Quantification_Config'!$S$19)/('Quantification_Config'!$T$19-'Quantification_Config'!$S$19))*100),'Quantification_Config'!$U$2),""),"")</x:f>
        <x:v>50</x:v>
      </x:c>
      <x:c r="BB86" t="inlineStr">
        <x:is>
          <x:t xml:space="preserve">SYSTEM-TEST-ONLY-NO-NETWORK-NOT-AN-EDUCATIONAL-EVALUATION</x:t>
        </x:is>
      </x:c>
      <x:c r="BC86" t="inlineStr">
        <x:is>
          <x:t xml:space="preserve"/>
        </x:is>
      </x:c>
      <x:c r="BD86" t="inlineStr">
        <x:is>
          <x:t xml:space="preserve">NONE</x:t>
        </x:is>
      </x:c>
      <x:c r="BE86" t="inlineStr">
        <x:is>
          <x:t xml:space="preserve"/>
        </x:is>
      </x:c>
      <x:c r="BF86" t="inlineStr">
        <x:is>
          <x:t xml:space="preserve">SUCCESS</x:t>
        </x:is>
      </x:c>
      <x:c r="BG86" t="n">
        <x:f>IF((COUNT('Quantification_Results'!BA86)=1),IFERROR(ROUND((SUM(('Quantification_Results'!BA86*'Quantification_Config'!$R$19))/SUM('Quantification_Config'!$R$19)),'Quantification_Config'!$U$2),""),"")</x:f>
        <x:v>50</x:v>
      </x:c>
      <x:c r="BH86" t="n">
        <x:f>IF((COUNT('Quantification_Results'!BG86)=1),IFERROR(ROUND((SUM(('Quantification_Results'!BG86*'Quantification_Config'!$R$18))/SUM('Quantification_Config'!$R$18)),'Quantification_Config'!$U$2),""),"")</x:f>
        <x:v>50</x:v>
      </x:c>
      <x:c r="BI86" t="n">
        <x:f>IF((COUNT('Quantification_Results'!L86,'Quantification_Results'!X86,'Quantification_Results'!AJ86,'Quantification_Results'!AV86,'Quantification_Results'!BH86)=5),IFERROR(ROUND((SUM(('Quantification_Results'!L86*'Quantification_Config'!$R$4),('Quantification_Results'!X86*'Quantification_Config'!$R$7),('Quantification_Results'!AJ86*'Quantification_Config'!$R$10),('Quantification_Results'!AV86*'Quantification_Config'!$R$13),('Quantification_Results'!BH86*'Quantification_Config'!$R$16))/SUM('Quantification_Config'!$R$4,'Quantification_Config'!$R$7,'Quantification_Config'!$R$10,'Quantification_Config'!$R$13,'Quantification_Config'!$R$16)),'Quantification_Config'!$U$2),""),"")</x:f>
        <x:v>50</x:v>
      </x:c>
    </x:row>
    <x:row r="87">
      <x:c r="A87" t="n">
        <x:v>1</x:v>
      </x:c>
      <x:c r="B87" t="n">
        <x:v>5</x:v>
      </x:c>
      <x:c r="C87"/>
      <x:c r="D87" t="n">
        <x:f>IF(('Quantification_Results'!A87&lt;&gt;1),"",IF(('Quantification_Results'!C87=""),IF(ISNUMBER('Quantification_Results'!B87),IF(('Quantification_Results'!B87&lt;'Quantification_Config'!$S$6),"",IF(('Quantification_Results'!B87&gt;'Quantification_Config'!$T$6),"",'Quantification_Results'!B87)),""),IF(ISNUMBER('Quantification_Results'!C87),IF(('Quantification_Results'!C87&lt;'Quantification_Config'!$S$6),"",IF(('Quantification_Results'!C87&gt;'Quantification_Config'!$T$6),"",'Quantification_Results'!C87)),"")))</x:f>
        <x:v>5</x:v>
      </x:c>
      <x:c r="E87" t="n">
        <x:f>IF(ISNUMBER('Quantification_Results'!D87),IFERROR(ROUND(((('Quantification_Results'!D87-'Quantification_Config'!$S$6)/('Quantification_Config'!$T$6-'Quantification_Config'!$S$6))*100),'Quantification_Config'!$U$2),""),"")</x:f>
        <x:v>50</x:v>
      </x:c>
      <x:c r="F87" t="inlineStr">
        <x:is>
          <x:t xml:space="preserve">SYSTEM-TEST-ONLY-NO-NETWORK-NOT-AN-EDUCATIONAL-EVALUATION</x:t>
        </x:is>
      </x:c>
      <x:c r="G87" t="inlineStr">
        <x:is>
          <x:t xml:space="preserve"/>
        </x:is>
      </x:c>
      <x:c r="H87" t="inlineStr">
        <x:is>
          <x:t xml:space="preserve">NONE</x:t>
        </x:is>
      </x:c>
      <x:c r="I87" t="inlineStr">
        <x:is>
          <x:t xml:space="preserve"/>
        </x:is>
      </x:c>
      <x:c r="J87" t="inlineStr">
        <x:is>
          <x:t xml:space="preserve">SUCCESS</x:t>
        </x:is>
      </x:c>
      <x:c r="K87" t="n">
        <x:f>IF((COUNT('Quantification_Results'!E87)=1),IFERROR(ROUND((SUM(('Quantification_Results'!E87*'Quantification_Config'!$R$6))/SUM('Quantification_Config'!$R$6)),'Quantification_Config'!$U$2),""),"")</x:f>
        <x:v>50</x:v>
      </x:c>
      <x:c r="L87" t="n">
        <x:f>IF((COUNT('Quantification_Results'!K87)=1),IFERROR(ROUND((SUM(('Quantification_Results'!K87*'Quantification_Config'!$R$5))/SUM('Quantification_Config'!$R$5)),'Quantification_Config'!$U$2),""),"")</x:f>
        <x:v>50</x:v>
      </x:c>
      <x:c r="M87" t="n">
        <x:v>1</x:v>
      </x:c>
      <x:c r="N87" t="n">
        <x:v>5</x:v>
      </x:c>
      <x:c r="O87"/>
      <x:c r="P87" t="n">
        <x:f>IF(('Quantification_Results'!M87&lt;&gt;1),"",IF(('Quantification_Results'!O87=""),IF(ISNUMBER('Quantification_Results'!N87),IF(('Quantification_Results'!N87&lt;'Quantification_Config'!$S$9),"",IF(('Quantification_Results'!N87&gt;'Quantification_Config'!$T$9),"",'Quantification_Results'!N87)),""),IF(ISNUMBER('Quantification_Results'!O87),IF(('Quantification_Results'!O87&lt;'Quantification_Config'!$S$9),"",IF(('Quantification_Results'!O87&gt;'Quantification_Config'!$T$9),"",'Quantification_Results'!O87)),"")))</x:f>
        <x:v>5</x:v>
      </x:c>
      <x:c r="Q87" t="n">
        <x:f>IF(ISNUMBER('Quantification_Results'!P87),IFERROR(ROUND(((('Quantification_Results'!P87-'Quantification_Config'!$S$9)/('Quantification_Config'!$T$9-'Quantification_Config'!$S$9))*100),'Quantification_Config'!$U$2),""),"")</x:f>
        <x:v>50</x:v>
      </x:c>
      <x:c r="R87" t="inlineStr">
        <x:is>
          <x:t xml:space="preserve">SYSTEM-TEST-ONLY-NO-NETWORK-NOT-AN-EDUCATIONAL-EVALUATION</x:t>
        </x:is>
      </x:c>
      <x:c r="S87" t="inlineStr">
        <x:is>
          <x:t xml:space="preserve"/>
        </x:is>
      </x:c>
      <x:c r="T87" t="inlineStr">
        <x:is>
          <x:t xml:space="preserve">NONE</x:t>
        </x:is>
      </x:c>
      <x:c r="U87" t="inlineStr">
        <x:is>
          <x:t xml:space="preserve"/>
        </x:is>
      </x:c>
      <x:c r="V87" t="inlineStr">
        <x:is>
          <x:t xml:space="preserve">SUCCESS</x:t>
        </x:is>
      </x:c>
      <x:c r="W87" t="n">
        <x:f>IF((COUNT('Quantification_Results'!Q87)=1),IFERROR(ROUND((SUM(('Quantification_Results'!Q87*'Quantification_Config'!$R$9))/SUM('Quantification_Config'!$R$9)),'Quantification_Config'!$U$2),""),"")</x:f>
        <x:v>50</x:v>
      </x:c>
      <x:c r="X87" t="n">
        <x:f>IF((COUNT('Quantification_Results'!W87)=1),IFERROR(ROUND((SUM(('Quantification_Results'!W87*'Quantification_Config'!$R$8))/SUM('Quantification_Config'!$R$8)),'Quantification_Config'!$U$2),""),"")</x:f>
        <x:v>50</x:v>
      </x:c>
      <x:c r="Y87" t="n">
        <x:v>0</x:v>
      </x:c>
      <x:c r="Z87"/>
      <x:c r="AA87"/>
      <x:c r="AB87">
        <x:f>IF(('Quantification_Results'!Y87&lt;&gt;1),"",IF(('Quantification_Results'!AA87=""),IF(ISNUMBER('Quantification_Results'!Z87),IF(('Quantification_Results'!Z87&lt;'Quantification_Config'!$S$12),"",IF(('Quantification_Results'!Z87&gt;'Quantification_Config'!$T$12),"",'Quantification_Results'!Z87)),""),IF(ISNUMBER('Quantification_Results'!AA87),IF(('Quantification_Results'!AA87&lt;'Quantification_Config'!$S$12),"",IF(('Quantification_Results'!AA87&gt;'Quantification_Config'!$T$12),"",'Quantification_Results'!AA87)),"")))</x:f>
      </x:c>
      <x:c r="AC87">
        <x:f>IF(ISNUMBER('Quantification_Results'!AB87),IFERROR(ROUND(((('Quantification_Results'!AB87-'Quantification_Config'!$S$12)/('Quantification_Config'!$T$12-'Quantification_Config'!$S$12))*100),'Quantification_Config'!$U$2),""),"")</x:f>
      </x:c>
      <x:c r="AD87" t="inlineStr">
        <x:is>
          <x:t xml:space="preserve"/>
        </x:is>
      </x:c>
      <x:c r="AE87" t="inlineStr">
        <x:is>
          <x:t xml:space="preserve"/>
        </x:is>
      </x:c>
      <x:c r="AF87" t="inlineStr">
        <x:is>
          <x:t xml:space="preserve"/>
        </x:is>
      </x:c>
      <x:c r="AG87" t="inlineStr">
        <x:is>
          <x:t xml:space="preserve"/>
        </x:is>
      </x:c>
      <x:c r="AH87" t="inlineStr">
        <x:is>
          <x:t xml:space="preserve">EMPTY</x:t>
        </x:is>
      </x:c>
      <x:c r="AI87">
        <x:f>IF((COUNT('Quantification_Results'!AC87)=1),IFERROR(ROUND((SUM(('Quantification_Results'!AC87*'Quantification_Config'!$R$12))/SUM('Quantification_Config'!$R$12)),'Quantification_Config'!$U$2),""),"")</x:f>
      </x:c>
      <x:c r="AJ87">
        <x:f>IF((COUNT('Quantification_Results'!AI87)=1),IFERROR(ROUND((SUM(('Quantification_Results'!AI87*'Quantification_Config'!$R$11))/SUM('Quantification_Config'!$R$11)),'Quantification_Config'!$U$2),""),"")</x:f>
      </x:c>
      <x:c r="AK87" t="n">
        <x:v>1</x:v>
      </x:c>
      <x:c r="AL87" t="n">
        <x:v>5</x:v>
      </x:c>
      <x:c r="AM87"/>
      <x:c r="AN87" t="n">
        <x:f>IF(('Quantification_Results'!AK87&lt;&gt;1),"",IF(('Quantification_Results'!AM87=""),IF(ISNUMBER('Quantification_Results'!AL87),IF(('Quantification_Results'!AL87&lt;'Quantification_Config'!$S$15),"",IF(('Quantification_Results'!AL87&gt;'Quantification_Config'!$T$15),"",'Quantification_Results'!AL87)),""),IF(ISNUMBER('Quantification_Results'!AM87),IF(('Quantification_Results'!AM87&lt;'Quantification_Config'!$S$15),"",IF(('Quantification_Results'!AM87&gt;'Quantification_Config'!$T$15),"",'Quantification_Results'!AM87)),"")))</x:f>
        <x:v>5</x:v>
      </x:c>
      <x:c r="AO87" t="n">
        <x:f>IF(ISNUMBER('Quantification_Results'!AN87),IFERROR(ROUND(((('Quantification_Results'!AN87-'Quantification_Config'!$S$15)/('Quantification_Config'!$T$15-'Quantification_Config'!$S$15))*100),'Quantification_Config'!$U$2),""),"")</x:f>
        <x:v>50</x:v>
      </x:c>
      <x:c r="AP87" t="inlineStr">
        <x:is>
          <x:t xml:space="preserve">SYSTEM-TEST-ONLY-NO-NETWORK-NOT-AN-EDUCATIONAL-EVALUATION</x:t>
        </x:is>
      </x:c>
      <x:c r="AQ87" t="inlineStr">
        <x:is>
          <x:t xml:space="preserve"/>
        </x:is>
      </x:c>
      <x:c r="AR87" t="inlineStr">
        <x:is>
          <x:t xml:space="preserve">NONE</x:t>
        </x:is>
      </x:c>
      <x:c r="AS87" t="inlineStr">
        <x:is>
          <x:t xml:space="preserve"/>
        </x:is>
      </x:c>
      <x:c r="AT87" t="inlineStr">
        <x:is>
          <x:t xml:space="preserve">SUCCESS</x:t>
        </x:is>
      </x:c>
      <x:c r="AU87" t="n">
        <x:f>IF((COUNT('Quantification_Results'!AO87)=1),IFERROR(ROUND((SUM(('Quantification_Results'!AO87*'Quantification_Config'!$R$15))/SUM('Quantification_Config'!$R$15)),'Quantification_Config'!$U$2),""),"")</x:f>
        <x:v>50</x:v>
      </x:c>
      <x:c r="AV87" t="n">
        <x:f>IF((COUNT('Quantification_Results'!AU87)=1),IFERROR(ROUND((SUM(('Quantification_Results'!AU87*'Quantification_Config'!$R$14))/SUM('Quantification_Config'!$R$14)),'Quantification_Config'!$U$2),""),"")</x:f>
        <x:v>50</x:v>
      </x:c>
      <x:c r="AW87" t="n">
        <x:v>1</x:v>
      </x:c>
      <x:c r="AX87" t="n">
        <x:v>5</x:v>
      </x:c>
      <x:c r="AY87"/>
      <x:c r="AZ87" t="n">
        <x:f>IF(('Quantification_Results'!AW87&lt;&gt;1),"",IF(('Quantification_Results'!AY87=""),IF(ISNUMBER('Quantification_Results'!AX87),IF(('Quantification_Results'!AX87&lt;'Quantification_Config'!$S$19),"",IF(('Quantification_Results'!AX87&gt;'Quantification_Config'!$T$19),"",'Quantification_Results'!AX87)),""),IF(ISNUMBER('Quantification_Results'!AY87),IF(('Quantification_Results'!AY87&lt;'Quantification_Config'!$S$19),"",IF(('Quantification_Results'!AY87&gt;'Quantification_Config'!$T$19),"",'Quantification_Results'!AY87)),"")))</x:f>
        <x:v>5</x:v>
      </x:c>
      <x:c r="BA87" t="n">
        <x:f>IF(ISNUMBER('Quantification_Results'!AZ87),IFERROR(ROUND(((('Quantification_Results'!AZ87-'Quantification_Config'!$S$19)/('Quantification_Config'!$T$19-'Quantification_Config'!$S$19))*100),'Quantification_Config'!$U$2),""),"")</x:f>
        <x:v>50</x:v>
      </x:c>
      <x:c r="BB87" t="inlineStr">
        <x:is>
          <x:t xml:space="preserve">SYSTEM-TEST-ONLY-NO-NETWORK-NOT-AN-EDUCATIONAL-EVALUATION</x:t>
        </x:is>
      </x:c>
      <x:c r="BC87" t="inlineStr">
        <x:is>
          <x:t xml:space="preserve"/>
        </x:is>
      </x:c>
      <x:c r="BD87" t="inlineStr">
        <x:is>
          <x:t xml:space="preserve">NONE</x:t>
        </x:is>
      </x:c>
      <x:c r="BE87" t="inlineStr">
        <x:is>
          <x:t xml:space="preserve"/>
        </x:is>
      </x:c>
      <x:c r="BF87" t="inlineStr">
        <x:is>
          <x:t xml:space="preserve">SUCCESS</x:t>
        </x:is>
      </x:c>
      <x:c r="BG87" t="n">
        <x:f>IF((COUNT('Quantification_Results'!BA87)=1),IFERROR(ROUND((SUM(('Quantification_Results'!BA87*'Quantification_Config'!$R$19))/SUM('Quantification_Config'!$R$19)),'Quantification_Config'!$U$2),""),"")</x:f>
        <x:v>50</x:v>
      </x:c>
      <x:c r="BH87" t="n">
        <x:f>IF((COUNT('Quantification_Results'!BG87)=1),IFERROR(ROUND((SUM(('Quantification_Results'!BG87*'Quantification_Config'!$R$18))/SUM('Quantification_Config'!$R$18)),'Quantification_Config'!$U$2),""),"")</x:f>
        <x:v>50</x:v>
      </x:c>
      <x:c r="BI87">
        <x:f>IF((COUNT('Quantification_Results'!L87,'Quantification_Results'!X87,'Quantification_Results'!AJ87,'Quantification_Results'!AV87,'Quantification_Results'!BH87)=5),IFERROR(ROUND((SUM(('Quantification_Results'!L87*'Quantification_Config'!$R$4),('Quantification_Results'!X87*'Quantification_Config'!$R$7),('Quantification_Results'!AJ87*'Quantification_Config'!$R$10),('Quantification_Results'!AV87*'Quantification_Config'!$R$13),('Quantification_Results'!BH87*'Quantification_Config'!$R$16))/SUM('Quantification_Config'!$R$4,'Quantification_Config'!$R$7,'Quantification_Config'!$R$10,'Quantification_Config'!$R$13,'Quantification_Config'!$R$16)),'Quantification_Config'!$U$2),""),"")</x:f>
      </x:c>
    </x:row>
    <x:row r="88">
      <x:c r="A88" t="n">
        <x:v>1</x:v>
      </x:c>
      <x:c r="B88" t="n">
        <x:v>5</x:v>
      </x:c>
      <x:c r="C88"/>
      <x:c r="D88" t="n">
        <x:f>IF(('Quantification_Results'!A88&lt;&gt;1),"",IF(('Quantification_Results'!C88=""),IF(ISNUMBER('Quantification_Results'!B88),IF(('Quantification_Results'!B88&lt;'Quantification_Config'!$S$6),"",IF(('Quantification_Results'!B88&gt;'Quantification_Config'!$T$6),"",'Quantification_Results'!B88)),""),IF(ISNUMBER('Quantification_Results'!C88),IF(('Quantification_Results'!C88&lt;'Quantification_Config'!$S$6),"",IF(('Quantification_Results'!C88&gt;'Quantification_Config'!$T$6),"",'Quantification_Results'!C88)),"")))</x:f>
        <x:v>5</x:v>
      </x:c>
      <x:c r="E88" t="n">
        <x:f>IF(ISNUMBER('Quantification_Results'!D88),IFERROR(ROUND(((('Quantification_Results'!D88-'Quantification_Config'!$S$6)/('Quantification_Config'!$T$6-'Quantification_Config'!$S$6))*100),'Quantification_Config'!$U$2),""),"")</x:f>
        <x:v>50</x:v>
      </x:c>
      <x:c r="F88" t="inlineStr">
        <x:is>
          <x:t xml:space="preserve">SYSTEM-TEST-ONLY-NO-NETWORK-NOT-AN-EDUCATIONAL-EVALUATION</x:t>
        </x:is>
      </x:c>
      <x:c r="G88" t="inlineStr">
        <x:is>
          <x:t xml:space="preserve"/>
        </x:is>
      </x:c>
      <x:c r="H88" t="inlineStr">
        <x:is>
          <x:t xml:space="preserve">NONE</x:t>
        </x:is>
      </x:c>
      <x:c r="I88" t="inlineStr">
        <x:is>
          <x:t xml:space="preserve"/>
        </x:is>
      </x:c>
      <x:c r="J88" t="inlineStr">
        <x:is>
          <x:t xml:space="preserve">SUCCESS</x:t>
        </x:is>
      </x:c>
      <x:c r="K88" t="n">
        <x:f>IF((COUNT('Quantification_Results'!E88)=1),IFERROR(ROUND((SUM(('Quantification_Results'!E88*'Quantification_Config'!$R$6))/SUM('Quantification_Config'!$R$6)),'Quantification_Config'!$U$2),""),"")</x:f>
        <x:v>50</x:v>
      </x:c>
      <x:c r="L88" t="n">
        <x:f>IF((COUNT('Quantification_Results'!K88)=1),IFERROR(ROUND((SUM(('Quantification_Results'!K88*'Quantification_Config'!$R$5))/SUM('Quantification_Config'!$R$5)),'Quantification_Config'!$U$2),""),"")</x:f>
        <x:v>50</x:v>
      </x:c>
      <x:c r="M88" t="n">
        <x:v>1</x:v>
      </x:c>
      <x:c r="N88" t="n">
        <x:v>5</x:v>
      </x:c>
      <x:c r="O88"/>
      <x:c r="P88" t="n">
        <x:f>IF(('Quantification_Results'!M88&lt;&gt;1),"",IF(('Quantification_Results'!O88=""),IF(ISNUMBER('Quantification_Results'!N88),IF(('Quantification_Results'!N88&lt;'Quantification_Config'!$S$9),"",IF(('Quantification_Results'!N88&gt;'Quantification_Config'!$T$9),"",'Quantification_Results'!N88)),""),IF(ISNUMBER('Quantification_Results'!O88),IF(('Quantification_Results'!O88&lt;'Quantification_Config'!$S$9),"",IF(('Quantification_Results'!O88&gt;'Quantification_Config'!$T$9),"",'Quantification_Results'!O88)),"")))</x:f>
        <x:v>5</x:v>
      </x:c>
      <x:c r="Q88" t="n">
        <x:f>IF(ISNUMBER('Quantification_Results'!P88),IFERROR(ROUND(((('Quantification_Results'!P88-'Quantification_Config'!$S$9)/('Quantification_Config'!$T$9-'Quantification_Config'!$S$9))*100),'Quantification_Config'!$U$2),""),"")</x:f>
        <x:v>50</x:v>
      </x:c>
      <x:c r="R88" t="inlineStr">
        <x:is>
          <x:t xml:space="preserve">SYSTEM-TEST-ONLY-NO-NETWORK-NOT-AN-EDUCATIONAL-EVALUATION</x:t>
        </x:is>
      </x:c>
      <x:c r="S88" t="inlineStr">
        <x:is>
          <x:t xml:space="preserve"/>
        </x:is>
      </x:c>
      <x:c r="T88" t="inlineStr">
        <x:is>
          <x:t xml:space="preserve">NONE</x:t>
        </x:is>
      </x:c>
      <x:c r="U88" t="inlineStr">
        <x:is>
          <x:t xml:space="preserve"/>
        </x:is>
      </x:c>
      <x:c r="V88" t="inlineStr">
        <x:is>
          <x:t xml:space="preserve">SUCCESS</x:t>
        </x:is>
      </x:c>
      <x:c r="W88" t="n">
        <x:f>IF((COUNT('Quantification_Results'!Q88)=1),IFERROR(ROUND((SUM(('Quantification_Results'!Q88*'Quantification_Config'!$R$9))/SUM('Quantification_Config'!$R$9)),'Quantification_Config'!$U$2),""),"")</x:f>
        <x:v>50</x:v>
      </x:c>
      <x:c r="X88" t="n">
        <x:f>IF((COUNT('Quantification_Results'!W88)=1),IFERROR(ROUND((SUM(('Quantification_Results'!W88*'Quantification_Config'!$R$8))/SUM('Quantification_Config'!$R$8)),'Quantification_Config'!$U$2),""),"")</x:f>
        <x:v>50</x:v>
      </x:c>
      <x:c r="Y88" t="n">
        <x:v>0</x:v>
      </x:c>
      <x:c r="Z88"/>
      <x:c r="AA88"/>
      <x:c r="AB88">
        <x:f>IF(('Quantification_Results'!Y88&lt;&gt;1),"",IF(('Quantification_Results'!AA88=""),IF(ISNUMBER('Quantification_Results'!Z88),IF(('Quantification_Results'!Z88&lt;'Quantification_Config'!$S$12),"",IF(('Quantification_Results'!Z88&gt;'Quantification_Config'!$T$12),"",'Quantification_Results'!Z88)),""),IF(ISNUMBER('Quantification_Results'!AA88),IF(('Quantification_Results'!AA88&lt;'Quantification_Config'!$S$12),"",IF(('Quantification_Results'!AA88&gt;'Quantification_Config'!$T$12),"",'Quantification_Results'!AA88)),"")))</x:f>
      </x:c>
      <x:c r="AC88">
        <x:f>IF(ISNUMBER('Quantification_Results'!AB88),IFERROR(ROUND(((('Quantification_Results'!AB88-'Quantification_Config'!$S$12)/('Quantification_Config'!$T$12-'Quantification_Config'!$S$12))*100),'Quantification_Config'!$U$2),""),"")</x:f>
      </x:c>
      <x:c r="AD88" t="inlineStr">
        <x:is>
          <x:t xml:space="preserve"/>
        </x:is>
      </x:c>
      <x:c r="AE88" t="inlineStr">
        <x:is>
          <x:t xml:space="preserve"/>
        </x:is>
      </x:c>
      <x:c r="AF88" t="inlineStr">
        <x:is>
          <x:t xml:space="preserve"/>
        </x:is>
      </x:c>
      <x:c r="AG88" t="inlineStr">
        <x:is>
          <x:t xml:space="preserve"/>
        </x:is>
      </x:c>
      <x:c r="AH88" t="inlineStr">
        <x:is>
          <x:t xml:space="preserve">EMPTY</x:t>
        </x:is>
      </x:c>
      <x:c r="AI88">
        <x:f>IF((COUNT('Quantification_Results'!AC88)=1),IFERROR(ROUND((SUM(('Quantification_Results'!AC88*'Quantification_Config'!$R$12))/SUM('Quantification_Config'!$R$12)),'Quantification_Config'!$U$2),""),"")</x:f>
      </x:c>
      <x:c r="AJ88">
        <x:f>IF((COUNT('Quantification_Results'!AI88)=1),IFERROR(ROUND((SUM(('Quantification_Results'!AI88*'Quantification_Config'!$R$11))/SUM('Quantification_Config'!$R$11)),'Quantification_Config'!$U$2),""),"")</x:f>
      </x:c>
      <x:c r="AK88" t="n">
        <x:v>1</x:v>
      </x:c>
      <x:c r="AL88" t="n">
        <x:v>5</x:v>
      </x:c>
      <x:c r="AM88"/>
      <x:c r="AN88" t="n">
        <x:f>IF(('Quantification_Results'!AK88&lt;&gt;1),"",IF(('Quantification_Results'!AM88=""),IF(ISNUMBER('Quantification_Results'!AL88),IF(('Quantification_Results'!AL88&lt;'Quantification_Config'!$S$15),"",IF(('Quantification_Results'!AL88&gt;'Quantification_Config'!$T$15),"",'Quantification_Results'!AL88)),""),IF(ISNUMBER('Quantification_Results'!AM88),IF(('Quantification_Results'!AM88&lt;'Quantification_Config'!$S$15),"",IF(('Quantification_Results'!AM88&gt;'Quantification_Config'!$T$15),"",'Quantification_Results'!AM88)),"")))</x:f>
        <x:v>5</x:v>
      </x:c>
      <x:c r="AO88" t="n">
        <x:f>IF(ISNUMBER('Quantification_Results'!AN88),IFERROR(ROUND(((('Quantification_Results'!AN88-'Quantification_Config'!$S$15)/('Quantification_Config'!$T$15-'Quantification_Config'!$S$15))*100),'Quantification_Config'!$U$2),""),"")</x:f>
        <x:v>50</x:v>
      </x:c>
      <x:c r="AP88" t="inlineStr">
        <x:is>
          <x:t xml:space="preserve">SYSTEM-TEST-ONLY-NO-NETWORK-NOT-AN-EDUCATIONAL-EVALUATION</x:t>
        </x:is>
      </x:c>
      <x:c r="AQ88" t="inlineStr">
        <x:is>
          <x:t xml:space="preserve"/>
        </x:is>
      </x:c>
      <x:c r="AR88" t="inlineStr">
        <x:is>
          <x:t xml:space="preserve">NONE</x:t>
        </x:is>
      </x:c>
      <x:c r="AS88" t="inlineStr">
        <x:is>
          <x:t xml:space="preserve"/>
        </x:is>
      </x:c>
      <x:c r="AT88" t="inlineStr">
        <x:is>
          <x:t xml:space="preserve">SUCCESS</x:t>
        </x:is>
      </x:c>
      <x:c r="AU88" t="n">
        <x:f>IF((COUNT('Quantification_Results'!AO88)=1),IFERROR(ROUND((SUM(('Quantification_Results'!AO88*'Quantification_Config'!$R$15))/SUM('Quantification_Config'!$R$15)),'Quantification_Config'!$U$2),""),"")</x:f>
        <x:v>50</x:v>
      </x:c>
      <x:c r="AV88" t="n">
        <x:f>IF((COUNT('Quantification_Results'!AU88)=1),IFERROR(ROUND((SUM(('Quantification_Results'!AU88*'Quantification_Config'!$R$14))/SUM('Quantification_Config'!$R$14)),'Quantification_Config'!$U$2),""),"")</x:f>
        <x:v>50</x:v>
      </x:c>
      <x:c r="AW88" t="n">
        <x:v>1</x:v>
      </x:c>
      <x:c r="AX88" t="n">
        <x:v>5</x:v>
      </x:c>
      <x:c r="AY88"/>
      <x:c r="AZ88" t="n">
        <x:f>IF(('Quantification_Results'!AW88&lt;&gt;1),"",IF(('Quantification_Results'!AY88=""),IF(ISNUMBER('Quantification_Results'!AX88),IF(('Quantification_Results'!AX88&lt;'Quantification_Config'!$S$19),"",IF(('Quantification_Results'!AX88&gt;'Quantification_Config'!$T$19),"",'Quantification_Results'!AX88)),""),IF(ISNUMBER('Quantification_Results'!AY88),IF(('Quantification_Results'!AY88&lt;'Quantification_Config'!$S$19),"",IF(('Quantification_Results'!AY88&gt;'Quantification_Config'!$T$19),"",'Quantification_Results'!AY88)),"")))</x:f>
        <x:v>5</x:v>
      </x:c>
      <x:c r="BA88" t="n">
        <x:f>IF(ISNUMBER('Quantification_Results'!AZ88),IFERROR(ROUND(((('Quantification_Results'!AZ88-'Quantification_Config'!$S$19)/('Quantification_Config'!$T$19-'Quantification_Config'!$S$19))*100),'Quantification_Config'!$U$2),""),"")</x:f>
        <x:v>50</x:v>
      </x:c>
      <x:c r="BB88" t="inlineStr">
        <x:is>
          <x:t xml:space="preserve">SYSTEM-TEST-ONLY-NO-NETWORK-NOT-AN-EDUCATIONAL-EVALUATION</x:t>
        </x:is>
      </x:c>
      <x:c r="BC88" t="inlineStr">
        <x:is>
          <x:t xml:space="preserve"/>
        </x:is>
      </x:c>
      <x:c r="BD88" t="inlineStr">
        <x:is>
          <x:t xml:space="preserve">NONE</x:t>
        </x:is>
      </x:c>
      <x:c r="BE88" t="inlineStr">
        <x:is>
          <x:t xml:space="preserve"/>
        </x:is>
      </x:c>
      <x:c r="BF88" t="inlineStr">
        <x:is>
          <x:t xml:space="preserve">SUCCESS</x:t>
        </x:is>
      </x:c>
      <x:c r="BG88" t="n">
        <x:f>IF((COUNT('Quantification_Results'!BA88)=1),IFERROR(ROUND((SUM(('Quantification_Results'!BA88*'Quantification_Config'!$R$19))/SUM('Quantification_Config'!$R$19)),'Quantification_Config'!$U$2),""),"")</x:f>
        <x:v>50</x:v>
      </x:c>
      <x:c r="BH88" t="n">
        <x:f>IF((COUNT('Quantification_Results'!BG88)=1),IFERROR(ROUND((SUM(('Quantification_Results'!BG88*'Quantification_Config'!$R$18))/SUM('Quantification_Config'!$R$18)),'Quantification_Config'!$U$2),""),"")</x:f>
        <x:v>50</x:v>
      </x:c>
      <x:c r="BI88">
        <x:f>IF((COUNT('Quantification_Results'!L88,'Quantification_Results'!X88,'Quantification_Results'!AJ88,'Quantification_Results'!AV88,'Quantification_Results'!BH88)=5),IFERROR(ROUND((SUM(('Quantification_Results'!L88*'Quantification_Config'!$R$4),('Quantification_Results'!X88*'Quantification_Config'!$R$7),('Quantification_Results'!AJ88*'Quantification_Config'!$R$10),('Quantification_Results'!AV88*'Quantification_Config'!$R$13),('Quantification_Results'!BH88*'Quantification_Config'!$R$16))/SUM('Quantification_Config'!$R$4,'Quantification_Config'!$R$7,'Quantification_Config'!$R$10,'Quantification_Config'!$R$13,'Quantification_Config'!$R$16)),'Quantification_Config'!$U$2),""),"")</x:f>
      </x:c>
    </x:row>
    <x:row r="89">
      <x:c r="A89" t="n">
        <x:v>1</x:v>
      </x:c>
      <x:c r="B89" t="n">
        <x:v>5</x:v>
      </x:c>
      <x:c r="C89"/>
      <x:c r="D89" t="n">
        <x:f>IF(('Quantification_Results'!A89&lt;&gt;1),"",IF(('Quantification_Results'!C89=""),IF(ISNUMBER('Quantification_Results'!B89),IF(('Quantification_Results'!B89&lt;'Quantification_Config'!$S$6),"",IF(('Quantification_Results'!B89&gt;'Quantification_Config'!$T$6),"",'Quantification_Results'!B89)),""),IF(ISNUMBER('Quantification_Results'!C89),IF(('Quantification_Results'!C89&lt;'Quantification_Config'!$S$6),"",IF(('Quantification_Results'!C89&gt;'Quantification_Config'!$T$6),"",'Quantification_Results'!C89)),"")))</x:f>
        <x:v>5</x:v>
      </x:c>
      <x:c r="E89" t="n">
        <x:f>IF(ISNUMBER('Quantification_Results'!D89),IFERROR(ROUND(((('Quantification_Results'!D89-'Quantification_Config'!$S$6)/('Quantification_Config'!$T$6-'Quantification_Config'!$S$6))*100),'Quantification_Config'!$U$2),""),"")</x:f>
        <x:v>50</x:v>
      </x:c>
      <x:c r="F89" t="inlineStr">
        <x:is>
          <x:t xml:space="preserve">SYSTEM-TEST-ONLY-NO-NETWORK-NOT-AN-EDUCATIONAL-EVALUATION</x:t>
        </x:is>
      </x:c>
      <x:c r="G89" t="inlineStr">
        <x:is>
          <x:t xml:space="preserve"/>
        </x:is>
      </x:c>
      <x:c r="H89" t="inlineStr">
        <x:is>
          <x:t xml:space="preserve">NONE</x:t>
        </x:is>
      </x:c>
      <x:c r="I89" t="inlineStr">
        <x:is>
          <x:t xml:space="preserve"/>
        </x:is>
      </x:c>
      <x:c r="J89" t="inlineStr">
        <x:is>
          <x:t xml:space="preserve">SUCCESS</x:t>
        </x:is>
      </x:c>
      <x:c r="K89" t="n">
        <x:f>IF((COUNT('Quantification_Results'!E89)=1),IFERROR(ROUND((SUM(('Quantification_Results'!E89*'Quantification_Config'!$R$6))/SUM('Quantification_Config'!$R$6)),'Quantification_Config'!$U$2),""),"")</x:f>
        <x:v>50</x:v>
      </x:c>
      <x:c r="L89" t="n">
        <x:f>IF((COUNT('Quantification_Results'!K89)=1),IFERROR(ROUND((SUM(('Quantification_Results'!K89*'Quantification_Config'!$R$5))/SUM('Quantification_Config'!$R$5)),'Quantification_Config'!$U$2),""),"")</x:f>
        <x:v>50</x:v>
      </x:c>
      <x:c r="M89" t="n">
        <x:v>1</x:v>
      </x:c>
      <x:c r="N89" t="n">
        <x:v>5</x:v>
      </x:c>
      <x:c r="O89"/>
      <x:c r="P89" t="n">
        <x:f>IF(('Quantification_Results'!M89&lt;&gt;1),"",IF(('Quantification_Results'!O89=""),IF(ISNUMBER('Quantification_Results'!N89),IF(('Quantification_Results'!N89&lt;'Quantification_Config'!$S$9),"",IF(('Quantification_Results'!N89&gt;'Quantification_Config'!$T$9),"",'Quantification_Results'!N89)),""),IF(ISNUMBER('Quantification_Results'!O89),IF(('Quantification_Results'!O89&lt;'Quantification_Config'!$S$9),"",IF(('Quantification_Results'!O89&gt;'Quantification_Config'!$T$9),"",'Quantification_Results'!O89)),"")))</x:f>
        <x:v>5</x:v>
      </x:c>
      <x:c r="Q89" t="n">
        <x:f>IF(ISNUMBER('Quantification_Results'!P89),IFERROR(ROUND(((('Quantification_Results'!P89-'Quantification_Config'!$S$9)/('Quantification_Config'!$T$9-'Quantification_Config'!$S$9))*100),'Quantification_Config'!$U$2),""),"")</x:f>
        <x:v>50</x:v>
      </x:c>
      <x:c r="R89" t="inlineStr">
        <x:is>
          <x:t xml:space="preserve">SYSTEM-TEST-ONLY-NO-NETWORK-NOT-AN-EDUCATIONAL-EVALUATION</x:t>
        </x:is>
      </x:c>
      <x:c r="S89" t="inlineStr">
        <x:is>
          <x:t xml:space="preserve"/>
        </x:is>
      </x:c>
      <x:c r="T89" t="inlineStr">
        <x:is>
          <x:t xml:space="preserve">NONE</x:t>
        </x:is>
      </x:c>
      <x:c r="U89" t="inlineStr">
        <x:is>
          <x:t xml:space="preserve"/>
        </x:is>
      </x:c>
      <x:c r="V89" t="inlineStr">
        <x:is>
          <x:t xml:space="preserve">SUCCESS</x:t>
        </x:is>
      </x:c>
      <x:c r="W89" t="n">
        <x:f>IF((COUNT('Quantification_Results'!Q89)=1),IFERROR(ROUND((SUM(('Quantification_Results'!Q89*'Quantification_Config'!$R$9))/SUM('Quantification_Config'!$R$9)),'Quantification_Config'!$U$2),""),"")</x:f>
        <x:v>50</x:v>
      </x:c>
      <x:c r="X89" t="n">
        <x:f>IF((COUNT('Quantification_Results'!W89)=1),IFERROR(ROUND((SUM(('Quantification_Results'!W89*'Quantification_Config'!$R$8))/SUM('Quantification_Config'!$R$8)),'Quantification_Config'!$U$2),""),"")</x:f>
        <x:v>50</x:v>
      </x:c>
      <x:c r="Y89" t="n">
        <x:v>0</x:v>
      </x:c>
      <x:c r="Z89"/>
      <x:c r="AA89"/>
      <x:c r="AB89">
        <x:f>IF(('Quantification_Results'!Y89&lt;&gt;1),"",IF(('Quantification_Results'!AA89=""),IF(ISNUMBER('Quantification_Results'!Z89),IF(('Quantification_Results'!Z89&lt;'Quantification_Config'!$S$12),"",IF(('Quantification_Results'!Z89&gt;'Quantification_Config'!$T$12),"",'Quantification_Results'!Z89)),""),IF(ISNUMBER('Quantification_Results'!AA89),IF(('Quantification_Results'!AA89&lt;'Quantification_Config'!$S$12),"",IF(('Quantification_Results'!AA89&gt;'Quantification_Config'!$T$12),"",'Quantification_Results'!AA89)),"")))</x:f>
      </x:c>
      <x:c r="AC89">
        <x:f>IF(ISNUMBER('Quantification_Results'!AB89),IFERROR(ROUND(((('Quantification_Results'!AB89-'Quantification_Config'!$S$12)/('Quantification_Config'!$T$12-'Quantification_Config'!$S$12))*100),'Quantification_Config'!$U$2),""),"")</x:f>
      </x:c>
      <x:c r="AD89" t="inlineStr">
        <x:is>
          <x:t xml:space="preserve"/>
        </x:is>
      </x:c>
      <x:c r="AE89" t="inlineStr">
        <x:is>
          <x:t xml:space="preserve"/>
        </x:is>
      </x:c>
      <x:c r="AF89" t="inlineStr">
        <x:is>
          <x:t xml:space="preserve"/>
        </x:is>
      </x:c>
      <x:c r="AG89" t="inlineStr">
        <x:is>
          <x:t xml:space="preserve"/>
        </x:is>
      </x:c>
      <x:c r="AH89" t="inlineStr">
        <x:is>
          <x:t xml:space="preserve">EMPTY</x:t>
        </x:is>
      </x:c>
      <x:c r="AI89">
        <x:f>IF((COUNT('Quantification_Results'!AC89)=1),IFERROR(ROUND((SUM(('Quantification_Results'!AC89*'Quantification_Config'!$R$12))/SUM('Quantification_Config'!$R$12)),'Quantification_Config'!$U$2),""),"")</x:f>
      </x:c>
      <x:c r="AJ89">
        <x:f>IF((COUNT('Quantification_Results'!AI89)=1),IFERROR(ROUND((SUM(('Quantification_Results'!AI89*'Quantification_Config'!$R$11))/SUM('Quantification_Config'!$R$11)),'Quantification_Config'!$U$2),""),"")</x:f>
      </x:c>
      <x:c r="AK89" t="n">
        <x:v>1</x:v>
      </x:c>
      <x:c r="AL89" t="n">
        <x:v>5</x:v>
      </x:c>
      <x:c r="AM89"/>
      <x:c r="AN89" t="n">
        <x:f>IF(('Quantification_Results'!AK89&lt;&gt;1),"",IF(('Quantification_Results'!AM89=""),IF(ISNUMBER('Quantification_Results'!AL89),IF(('Quantification_Results'!AL89&lt;'Quantification_Config'!$S$15),"",IF(('Quantification_Results'!AL89&gt;'Quantification_Config'!$T$15),"",'Quantification_Results'!AL89)),""),IF(ISNUMBER('Quantification_Results'!AM89),IF(('Quantification_Results'!AM89&lt;'Quantification_Config'!$S$15),"",IF(('Quantification_Results'!AM89&gt;'Quantification_Config'!$T$15),"",'Quantification_Results'!AM89)),"")))</x:f>
        <x:v>5</x:v>
      </x:c>
      <x:c r="AO89" t="n">
        <x:f>IF(ISNUMBER('Quantification_Results'!AN89),IFERROR(ROUND(((('Quantification_Results'!AN89-'Quantification_Config'!$S$15)/('Quantification_Config'!$T$15-'Quantification_Config'!$S$15))*100),'Quantification_Config'!$U$2),""),"")</x:f>
        <x:v>50</x:v>
      </x:c>
      <x:c r="AP89" t="inlineStr">
        <x:is>
          <x:t xml:space="preserve">SYSTEM-TEST-ONLY-NO-NETWORK-NOT-AN-EDUCATIONAL-EVALUATION</x:t>
        </x:is>
      </x:c>
      <x:c r="AQ89" t="inlineStr">
        <x:is>
          <x:t xml:space="preserve"/>
        </x:is>
      </x:c>
      <x:c r="AR89" t="inlineStr">
        <x:is>
          <x:t xml:space="preserve">NONE</x:t>
        </x:is>
      </x:c>
      <x:c r="AS89" t="inlineStr">
        <x:is>
          <x:t xml:space="preserve"/>
        </x:is>
      </x:c>
      <x:c r="AT89" t="inlineStr">
        <x:is>
          <x:t xml:space="preserve">SUCCESS</x:t>
        </x:is>
      </x:c>
      <x:c r="AU89" t="n">
        <x:f>IF((COUNT('Quantification_Results'!AO89)=1),IFERROR(ROUND((SUM(('Quantification_Results'!AO89*'Quantification_Config'!$R$15))/SUM('Quantification_Config'!$R$15)),'Quantification_Config'!$U$2),""),"")</x:f>
        <x:v>50</x:v>
      </x:c>
      <x:c r="AV89" t="n">
        <x:f>IF((COUNT('Quantification_Results'!AU89)=1),IFERROR(ROUND((SUM(('Quantification_Results'!AU89*'Quantification_Config'!$R$14))/SUM('Quantification_Config'!$R$14)),'Quantification_Config'!$U$2),""),"")</x:f>
        <x:v>50</x:v>
      </x:c>
      <x:c r="AW89" t="n">
        <x:v>1</x:v>
      </x:c>
      <x:c r="AX89" t="n">
        <x:v>5</x:v>
      </x:c>
      <x:c r="AY89"/>
      <x:c r="AZ89" t="n">
        <x:f>IF(('Quantification_Results'!AW89&lt;&gt;1),"",IF(('Quantification_Results'!AY89=""),IF(ISNUMBER('Quantification_Results'!AX89),IF(('Quantification_Results'!AX89&lt;'Quantification_Config'!$S$19),"",IF(('Quantification_Results'!AX89&gt;'Quantification_Config'!$T$19),"",'Quantification_Results'!AX89)),""),IF(ISNUMBER('Quantification_Results'!AY89),IF(('Quantification_Results'!AY89&lt;'Quantification_Config'!$S$19),"",IF(('Quantification_Results'!AY89&gt;'Quantification_Config'!$T$19),"",'Quantification_Results'!AY89)),"")))</x:f>
        <x:v>5</x:v>
      </x:c>
      <x:c r="BA89" t="n">
        <x:f>IF(ISNUMBER('Quantification_Results'!AZ89),IFERROR(ROUND(((('Quantification_Results'!AZ89-'Quantification_Config'!$S$19)/('Quantification_Config'!$T$19-'Quantification_Config'!$S$19))*100),'Quantification_Config'!$U$2),""),"")</x:f>
        <x:v>50</x:v>
      </x:c>
      <x:c r="BB89" t="inlineStr">
        <x:is>
          <x:t xml:space="preserve">SYSTEM-TEST-ONLY-NO-NETWORK-NOT-AN-EDUCATIONAL-EVALUATION</x:t>
        </x:is>
      </x:c>
      <x:c r="BC89" t="inlineStr">
        <x:is>
          <x:t xml:space="preserve"/>
        </x:is>
      </x:c>
      <x:c r="BD89" t="inlineStr">
        <x:is>
          <x:t xml:space="preserve">NONE</x:t>
        </x:is>
      </x:c>
      <x:c r="BE89" t="inlineStr">
        <x:is>
          <x:t xml:space="preserve"/>
        </x:is>
      </x:c>
      <x:c r="BF89" t="inlineStr">
        <x:is>
          <x:t xml:space="preserve">SUCCESS</x:t>
        </x:is>
      </x:c>
      <x:c r="BG89" t="n">
        <x:f>IF((COUNT('Quantification_Results'!BA89)=1),IFERROR(ROUND((SUM(('Quantification_Results'!BA89*'Quantification_Config'!$R$19))/SUM('Quantification_Config'!$R$19)),'Quantification_Config'!$U$2),""),"")</x:f>
        <x:v>50</x:v>
      </x:c>
      <x:c r="BH89" t="n">
        <x:f>IF((COUNT('Quantification_Results'!BG89)=1),IFERROR(ROUND((SUM(('Quantification_Results'!BG89*'Quantification_Config'!$R$18))/SUM('Quantification_Config'!$R$18)),'Quantification_Config'!$U$2),""),"")</x:f>
        <x:v>50</x:v>
      </x:c>
      <x:c r="BI89">
        <x:f>IF((COUNT('Quantification_Results'!L89,'Quantification_Results'!X89,'Quantification_Results'!AJ89,'Quantification_Results'!AV89,'Quantification_Results'!BH89)=5),IFERROR(ROUND((SUM(('Quantification_Results'!L89*'Quantification_Config'!$R$4),('Quantification_Results'!X89*'Quantification_Config'!$R$7),('Quantification_Results'!AJ89*'Quantification_Config'!$R$10),('Quantification_Results'!AV89*'Quantification_Config'!$R$13),('Quantification_Results'!BH89*'Quantification_Config'!$R$16))/SUM('Quantification_Config'!$R$4,'Quantification_Config'!$R$7,'Quantification_Config'!$R$10,'Quantification_Config'!$R$13,'Quantification_Config'!$R$16)),'Quantification_Config'!$U$2),""),"")</x:f>
      </x:c>
    </x:row>
    <x:row r="90">
      <x:c r="A90" t="n">
        <x:v>1</x:v>
      </x:c>
      <x:c r="B90" t="n">
        <x:v>5</x:v>
      </x:c>
      <x:c r="C90"/>
      <x:c r="D90" t="n">
        <x:f>IF(('Quantification_Results'!A90&lt;&gt;1),"",IF(('Quantification_Results'!C90=""),IF(ISNUMBER('Quantification_Results'!B90),IF(('Quantification_Results'!B90&lt;'Quantification_Config'!$S$6),"",IF(('Quantification_Results'!B90&gt;'Quantification_Config'!$T$6),"",'Quantification_Results'!B90)),""),IF(ISNUMBER('Quantification_Results'!C90),IF(('Quantification_Results'!C90&lt;'Quantification_Config'!$S$6),"",IF(('Quantification_Results'!C90&gt;'Quantification_Config'!$T$6),"",'Quantification_Results'!C90)),"")))</x:f>
        <x:v>5</x:v>
      </x:c>
      <x:c r="E90" t="n">
        <x:f>IF(ISNUMBER('Quantification_Results'!D90),IFERROR(ROUND(((('Quantification_Results'!D90-'Quantification_Config'!$S$6)/('Quantification_Config'!$T$6-'Quantification_Config'!$S$6))*100),'Quantification_Config'!$U$2),""),"")</x:f>
        <x:v>50</x:v>
      </x:c>
      <x:c r="F90" t="inlineStr">
        <x:is>
          <x:t xml:space="preserve">SYSTEM-TEST-ONLY-NO-NETWORK-NOT-AN-EDUCATIONAL-EVALUATION</x:t>
        </x:is>
      </x:c>
      <x:c r="G90" t="inlineStr">
        <x:is>
          <x:t xml:space="preserve"/>
        </x:is>
      </x:c>
      <x:c r="H90" t="inlineStr">
        <x:is>
          <x:t xml:space="preserve">NONE</x:t>
        </x:is>
      </x:c>
      <x:c r="I90" t="inlineStr">
        <x:is>
          <x:t xml:space="preserve"/>
        </x:is>
      </x:c>
      <x:c r="J90" t="inlineStr">
        <x:is>
          <x:t xml:space="preserve">SUCCESS</x:t>
        </x:is>
      </x:c>
      <x:c r="K90" t="n">
        <x:f>IF((COUNT('Quantification_Results'!E90)=1),IFERROR(ROUND((SUM(('Quantification_Results'!E90*'Quantification_Config'!$R$6))/SUM('Quantification_Config'!$R$6)),'Quantification_Config'!$U$2),""),"")</x:f>
        <x:v>50</x:v>
      </x:c>
      <x:c r="L90" t="n">
        <x:f>IF((COUNT('Quantification_Results'!K90)=1),IFERROR(ROUND((SUM(('Quantification_Results'!K90*'Quantification_Config'!$R$5))/SUM('Quantification_Config'!$R$5)),'Quantification_Config'!$U$2),""),"")</x:f>
        <x:v>50</x:v>
      </x:c>
      <x:c r="M90" t="n">
        <x:v>1</x:v>
      </x:c>
      <x:c r="N90" t="n">
        <x:v>5</x:v>
      </x:c>
      <x:c r="O90"/>
      <x:c r="P90" t="n">
        <x:f>IF(('Quantification_Results'!M90&lt;&gt;1),"",IF(('Quantification_Results'!O90=""),IF(ISNUMBER('Quantification_Results'!N90),IF(('Quantification_Results'!N90&lt;'Quantification_Config'!$S$9),"",IF(('Quantification_Results'!N90&gt;'Quantification_Config'!$T$9),"",'Quantification_Results'!N90)),""),IF(ISNUMBER('Quantification_Results'!O90),IF(('Quantification_Results'!O90&lt;'Quantification_Config'!$S$9),"",IF(('Quantification_Results'!O90&gt;'Quantification_Config'!$T$9),"",'Quantification_Results'!O90)),"")))</x:f>
        <x:v>5</x:v>
      </x:c>
      <x:c r="Q90" t="n">
        <x:f>IF(ISNUMBER('Quantification_Results'!P90),IFERROR(ROUND(((('Quantification_Results'!P90-'Quantification_Config'!$S$9)/('Quantification_Config'!$T$9-'Quantification_Config'!$S$9))*100),'Quantification_Config'!$U$2),""),"")</x:f>
        <x:v>50</x:v>
      </x:c>
      <x:c r="R90" t="inlineStr">
        <x:is>
          <x:t xml:space="preserve">SYSTEM-TEST-ONLY-NO-NETWORK-NOT-AN-EDUCATIONAL-EVALUATION</x:t>
        </x:is>
      </x:c>
      <x:c r="S90" t="inlineStr">
        <x:is>
          <x:t xml:space="preserve"/>
        </x:is>
      </x:c>
      <x:c r="T90" t="inlineStr">
        <x:is>
          <x:t xml:space="preserve">NONE</x:t>
        </x:is>
      </x:c>
      <x:c r="U90" t="inlineStr">
        <x:is>
          <x:t xml:space="preserve"/>
        </x:is>
      </x:c>
      <x:c r="V90" t="inlineStr">
        <x:is>
          <x:t xml:space="preserve">SUCCESS</x:t>
        </x:is>
      </x:c>
      <x:c r="W90" t="n">
        <x:f>IF((COUNT('Quantification_Results'!Q90)=1),IFERROR(ROUND((SUM(('Quantification_Results'!Q90*'Quantification_Config'!$R$9))/SUM('Quantification_Config'!$R$9)),'Quantification_Config'!$U$2),""),"")</x:f>
        <x:v>50</x:v>
      </x:c>
      <x:c r="X90" t="n">
        <x:f>IF((COUNT('Quantification_Results'!W90)=1),IFERROR(ROUND((SUM(('Quantification_Results'!W90*'Quantification_Config'!$R$8))/SUM('Quantification_Config'!$R$8)),'Quantification_Config'!$U$2),""),"")</x:f>
        <x:v>50</x:v>
      </x:c>
      <x:c r="Y90" t="n">
        <x:v>0</x:v>
      </x:c>
      <x:c r="Z90"/>
      <x:c r="AA90"/>
      <x:c r="AB90">
        <x:f>IF(('Quantification_Results'!Y90&lt;&gt;1),"",IF(('Quantification_Results'!AA90=""),IF(ISNUMBER('Quantification_Results'!Z90),IF(('Quantification_Results'!Z90&lt;'Quantification_Config'!$S$12),"",IF(('Quantification_Results'!Z90&gt;'Quantification_Config'!$T$12),"",'Quantification_Results'!Z90)),""),IF(ISNUMBER('Quantification_Results'!AA90),IF(('Quantification_Results'!AA90&lt;'Quantification_Config'!$S$12),"",IF(('Quantification_Results'!AA90&gt;'Quantification_Config'!$T$12),"",'Quantification_Results'!AA90)),"")))</x:f>
      </x:c>
      <x:c r="AC90">
        <x:f>IF(ISNUMBER('Quantification_Results'!AB90),IFERROR(ROUND(((('Quantification_Results'!AB90-'Quantification_Config'!$S$12)/('Quantification_Config'!$T$12-'Quantification_Config'!$S$12))*100),'Quantification_Config'!$U$2),""),"")</x:f>
      </x:c>
      <x:c r="AD90" t="inlineStr">
        <x:is>
          <x:t xml:space="preserve"/>
        </x:is>
      </x:c>
      <x:c r="AE90" t="inlineStr">
        <x:is>
          <x:t xml:space="preserve"/>
        </x:is>
      </x:c>
      <x:c r="AF90" t="inlineStr">
        <x:is>
          <x:t xml:space="preserve"/>
        </x:is>
      </x:c>
      <x:c r="AG90" t="inlineStr">
        <x:is>
          <x:t xml:space="preserve"/>
        </x:is>
      </x:c>
      <x:c r="AH90" t="inlineStr">
        <x:is>
          <x:t xml:space="preserve">EMPTY</x:t>
        </x:is>
      </x:c>
      <x:c r="AI90">
        <x:f>IF((COUNT('Quantification_Results'!AC90)=1),IFERROR(ROUND((SUM(('Quantification_Results'!AC90*'Quantification_Config'!$R$12))/SUM('Quantification_Config'!$R$12)),'Quantification_Config'!$U$2),""),"")</x:f>
      </x:c>
      <x:c r="AJ90">
        <x:f>IF((COUNT('Quantification_Results'!AI90)=1),IFERROR(ROUND((SUM(('Quantification_Results'!AI90*'Quantification_Config'!$R$11))/SUM('Quantification_Config'!$R$11)),'Quantification_Config'!$U$2),""),"")</x:f>
      </x:c>
      <x:c r="AK90" t="n">
        <x:v>1</x:v>
      </x:c>
      <x:c r="AL90" t="n">
        <x:v>5</x:v>
      </x:c>
      <x:c r="AM90"/>
      <x:c r="AN90" t="n">
        <x:f>IF(('Quantification_Results'!AK90&lt;&gt;1),"",IF(('Quantification_Results'!AM90=""),IF(ISNUMBER('Quantification_Results'!AL90),IF(('Quantification_Results'!AL90&lt;'Quantification_Config'!$S$15),"",IF(('Quantification_Results'!AL90&gt;'Quantification_Config'!$T$15),"",'Quantification_Results'!AL90)),""),IF(ISNUMBER('Quantification_Results'!AM90),IF(('Quantification_Results'!AM90&lt;'Quantification_Config'!$S$15),"",IF(('Quantification_Results'!AM90&gt;'Quantification_Config'!$T$15),"",'Quantification_Results'!AM90)),"")))</x:f>
        <x:v>5</x:v>
      </x:c>
      <x:c r="AO90" t="n">
        <x:f>IF(ISNUMBER('Quantification_Results'!AN90),IFERROR(ROUND(((('Quantification_Results'!AN90-'Quantification_Config'!$S$15)/('Quantification_Config'!$T$15-'Quantification_Config'!$S$15))*100),'Quantification_Config'!$U$2),""),"")</x:f>
        <x:v>50</x:v>
      </x:c>
      <x:c r="AP90" t="inlineStr">
        <x:is>
          <x:t xml:space="preserve">SYSTEM-TEST-ONLY-NO-NETWORK-NOT-AN-EDUCATIONAL-EVALUATION</x:t>
        </x:is>
      </x:c>
      <x:c r="AQ90" t="inlineStr">
        <x:is>
          <x:t xml:space="preserve"/>
        </x:is>
      </x:c>
      <x:c r="AR90" t="inlineStr">
        <x:is>
          <x:t xml:space="preserve">NONE</x:t>
        </x:is>
      </x:c>
      <x:c r="AS90" t="inlineStr">
        <x:is>
          <x:t xml:space="preserve"/>
        </x:is>
      </x:c>
      <x:c r="AT90" t="inlineStr">
        <x:is>
          <x:t xml:space="preserve">SUCCESS</x:t>
        </x:is>
      </x:c>
      <x:c r="AU90" t="n">
        <x:f>IF((COUNT('Quantification_Results'!AO90)=1),IFERROR(ROUND((SUM(('Quantification_Results'!AO90*'Quantification_Config'!$R$15))/SUM('Quantification_Config'!$R$15)),'Quantification_Config'!$U$2),""),"")</x:f>
        <x:v>50</x:v>
      </x:c>
      <x:c r="AV90" t="n">
        <x:f>IF((COUNT('Quantification_Results'!AU90)=1),IFERROR(ROUND((SUM(('Quantification_Results'!AU90*'Quantification_Config'!$R$14))/SUM('Quantification_Config'!$R$14)),'Quantification_Config'!$U$2),""),"")</x:f>
        <x:v>50</x:v>
      </x:c>
      <x:c r="AW90" t="n">
        <x:v>0</x:v>
      </x:c>
      <x:c r="AX90"/>
      <x:c r="AY90"/>
      <x:c r="AZ90">
        <x:f>IF(('Quantification_Results'!AW90&lt;&gt;1),"",IF(('Quantification_Results'!AY90=""),IF(ISNUMBER('Quantification_Results'!AX90),IF(('Quantification_Results'!AX90&lt;'Quantification_Config'!$S$19),"",IF(('Quantification_Results'!AX90&gt;'Quantification_Config'!$T$19),"",'Quantification_Results'!AX90)),""),IF(ISNUMBER('Quantification_Results'!AY90),IF(('Quantification_Results'!AY90&lt;'Quantification_Config'!$S$19),"",IF(('Quantification_Results'!AY90&gt;'Quantification_Config'!$T$19),"",'Quantification_Results'!AY90)),"")))</x:f>
      </x:c>
      <x:c r="BA90">
        <x:f>IF(ISNUMBER('Quantification_Results'!AZ90),IFERROR(ROUND(((('Quantification_Results'!AZ90-'Quantification_Config'!$S$19)/('Quantification_Config'!$T$19-'Quantification_Config'!$S$19))*100),'Quantification_Config'!$U$2),""),"")</x:f>
      </x:c>
      <x:c r="BB90" t="inlineStr">
        <x:is>
          <x:t xml:space="preserve"/>
        </x:is>
      </x:c>
      <x:c r="BC90" t="inlineStr">
        <x:is>
          <x:t xml:space="preserve"/>
        </x:is>
      </x:c>
      <x:c r="BD90" t="inlineStr">
        <x:is>
          <x:t xml:space="preserve"/>
        </x:is>
      </x:c>
      <x:c r="BE90" t="inlineStr">
        <x:is>
          <x:t xml:space="preserve"/>
        </x:is>
      </x:c>
      <x:c r="BF90" t="inlineStr">
        <x:is>
          <x:t xml:space="preserve">EMPTY</x:t>
        </x:is>
      </x:c>
      <x:c r="BG90">
        <x:f>IF((COUNT('Quantification_Results'!BA90)=1),IFERROR(ROUND((SUM(('Quantification_Results'!BA90*'Quantification_Config'!$R$19))/SUM('Quantification_Config'!$R$19)),'Quantification_Config'!$U$2),""),"")</x:f>
      </x:c>
      <x:c r="BH90">
        <x:f>IF((COUNT('Quantification_Results'!BG90)=1),IFERROR(ROUND((SUM(('Quantification_Results'!BG90*'Quantification_Config'!$R$18))/SUM('Quantification_Config'!$R$18)),'Quantification_Config'!$U$2),""),"")</x:f>
      </x:c>
      <x:c r="BI90">
        <x:f>IF((COUNT('Quantification_Results'!L90,'Quantification_Results'!X90,'Quantification_Results'!AJ90,'Quantification_Results'!AV90,'Quantification_Results'!BH90)=5),IFERROR(ROUND((SUM(('Quantification_Results'!L90*'Quantification_Config'!$R$4),('Quantification_Results'!X90*'Quantification_Config'!$R$7),('Quantification_Results'!AJ90*'Quantification_Config'!$R$10),('Quantification_Results'!AV90*'Quantification_Config'!$R$13),('Quantification_Results'!BH90*'Quantification_Config'!$R$16))/SUM('Quantification_Config'!$R$4,'Quantification_Config'!$R$7,'Quantification_Config'!$R$10,'Quantification_Config'!$R$13,'Quantification_Config'!$R$16)),'Quantification_Config'!$U$2),""),"")</x:f>
      </x:c>
    </x:row>
    <x:row r="91">
      <x:c r="A91" t="n">
        <x:v>1</x:v>
      </x:c>
      <x:c r="B91" t="n">
        <x:v>5</x:v>
      </x:c>
      <x:c r="C91"/>
      <x:c r="D91" t="n">
        <x:f>IF(('Quantification_Results'!A91&lt;&gt;1),"",IF(('Quantification_Results'!C91=""),IF(ISNUMBER('Quantification_Results'!B91),IF(('Quantification_Results'!B91&lt;'Quantification_Config'!$S$6),"",IF(('Quantification_Results'!B91&gt;'Quantification_Config'!$T$6),"",'Quantification_Results'!B91)),""),IF(ISNUMBER('Quantification_Results'!C91),IF(('Quantification_Results'!C91&lt;'Quantification_Config'!$S$6),"",IF(('Quantification_Results'!C91&gt;'Quantification_Config'!$T$6),"",'Quantification_Results'!C91)),"")))</x:f>
        <x:v>5</x:v>
      </x:c>
      <x:c r="E91" t="n">
        <x:f>IF(ISNUMBER('Quantification_Results'!D91),IFERROR(ROUND(((('Quantification_Results'!D91-'Quantification_Config'!$S$6)/('Quantification_Config'!$T$6-'Quantification_Config'!$S$6))*100),'Quantification_Config'!$U$2),""),"")</x:f>
        <x:v>50</x:v>
      </x:c>
      <x:c r="F91" t="inlineStr">
        <x:is>
          <x:t xml:space="preserve">SYSTEM-TEST-ONLY-NO-NETWORK-NOT-AN-EDUCATIONAL-EVALUATION</x:t>
        </x:is>
      </x:c>
      <x:c r="G91" t="inlineStr">
        <x:is>
          <x:t xml:space="preserve"/>
        </x:is>
      </x:c>
      <x:c r="H91" t="inlineStr">
        <x:is>
          <x:t xml:space="preserve">NONE</x:t>
        </x:is>
      </x:c>
      <x:c r="I91" t="inlineStr">
        <x:is>
          <x:t xml:space="preserve"/>
        </x:is>
      </x:c>
      <x:c r="J91" t="inlineStr">
        <x:is>
          <x:t xml:space="preserve">SUCCESS</x:t>
        </x:is>
      </x:c>
      <x:c r="K91" t="n">
        <x:f>IF((COUNT('Quantification_Results'!E91)=1),IFERROR(ROUND((SUM(('Quantification_Results'!E91*'Quantification_Config'!$R$6))/SUM('Quantification_Config'!$R$6)),'Quantification_Config'!$U$2),""),"")</x:f>
        <x:v>50</x:v>
      </x:c>
      <x:c r="L91" t="n">
        <x:f>IF((COUNT('Quantification_Results'!K91)=1),IFERROR(ROUND((SUM(('Quantification_Results'!K91*'Quantification_Config'!$R$5))/SUM('Quantification_Config'!$R$5)),'Quantification_Config'!$U$2),""),"")</x:f>
        <x:v>50</x:v>
      </x:c>
      <x:c r="M91" t="n">
        <x:v>1</x:v>
      </x:c>
      <x:c r="N91" t="n">
        <x:v>5</x:v>
      </x:c>
      <x:c r="O91"/>
      <x:c r="P91" t="n">
        <x:f>IF(('Quantification_Results'!M91&lt;&gt;1),"",IF(('Quantification_Results'!O91=""),IF(ISNUMBER('Quantification_Results'!N91),IF(('Quantification_Results'!N91&lt;'Quantification_Config'!$S$9),"",IF(('Quantification_Results'!N91&gt;'Quantification_Config'!$T$9),"",'Quantification_Results'!N91)),""),IF(ISNUMBER('Quantification_Results'!O91),IF(('Quantification_Results'!O91&lt;'Quantification_Config'!$S$9),"",IF(('Quantification_Results'!O91&gt;'Quantification_Config'!$T$9),"",'Quantification_Results'!O91)),"")))</x:f>
        <x:v>5</x:v>
      </x:c>
      <x:c r="Q91" t="n">
        <x:f>IF(ISNUMBER('Quantification_Results'!P91),IFERROR(ROUND(((('Quantification_Results'!P91-'Quantification_Config'!$S$9)/('Quantification_Config'!$T$9-'Quantification_Config'!$S$9))*100),'Quantification_Config'!$U$2),""),"")</x:f>
        <x:v>50</x:v>
      </x:c>
      <x:c r="R91" t="inlineStr">
        <x:is>
          <x:t xml:space="preserve">SYSTEM-TEST-ONLY-NO-NETWORK-NOT-AN-EDUCATIONAL-EVALUATION</x:t>
        </x:is>
      </x:c>
      <x:c r="S91" t="inlineStr">
        <x:is>
          <x:t xml:space="preserve"/>
        </x:is>
      </x:c>
      <x:c r="T91" t="inlineStr">
        <x:is>
          <x:t xml:space="preserve">NONE</x:t>
        </x:is>
      </x:c>
      <x:c r="U91" t="inlineStr">
        <x:is>
          <x:t xml:space="preserve"/>
        </x:is>
      </x:c>
      <x:c r="V91" t="inlineStr">
        <x:is>
          <x:t xml:space="preserve">SUCCESS</x:t>
        </x:is>
      </x:c>
      <x:c r="W91" t="n">
        <x:f>IF((COUNT('Quantification_Results'!Q91)=1),IFERROR(ROUND((SUM(('Quantification_Results'!Q91*'Quantification_Config'!$R$9))/SUM('Quantification_Config'!$R$9)),'Quantification_Config'!$U$2),""),"")</x:f>
        <x:v>50</x:v>
      </x:c>
      <x:c r="X91" t="n">
        <x:f>IF((COUNT('Quantification_Results'!W91)=1),IFERROR(ROUND((SUM(('Quantification_Results'!W91*'Quantification_Config'!$R$8))/SUM('Quantification_Config'!$R$8)),'Quantification_Config'!$U$2),""),"")</x:f>
        <x:v>50</x:v>
      </x:c>
      <x:c r="Y91" t="n">
        <x:v>0</x:v>
      </x:c>
      <x:c r="Z91"/>
      <x:c r="AA91"/>
      <x:c r="AB91">
        <x:f>IF(('Quantification_Results'!Y91&lt;&gt;1),"",IF(('Quantification_Results'!AA91=""),IF(ISNUMBER('Quantification_Results'!Z91),IF(('Quantification_Results'!Z91&lt;'Quantification_Config'!$S$12),"",IF(('Quantification_Results'!Z91&gt;'Quantification_Config'!$T$12),"",'Quantification_Results'!Z91)),""),IF(ISNUMBER('Quantification_Results'!AA91),IF(('Quantification_Results'!AA91&lt;'Quantification_Config'!$S$12),"",IF(('Quantification_Results'!AA91&gt;'Quantification_Config'!$T$12),"",'Quantification_Results'!AA91)),"")))</x:f>
      </x:c>
      <x:c r="AC91">
        <x:f>IF(ISNUMBER('Quantification_Results'!AB91),IFERROR(ROUND(((('Quantification_Results'!AB91-'Quantification_Config'!$S$12)/('Quantification_Config'!$T$12-'Quantification_Config'!$S$12))*100),'Quantification_Config'!$U$2),""),"")</x:f>
      </x:c>
      <x:c r="AD91" t="inlineStr">
        <x:is>
          <x:t xml:space="preserve"/>
        </x:is>
      </x:c>
      <x:c r="AE91" t="inlineStr">
        <x:is>
          <x:t xml:space="preserve"/>
        </x:is>
      </x:c>
      <x:c r="AF91" t="inlineStr">
        <x:is>
          <x:t xml:space="preserve"/>
        </x:is>
      </x:c>
      <x:c r="AG91" t="inlineStr">
        <x:is>
          <x:t xml:space="preserve"/>
        </x:is>
      </x:c>
      <x:c r="AH91" t="inlineStr">
        <x:is>
          <x:t xml:space="preserve">EMPTY</x:t>
        </x:is>
      </x:c>
      <x:c r="AI91">
        <x:f>IF((COUNT('Quantification_Results'!AC91)=1),IFERROR(ROUND((SUM(('Quantification_Results'!AC91*'Quantification_Config'!$R$12))/SUM('Quantification_Config'!$R$12)),'Quantification_Config'!$U$2),""),"")</x:f>
      </x:c>
      <x:c r="AJ91">
        <x:f>IF((COUNT('Quantification_Results'!AI91)=1),IFERROR(ROUND((SUM(('Quantification_Results'!AI91*'Quantification_Config'!$R$11))/SUM('Quantification_Config'!$R$11)),'Quantification_Config'!$U$2),""),"")</x:f>
      </x:c>
      <x:c r="AK91" t="n">
        <x:v>1</x:v>
      </x:c>
      <x:c r="AL91" t="n">
        <x:v>5</x:v>
      </x:c>
      <x:c r="AM91"/>
      <x:c r="AN91" t="n">
        <x:f>IF(('Quantification_Results'!AK91&lt;&gt;1),"",IF(('Quantification_Results'!AM91=""),IF(ISNUMBER('Quantification_Results'!AL91),IF(('Quantification_Results'!AL91&lt;'Quantification_Config'!$S$15),"",IF(('Quantification_Results'!AL91&gt;'Quantification_Config'!$T$15),"",'Quantification_Results'!AL91)),""),IF(ISNUMBER('Quantification_Results'!AM91),IF(('Quantification_Results'!AM91&lt;'Quantification_Config'!$S$15),"",IF(('Quantification_Results'!AM91&gt;'Quantification_Config'!$T$15),"",'Quantification_Results'!AM91)),"")))</x:f>
        <x:v>5</x:v>
      </x:c>
      <x:c r="AO91" t="n">
        <x:f>IF(ISNUMBER('Quantification_Results'!AN91),IFERROR(ROUND(((('Quantification_Results'!AN91-'Quantification_Config'!$S$15)/('Quantification_Config'!$T$15-'Quantification_Config'!$S$15))*100),'Quantification_Config'!$U$2),""),"")</x:f>
        <x:v>50</x:v>
      </x:c>
      <x:c r="AP91" t="inlineStr">
        <x:is>
          <x:t xml:space="preserve">SYSTEM-TEST-ONLY-NO-NETWORK-NOT-AN-EDUCATIONAL-EVALUATION</x:t>
        </x:is>
      </x:c>
      <x:c r="AQ91" t="inlineStr">
        <x:is>
          <x:t xml:space="preserve"/>
        </x:is>
      </x:c>
      <x:c r="AR91" t="inlineStr">
        <x:is>
          <x:t xml:space="preserve">NONE</x:t>
        </x:is>
      </x:c>
      <x:c r="AS91" t="inlineStr">
        <x:is>
          <x:t xml:space="preserve"/>
        </x:is>
      </x:c>
      <x:c r="AT91" t="inlineStr">
        <x:is>
          <x:t xml:space="preserve">SUCCESS</x:t>
        </x:is>
      </x:c>
      <x:c r="AU91" t="n">
        <x:f>IF((COUNT('Quantification_Results'!AO91)=1),IFERROR(ROUND((SUM(('Quantification_Results'!AO91*'Quantification_Config'!$R$15))/SUM('Quantification_Config'!$R$15)),'Quantification_Config'!$U$2),""),"")</x:f>
        <x:v>50</x:v>
      </x:c>
      <x:c r="AV91" t="n">
        <x:f>IF((COUNT('Quantification_Results'!AU91)=1),IFERROR(ROUND((SUM(('Quantification_Results'!AU91*'Quantification_Config'!$R$14))/SUM('Quantification_Config'!$R$14)),'Quantification_Config'!$U$2),""),"")</x:f>
        <x:v>50</x:v>
      </x:c>
      <x:c r="AW91" t="n">
        <x:v>1</x:v>
      </x:c>
      <x:c r="AX91" t="n">
        <x:v>5</x:v>
      </x:c>
      <x:c r="AY91"/>
      <x:c r="AZ91" t="n">
        <x:f>IF(('Quantification_Results'!AW91&lt;&gt;1),"",IF(('Quantification_Results'!AY91=""),IF(ISNUMBER('Quantification_Results'!AX91),IF(('Quantification_Results'!AX91&lt;'Quantification_Config'!$S$19),"",IF(('Quantification_Results'!AX91&gt;'Quantification_Config'!$T$19),"",'Quantification_Results'!AX91)),""),IF(ISNUMBER('Quantification_Results'!AY91),IF(('Quantification_Results'!AY91&lt;'Quantification_Config'!$S$19),"",IF(('Quantification_Results'!AY91&gt;'Quantification_Config'!$T$19),"",'Quantification_Results'!AY91)),"")))</x:f>
        <x:v>5</x:v>
      </x:c>
      <x:c r="BA91" t="n">
        <x:f>IF(ISNUMBER('Quantification_Results'!AZ91),IFERROR(ROUND(((('Quantification_Results'!AZ91-'Quantification_Config'!$S$19)/('Quantification_Config'!$T$19-'Quantification_Config'!$S$19))*100),'Quantification_Config'!$U$2),""),"")</x:f>
        <x:v>50</x:v>
      </x:c>
      <x:c r="BB91" t="inlineStr">
        <x:is>
          <x:t xml:space="preserve">SYSTEM-TEST-ONLY-NO-NETWORK-NOT-AN-EDUCATIONAL-EVALUATION</x:t>
        </x:is>
      </x:c>
      <x:c r="BC91" t="inlineStr">
        <x:is>
          <x:t xml:space="preserve"/>
        </x:is>
      </x:c>
      <x:c r="BD91" t="inlineStr">
        <x:is>
          <x:t xml:space="preserve">NONE</x:t>
        </x:is>
      </x:c>
      <x:c r="BE91" t="inlineStr">
        <x:is>
          <x:t xml:space="preserve"/>
        </x:is>
      </x:c>
      <x:c r="BF91" t="inlineStr">
        <x:is>
          <x:t xml:space="preserve">SUCCESS</x:t>
        </x:is>
      </x:c>
      <x:c r="BG91" t="n">
        <x:f>IF((COUNT('Quantification_Results'!BA91)=1),IFERROR(ROUND((SUM(('Quantification_Results'!BA91*'Quantification_Config'!$R$19))/SUM('Quantification_Config'!$R$19)),'Quantification_Config'!$U$2),""),"")</x:f>
        <x:v>50</x:v>
      </x:c>
      <x:c r="BH91" t="n">
        <x:f>IF((COUNT('Quantification_Results'!BG91)=1),IFERROR(ROUND((SUM(('Quantification_Results'!BG91*'Quantification_Config'!$R$18))/SUM('Quantification_Config'!$R$18)),'Quantification_Config'!$U$2),""),"")</x:f>
        <x:v>50</x:v>
      </x:c>
      <x:c r="BI91">
        <x:f>IF((COUNT('Quantification_Results'!L91,'Quantification_Results'!X91,'Quantification_Results'!AJ91,'Quantification_Results'!AV91,'Quantification_Results'!BH91)=5),IFERROR(ROUND((SUM(('Quantification_Results'!L91*'Quantification_Config'!$R$4),('Quantification_Results'!X91*'Quantification_Config'!$R$7),('Quantification_Results'!AJ91*'Quantification_Config'!$R$10),('Quantification_Results'!AV91*'Quantification_Config'!$R$13),('Quantification_Results'!BH91*'Quantification_Config'!$R$16))/SUM('Quantification_Config'!$R$4,'Quantification_Config'!$R$7,'Quantification_Config'!$R$10,'Quantification_Config'!$R$13,'Quantification_Config'!$R$16)),'Quantification_Config'!$U$2),""),"")</x:f>
      </x:c>
    </x:row>
    <x:row r="92">
      <x:c r="A92" t="n">
        <x:v>1</x:v>
      </x:c>
      <x:c r="B92" t="n">
        <x:v>5</x:v>
      </x:c>
      <x:c r="C92"/>
      <x:c r="D92" t="n">
        <x:f>IF(('Quantification_Results'!A92&lt;&gt;1),"",IF(('Quantification_Results'!C92=""),IF(ISNUMBER('Quantification_Results'!B92),IF(('Quantification_Results'!B92&lt;'Quantification_Config'!$S$6),"",IF(('Quantification_Results'!B92&gt;'Quantification_Config'!$T$6),"",'Quantification_Results'!B92)),""),IF(ISNUMBER('Quantification_Results'!C92),IF(('Quantification_Results'!C92&lt;'Quantification_Config'!$S$6),"",IF(('Quantification_Results'!C92&gt;'Quantification_Config'!$T$6),"",'Quantification_Results'!C92)),"")))</x:f>
        <x:v>5</x:v>
      </x:c>
      <x:c r="E92" t="n">
        <x:f>IF(ISNUMBER('Quantification_Results'!D92),IFERROR(ROUND(((('Quantification_Results'!D92-'Quantification_Config'!$S$6)/('Quantification_Config'!$T$6-'Quantification_Config'!$S$6))*100),'Quantification_Config'!$U$2),""),"")</x:f>
        <x:v>50</x:v>
      </x:c>
      <x:c r="F92" t="inlineStr">
        <x:is>
          <x:t xml:space="preserve">SYSTEM-TEST-ONLY-NO-NETWORK-NOT-AN-EDUCATIONAL-EVALUATION</x:t>
        </x:is>
      </x:c>
      <x:c r="G92" t="inlineStr">
        <x:is>
          <x:t xml:space="preserve"/>
        </x:is>
      </x:c>
      <x:c r="H92" t="inlineStr">
        <x:is>
          <x:t xml:space="preserve">NONE</x:t>
        </x:is>
      </x:c>
      <x:c r="I92" t="inlineStr">
        <x:is>
          <x:t xml:space="preserve"/>
        </x:is>
      </x:c>
      <x:c r="J92" t="inlineStr">
        <x:is>
          <x:t xml:space="preserve">SUCCESS</x:t>
        </x:is>
      </x:c>
      <x:c r="K92" t="n">
        <x:f>IF((COUNT('Quantification_Results'!E92)=1),IFERROR(ROUND((SUM(('Quantification_Results'!E92*'Quantification_Config'!$R$6))/SUM('Quantification_Config'!$R$6)),'Quantification_Config'!$U$2),""),"")</x:f>
        <x:v>50</x:v>
      </x:c>
      <x:c r="L92" t="n">
        <x:f>IF((COUNT('Quantification_Results'!K92)=1),IFERROR(ROUND((SUM(('Quantification_Results'!K92*'Quantification_Config'!$R$5))/SUM('Quantification_Config'!$R$5)),'Quantification_Config'!$U$2),""),"")</x:f>
        <x:v>50</x:v>
      </x:c>
      <x:c r="M92" t="n">
        <x:v>1</x:v>
      </x:c>
      <x:c r="N92" t="n">
        <x:v>5</x:v>
      </x:c>
      <x:c r="O92"/>
      <x:c r="P92" t="n">
        <x:f>IF(('Quantification_Results'!M92&lt;&gt;1),"",IF(('Quantification_Results'!O92=""),IF(ISNUMBER('Quantification_Results'!N92),IF(('Quantification_Results'!N92&lt;'Quantification_Config'!$S$9),"",IF(('Quantification_Results'!N92&gt;'Quantification_Config'!$T$9),"",'Quantification_Results'!N92)),""),IF(ISNUMBER('Quantification_Results'!O92),IF(('Quantification_Results'!O92&lt;'Quantification_Config'!$S$9),"",IF(('Quantification_Results'!O92&gt;'Quantification_Config'!$T$9),"",'Quantification_Results'!O92)),"")))</x:f>
        <x:v>5</x:v>
      </x:c>
      <x:c r="Q92" t="n">
        <x:f>IF(ISNUMBER('Quantification_Results'!P92),IFERROR(ROUND(((('Quantification_Results'!P92-'Quantification_Config'!$S$9)/('Quantification_Config'!$T$9-'Quantification_Config'!$S$9))*100),'Quantification_Config'!$U$2),""),"")</x:f>
        <x:v>50</x:v>
      </x:c>
      <x:c r="R92" t="inlineStr">
        <x:is>
          <x:t xml:space="preserve">SYSTEM-TEST-ONLY-NO-NETWORK-NOT-AN-EDUCATIONAL-EVALUATION</x:t>
        </x:is>
      </x:c>
      <x:c r="S92" t="inlineStr">
        <x:is>
          <x:t xml:space="preserve"/>
        </x:is>
      </x:c>
      <x:c r="T92" t="inlineStr">
        <x:is>
          <x:t xml:space="preserve">NONE</x:t>
        </x:is>
      </x:c>
      <x:c r="U92" t="inlineStr">
        <x:is>
          <x:t xml:space="preserve"/>
        </x:is>
      </x:c>
      <x:c r="V92" t="inlineStr">
        <x:is>
          <x:t xml:space="preserve">SUCCESS</x:t>
        </x:is>
      </x:c>
      <x:c r="W92" t="n">
        <x:f>IF((COUNT('Quantification_Results'!Q92)=1),IFERROR(ROUND((SUM(('Quantification_Results'!Q92*'Quantification_Config'!$R$9))/SUM('Quantification_Config'!$R$9)),'Quantification_Config'!$U$2),""),"")</x:f>
        <x:v>50</x:v>
      </x:c>
      <x:c r="X92" t="n">
        <x:f>IF((COUNT('Quantification_Results'!W92)=1),IFERROR(ROUND((SUM(('Quantification_Results'!W92*'Quantification_Config'!$R$8))/SUM('Quantification_Config'!$R$8)),'Quantification_Config'!$U$2),""),"")</x:f>
        <x:v>50</x:v>
      </x:c>
      <x:c r="Y92" t="n">
        <x:v>0</x:v>
      </x:c>
      <x:c r="Z92"/>
      <x:c r="AA92"/>
      <x:c r="AB92">
        <x:f>IF(('Quantification_Results'!Y92&lt;&gt;1),"",IF(('Quantification_Results'!AA92=""),IF(ISNUMBER('Quantification_Results'!Z92),IF(('Quantification_Results'!Z92&lt;'Quantification_Config'!$S$12),"",IF(('Quantification_Results'!Z92&gt;'Quantification_Config'!$T$12),"",'Quantification_Results'!Z92)),""),IF(ISNUMBER('Quantification_Results'!AA92),IF(('Quantification_Results'!AA92&lt;'Quantification_Config'!$S$12),"",IF(('Quantification_Results'!AA92&gt;'Quantification_Config'!$T$12),"",'Quantification_Results'!AA92)),"")))</x:f>
      </x:c>
      <x:c r="AC92">
        <x:f>IF(ISNUMBER('Quantification_Results'!AB92),IFERROR(ROUND(((('Quantification_Results'!AB92-'Quantification_Config'!$S$12)/('Quantification_Config'!$T$12-'Quantification_Config'!$S$12))*100),'Quantification_Config'!$U$2),""),"")</x:f>
      </x:c>
      <x:c r="AD92" t="inlineStr">
        <x:is>
          <x:t xml:space="preserve"/>
        </x:is>
      </x:c>
      <x:c r="AE92" t="inlineStr">
        <x:is>
          <x:t xml:space="preserve"/>
        </x:is>
      </x:c>
      <x:c r="AF92" t="inlineStr">
        <x:is>
          <x:t xml:space="preserve"/>
        </x:is>
      </x:c>
      <x:c r="AG92" t="inlineStr">
        <x:is>
          <x:t xml:space="preserve"/>
        </x:is>
      </x:c>
      <x:c r="AH92" t="inlineStr">
        <x:is>
          <x:t xml:space="preserve">EMPTY</x:t>
        </x:is>
      </x:c>
      <x:c r="AI92">
        <x:f>IF((COUNT('Quantification_Results'!AC92)=1),IFERROR(ROUND((SUM(('Quantification_Results'!AC92*'Quantification_Config'!$R$12))/SUM('Quantification_Config'!$R$12)),'Quantification_Config'!$U$2),""),"")</x:f>
      </x:c>
      <x:c r="AJ92">
        <x:f>IF((COUNT('Quantification_Results'!AI92)=1),IFERROR(ROUND((SUM(('Quantification_Results'!AI92*'Quantification_Config'!$R$11))/SUM('Quantification_Config'!$R$11)),'Quantification_Config'!$U$2),""),"")</x:f>
      </x:c>
      <x:c r="AK92" t="n">
        <x:v>1</x:v>
      </x:c>
      <x:c r="AL92" t="n">
        <x:v>5</x:v>
      </x:c>
      <x:c r="AM92"/>
      <x:c r="AN92" t="n">
        <x:f>IF(('Quantification_Results'!AK92&lt;&gt;1),"",IF(('Quantification_Results'!AM92=""),IF(ISNUMBER('Quantification_Results'!AL92),IF(('Quantification_Results'!AL92&lt;'Quantification_Config'!$S$15),"",IF(('Quantification_Results'!AL92&gt;'Quantification_Config'!$T$15),"",'Quantification_Results'!AL92)),""),IF(ISNUMBER('Quantification_Results'!AM92),IF(('Quantification_Results'!AM92&lt;'Quantification_Config'!$S$15),"",IF(('Quantification_Results'!AM92&gt;'Quantification_Config'!$T$15),"",'Quantification_Results'!AM92)),"")))</x:f>
        <x:v>5</x:v>
      </x:c>
      <x:c r="AO92" t="n">
        <x:f>IF(ISNUMBER('Quantification_Results'!AN92),IFERROR(ROUND(((('Quantification_Results'!AN92-'Quantification_Config'!$S$15)/('Quantification_Config'!$T$15-'Quantification_Config'!$S$15))*100),'Quantification_Config'!$U$2),""),"")</x:f>
        <x:v>50</x:v>
      </x:c>
      <x:c r="AP92" t="inlineStr">
        <x:is>
          <x:t xml:space="preserve">SYSTEM-TEST-ONLY-NO-NETWORK-NOT-AN-EDUCATIONAL-EVALUATION</x:t>
        </x:is>
      </x:c>
      <x:c r="AQ92" t="inlineStr">
        <x:is>
          <x:t xml:space="preserve"/>
        </x:is>
      </x:c>
      <x:c r="AR92" t="inlineStr">
        <x:is>
          <x:t xml:space="preserve">NONE</x:t>
        </x:is>
      </x:c>
      <x:c r="AS92" t="inlineStr">
        <x:is>
          <x:t xml:space="preserve"/>
        </x:is>
      </x:c>
      <x:c r="AT92" t="inlineStr">
        <x:is>
          <x:t xml:space="preserve">SUCCESS</x:t>
        </x:is>
      </x:c>
      <x:c r="AU92" t="n">
        <x:f>IF((COUNT('Quantification_Results'!AO92)=1),IFERROR(ROUND((SUM(('Quantification_Results'!AO92*'Quantification_Config'!$R$15))/SUM('Quantification_Config'!$R$15)),'Quantification_Config'!$U$2),""),"")</x:f>
        <x:v>50</x:v>
      </x:c>
      <x:c r="AV92" t="n">
        <x:f>IF((COUNT('Quantification_Results'!AU92)=1),IFERROR(ROUND((SUM(('Quantification_Results'!AU92*'Quantification_Config'!$R$14))/SUM('Quantification_Config'!$R$14)),'Quantification_Config'!$U$2),""),"")</x:f>
        <x:v>50</x:v>
      </x:c>
      <x:c r="AW92" t="n">
        <x:v>1</x:v>
      </x:c>
      <x:c r="AX92" t="n">
        <x:v>5</x:v>
      </x:c>
      <x:c r="AY92"/>
      <x:c r="AZ92" t="n">
        <x:f>IF(('Quantification_Results'!AW92&lt;&gt;1),"",IF(('Quantification_Results'!AY92=""),IF(ISNUMBER('Quantification_Results'!AX92),IF(('Quantification_Results'!AX92&lt;'Quantification_Config'!$S$19),"",IF(('Quantification_Results'!AX92&gt;'Quantification_Config'!$T$19),"",'Quantification_Results'!AX92)),""),IF(ISNUMBER('Quantification_Results'!AY92),IF(('Quantification_Results'!AY92&lt;'Quantification_Config'!$S$19),"",IF(('Quantification_Results'!AY92&gt;'Quantification_Config'!$T$19),"",'Quantification_Results'!AY92)),"")))</x:f>
        <x:v>5</x:v>
      </x:c>
      <x:c r="BA92" t="n">
        <x:f>IF(ISNUMBER('Quantification_Results'!AZ92),IFERROR(ROUND(((('Quantification_Results'!AZ92-'Quantification_Config'!$S$19)/('Quantification_Config'!$T$19-'Quantification_Config'!$S$19))*100),'Quantification_Config'!$U$2),""),"")</x:f>
        <x:v>50</x:v>
      </x:c>
      <x:c r="BB92" t="inlineStr">
        <x:is>
          <x:t xml:space="preserve">SYSTEM-TEST-ONLY-NO-NETWORK-NOT-AN-EDUCATIONAL-EVALUATION</x:t>
        </x:is>
      </x:c>
      <x:c r="BC92" t="inlineStr">
        <x:is>
          <x:t xml:space="preserve"/>
        </x:is>
      </x:c>
      <x:c r="BD92" t="inlineStr">
        <x:is>
          <x:t xml:space="preserve">NONE</x:t>
        </x:is>
      </x:c>
      <x:c r="BE92" t="inlineStr">
        <x:is>
          <x:t xml:space="preserve"/>
        </x:is>
      </x:c>
      <x:c r="BF92" t="inlineStr">
        <x:is>
          <x:t xml:space="preserve">SUCCESS</x:t>
        </x:is>
      </x:c>
      <x:c r="BG92" t="n">
        <x:f>IF((COUNT('Quantification_Results'!BA92)=1),IFERROR(ROUND((SUM(('Quantification_Results'!BA92*'Quantification_Config'!$R$19))/SUM('Quantification_Config'!$R$19)),'Quantification_Config'!$U$2),""),"")</x:f>
        <x:v>50</x:v>
      </x:c>
      <x:c r="BH92" t="n">
        <x:f>IF((COUNT('Quantification_Results'!BG92)=1),IFERROR(ROUND((SUM(('Quantification_Results'!BG92*'Quantification_Config'!$R$18))/SUM('Quantification_Config'!$R$18)),'Quantification_Config'!$U$2),""),"")</x:f>
        <x:v>50</x:v>
      </x:c>
      <x:c r="BI92">
        <x:f>IF((COUNT('Quantification_Results'!L92,'Quantification_Results'!X92,'Quantification_Results'!AJ92,'Quantification_Results'!AV92,'Quantification_Results'!BH92)=5),IFERROR(ROUND((SUM(('Quantification_Results'!L92*'Quantification_Config'!$R$4),('Quantification_Results'!X92*'Quantification_Config'!$R$7),('Quantification_Results'!AJ92*'Quantification_Config'!$R$10),('Quantification_Results'!AV92*'Quantification_Config'!$R$13),('Quantification_Results'!BH92*'Quantification_Config'!$R$16))/SUM('Quantification_Config'!$R$4,'Quantification_Config'!$R$7,'Quantification_Config'!$R$10,'Quantification_Config'!$R$13,'Quantification_Config'!$R$16)),'Quantification_Config'!$U$2),""),"")</x:f>
      </x:c>
    </x:row>
    <x:row r="93">
      <x:c r="A93" t="n">
        <x:v>1</x:v>
      </x:c>
      <x:c r="B93" t="n">
        <x:v>5</x:v>
      </x:c>
      <x:c r="C93"/>
      <x:c r="D93" t="n">
        <x:f>IF(('Quantification_Results'!A93&lt;&gt;1),"",IF(('Quantification_Results'!C93=""),IF(ISNUMBER('Quantification_Results'!B93),IF(('Quantification_Results'!B93&lt;'Quantification_Config'!$S$6),"",IF(('Quantification_Results'!B93&gt;'Quantification_Config'!$T$6),"",'Quantification_Results'!B93)),""),IF(ISNUMBER('Quantification_Results'!C93),IF(('Quantification_Results'!C93&lt;'Quantification_Config'!$S$6),"",IF(('Quantification_Results'!C93&gt;'Quantification_Config'!$T$6),"",'Quantification_Results'!C93)),"")))</x:f>
        <x:v>5</x:v>
      </x:c>
      <x:c r="E93" t="n">
        <x:f>IF(ISNUMBER('Quantification_Results'!D93),IFERROR(ROUND(((('Quantification_Results'!D93-'Quantification_Config'!$S$6)/('Quantification_Config'!$T$6-'Quantification_Config'!$S$6))*100),'Quantification_Config'!$U$2),""),"")</x:f>
        <x:v>50</x:v>
      </x:c>
      <x:c r="F93" t="inlineStr">
        <x:is>
          <x:t xml:space="preserve">SYSTEM-TEST-ONLY-NO-NETWORK-NOT-AN-EDUCATIONAL-EVALUATION</x:t>
        </x:is>
      </x:c>
      <x:c r="G93" t="inlineStr">
        <x:is>
          <x:t xml:space="preserve"/>
        </x:is>
      </x:c>
      <x:c r="H93" t="inlineStr">
        <x:is>
          <x:t xml:space="preserve">NONE</x:t>
        </x:is>
      </x:c>
      <x:c r="I93" t="inlineStr">
        <x:is>
          <x:t xml:space="preserve"/>
        </x:is>
      </x:c>
      <x:c r="J93" t="inlineStr">
        <x:is>
          <x:t xml:space="preserve">SUCCESS</x:t>
        </x:is>
      </x:c>
      <x:c r="K93" t="n">
        <x:f>IF((COUNT('Quantification_Results'!E93)=1),IFERROR(ROUND((SUM(('Quantification_Results'!E93*'Quantification_Config'!$R$6))/SUM('Quantification_Config'!$R$6)),'Quantification_Config'!$U$2),""),"")</x:f>
        <x:v>50</x:v>
      </x:c>
      <x:c r="L93" t="n">
        <x:f>IF((COUNT('Quantification_Results'!K93)=1),IFERROR(ROUND((SUM(('Quantification_Results'!K93*'Quantification_Config'!$R$5))/SUM('Quantification_Config'!$R$5)),'Quantification_Config'!$U$2),""),"")</x:f>
        <x:v>50</x:v>
      </x:c>
      <x:c r="M93" t="n">
        <x:v>1</x:v>
      </x:c>
      <x:c r="N93" t="n">
        <x:v>5</x:v>
      </x:c>
      <x:c r="O93"/>
      <x:c r="P93" t="n">
        <x:f>IF(('Quantification_Results'!M93&lt;&gt;1),"",IF(('Quantification_Results'!O93=""),IF(ISNUMBER('Quantification_Results'!N93),IF(('Quantification_Results'!N93&lt;'Quantification_Config'!$S$9),"",IF(('Quantification_Results'!N93&gt;'Quantification_Config'!$T$9),"",'Quantification_Results'!N93)),""),IF(ISNUMBER('Quantification_Results'!O93),IF(('Quantification_Results'!O93&lt;'Quantification_Config'!$S$9),"",IF(('Quantification_Results'!O93&gt;'Quantification_Config'!$T$9),"",'Quantification_Results'!O93)),"")))</x:f>
        <x:v>5</x:v>
      </x:c>
      <x:c r="Q93" t="n">
        <x:f>IF(ISNUMBER('Quantification_Results'!P93),IFERROR(ROUND(((('Quantification_Results'!P93-'Quantification_Config'!$S$9)/('Quantification_Config'!$T$9-'Quantification_Config'!$S$9))*100),'Quantification_Config'!$U$2),""),"")</x:f>
        <x:v>50</x:v>
      </x:c>
      <x:c r="R93" t="inlineStr">
        <x:is>
          <x:t xml:space="preserve">SYSTEM-TEST-ONLY-NO-NETWORK-NOT-AN-EDUCATIONAL-EVALUATION</x:t>
        </x:is>
      </x:c>
      <x:c r="S93" t="inlineStr">
        <x:is>
          <x:t xml:space="preserve"/>
        </x:is>
      </x:c>
      <x:c r="T93" t="inlineStr">
        <x:is>
          <x:t xml:space="preserve">NONE</x:t>
        </x:is>
      </x:c>
      <x:c r="U93" t="inlineStr">
        <x:is>
          <x:t xml:space="preserve"/>
        </x:is>
      </x:c>
      <x:c r="V93" t="inlineStr">
        <x:is>
          <x:t xml:space="preserve">SUCCESS</x:t>
        </x:is>
      </x:c>
      <x:c r="W93" t="n">
        <x:f>IF((COUNT('Quantification_Results'!Q93)=1),IFERROR(ROUND((SUM(('Quantification_Results'!Q93*'Quantification_Config'!$R$9))/SUM('Quantification_Config'!$R$9)),'Quantification_Config'!$U$2),""),"")</x:f>
        <x:v>50</x:v>
      </x:c>
      <x:c r="X93" t="n">
        <x:f>IF((COUNT('Quantification_Results'!W93)=1),IFERROR(ROUND((SUM(('Quantification_Results'!W93*'Quantification_Config'!$R$8))/SUM('Quantification_Config'!$R$8)),'Quantification_Config'!$U$2),""),"")</x:f>
        <x:v>50</x:v>
      </x:c>
      <x:c r="Y93" t="n">
        <x:v>0</x:v>
      </x:c>
      <x:c r="Z93"/>
      <x:c r="AA93"/>
      <x:c r="AB93">
        <x:f>IF(('Quantification_Results'!Y93&lt;&gt;1),"",IF(('Quantification_Results'!AA93=""),IF(ISNUMBER('Quantification_Results'!Z93),IF(('Quantification_Results'!Z93&lt;'Quantification_Config'!$S$12),"",IF(('Quantification_Results'!Z93&gt;'Quantification_Config'!$T$12),"",'Quantification_Results'!Z93)),""),IF(ISNUMBER('Quantification_Results'!AA93),IF(('Quantification_Results'!AA93&lt;'Quantification_Config'!$S$12),"",IF(('Quantification_Results'!AA93&gt;'Quantification_Config'!$T$12),"",'Quantification_Results'!AA93)),"")))</x:f>
      </x:c>
      <x:c r="AC93">
        <x:f>IF(ISNUMBER('Quantification_Results'!AB93),IFERROR(ROUND(((('Quantification_Results'!AB93-'Quantification_Config'!$S$12)/('Quantification_Config'!$T$12-'Quantification_Config'!$S$12))*100),'Quantification_Config'!$U$2),""),"")</x:f>
      </x:c>
      <x:c r="AD93" t="inlineStr">
        <x:is>
          <x:t xml:space="preserve"/>
        </x:is>
      </x:c>
      <x:c r="AE93" t="inlineStr">
        <x:is>
          <x:t xml:space="preserve"/>
        </x:is>
      </x:c>
      <x:c r="AF93" t="inlineStr">
        <x:is>
          <x:t xml:space="preserve"/>
        </x:is>
      </x:c>
      <x:c r="AG93" t="inlineStr">
        <x:is>
          <x:t xml:space="preserve"/>
        </x:is>
      </x:c>
      <x:c r="AH93" t="inlineStr">
        <x:is>
          <x:t xml:space="preserve">EMPTY</x:t>
        </x:is>
      </x:c>
      <x:c r="AI93">
        <x:f>IF((COUNT('Quantification_Results'!AC93)=1),IFERROR(ROUND((SUM(('Quantification_Results'!AC93*'Quantification_Config'!$R$12))/SUM('Quantification_Config'!$R$12)),'Quantification_Config'!$U$2),""),"")</x:f>
      </x:c>
      <x:c r="AJ93">
        <x:f>IF((COUNT('Quantification_Results'!AI93)=1),IFERROR(ROUND((SUM(('Quantification_Results'!AI93*'Quantification_Config'!$R$11))/SUM('Quantification_Config'!$R$11)),'Quantification_Config'!$U$2),""),"")</x:f>
      </x:c>
      <x:c r="AK93" t="n">
        <x:v>1</x:v>
      </x:c>
      <x:c r="AL93" t="n">
        <x:v>5</x:v>
      </x:c>
      <x:c r="AM93"/>
      <x:c r="AN93" t="n">
        <x:f>IF(('Quantification_Results'!AK93&lt;&gt;1),"",IF(('Quantification_Results'!AM93=""),IF(ISNUMBER('Quantification_Results'!AL93),IF(('Quantification_Results'!AL93&lt;'Quantification_Config'!$S$15),"",IF(('Quantification_Results'!AL93&gt;'Quantification_Config'!$T$15),"",'Quantification_Results'!AL93)),""),IF(ISNUMBER('Quantification_Results'!AM93),IF(('Quantification_Results'!AM93&lt;'Quantification_Config'!$S$15),"",IF(('Quantification_Results'!AM93&gt;'Quantification_Config'!$T$15),"",'Quantification_Results'!AM93)),"")))</x:f>
        <x:v>5</x:v>
      </x:c>
      <x:c r="AO93" t="n">
        <x:f>IF(ISNUMBER('Quantification_Results'!AN93),IFERROR(ROUND(((('Quantification_Results'!AN93-'Quantification_Config'!$S$15)/('Quantification_Config'!$T$15-'Quantification_Config'!$S$15))*100),'Quantification_Config'!$U$2),""),"")</x:f>
        <x:v>50</x:v>
      </x:c>
      <x:c r="AP93" t="inlineStr">
        <x:is>
          <x:t xml:space="preserve">SYSTEM-TEST-ONLY-NO-NETWORK-NOT-AN-EDUCATIONAL-EVALUATION</x:t>
        </x:is>
      </x:c>
      <x:c r="AQ93" t="inlineStr">
        <x:is>
          <x:t xml:space="preserve"/>
        </x:is>
      </x:c>
      <x:c r="AR93" t="inlineStr">
        <x:is>
          <x:t xml:space="preserve">NONE</x:t>
        </x:is>
      </x:c>
      <x:c r="AS93" t="inlineStr">
        <x:is>
          <x:t xml:space="preserve"/>
        </x:is>
      </x:c>
      <x:c r="AT93" t="inlineStr">
        <x:is>
          <x:t xml:space="preserve">SUCCESS</x:t>
        </x:is>
      </x:c>
      <x:c r="AU93" t="n">
        <x:f>IF((COUNT('Quantification_Results'!AO93)=1),IFERROR(ROUND((SUM(('Quantification_Results'!AO93*'Quantification_Config'!$R$15))/SUM('Quantification_Config'!$R$15)),'Quantification_Config'!$U$2),""),"")</x:f>
        <x:v>50</x:v>
      </x:c>
      <x:c r="AV93" t="n">
        <x:f>IF((COUNT('Quantification_Results'!AU93)=1),IFERROR(ROUND((SUM(('Quantification_Results'!AU93*'Quantification_Config'!$R$14))/SUM('Quantification_Config'!$R$14)),'Quantification_Config'!$U$2),""),"")</x:f>
        <x:v>50</x:v>
      </x:c>
      <x:c r="AW93" t="n">
        <x:v>1</x:v>
      </x:c>
      <x:c r="AX93" t="n">
        <x:v>5</x:v>
      </x:c>
      <x:c r="AY93"/>
      <x:c r="AZ93" t="n">
        <x:f>IF(('Quantification_Results'!AW93&lt;&gt;1),"",IF(('Quantification_Results'!AY93=""),IF(ISNUMBER('Quantification_Results'!AX93),IF(('Quantification_Results'!AX93&lt;'Quantification_Config'!$S$19),"",IF(('Quantification_Results'!AX93&gt;'Quantification_Config'!$T$19),"",'Quantification_Results'!AX93)),""),IF(ISNUMBER('Quantification_Results'!AY93),IF(('Quantification_Results'!AY93&lt;'Quantification_Config'!$S$19),"",IF(('Quantification_Results'!AY93&gt;'Quantification_Config'!$T$19),"",'Quantification_Results'!AY93)),"")))</x:f>
        <x:v>5</x:v>
      </x:c>
      <x:c r="BA93" t="n">
        <x:f>IF(ISNUMBER('Quantification_Results'!AZ93),IFERROR(ROUND(((('Quantification_Results'!AZ93-'Quantification_Config'!$S$19)/('Quantification_Config'!$T$19-'Quantification_Config'!$S$19))*100),'Quantification_Config'!$U$2),""),"")</x:f>
        <x:v>50</x:v>
      </x:c>
      <x:c r="BB93" t="inlineStr">
        <x:is>
          <x:t xml:space="preserve">SYSTEM-TEST-ONLY-NO-NETWORK-NOT-AN-EDUCATIONAL-EVALUATION</x:t>
        </x:is>
      </x:c>
      <x:c r="BC93" t="inlineStr">
        <x:is>
          <x:t xml:space="preserve"/>
        </x:is>
      </x:c>
      <x:c r="BD93" t="inlineStr">
        <x:is>
          <x:t xml:space="preserve">NONE</x:t>
        </x:is>
      </x:c>
      <x:c r="BE93" t="inlineStr">
        <x:is>
          <x:t xml:space="preserve"/>
        </x:is>
      </x:c>
      <x:c r="BF93" t="inlineStr">
        <x:is>
          <x:t xml:space="preserve">SUCCESS</x:t>
        </x:is>
      </x:c>
      <x:c r="BG93" t="n">
        <x:f>IF((COUNT('Quantification_Results'!BA93)=1),IFERROR(ROUND((SUM(('Quantification_Results'!BA93*'Quantification_Config'!$R$19))/SUM('Quantification_Config'!$R$19)),'Quantification_Config'!$U$2),""),"")</x:f>
        <x:v>50</x:v>
      </x:c>
      <x:c r="BH93" t="n">
        <x:f>IF((COUNT('Quantification_Results'!BG93)=1),IFERROR(ROUND((SUM(('Quantification_Results'!BG93*'Quantification_Config'!$R$18))/SUM('Quantification_Config'!$R$18)),'Quantification_Config'!$U$2),""),"")</x:f>
        <x:v>50</x:v>
      </x:c>
      <x:c r="BI93">
        <x:f>IF((COUNT('Quantification_Results'!L93,'Quantification_Results'!X93,'Quantification_Results'!AJ93,'Quantification_Results'!AV93,'Quantification_Results'!BH93)=5),IFERROR(ROUND((SUM(('Quantification_Results'!L93*'Quantification_Config'!$R$4),('Quantification_Results'!X93*'Quantification_Config'!$R$7),('Quantification_Results'!AJ93*'Quantification_Config'!$R$10),('Quantification_Results'!AV93*'Quantification_Config'!$R$13),('Quantification_Results'!BH93*'Quantification_Config'!$R$16))/SUM('Quantification_Config'!$R$4,'Quantification_Config'!$R$7,'Quantification_Config'!$R$10,'Quantification_Config'!$R$13,'Quantification_Config'!$R$16)),'Quantification_Config'!$U$2),""),"")</x:f>
      </x:c>
    </x:row>
    <x:row r="94">
      <x:c r="A94" t="n">
        <x:v>1</x:v>
      </x:c>
      <x:c r="B94" t="n">
        <x:v>5</x:v>
      </x:c>
      <x:c r="C94"/>
      <x:c r="D94" t="n">
        <x:f>IF(('Quantification_Results'!A94&lt;&gt;1),"",IF(('Quantification_Results'!C94=""),IF(ISNUMBER('Quantification_Results'!B94),IF(('Quantification_Results'!B94&lt;'Quantification_Config'!$S$6),"",IF(('Quantification_Results'!B94&gt;'Quantification_Config'!$T$6),"",'Quantification_Results'!B94)),""),IF(ISNUMBER('Quantification_Results'!C94),IF(('Quantification_Results'!C94&lt;'Quantification_Config'!$S$6),"",IF(('Quantification_Results'!C94&gt;'Quantification_Config'!$T$6),"",'Quantification_Results'!C94)),"")))</x:f>
        <x:v>5</x:v>
      </x:c>
      <x:c r="E94" t="n">
        <x:f>IF(ISNUMBER('Quantification_Results'!D94),IFERROR(ROUND(((('Quantification_Results'!D94-'Quantification_Config'!$S$6)/('Quantification_Config'!$T$6-'Quantification_Config'!$S$6))*100),'Quantification_Config'!$U$2),""),"")</x:f>
        <x:v>50</x:v>
      </x:c>
      <x:c r="F94" t="inlineStr">
        <x:is>
          <x:t xml:space="preserve">SYSTEM-TEST-ONLY-NO-NETWORK-NOT-AN-EDUCATIONAL-EVALUATION</x:t>
        </x:is>
      </x:c>
      <x:c r="G94" t="inlineStr">
        <x:is>
          <x:t xml:space="preserve"/>
        </x:is>
      </x:c>
      <x:c r="H94" t="inlineStr">
        <x:is>
          <x:t xml:space="preserve">NONE</x:t>
        </x:is>
      </x:c>
      <x:c r="I94" t="inlineStr">
        <x:is>
          <x:t xml:space="preserve"/>
        </x:is>
      </x:c>
      <x:c r="J94" t="inlineStr">
        <x:is>
          <x:t xml:space="preserve">SUCCESS</x:t>
        </x:is>
      </x:c>
      <x:c r="K94" t="n">
        <x:f>IF((COUNT('Quantification_Results'!E94)=1),IFERROR(ROUND((SUM(('Quantification_Results'!E94*'Quantification_Config'!$R$6))/SUM('Quantification_Config'!$R$6)),'Quantification_Config'!$U$2),""),"")</x:f>
        <x:v>50</x:v>
      </x:c>
      <x:c r="L94" t="n">
        <x:f>IF((COUNT('Quantification_Results'!K94)=1),IFERROR(ROUND((SUM(('Quantification_Results'!K94*'Quantification_Config'!$R$5))/SUM('Quantification_Config'!$R$5)),'Quantification_Config'!$U$2),""),"")</x:f>
        <x:v>50</x:v>
      </x:c>
      <x:c r="M94" t="n">
        <x:v>1</x:v>
      </x:c>
      <x:c r="N94" t="n">
        <x:v>5</x:v>
      </x:c>
      <x:c r="O94"/>
      <x:c r="P94" t="n">
        <x:f>IF(('Quantification_Results'!M94&lt;&gt;1),"",IF(('Quantification_Results'!O94=""),IF(ISNUMBER('Quantification_Results'!N94),IF(('Quantification_Results'!N94&lt;'Quantification_Config'!$S$9),"",IF(('Quantification_Results'!N94&gt;'Quantification_Config'!$T$9),"",'Quantification_Results'!N94)),""),IF(ISNUMBER('Quantification_Results'!O94),IF(('Quantification_Results'!O94&lt;'Quantification_Config'!$S$9),"",IF(('Quantification_Results'!O94&gt;'Quantification_Config'!$T$9),"",'Quantification_Results'!O94)),"")))</x:f>
        <x:v>5</x:v>
      </x:c>
      <x:c r="Q94" t="n">
        <x:f>IF(ISNUMBER('Quantification_Results'!P94),IFERROR(ROUND(((('Quantification_Results'!P94-'Quantification_Config'!$S$9)/('Quantification_Config'!$T$9-'Quantification_Config'!$S$9))*100),'Quantification_Config'!$U$2),""),"")</x:f>
        <x:v>50</x:v>
      </x:c>
      <x:c r="R94" t="inlineStr">
        <x:is>
          <x:t xml:space="preserve">SYSTEM-TEST-ONLY-NO-NETWORK-NOT-AN-EDUCATIONAL-EVALUATION</x:t>
        </x:is>
      </x:c>
      <x:c r="S94" t="inlineStr">
        <x:is>
          <x:t xml:space="preserve"/>
        </x:is>
      </x:c>
      <x:c r="T94" t="inlineStr">
        <x:is>
          <x:t xml:space="preserve">NONE</x:t>
        </x:is>
      </x:c>
      <x:c r="U94" t="inlineStr">
        <x:is>
          <x:t xml:space="preserve"/>
        </x:is>
      </x:c>
      <x:c r="V94" t="inlineStr">
        <x:is>
          <x:t xml:space="preserve">SUCCESS</x:t>
        </x:is>
      </x:c>
      <x:c r="W94" t="n">
        <x:f>IF((COUNT('Quantification_Results'!Q94)=1),IFERROR(ROUND((SUM(('Quantification_Results'!Q94*'Quantification_Config'!$R$9))/SUM('Quantification_Config'!$R$9)),'Quantification_Config'!$U$2),""),"")</x:f>
        <x:v>50</x:v>
      </x:c>
      <x:c r="X94" t="n">
        <x:f>IF((COUNT('Quantification_Results'!W94)=1),IFERROR(ROUND((SUM(('Quantification_Results'!W94*'Quantification_Config'!$R$8))/SUM('Quantification_Config'!$R$8)),'Quantification_Config'!$U$2),""),"")</x:f>
        <x:v>50</x:v>
      </x:c>
      <x:c r="Y94" t="n">
        <x:v>1</x:v>
      </x:c>
      <x:c r="Z94" t="n">
        <x:v>5</x:v>
      </x:c>
      <x:c r="AA94"/>
      <x:c r="AB94" t="n">
        <x:f>IF(('Quantification_Results'!Y94&lt;&gt;1),"",IF(('Quantification_Results'!AA94=""),IF(ISNUMBER('Quantification_Results'!Z94),IF(('Quantification_Results'!Z94&lt;'Quantification_Config'!$S$12),"",IF(('Quantification_Results'!Z94&gt;'Quantification_Config'!$T$12),"",'Quantification_Results'!Z94)),""),IF(ISNUMBER('Quantification_Results'!AA94),IF(('Quantification_Results'!AA94&lt;'Quantification_Config'!$S$12),"",IF(('Quantification_Results'!AA94&gt;'Quantification_Config'!$T$12),"",'Quantification_Results'!AA94)),"")))</x:f>
        <x:v>5</x:v>
      </x:c>
      <x:c r="AC94" t="n">
        <x:f>IF(ISNUMBER('Quantification_Results'!AB94),IFERROR(ROUND(((('Quantification_Results'!AB94-'Quantification_Config'!$S$12)/('Quantification_Config'!$T$12-'Quantification_Config'!$S$12))*100),'Quantification_Config'!$U$2),""),"")</x:f>
        <x:v>50</x:v>
      </x:c>
      <x:c r="AD94" t="inlineStr">
        <x:is>
          <x:t xml:space="preserve">SYSTEM-TEST-ONLY-NO-NETWORK-NOT-AN-EDUCATIONAL-EVALUATION</x:t>
        </x:is>
      </x:c>
      <x:c r="AE94" t="inlineStr">
        <x:is>
          <x:t xml:space="preserve"/>
        </x:is>
      </x:c>
      <x:c r="AF94" t="inlineStr">
        <x:is>
          <x:t xml:space="preserve">NONE</x:t>
        </x:is>
      </x:c>
      <x:c r="AG94" t="inlineStr">
        <x:is>
          <x:t xml:space="preserve"/>
        </x:is>
      </x:c>
      <x:c r="AH94" t="inlineStr">
        <x:is>
          <x:t xml:space="preserve">SUCCESS</x:t>
        </x:is>
      </x:c>
      <x:c r="AI94" t="n">
        <x:f>IF((COUNT('Quantification_Results'!AC94)=1),IFERROR(ROUND((SUM(('Quantification_Results'!AC94*'Quantification_Config'!$R$12))/SUM('Quantification_Config'!$R$12)),'Quantification_Config'!$U$2),""),"")</x:f>
        <x:v>50</x:v>
      </x:c>
      <x:c r="AJ94" t="n">
        <x:f>IF((COUNT('Quantification_Results'!AI94)=1),IFERROR(ROUND((SUM(('Quantification_Results'!AI94*'Quantification_Config'!$R$11))/SUM('Quantification_Config'!$R$11)),'Quantification_Config'!$U$2),""),"")</x:f>
        <x:v>50</x:v>
      </x:c>
      <x:c r="AK94" t="n">
        <x:v>1</x:v>
      </x:c>
      <x:c r="AL94" t="n">
        <x:v>5</x:v>
      </x:c>
      <x:c r="AM94"/>
      <x:c r="AN94" t="n">
        <x:f>IF(('Quantification_Results'!AK94&lt;&gt;1),"",IF(('Quantification_Results'!AM94=""),IF(ISNUMBER('Quantification_Results'!AL94),IF(('Quantification_Results'!AL94&lt;'Quantification_Config'!$S$15),"",IF(('Quantification_Results'!AL94&gt;'Quantification_Config'!$T$15),"",'Quantification_Results'!AL94)),""),IF(ISNUMBER('Quantification_Results'!AM94),IF(('Quantification_Results'!AM94&lt;'Quantification_Config'!$S$15),"",IF(('Quantification_Results'!AM94&gt;'Quantification_Config'!$T$15),"",'Quantification_Results'!AM94)),"")))</x:f>
        <x:v>5</x:v>
      </x:c>
      <x:c r="AO94" t="n">
        <x:f>IF(ISNUMBER('Quantification_Results'!AN94),IFERROR(ROUND(((('Quantification_Results'!AN94-'Quantification_Config'!$S$15)/('Quantification_Config'!$T$15-'Quantification_Config'!$S$15))*100),'Quantification_Config'!$U$2),""),"")</x:f>
        <x:v>50</x:v>
      </x:c>
      <x:c r="AP94" t="inlineStr">
        <x:is>
          <x:t xml:space="preserve">SYSTEM-TEST-ONLY-NO-NETWORK-NOT-AN-EDUCATIONAL-EVALUATION</x:t>
        </x:is>
      </x:c>
      <x:c r="AQ94" t="inlineStr">
        <x:is>
          <x:t xml:space="preserve"/>
        </x:is>
      </x:c>
      <x:c r="AR94" t="inlineStr">
        <x:is>
          <x:t xml:space="preserve">NONE</x:t>
        </x:is>
      </x:c>
      <x:c r="AS94" t="inlineStr">
        <x:is>
          <x:t xml:space="preserve"/>
        </x:is>
      </x:c>
      <x:c r="AT94" t="inlineStr">
        <x:is>
          <x:t xml:space="preserve">SUCCESS</x:t>
        </x:is>
      </x:c>
      <x:c r="AU94" t="n">
        <x:f>IF((COUNT('Quantification_Results'!AO94)=1),IFERROR(ROUND((SUM(('Quantification_Results'!AO94*'Quantification_Config'!$R$15))/SUM('Quantification_Config'!$R$15)),'Quantification_Config'!$U$2),""),"")</x:f>
        <x:v>50</x:v>
      </x:c>
      <x:c r="AV94" t="n">
        <x:f>IF((COUNT('Quantification_Results'!AU94)=1),IFERROR(ROUND((SUM(('Quantification_Results'!AU94*'Quantification_Config'!$R$14))/SUM('Quantification_Config'!$R$14)),'Quantification_Config'!$U$2),""),"")</x:f>
        <x:v>50</x:v>
      </x:c>
      <x:c r="AW94" t="n">
        <x:v>1</x:v>
      </x:c>
      <x:c r="AX94" t="n">
        <x:v>5</x:v>
      </x:c>
      <x:c r="AY94"/>
      <x:c r="AZ94" t="n">
        <x:f>IF(('Quantification_Results'!AW94&lt;&gt;1),"",IF(('Quantification_Results'!AY94=""),IF(ISNUMBER('Quantification_Results'!AX94),IF(('Quantification_Results'!AX94&lt;'Quantification_Config'!$S$19),"",IF(('Quantification_Results'!AX94&gt;'Quantification_Config'!$T$19),"",'Quantification_Results'!AX94)),""),IF(ISNUMBER('Quantification_Results'!AY94),IF(('Quantification_Results'!AY94&lt;'Quantification_Config'!$S$19),"",IF(('Quantification_Results'!AY94&gt;'Quantification_Config'!$T$19),"",'Quantification_Results'!AY94)),"")))</x:f>
        <x:v>5</x:v>
      </x:c>
      <x:c r="BA94" t="n">
        <x:f>IF(ISNUMBER('Quantification_Results'!AZ94),IFERROR(ROUND(((('Quantification_Results'!AZ94-'Quantification_Config'!$S$19)/('Quantification_Config'!$T$19-'Quantification_Config'!$S$19))*100),'Quantification_Config'!$U$2),""),"")</x:f>
        <x:v>50</x:v>
      </x:c>
      <x:c r="BB94" t="inlineStr">
        <x:is>
          <x:t xml:space="preserve">SYSTEM-TEST-ONLY-NO-NETWORK-NOT-AN-EDUCATIONAL-EVALUATION</x:t>
        </x:is>
      </x:c>
      <x:c r="BC94" t="inlineStr">
        <x:is>
          <x:t xml:space="preserve"/>
        </x:is>
      </x:c>
      <x:c r="BD94" t="inlineStr">
        <x:is>
          <x:t xml:space="preserve">NONE</x:t>
        </x:is>
      </x:c>
      <x:c r="BE94" t="inlineStr">
        <x:is>
          <x:t xml:space="preserve"/>
        </x:is>
      </x:c>
      <x:c r="BF94" t="inlineStr">
        <x:is>
          <x:t xml:space="preserve">SUCCESS</x:t>
        </x:is>
      </x:c>
      <x:c r="BG94" t="n">
        <x:f>IF((COUNT('Quantification_Results'!BA94)=1),IFERROR(ROUND((SUM(('Quantification_Results'!BA94*'Quantification_Config'!$R$19))/SUM('Quantification_Config'!$R$19)),'Quantification_Config'!$U$2),""),"")</x:f>
        <x:v>50</x:v>
      </x:c>
      <x:c r="BH94" t="n">
        <x:f>IF((COUNT('Quantification_Results'!BG94)=1),IFERROR(ROUND((SUM(('Quantification_Results'!BG94*'Quantification_Config'!$R$18))/SUM('Quantification_Config'!$R$18)),'Quantification_Config'!$U$2),""),"")</x:f>
        <x:v>50</x:v>
      </x:c>
      <x:c r="BI94" t="n">
        <x:f>IF((COUNT('Quantification_Results'!L94,'Quantification_Results'!X94,'Quantification_Results'!AJ94,'Quantification_Results'!AV94,'Quantification_Results'!BH94)=5),IFERROR(ROUND((SUM(('Quantification_Results'!L94*'Quantification_Config'!$R$4),('Quantification_Results'!X94*'Quantification_Config'!$R$7),('Quantification_Results'!AJ94*'Quantification_Config'!$R$10),('Quantification_Results'!AV94*'Quantification_Config'!$R$13),('Quantification_Results'!BH94*'Quantification_Config'!$R$16))/SUM('Quantification_Config'!$R$4,'Quantification_Config'!$R$7,'Quantification_Config'!$R$10,'Quantification_Config'!$R$13,'Quantification_Config'!$R$16)),'Quantification_Config'!$U$2),""),"")</x:f>
        <x:v>50</x:v>
      </x:c>
    </x:row>
    <x:row r="95">
      <x:c r="A95" t="n">
        <x:v>1</x:v>
      </x:c>
      <x:c r="B95" t="n">
        <x:v>5</x:v>
      </x:c>
      <x:c r="C95"/>
      <x:c r="D95" t="n">
        <x:f>IF(('Quantification_Results'!A95&lt;&gt;1),"",IF(('Quantification_Results'!C95=""),IF(ISNUMBER('Quantification_Results'!B95),IF(('Quantification_Results'!B95&lt;'Quantification_Config'!$S$6),"",IF(('Quantification_Results'!B95&gt;'Quantification_Config'!$T$6),"",'Quantification_Results'!B95)),""),IF(ISNUMBER('Quantification_Results'!C95),IF(('Quantification_Results'!C95&lt;'Quantification_Config'!$S$6),"",IF(('Quantification_Results'!C95&gt;'Quantification_Config'!$T$6),"",'Quantification_Results'!C95)),"")))</x:f>
        <x:v>5</x:v>
      </x:c>
      <x:c r="E95" t="n">
        <x:f>IF(ISNUMBER('Quantification_Results'!D95),IFERROR(ROUND(((('Quantification_Results'!D95-'Quantification_Config'!$S$6)/('Quantification_Config'!$T$6-'Quantification_Config'!$S$6))*100),'Quantification_Config'!$U$2),""),"")</x:f>
        <x:v>50</x:v>
      </x:c>
      <x:c r="F95" t="inlineStr">
        <x:is>
          <x:t xml:space="preserve">SYSTEM-TEST-ONLY-NO-NETWORK-NOT-AN-EDUCATIONAL-EVALUATION</x:t>
        </x:is>
      </x:c>
      <x:c r="G95" t="inlineStr">
        <x:is>
          <x:t xml:space="preserve"/>
        </x:is>
      </x:c>
      <x:c r="H95" t="inlineStr">
        <x:is>
          <x:t xml:space="preserve">NONE</x:t>
        </x:is>
      </x:c>
      <x:c r="I95" t="inlineStr">
        <x:is>
          <x:t xml:space="preserve"/>
        </x:is>
      </x:c>
      <x:c r="J95" t="inlineStr">
        <x:is>
          <x:t xml:space="preserve">SUCCESS</x:t>
        </x:is>
      </x:c>
      <x:c r="K95" t="n">
        <x:f>IF((COUNT('Quantification_Results'!E95)=1),IFERROR(ROUND((SUM(('Quantification_Results'!E95*'Quantification_Config'!$R$6))/SUM('Quantification_Config'!$R$6)),'Quantification_Config'!$U$2),""),"")</x:f>
        <x:v>50</x:v>
      </x:c>
      <x:c r="L95" t="n">
        <x:f>IF((COUNT('Quantification_Results'!K95)=1),IFERROR(ROUND((SUM(('Quantification_Results'!K95*'Quantification_Config'!$R$5))/SUM('Quantification_Config'!$R$5)),'Quantification_Config'!$U$2),""),"")</x:f>
        <x:v>50</x:v>
      </x:c>
      <x:c r="M95" t="n">
        <x:v>0</x:v>
      </x:c>
      <x:c r="N95"/>
      <x:c r="O95"/>
      <x:c r="P95">
        <x:f>IF(('Quantification_Results'!M95&lt;&gt;1),"",IF(('Quantification_Results'!O95=""),IF(ISNUMBER('Quantification_Results'!N95),IF(('Quantification_Results'!N95&lt;'Quantification_Config'!$S$9),"",IF(('Quantification_Results'!N95&gt;'Quantification_Config'!$T$9),"",'Quantification_Results'!N95)),""),IF(ISNUMBER('Quantification_Results'!O95),IF(('Quantification_Results'!O95&lt;'Quantification_Config'!$S$9),"",IF(('Quantification_Results'!O95&gt;'Quantification_Config'!$T$9),"",'Quantification_Results'!O95)),"")))</x:f>
      </x:c>
      <x:c r="Q95">
        <x:f>IF(ISNUMBER('Quantification_Results'!P95),IFERROR(ROUND(((('Quantification_Results'!P95-'Quantification_Config'!$S$9)/('Quantification_Config'!$T$9-'Quantification_Config'!$S$9))*100),'Quantification_Config'!$U$2),""),"")</x:f>
      </x:c>
      <x:c r="R95" t="inlineStr">
        <x:is>
          <x:t xml:space="preserve"/>
        </x:is>
      </x:c>
      <x:c r="S95" t="inlineStr">
        <x:is>
          <x:t xml:space="preserve"/>
        </x:is>
      </x:c>
      <x:c r="T95" t="inlineStr">
        <x:is>
          <x:t xml:space="preserve"/>
        </x:is>
      </x:c>
      <x:c r="U95" t="inlineStr">
        <x:is>
          <x:t xml:space="preserve"/>
        </x:is>
      </x:c>
      <x:c r="V95" t="inlineStr">
        <x:is>
          <x:t xml:space="preserve">EMPTY</x:t>
        </x:is>
      </x:c>
      <x:c r="W95">
        <x:f>IF((COUNT('Quantification_Results'!Q95)=1),IFERROR(ROUND((SUM(('Quantification_Results'!Q95*'Quantification_Config'!$R$9))/SUM('Quantification_Config'!$R$9)),'Quantification_Config'!$U$2),""),"")</x:f>
      </x:c>
      <x:c r="X95">
        <x:f>IF((COUNT('Quantification_Results'!W95)=1),IFERROR(ROUND((SUM(('Quantification_Results'!W95*'Quantification_Config'!$R$8))/SUM('Quantification_Config'!$R$8)),'Quantification_Config'!$U$2),""),"")</x:f>
      </x:c>
      <x:c r="Y95" t="n">
        <x:v>0</x:v>
      </x:c>
      <x:c r="Z95"/>
      <x:c r="AA95"/>
      <x:c r="AB95">
        <x:f>IF(('Quantification_Results'!Y95&lt;&gt;1),"",IF(('Quantification_Results'!AA95=""),IF(ISNUMBER('Quantification_Results'!Z95),IF(('Quantification_Results'!Z95&lt;'Quantification_Config'!$S$12),"",IF(('Quantification_Results'!Z95&gt;'Quantification_Config'!$T$12),"",'Quantification_Results'!Z95)),""),IF(ISNUMBER('Quantification_Results'!AA95),IF(('Quantification_Results'!AA95&lt;'Quantification_Config'!$S$12),"",IF(('Quantification_Results'!AA95&gt;'Quantification_Config'!$T$12),"",'Quantification_Results'!AA95)),"")))</x:f>
      </x:c>
      <x:c r="AC95">
        <x:f>IF(ISNUMBER('Quantification_Results'!AB95),IFERROR(ROUND(((('Quantification_Results'!AB95-'Quantification_Config'!$S$12)/('Quantification_Config'!$T$12-'Quantification_Config'!$S$12))*100),'Quantification_Config'!$U$2),""),"")</x:f>
      </x:c>
      <x:c r="AD95" t="inlineStr">
        <x:is>
          <x:t xml:space="preserve"/>
        </x:is>
      </x:c>
      <x:c r="AE95" t="inlineStr">
        <x:is>
          <x:t xml:space="preserve"/>
        </x:is>
      </x:c>
      <x:c r="AF95" t="inlineStr">
        <x:is>
          <x:t xml:space="preserve"/>
        </x:is>
      </x:c>
      <x:c r="AG95" t="inlineStr">
        <x:is>
          <x:t xml:space="preserve"/>
        </x:is>
      </x:c>
      <x:c r="AH95" t="inlineStr">
        <x:is>
          <x:t xml:space="preserve">EMPTY</x:t>
        </x:is>
      </x:c>
      <x:c r="AI95">
        <x:f>IF((COUNT('Quantification_Results'!AC95)=1),IFERROR(ROUND((SUM(('Quantification_Results'!AC95*'Quantification_Config'!$R$12))/SUM('Quantification_Config'!$R$12)),'Quantification_Config'!$U$2),""),"")</x:f>
      </x:c>
      <x:c r="AJ95">
        <x:f>IF((COUNT('Quantification_Results'!AI95)=1),IFERROR(ROUND((SUM(('Quantification_Results'!AI95*'Quantification_Config'!$R$11))/SUM('Quantification_Config'!$R$11)),'Quantification_Config'!$U$2),""),"")</x:f>
      </x:c>
      <x:c r="AK95" t="n">
        <x:v>1</x:v>
      </x:c>
      <x:c r="AL95" t="n">
        <x:v>5</x:v>
      </x:c>
      <x:c r="AM95"/>
      <x:c r="AN95" t="n">
        <x:f>IF(('Quantification_Results'!AK95&lt;&gt;1),"",IF(('Quantification_Results'!AM95=""),IF(ISNUMBER('Quantification_Results'!AL95),IF(('Quantification_Results'!AL95&lt;'Quantification_Config'!$S$15),"",IF(('Quantification_Results'!AL95&gt;'Quantification_Config'!$T$15),"",'Quantification_Results'!AL95)),""),IF(ISNUMBER('Quantification_Results'!AM95),IF(('Quantification_Results'!AM95&lt;'Quantification_Config'!$S$15),"",IF(('Quantification_Results'!AM95&gt;'Quantification_Config'!$T$15),"",'Quantification_Results'!AM95)),"")))</x:f>
        <x:v>5</x:v>
      </x:c>
      <x:c r="AO95" t="n">
        <x:f>IF(ISNUMBER('Quantification_Results'!AN95),IFERROR(ROUND(((('Quantification_Results'!AN95-'Quantification_Config'!$S$15)/('Quantification_Config'!$T$15-'Quantification_Config'!$S$15))*100),'Quantification_Config'!$U$2),""),"")</x:f>
        <x:v>50</x:v>
      </x:c>
      <x:c r="AP95" t="inlineStr">
        <x:is>
          <x:t xml:space="preserve">SYSTEM-TEST-ONLY-NO-NETWORK-NOT-AN-EDUCATIONAL-EVALUATION</x:t>
        </x:is>
      </x:c>
      <x:c r="AQ95" t="inlineStr">
        <x:is>
          <x:t xml:space="preserve"/>
        </x:is>
      </x:c>
      <x:c r="AR95" t="inlineStr">
        <x:is>
          <x:t xml:space="preserve">NONE</x:t>
        </x:is>
      </x:c>
      <x:c r="AS95" t="inlineStr">
        <x:is>
          <x:t xml:space="preserve"/>
        </x:is>
      </x:c>
      <x:c r="AT95" t="inlineStr">
        <x:is>
          <x:t xml:space="preserve">SUCCESS</x:t>
        </x:is>
      </x:c>
      <x:c r="AU95" t="n">
        <x:f>IF((COUNT('Quantification_Results'!AO95)=1),IFERROR(ROUND((SUM(('Quantification_Results'!AO95*'Quantification_Config'!$R$15))/SUM('Quantification_Config'!$R$15)),'Quantification_Config'!$U$2),""),"")</x:f>
        <x:v>50</x:v>
      </x:c>
      <x:c r="AV95" t="n">
        <x:f>IF((COUNT('Quantification_Results'!AU95)=1),IFERROR(ROUND((SUM(('Quantification_Results'!AU95*'Quantification_Config'!$R$14))/SUM('Quantification_Config'!$R$14)),'Quantification_Config'!$U$2),""),"")</x:f>
        <x:v>50</x:v>
      </x:c>
      <x:c r="AW95" t="n">
        <x:v>0</x:v>
      </x:c>
      <x:c r="AX95"/>
      <x:c r="AY95"/>
      <x:c r="AZ95">
        <x:f>IF(('Quantification_Results'!AW95&lt;&gt;1),"",IF(('Quantification_Results'!AY95=""),IF(ISNUMBER('Quantification_Results'!AX95),IF(('Quantification_Results'!AX95&lt;'Quantification_Config'!$S$19),"",IF(('Quantification_Results'!AX95&gt;'Quantification_Config'!$T$19),"",'Quantification_Results'!AX95)),""),IF(ISNUMBER('Quantification_Results'!AY95),IF(('Quantification_Results'!AY95&lt;'Quantification_Config'!$S$19),"",IF(('Quantification_Results'!AY95&gt;'Quantification_Config'!$T$19),"",'Quantification_Results'!AY95)),"")))</x:f>
      </x:c>
      <x:c r="BA95">
        <x:f>IF(ISNUMBER('Quantification_Results'!AZ95),IFERROR(ROUND(((('Quantification_Results'!AZ95-'Quantification_Config'!$S$19)/('Quantification_Config'!$T$19-'Quantification_Config'!$S$19))*100),'Quantification_Config'!$U$2),""),"")</x:f>
      </x:c>
      <x:c r="BB95" t="inlineStr">
        <x:is>
          <x:t xml:space="preserve"/>
        </x:is>
      </x:c>
      <x:c r="BC95" t="inlineStr">
        <x:is>
          <x:t xml:space="preserve"/>
        </x:is>
      </x:c>
      <x:c r="BD95" t="inlineStr">
        <x:is>
          <x:t xml:space="preserve"/>
        </x:is>
      </x:c>
      <x:c r="BE95" t="inlineStr">
        <x:is>
          <x:t xml:space="preserve"/>
        </x:is>
      </x:c>
      <x:c r="BF95" t="inlineStr">
        <x:is>
          <x:t xml:space="preserve">EMPTY</x:t>
        </x:is>
      </x:c>
      <x:c r="BG95">
        <x:f>IF((COUNT('Quantification_Results'!BA95)=1),IFERROR(ROUND((SUM(('Quantification_Results'!BA95*'Quantification_Config'!$R$19))/SUM('Quantification_Config'!$R$19)),'Quantification_Config'!$U$2),""),"")</x:f>
      </x:c>
      <x:c r="BH95">
        <x:f>IF((COUNT('Quantification_Results'!BG95)=1),IFERROR(ROUND((SUM(('Quantification_Results'!BG95*'Quantification_Config'!$R$18))/SUM('Quantification_Config'!$R$18)),'Quantification_Config'!$U$2),""),"")</x:f>
      </x:c>
      <x:c r="BI95">
        <x:f>IF((COUNT('Quantification_Results'!L95,'Quantification_Results'!X95,'Quantification_Results'!AJ95,'Quantification_Results'!AV95,'Quantification_Results'!BH95)=5),IFERROR(ROUND((SUM(('Quantification_Results'!L95*'Quantification_Config'!$R$4),('Quantification_Results'!X95*'Quantification_Config'!$R$7),('Quantification_Results'!AJ95*'Quantification_Config'!$R$10),('Quantification_Results'!AV95*'Quantification_Config'!$R$13),('Quantification_Results'!BH95*'Quantification_Config'!$R$16))/SUM('Quantification_Config'!$R$4,'Quantification_Config'!$R$7,'Quantification_Config'!$R$10,'Quantification_Config'!$R$13,'Quantification_Config'!$R$16)),'Quantification_Config'!$U$2),""),"")</x:f>
      </x:c>
    </x:row>
    <x:row r="96">
      <x:c r="A96" t="n">
        <x:v>1</x:v>
      </x:c>
      <x:c r="B96" t="n">
        <x:v>5</x:v>
      </x:c>
      <x:c r="C96"/>
      <x:c r="D96" t="n">
        <x:f>IF(('Quantification_Results'!A96&lt;&gt;1),"",IF(('Quantification_Results'!C96=""),IF(ISNUMBER('Quantification_Results'!B96),IF(('Quantification_Results'!B96&lt;'Quantification_Config'!$S$6),"",IF(('Quantification_Results'!B96&gt;'Quantification_Config'!$T$6),"",'Quantification_Results'!B96)),""),IF(ISNUMBER('Quantification_Results'!C96),IF(('Quantification_Results'!C96&lt;'Quantification_Config'!$S$6),"",IF(('Quantification_Results'!C96&gt;'Quantification_Config'!$T$6),"",'Quantification_Results'!C96)),"")))</x:f>
        <x:v>5</x:v>
      </x:c>
      <x:c r="E96" t="n">
        <x:f>IF(ISNUMBER('Quantification_Results'!D96),IFERROR(ROUND(((('Quantification_Results'!D96-'Quantification_Config'!$S$6)/('Quantification_Config'!$T$6-'Quantification_Config'!$S$6))*100),'Quantification_Config'!$U$2),""),"")</x:f>
        <x:v>50</x:v>
      </x:c>
      <x:c r="F96" t="inlineStr">
        <x:is>
          <x:t xml:space="preserve">SYSTEM-TEST-ONLY-NO-NETWORK-NOT-AN-EDUCATIONAL-EVALUATION</x:t>
        </x:is>
      </x:c>
      <x:c r="G96" t="inlineStr">
        <x:is>
          <x:t xml:space="preserve"/>
        </x:is>
      </x:c>
      <x:c r="H96" t="inlineStr">
        <x:is>
          <x:t xml:space="preserve">NONE</x:t>
        </x:is>
      </x:c>
      <x:c r="I96" t="inlineStr">
        <x:is>
          <x:t xml:space="preserve"/>
        </x:is>
      </x:c>
      <x:c r="J96" t="inlineStr">
        <x:is>
          <x:t xml:space="preserve">SUCCESS</x:t>
        </x:is>
      </x:c>
      <x:c r="K96" t="n">
        <x:f>IF((COUNT('Quantification_Results'!E96)=1),IFERROR(ROUND((SUM(('Quantification_Results'!E96*'Quantification_Config'!$R$6))/SUM('Quantification_Config'!$R$6)),'Quantification_Config'!$U$2),""),"")</x:f>
        <x:v>50</x:v>
      </x:c>
      <x:c r="L96" t="n">
        <x:f>IF((COUNT('Quantification_Results'!K96)=1),IFERROR(ROUND((SUM(('Quantification_Results'!K96*'Quantification_Config'!$R$5))/SUM('Quantification_Config'!$R$5)),'Quantification_Config'!$U$2),""),"")</x:f>
        <x:v>50</x:v>
      </x:c>
      <x:c r="M96" t="n">
        <x:v>1</x:v>
      </x:c>
      <x:c r="N96" t="n">
        <x:v>5</x:v>
      </x:c>
      <x:c r="O96"/>
      <x:c r="P96" t="n">
        <x:f>IF(('Quantification_Results'!M96&lt;&gt;1),"",IF(('Quantification_Results'!O96=""),IF(ISNUMBER('Quantification_Results'!N96),IF(('Quantification_Results'!N96&lt;'Quantification_Config'!$S$9),"",IF(('Quantification_Results'!N96&gt;'Quantification_Config'!$T$9),"",'Quantification_Results'!N96)),""),IF(ISNUMBER('Quantification_Results'!O96),IF(('Quantification_Results'!O96&lt;'Quantification_Config'!$S$9),"",IF(('Quantification_Results'!O96&gt;'Quantification_Config'!$T$9),"",'Quantification_Results'!O96)),"")))</x:f>
        <x:v>5</x:v>
      </x:c>
      <x:c r="Q96" t="n">
        <x:f>IF(ISNUMBER('Quantification_Results'!P96),IFERROR(ROUND(((('Quantification_Results'!P96-'Quantification_Config'!$S$9)/('Quantification_Config'!$T$9-'Quantification_Config'!$S$9))*100),'Quantification_Config'!$U$2),""),"")</x:f>
        <x:v>50</x:v>
      </x:c>
      <x:c r="R96" t="inlineStr">
        <x:is>
          <x:t xml:space="preserve">SYSTEM-TEST-ONLY-NO-NETWORK-NOT-AN-EDUCATIONAL-EVALUATION</x:t>
        </x:is>
      </x:c>
      <x:c r="S96" t="inlineStr">
        <x:is>
          <x:t xml:space="preserve"/>
        </x:is>
      </x:c>
      <x:c r="T96" t="inlineStr">
        <x:is>
          <x:t xml:space="preserve">NONE</x:t>
        </x:is>
      </x:c>
      <x:c r="U96" t="inlineStr">
        <x:is>
          <x:t xml:space="preserve"/>
        </x:is>
      </x:c>
      <x:c r="V96" t="inlineStr">
        <x:is>
          <x:t xml:space="preserve">SUCCESS</x:t>
        </x:is>
      </x:c>
      <x:c r="W96" t="n">
        <x:f>IF((COUNT('Quantification_Results'!Q96)=1),IFERROR(ROUND((SUM(('Quantification_Results'!Q96*'Quantification_Config'!$R$9))/SUM('Quantification_Config'!$R$9)),'Quantification_Config'!$U$2),""),"")</x:f>
        <x:v>50</x:v>
      </x:c>
      <x:c r="X96" t="n">
        <x:f>IF((COUNT('Quantification_Results'!W96)=1),IFERROR(ROUND((SUM(('Quantification_Results'!W96*'Quantification_Config'!$R$8))/SUM('Quantification_Config'!$R$8)),'Quantification_Config'!$U$2),""),"")</x:f>
        <x:v>50</x:v>
      </x:c>
      <x:c r="Y96" t="n">
        <x:v>0</x:v>
      </x:c>
      <x:c r="Z96"/>
      <x:c r="AA96"/>
      <x:c r="AB96">
        <x:f>IF(('Quantification_Results'!Y96&lt;&gt;1),"",IF(('Quantification_Results'!AA96=""),IF(ISNUMBER('Quantification_Results'!Z96),IF(('Quantification_Results'!Z96&lt;'Quantification_Config'!$S$12),"",IF(('Quantification_Results'!Z96&gt;'Quantification_Config'!$T$12),"",'Quantification_Results'!Z96)),""),IF(ISNUMBER('Quantification_Results'!AA96),IF(('Quantification_Results'!AA96&lt;'Quantification_Config'!$S$12),"",IF(('Quantification_Results'!AA96&gt;'Quantification_Config'!$T$12),"",'Quantification_Results'!AA96)),"")))</x:f>
      </x:c>
      <x:c r="AC96">
        <x:f>IF(ISNUMBER('Quantification_Results'!AB96),IFERROR(ROUND(((('Quantification_Results'!AB96-'Quantification_Config'!$S$12)/('Quantification_Config'!$T$12-'Quantification_Config'!$S$12))*100),'Quantification_Config'!$U$2),""),"")</x:f>
      </x:c>
      <x:c r="AD96" t="inlineStr">
        <x:is>
          <x:t xml:space="preserve"/>
        </x:is>
      </x:c>
      <x:c r="AE96" t="inlineStr">
        <x:is>
          <x:t xml:space="preserve"/>
        </x:is>
      </x:c>
      <x:c r="AF96" t="inlineStr">
        <x:is>
          <x:t xml:space="preserve"/>
        </x:is>
      </x:c>
      <x:c r="AG96" t="inlineStr">
        <x:is>
          <x:t xml:space="preserve"/>
        </x:is>
      </x:c>
      <x:c r="AH96" t="inlineStr">
        <x:is>
          <x:t xml:space="preserve">EMPTY</x:t>
        </x:is>
      </x:c>
      <x:c r="AI96">
        <x:f>IF((COUNT('Quantification_Results'!AC96)=1),IFERROR(ROUND((SUM(('Quantification_Results'!AC96*'Quantification_Config'!$R$12))/SUM('Quantification_Config'!$R$12)),'Quantification_Config'!$U$2),""),"")</x:f>
      </x:c>
      <x:c r="AJ96">
        <x:f>IF((COUNT('Quantification_Results'!AI96)=1),IFERROR(ROUND((SUM(('Quantification_Results'!AI96*'Quantification_Config'!$R$11))/SUM('Quantification_Config'!$R$11)),'Quantification_Config'!$U$2),""),"")</x:f>
      </x:c>
      <x:c r="AK96" t="n">
        <x:v>1</x:v>
      </x:c>
      <x:c r="AL96" t="n">
        <x:v>5</x:v>
      </x:c>
      <x:c r="AM96"/>
      <x:c r="AN96" t="n">
        <x:f>IF(('Quantification_Results'!AK96&lt;&gt;1),"",IF(('Quantification_Results'!AM96=""),IF(ISNUMBER('Quantification_Results'!AL96),IF(('Quantification_Results'!AL96&lt;'Quantification_Config'!$S$15),"",IF(('Quantification_Results'!AL96&gt;'Quantification_Config'!$T$15),"",'Quantification_Results'!AL96)),""),IF(ISNUMBER('Quantification_Results'!AM96),IF(('Quantification_Results'!AM96&lt;'Quantification_Config'!$S$15),"",IF(('Quantification_Results'!AM96&gt;'Quantification_Config'!$T$15),"",'Quantification_Results'!AM96)),"")))</x:f>
        <x:v>5</x:v>
      </x:c>
      <x:c r="AO96" t="n">
        <x:f>IF(ISNUMBER('Quantification_Results'!AN96),IFERROR(ROUND(((('Quantification_Results'!AN96-'Quantification_Config'!$S$15)/('Quantification_Config'!$T$15-'Quantification_Config'!$S$15))*100),'Quantification_Config'!$U$2),""),"")</x:f>
        <x:v>50</x:v>
      </x:c>
      <x:c r="AP96" t="inlineStr">
        <x:is>
          <x:t xml:space="preserve">SYSTEM-TEST-ONLY-NO-NETWORK-NOT-AN-EDUCATIONAL-EVALUATION</x:t>
        </x:is>
      </x:c>
      <x:c r="AQ96" t="inlineStr">
        <x:is>
          <x:t xml:space="preserve"/>
        </x:is>
      </x:c>
      <x:c r="AR96" t="inlineStr">
        <x:is>
          <x:t xml:space="preserve">NONE</x:t>
        </x:is>
      </x:c>
      <x:c r="AS96" t="inlineStr">
        <x:is>
          <x:t xml:space="preserve"/>
        </x:is>
      </x:c>
      <x:c r="AT96" t="inlineStr">
        <x:is>
          <x:t xml:space="preserve">SUCCESS</x:t>
        </x:is>
      </x:c>
      <x:c r="AU96" t="n">
        <x:f>IF((COUNT('Quantification_Results'!AO96)=1),IFERROR(ROUND((SUM(('Quantification_Results'!AO96*'Quantification_Config'!$R$15))/SUM('Quantification_Config'!$R$15)),'Quantification_Config'!$U$2),""),"")</x:f>
        <x:v>50</x:v>
      </x:c>
      <x:c r="AV96" t="n">
        <x:f>IF((COUNT('Quantification_Results'!AU96)=1),IFERROR(ROUND((SUM(('Quantification_Results'!AU96*'Quantification_Config'!$R$14))/SUM('Quantification_Config'!$R$14)),'Quantification_Config'!$U$2),""),"")</x:f>
        <x:v>50</x:v>
      </x:c>
      <x:c r="AW96" t="n">
        <x:v>1</x:v>
      </x:c>
      <x:c r="AX96" t="n">
        <x:v>5</x:v>
      </x:c>
      <x:c r="AY96"/>
      <x:c r="AZ96" t="n">
        <x:f>IF(('Quantification_Results'!AW96&lt;&gt;1),"",IF(('Quantification_Results'!AY96=""),IF(ISNUMBER('Quantification_Results'!AX96),IF(('Quantification_Results'!AX96&lt;'Quantification_Config'!$S$19),"",IF(('Quantification_Results'!AX96&gt;'Quantification_Config'!$T$19),"",'Quantification_Results'!AX96)),""),IF(ISNUMBER('Quantification_Results'!AY96),IF(('Quantification_Results'!AY96&lt;'Quantification_Config'!$S$19),"",IF(('Quantification_Results'!AY96&gt;'Quantification_Config'!$T$19),"",'Quantification_Results'!AY96)),"")))</x:f>
        <x:v>5</x:v>
      </x:c>
      <x:c r="BA96" t="n">
        <x:f>IF(ISNUMBER('Quantification_Results'!AZ96),IFERROR(ROUND(((('Quantification_Results'!AZ96-'Quantification_Config'!$S$19)/('Quantification_Config'!$T$19-'Quantification_Config'!$S$19))*100),'Quantification_Config'!$U$2),""),"")</x:f>
        <x:v>50</x:v>
      </x:c>
      <x:c r="BB96" t="inlineStr">
        <x:is>
          <x:t xml:space="preserve">SYSTEM-TEST-ONLY-NO-NETWORK-NOT-AN-EDUCATIONAL-EVALUATION</x:t>
        </x:is>
      </x:c>
      <x:c r="BC96" t="inlineStr">
        <x:is>
          <x:t xml:space="preserve"/>
        </x:is>
      </x:c>
      <x:c r="BD96" t="inlineStr">
        <x:is>
          <x:t xml:space="preserve">NONE</x:t>
        </x:is>
      </x:c>
      <x:c r="BE96" t="inlineStr">
        <x:is>
          <x:t xml:space="preserve"/>
        </x:is>
      </x:c>
      <x:c r="BF96" t="inlineStr">
        <x:is>
          <x:t xml:space="preserve">SUCCESS</x:t>
        </x:is>
      </x:c>
      <x:c r="BG96" t="n">
        <x:f>IF((COUNT('Quantification_Results'!BA96)=1),IFERROR(ROUND((SUM(('Quantification_Results'!BA96*'Quantification_Config'!$R$19))/SUM('Quantification_Config'!$R$19)),'Quantification_Config'!$U$2),""),"")</x:f>
        <x:v>50</x:v>
      </x:c>
      <x:c r="BH96" t="n">
        <x:f>IF((COUNT('Quantification_Results'!BG96)=1),IFERROR(ROUND((SUM(('Quantification_Results'!BG96*'Quantification_Config'!$R$18))/SUM('Quantification_Config'!$R$18)),'Quantification_Config'!$U$2),""),"")</x:f>
        <x:v>50</x:v>
      </x:c>
      <x:c r="BI96">
        <x:f>IF((COUNT('Quantification_Results'!L96,'Quantification_Results'!X96,'Quantification_Results'!AJ96,'Quantification_Results'!AV96,'Quantification_Results'!BH96)=5),IFERROR(ROUND((SUM(('Quantification_Results'!L96*'Quantification_Config'!$R$4),('Quantification_Results'!X96*'Quantification_Config'!$R$7),('Quantification_Results'!AJ96*'Quantification_Config'!$R$10),('Quantification_Results'!AV96*'Quantification_Config'!$R$13),('Quantification_Results'!BH96*'Quantification_Config'!$R$16))/SUM('Quantification_Config'!$R$4,'Quantification_Config'!$R$7,'Quantification_Config'!$R$10,'Quantification_Config'!$R$13,'Quantification_Config'!$R$16)),'Quantification_Config'!$U$2),""),"")</x:f>
      </x:c>
    </x:row>
    <x:row r="97">
      <x:c r="A97" t="n">
        <x:v>1</x:v>
      </x:c>
      <x:c r="B97" t="n">
        <x:v>5</x:v>
      </x:c>
      <x:c r="C97"/>
      <x:c r="D97" t="n">
        <x:f>IF(('Quantification_Results'!A97&lt;&gt;1),"",IF(('Quantification_Results'!C97=""),IF(ISNUMBER('Quantification_Results'!B97),IF(('Quantification_Results'!B97&lt;'Quantification_Config'!$S$6),"",IF(('Quantification_Results'!B97&gt;'Quantification_Config'!$T$6),"",'Quantification_Results'!B97)),""),IF(ISNUMBER('Quantification_Results'!C97),IF(('Quantification_Results'!C97&lt;'Quantification_Config'!$S$6),"",IF(('Quantification_Results'!C97&gt;'Quantification_Config'!$T$6),"",'Quantification_Results'!C97)),"")))</x:f>
        <x:v>5</x:v>
      </x:c>
      <x:c r="E97" t="n">
        <x:f>IF(ISNUMBER('Quantification_Results'!D97),IFERROR(ROUND(((('Quantification_Results'!D97-'Quantification_Config'!$S$6)/('Quantification_Config'!$T$6-'Quantification_Config'!$S$6))*100),'Quantification_Config'!$U$2),""),"")</x:f>
        <x:v>50</x:v>
      </x:c>
      <x:c r="F97" t="inlineStr">
        <x:is>
          <x:t xml:space="preserve">SYSTEM-TEST-ONLY-NO-NETWORK-NOT-AN-EDUCATIONAL-EVALUATION</x:t>
        </x:is>
      </x:c>
      <x:c r="G97" t="inlineStr">
        <x:is>
          <x:t xml:space="preserve"/>
        </x:is>
      </x:c>
      <x:c r="H97" t="inlineStr">
        <x:is>
          <x:t xml:space="preserve">NONE</x:t>
        </x:is>
      </x:c>
      <x:c r="I97" t="inlineStr">
        <x:is>
          <x:t xml:space="preserve"/>
        </x:is>
      </x:c>
      <x:c r="J97" t="inlineStr">
        <x:is>
          <x:t xml:space="preserve">SUCCESS</x:t>
        </x:is>
      </x:c>
      <x:c r="K97" t="n">
        <x:f>IF((COUNT('Quantification_Results'!E97)=1),IFERROR(ROUND((SUM(('Quantification_Results'!E97*'Quantification_Config'!$R$6))/SUM('Quantification_Config'!$R$6)),'Quantification_Config'!$U$2),""),"")</x:f>
        <x:v>50</x:v>
      </x:c>
      <x:c r="L97" t="n">
        <x:f>IF((COUNT('Quantification_Results'!K97)=1),IFERROR(ROUND((SUM(('Quantification_Results'!K97*'Quantification_Config'!$R$5))/SUM('Quantification_Config'!$R$5)),'Quantification_Config'!$U$2),""),"")</x:f>
        <x:v>50</x:v>
      </x:c>
      <x:c r="M97" t="n">
        <x:v>1</x:v>
      </x:c>
      <x:c r="N97" t="n">
        <x:v>5</x:v>
      </x:c>
      <x:c r="O97"/>
      <x:c r="P97" t="n">
        <x:f>IF(('Quantification_Results'!M97&lt;&gt;1),"",IF(('Quantification_Results'!O97=""),IF(ISNUMBER('Quantification_Results'!N97),IF(('Quantification_Results'!N97&lt;'Quantification_Config'!$S$9),"",IF(('Quantification_Results'!N97&gt;'Quantification_Config'!$T$9),"",'Quantification_Results'!N97)),""),IF(ISNUMBER('Quantification_Results'!O97),IF(('Quantification_Results'!O97&lt;'Quantification_Config'!$S$9),"",IF(('Quantification_Results'!O97&gt;'Quantification_Config'!$T$9),"",'Quantification_Results'!O97)),"")))</x:f>
        <x:v>5</x:v>
      </x:c>
      <x:c r="Q97" t="n">
        <x:f>IF(ISNUMBER('Quantification_Results'!P97),IFERROR(ROUND(((('Quantification_Results'!P97-'Quantification_Config'!$S$9)/('Quantification_Config'!$T$9-'Quantification_Config'!$S$9))*100),'Quantification_Config'!$U$2),""),"")</x:f>
        <x:v>50</x:v>
      </x:c>
      <x:c r="R97" t="inlineStr">
        <x:is>
          <x:t xml:space="preserve">SYSTEM-TEST-ONLY-NO-NETWORK-NOT-AN-EDUCATIONAL-EVALUATION</x:t>
        </x:is>
      </x:c>
      <x:c r="S97" t="inlineStr">
        <x:is>
          <x:t xml:space="preserve"/>
        </x:is>
      </x:c>
      <x:c r="T97" t="inlineStr">
        <x:is>
          <x:t xml:space="preserve">NONE</x:t>
        </x:is>
      </x:c>
      <x:c r="U97" t="inlineStr">
        <x:is>
          <x:t xml:space="preserve"/>
        </x:is>
      </x:c>
      <x:c r="V97" t="inlineStr">
        <x:is>
          <x:t xml:space="preserve">SUCCESS</x:t>
        </x:is>
      </x:c>
      <x:c r="W97" t="n">
        <x:f>IF((COUNT('Quantification_Results'!Q97)=1),IFERROR(ROUND((SUM(('Quantification_Results'!Q97*'Quantification_Config'!$R$9))/SUM('Quantification_Config'!$R$9)),'Quantification_Config'!$U$2),""),"")</x:f>
        <x:v>50</x:v>
      </x:c>
      <x:c r="X97" t="n">
        <x:f>IF((COUNT('Quantification_Results'!W97)=1),IFERROR(ROUND((SUM(('Quantification_Results'!W97*'Quantification_Config'!$R$8))/SUM('Quantification_Config'!$R$8)),'Quantification_Config'!$U$2),""),"")</x:f>
        <x:v>50</x:v>
      </x:c>
      <x:c r="Y97" t="n">
        <x:v>0</x:v>
      </x:c>
      <x:c r="Z97"/>
      <x:c r="AA97"/>
      <x:c r="AB97">
        <x:f>IF(('Quantification_Results'!Y97&lt;&gt;1),"",IF(('Quantification_Results'!AA97=""),IF(ISNUMBER('Quantification_Results'!Z97),IF(('Quantification_Results'!Z97&lt;'Quantification_Config'!$S$12),"",IF(('Quantification_Results'!Z97&gt;'Quantification_Config'!$T$12),"",'Quantification_Results'!Z97)),""),IF(ISNUMBER('Quantification_Results'!AA97),IF(('Quantification_Results'!AA97&lt;'Quantification_Config'!$S$12),"",IF(('Quantification_Results'!AA97&gt;'Quantification_Config'!$T$12),"",'Quantification_Results'!AA97)),"")))</x:f>
      </x:c>
      <x:c r="AC97">
        <x:f>IF(ISNUMBER('Quantification_Results'!AB97),IFERROR(ROUND(((('Quantification_Results'!AB97-'Quantification_Config'!$S$12)/('Quantification_Config'!$T$12-'Quantification_Config'!$S$12))*100),'Quantification_Config'!$U$2),""),"")</x:f>
      </x:c>
      <x:c r="AD97" t="inlineStr">
        <x:is>
          <x:t xml:space="preserve"/>
        </x:is>
      </x:c>
      <x:c r="AE97" t="inlineStr">
        <x:is>
          <x:t xml:space="preserve"/>
        </x:is>
      </x:c>
      <x:c r="AF97" t="inlineStr">
        <x:is>
          <x:t xml:space="preserve"/>
        </x:is>
      </x:c>
      <x:c r="AG97" t="inlineStr">
        <x:is>
          <x:t xml:space="preserve"/>
        </x:is>
      </x:c>
      <x:c r="AH97" t="inlineStr">
        <x:is>
          <x:t xml:space="preserve">EMPTY</x:t>
        </x:is>
      </x:c>
      <x:c r="AI97">
        <x:f>IF((COUNT('Quantification_Results'!AC97)=1),IFERROR(ROUND((SUM(('Quantification_Results'!AC97*'Quantification_Config'!$R$12))/SUM('Quantification_Config'!$R$12)),'Quantification_Config'!$U$2),""),"")</x:f>
      </x:c>
      <x:c r="AJ97">
        <x:f>IF((COUNT('Quantification_Results'!AI97)=1),IFERROR(ROUND((SUM(('Quantification_Results'!AI97*'Quantification_Config'!$R$11))/SUM('Quantification_Config'!$R$11)),'Quantification_Config'!$U$2),""),"")</x:f>
      </x:c>
      <x:c r="AK97" t="n">
        <x:v>1</x:v>
      </x:c>
      <x:c r="AL97" t="n">
        <x:v>5</x:v>
      </x:c>
      <x:c r="AM97"/>
      <x:c r="AN97" t="n">
        <x:f>IF(('Quantification_Results'!AK97&lt;&gt;1),"",IF(('Quantification_Results'!AM97=""),IF(ISNUMBER('Quantification_Results'!AL97),IF(('Quantification_Results'!AL97&lt;'Quantification_Config'!$S$15),"",IF(('Quantification_Results'!AL97&gt;'Quantification_Config'!$T$15),"",'Quantification_Results'!AL97)),""),IF(ISNUMBER('Quantification_Results'!AM97),IF(('Quantification_Results'!AM97&lt;'Quantification_Config'!$S$15),"",IF(('Quantification_Results'!AM97&gt;'Quantification_Config'!$T$15),"",'Quantification_Results'!AM97)),"")))</x:f>
        <x:v>5</x:v>
      </x:c>
      <x:c r="AO97" t="n">
        <x:f>IF(ISNUMBER('Quantification_Results'!AN97),IFERROR(ROUND(((('Quantification_Results'!AN97-'Quantification_Config'!$S$15)/('Quantification_Config'!$T$15-'Quantification_Config'!$S$15))*100),'Quantification_Config'!$U$2),""),"")</x:f>
        <x:v>50</x:v>
      </x:c>
      <x:c r="AP97" t="inlineStr">
        <x:is>
          <x:t xml:space="preserve">SYSTEM-TEST-ONLY-NO-NETWORK-NOT-AN-EDUCATIONAL-EVALUATION</x:t>
        </x:is>
      </x:c>
      <x:c r="AQ97" t="inlineStr">
        <x:is>
          <x:t xml:space="preserve"/>
        </x:is>
      </x:c>
      <x:c r="AR97" t="inlineStr">
        <x:is>
          <x:t xml:space="preserve">NONE</x:t>
        </x:is>
      </x:c>
      <x:c r="AS97" t="inlineStr">
        <x:is>
          <x:t xml:space="preserve"/>
        </x:is>
      </x:c>
      <x:c r="AT97" t="inlineStr">
        <x:is>
          <x:t xml:space="preserve">SUCCESS</x:t>
        </x:is>
      </x:c>
      <x:c r="AU97" t="n">
        <x:f>IF((COUNT('Quantification_Results'!AO97)=1),IFERROR(ROUND((SUM(('Quantification_Results'!AO97*'Quantification_Config'!$R$15))/SUM('Quantification_Config'!$R$15)),'Quantification_Config'!$U$2),""),"")</x:f>
        <x:v>50</x:v>
      </x:c>
      <x:c r="AV97" t="n">
        <x:f>IF((COUNT('Quantification_Results'!AU97)=1),IFERROR(ROUND((SUM(('Quantification_Results'!AU97*'Quantification_Config'!$R$14))/SUM('Quantification_Config'!$R$14)),'Quantification_Config'!$U$2),""),"")</x:f>
        <x:v>50</x:v>
      </x:c>
      <x:c r="AW97" t="n">
        <x:v>1</x:v>
      </x:c>
      <x:c r="AX97" t="n">
        <x:v>5</x:v>
      </x:c>
      <x:c r="AY97"/>
      <x:c r="AZ97" t="n">
        <x:f>IF(('Quantification_Results'!AW97&lt;&gt;1),"",IF(('Quantification_Results'!AY97=""),IF(ISNUMBER('Quantification_Results'!AX97),IF(('Quantification_Results'!AX97&lt;'Quantification_Config'!$S$19),"",IF(('Quantification_Results'!AX97&gt;'Quantification_Config'!$T$19),"",'Quantification_Results'!AX97)),""),IF(ISNUMBER('Quantification_Results'!AY97),IF(('Quantification_Results'!AY97&lt;'Quantification_Config'!$S$19),"",IF(('Quantification_Results'!AY97&gt;'Quantification_Config'!$T$19),"",'Quantification_Results'!AY97)),"")))</x:f>
        <x:v>5</x:v>
      </x:c>
      <x:c r="BA97" t="n">
        <x:f>IF(ISNUMBER('Quantification_Results'!AZ97),IFERROR(ROUND(((('Quantification_Results'!AZ97-'Quantification_Config'!$S$19)/('Quantification_Config'!$T$19-'Quantification_Config'!$S$19))*100),'Quantification_Config'!$U$2),""),"")</x:f>
        <x:v>50</x:v>
      </x:c>
      <x:c r="BB97" t="inlineStr">
        <x:is>
          <x:t xml:space="preserve">SYSTEM-TEST-ONLY-NO-NETWORK-NOT-AN-EDUCATIONAL-EVALUATION</x:t>
        </x:is>
      </x:c>
      <x:c r="BC97" t="inlineStr">
        <x:is>
          <x:t xml:space="preserve"/>
        </x:is>
      </x:c>
      <x:c r="BD97" t="inlineStr">
        <x:is>
          <x:t xml:space="preserve">NONE</x:t>
        </x:is>
      </x:c>
      <x:c r="BE97" t="inlineStr">
        <x:is>
          <x:t xml:space="preserve"/>
        </x:is>
      </x:c>
      <x:c r="BF97" t="inlineStr">
        <x:is>
          <x:t xml:space="preserve">SUCCESS</x:t>
        </x:is>
      </x:c>
      <x:c r="BG97" t="n">
        <x:f>IF((COUNT('Quantification_Results'!BA97)=1),IFERROR(ROUND((SUM(('Quantification_Results'!BA97*'Quantification_Config'!$R$19))/SUM('Quantification_Config'!$R$19)),'Quantification_Config'!$U$2),""),"")</x:f>
        <x:v>50</x:v>
      </x:c>
      <x:c r="BH97" t="n">
        <x:f>IF((COUNT('Quantification_Results'!BG97)=1),IFERROR(ROUND((SUM(('Quantification_Results'!BG97*'Quantification_Config'!$R$18))/SUM('Quantification_Config'!$R$18)),'Quantification_Config'!$U$2),""),"")</x:f>
        <x:v>50</x:v>
      </x:c>
      <x:c r="BI97">
        <x:f>IF((COUNT('Quantification_Results'!L97,'Quantification_Results'!X97,'Quantification_Results'!AJ97,'Quantification_Results'!AV97,'Quantification_Results'!BH97)=5),IFERROR(ROUND((SUM(('Quantification_Results'!L97*'Quantification_Config'!$R$4),('Quantification_Results'!X97*'Quantification_Config'!$R$7),('Quantification_Results'!AJ97*'Quantification_Config'!$R$10),('Quantification_Results'!AV97*'Quantification_Config'!$R$13),('Quantification_Results'!BH97*'Quantification_Config'!$R$16))/SUM('Quantification_Config'!$R$4,'Quantification_Config'!$R$7,'Quantification_Config'!$R$10,'Quantification_Config'!$R$13,'Quantification_Config'!$R$16)),'Quantification_Config'!$U$2),""),"")</x:f>
      </x:c>
    </x:row>
    <x:row r="98">
      <x:c r="A98" t="n">
        <x:v>1</x:v>
      </x:c>
      <x:c r="B98" t="n">
        <x:v>5</x:v>
      </x:c>
      <x:c r="C98"/>
      <x:c r="D98" t="n">
        <x:f>IF(('Quantification_Results'!A98&lt;&gt;1),"",IF(('Quantification_Results'!C98=""),IF(ISNUMBER('Quantification_Results'!B98),IF(('Quantification_Results'!B98&lt;'Quantification_Config'!$S$6),"",IF(('Quantification_Results'!B98&gt;'Quantification_Config'!$T$6),"",'Quantification_Results'!B98)),""),IF(ISNUMBER('Quantification_Results'!C98),IF(('Quantification_Results'!C98&lt;'Quantification_Config'!$S$6),"",IF(('Quantification_Results'!C98&gt;'Quantification_Config'!$T$6),"",'Quantification_Results'!C98)),"")))</x:f>
        <x:v>5</x:v>
      </x:c>
      <x:c r="E98" t="n">
        <x:f>IF(ISNUMBER('Quantification_Results'!D98),IFERROR(ROUND(((('Quantification_Results'!D98-'Quantification_Config'!$S$6)/('Quantification_Config'!$T$6-'Quantification_Config'!$S$6))*100),'Quantification_Config'!$U$2),""),"")</x:f>
        <x:v>50</x:v>
      </x:c>
      <x:c r="F98" t="inlineStr">
        <x:is>
          <x:t xml:space="preserve">SYSTEM-TEST-ONLY-NO-NETWORK-NOT-AN-EDUCATIONAL-EVALUATION</x:t>
        </x:is>
      </x:c>
      <x:c r="G98" t="inlineStr">
        <x:is>
          <x:t xml:space="preserve"/>
        </x:is>
      </x:c>
      <x:c r="H98" t="inlineStr">
        <x:is>
          <x:t xml:space="preserve">NONE</x:t>
        </x:is>
      </x:c>
      <x:c r="I98" t="inlineStr">
        <x:is>
          <x:t xml:space="preserve"/>
        </x:is>
      </x:c>
      <x:c r="J98" t="inlineStr">
        <x:is>
          <x:t xml:space="preserve">SUCCESS</x:t>
        </x:is>
      </x:c>
      <x:c r="K98" t="n">
        <x:f>IF((COUNT('Quantification_Results'!E98)=1),IFERROR(ROUND((SUM(('Quantification_Results'!E98*'Quantification_Config'!$R$6))/SUM('Quantification_Config'!$R$6)),'Quantification_Config'!$U$2),""),"")</x:f>
        <x:v>50</x:v>
      </x:c>
      <x:c r="L98" t="n">
        <x:f>IF((COUNT('Quantification_Results'!K98)=1),IFERROR(ROUND((SUM(('Quantification_Results'!K98*'Quantification_Config'!$R$5))/SUM('Quantification_Config'!$R$5)),'Quantification_Config'!$U$2),""),"")</x:f>
        <x:v>50</x:v>
      </x:c>
      <x:c r="M98" t="n">
        <x:v>1</x:v>
      </x:c>
      <x:c r="N98" t="n">
        <x:v>5</x:v>
      </x:c>
      <x:c r="O98"/>
      <x:c r="P98" t="n">
        <x:f>IF(('Quantification_Results'!M98&lt;&gt;1),"",IF(('Quantification_Results'!O98=""),IF(ISNUMBER('Quantification_Results'!N98),IF(('Quantification_Results'!N98&lt;'Quantification_Config'!$S$9),"",IF(('Quantification_Results'!N98&gt;'Quantification_Config'!$T$9),"",'Quantification_Results'!N98)),""),IF(ISNUMBER('Quantification_Results'!O98),IF(('Quantification_Results'!O98&lt;'Quantification_Config'!$S$9),"",IF(('Quantification_Results'!O98&gt;'Quantification_Config'!$T$9),"",'Quantification_Results'!O98)),"")))</x:f>
        <x:v>5</x:v>
      </x:c>
      <x:c r="Q98" t="n">
        <x:f>IF(ISNUMBER('Quantification_Results'!P98),IFERROR(ROUND(((('Quantification_Results'!P98-'Quantification_Config'!$S$9)/('Quantification_Config'!$T$9-'Quantification_Config'!$S$9))*100),'Quantification_Config'!$U$2),""),"")</x:f>
        <x:v>50</x:v>
      </x:c>
      <x:c r="R98" t="inlineStr">
        <x:is>
          <x:t xml:space="preserve">SYSTEM-TEST-ONLY-NO-NETWORK-NOT-AN-EDUCATIONAL-EVALUATION</x:t>
        </x:is>
      </x:c>
      <x:c r="S98" t="inlineStr">
        <x:is>
          <x:t xml:space="preserve"/>
        </x:is>
      </x:c>
      <x:c r="T98" t="inlineStr">
        <x:is>
          <x:t xml:space="preserve">NONE</x:t>
        </x:is>
      </x:c>
      <x:c r="U98" t="inlineStr">
        <x:is>
          <x:t xml:space="preserve"/>
        </x:is>
      </x:c>
      <x:c r="V98" t="inlineStr">
        <x:is>
          <x:t xml:space="preserve">SUCCESS</x:t>
        </x:is>
      </x:c>
      <x:c r="W98" t="n">
        <x:f>IF((COUNT('Quantification_Results'!Q98)=1),IFERROR(ROUND((SUM(('Quantification_Results'!Q98*'Quantification_Config'!$R$9))/SUM('Quantification_Config'!$R$9)),'Quantification_Config'!$U$2),""),"")</x:f>
        <x:v>50</x:v>
      </x:c>
      <x:c r="X98" t="n">
        <x:f>IF((COUNT('Quantification_Results'!W98)=1),IFERROR(ROUND((SUM(('Quantification_Results'!W98*'Quantification_Config'!$R$8))/SUM('Quantification_Config'!$R$8)),'Quantification_Config'!$U$2),""),"")</x:f>
        <x:v>50</x:v>
      </x:c>
      <x:c r="Y98" t="n">
        <x:v>0</x:v>
      </x:c>
      <x:c r="Z98"/>
      <x:c r="AA98"/>
      <x:c r="AB98">
        <x:f>IF(('Quantification_Results'!Y98&lt;&gt;1),"",IF(('Quantification_Results'!AA98=""),IF(ISNUMBER('Quantification_Results'!Z98),IF(('Quantification_Results'!Z98&lt;'Quantification_Config'!$S$12),"",IF(('Quantification_Results'!Z98&gt;'Quantification_Config'!$T$12),"",'Quantification_Results'!Z98)),""),IF(ISNUMBER('Quantification_Results'!AA98),IF(('Quantification_Results'!AA98&lt;'Quantification_Config'!$S$12),"",IF(('Quantification_Results'!AA98&gt;'Quantification_Config'!$T$12),"",'Quantification_Results'!AA98)),"")))</x:f>
      </x:c>
      <x:c r="AC98">
        <x:f>IF(ISNUMBER('Quantification_Results'!AB98),IFERROR(ROUND(((('Quantification_Results'!AB98-'Quantification_Config'!$S$12)/('Quantification_Config'!$T$12-'Quantification_Config'!$S$12))*100),'Quantification_Config'!$U$2),""),"")</x:f>
      </x:c>
      <x:c r="AD98" t="inlineStr">
        <x:is>
          <x:t xml:space="preserve"/>
        </x:is>
      </x:c>
      <x:c r="AE98" t="inlineStr">
        <x:is>
          <x:t xml:space="preserve"/>
        </x:is>
      </x:c>
      <x:c r="AF98" t="inlineStr">
        <x:is>
          <x:t xml:space="preserve"/>
        </x:is>
      </x:c>
      <x:c r="AG98" t="inlineStr">
        <x:is>
          <x:t xml:space="preserve"/>
        </x:is>
      </x:c>
      <x:c r="AH98" t="inlineStr">
        <x:is>
          <x:t xml:space="preserve">EMPTY</x:t>
        </x:is>
      </x:c>
      <x:c r="AI98">
        <x:f>IF((COUNT('Quantification_Results'!AC98)=1),IFERROR(ROUND((SUM(('Quantification_Results'!AC98*'Quantification_Config'!$R$12))/SUM('Quantification_Config'!$R$12)),'Quantification_Config'!$U$2),""),"")</x:f>
      </x:c>
      <x:c r="AJ98">
        <x:f>IF((COUNT('Quantification_Results'!AI98)=1),IFERROR(ROUND((SUM(('Quantification_Results'!AI98*'Quantification_Config'!$R$11))/SUM('Quantification_Config'!$R$11)),'Quantification_Config'!$U$2),""),"")</x:f>
      </x:c>
      <x:c r="AK98" t="n">
        <x:v>1</x:v>
      </x:c>
      <x:c r="AL98" t="n">
        <x:v>5</x:v>
      </x:c>
      <x:c r="AM98"/>
      <x:c r="AN98" t="n">
        <x:f>IF(('Quantification_Results'!AK98&lt;&gt;1),"",IF(('Quantification_Results'!AM98=""),IF(ISNUMBER('Quantification_Results'!AL98),IF(('Quantification_Results'!AL98&lt;'Quantification_Config'!$S$15),"",IF(('Quantification_Results'!AL98&gt;'Quantification_Config'!$T$15),"",'Quantification_Results'!AL98)),""),IF(ISNUMBER('Quantification_Results'!AM98),IF(('Quantification_Results'!AM98&lt;'Quantification_Config'!$S$15),"",IF(('Quantification_Results'!AM98&gt;'Quantification_Config'!$T$15),"",'Quantification_Results'!AM98)),"")))</x:f>
        <x:v>5</x:v>
      </x:c>
      <x:c r="AO98" t="n">
        <x:f>IF(ISNUMBER('Quantification_Results'!AN98),IFERROR(ROUND(((('Quantification_Results'!AN98-'Quantification_Config'!$S$15)/('Quantification_Config'!$T$15-'Quantification_Config'!$S$15))*100),'Quantification_Config'!$U$2),""),"")</x:f>
        <x:v>50</x:v>
      </x:c>
      <x:c r="AP98" t="inlineStr">
        <x:is>
          <x:t xml:space="preserve">SYSTEM-TEST-ONLY-NO-NETWORK-NOT-AN-EDUCATIONAL-EVALUATION</x:t>
        </x:is>
      </x:c>
      <x:c r="AQ98" t="inlineStr">
        <x:is>
          <x:t xml:space="preserve"/>
        </x:is>
      </x:c>
      <x:c r="AR98" t="inlineStr">
        <x:is>
          <x:t xml:space="preserve">NONE</x:t>
        </x:is>
      </x:c>
      <x:c r="AS98" t="inlineStr">
        <x:is>
          <x:t xml:space="preserve"/>
        </x:is>
      </x:c>
      <x:c r="AT98" t="inlineStr">
        <x:is>
          <x:t xml:space="preserve">SUCCESS</x:t>
        </x:is>
      </x:c>
      <x:c r="AU98" t="n">
        <x:f>IF((COUNT('Quantification_Results'!AO98)=1),IFERROR(ROUND((SUM(('Quantification_Results'!AO98*'Quantification_Config'!$R$15))/SUM('Quantification_Config'!$R$15)),'Quantification_Config'!$U$2),""),"")</x:f>
        <x:v>50</x:v>
      </x:c>
      <x:c r="AV98" t="n">
        <x:f>IF((COUNT('Quantification_Results'!AU98)=1),IFERROR(ROUND((SUM(('Quantification_Results'!AU98*'Quantification_Config'!$R$14))/SUM('Quantification_Config'!$R$14)),'Quantification_Config'!$U$2),""),"")</x:f>
        <x:v>50</x:v>
      </x:c>
      <x:c r="AW98" t="n">
        <x:v>1</x:v>
      </x:c>
      <x:c r="AX98" t="n">
        <x:v>5</x:v>
      </x:c>
      <x:c r="AY98"/>
      <x:c r="AZ98" t="n">
        <x:f>IF(('Quantification_Results'!AW98&lt;&gt;1),"",IF(('Quantification_Results'!AY98=""),IF(ISNUMBER('Quantification_Results'!AX98),IF(('Quantification_Results'!AX98&lt;'Quantification_Config'!$S$19),"",IF(('Quantification_Results'!AX98&gt;'Quantification_Config'!$T$19),"",'Quantification_Results'!AX98)),""),IF(ISNUMBER('Quantification_Results'!AY98),IF(('Quantification_Results'!AY98&lt;'Quantification_Config'!$S$19),"",IF(('Quantification_Results'!AY98&gt;'Quantification_Config'!$T$19),"",'Quantification_Results'!AY98)),"")))</x:f>
        <x:v>5</x:v>
      </x:c>
      <x:c r="BA98" t="n">
        <x:f>IF(ISNUMBER('Quantification_Results'!AZ98),IFERROR(ROUND(((('Quantification_Results'!AZ98-'Quantification_Config'!$S$19)/('Quantification_Config'!$T$19-'Quantification_Config'!$S$19))*100),'Quantification_Config'!$U$2),""),"")</x:f>
        <x:v>50</x:v>
      </x:c>
      <x:c r="BB98" t="inlineStr">
        <x:is>
          <x:t xml:space="preserve">SYSTEM-TEST-ONLY-NO-NETWORK-NOT-AN-EDUCATIONAL-EVALUATION</x:t>
        </x:is>
      </x:c>
      <x:c r="BC98" t="inlineStr">
        <x:is>
          <x:t xml:space="preserve"/>
        </x:is>
      </x:c>
      <x:c r="BD98" t="inlineStr">
        <x:is>
          <x:t xml:space="preserve">NONE</x:t>
        </x:is>
      </x:c>
      <x:c r="BE98" t="inlineStr">
        <x:is>
          <x:t xml:space="preserve"/>
        </x:is>
      </x:c>
      <x:c r="BF98" t="inlineStr">
        <x:is>
          <x:t xml:space="preserve">SUCCESS</x:t>
        </x:is>
      </x:c>
      <x:c r="BG98" t="n">
        <x:f>IF((COUNT('Quantification_Results'!BA98)=1),IFERROR(ROUND((SUM(('Quantification_Results'!BA98*'Quantification_Config'!$R$19))/SUM('Quantification_Config'!$R$19)),'Quantification_Config'!$U$2),""),"")</x:f>
        <x:v>50</x:v>
      </x:c>
      <x:c r="BH98" t="n">
        <x:f>IF((COUNT('Quantification_Results'!BG98)=1),IFERROR(ROUND((SUM(('Quantification_Results'!BG98*'Quantification_Config'!$R$18))/SUM('Quantification_Config'!$R$18)),'Quantification_Config'!$U$2),""),"")</x:f>
        <x:v>50</x:v>
      </x:c>
      <x:c r="BI98">
        <x:f>IF((COUNT('Quantification_Results'!L98,'Quantification_Results'!X98,'Quantification_Results'!AJ98,'Quantification_Results'!AV98,'Quantification_Results'!BH98)=5),IFERROR(ROUND((SUM(('Quantification_Results'!L98*'Quantification_Config'!$R$4),('Quantification_Results'!X98*'Quantification_Config'!$R$7),('Quantification_Results'!AJ98*'Quantification_Config'!$R$10),('Quantification_Results'!AV98*'Quantification_Config'!$R$13),('Quantification_Results'!BH98*'Quantification_Config'!$R$16))/SUM('Quantification_Config'!$R$4,'Quantification_Config'!$R$7,'Quantification_Config'!$R$10,'Quantification_Config'!$R$13,'Quantification_Config'!$R$16)),'Quantification_Config'!$U$2),""),"")</x:f>
      </x:c>
    </x:row>
    <x:row r="99">
      <x:c r="A99" t="n">
        <x:v>1</x:v>
      </x:c>
      <x:c r="B99" t="n">
        <x:v>5</x:v>
      </x:c>
      <x:c r="C99"/>
      <x:c r="D99" t="n">
        <x:f>IF(('Quantification_Results'!A99&lt;&gt;1),"",IF(('Quantification_Results'!C99=""),IF(ISNUMBER('Quantification_Results'!B99),IF(('Quantification_Results'!B99&lt;'Quantification_Config'!$S$6),"",IF(('Quantification_Results'!B99&gt;'Quantification_Config'!$T$6),"",'Quantification_Results'!B99)),""),IF(ISNUMBER('Quantification_Results'!C99),IF(('Quantification_Results'!C99&lt;'Quantification_Config'!$S$6),"",IF(('Quantification_Results'!C99&gt;'Quantification_Config'!$T$6),"",'Quantification_Results'!C99)),"")))</x:f>
        <x:v>5</x:v>
      </x:c>
      <x:c r="E99" t="n">
        <x:f>IF(ISNUMBER('Quantification_Results'!D99),IFERROR(ROUND(((('Quantification_Results'!D99-'Quantification_Config'!$S$6)/('Quantification_Config'!$T$6-'Quantification_Config'!$S$6))*100),'Quantification_Config'!$U$2),""),"")</x:f>
        <x:v>50</x:v>
      </x:c>
      <x:c r="F99" t="inlineStr">
        <x:is>
          <x:t xml:space="preserve">SYSTEM-TEST-ONLY-NO-NETWORK-NOT-AN-EDUCATIONAL-EVALUATION</x:t>
        </x:is>
      </x:c>
      <x:c r="G99" t="inlineStr">
        <x:is>
          <x:t xml:space="preserve"/>
        </x:is>
      </x:c>
      <x:c r="H99" t="inlineStr">
        <x:is>
          <x:t xml:space="preserve">NONE</x:t>
        </x:is>
      </x:c>
      <x:c r="I99" t="inlineStr">
        <x:is>
          <x:t xml:space="preserve"/>
        </x:is>
      </x:c>
      <x:c r="J99" t="inlineStr">
        <x:is>
          <x:t xml:space="preserve">SUCCESS</x:t>
        </x:is>
      </x:c>
      <x:c r="K99" t="n">
        <x:f>IF((COUNT('Quantification_Results'!E99)=1),IFERROR(ROUND((SUM(('Quantification_Results'!E99*'Quantification_Config'!$R$6))/SUM('Quantification_Config'!$R$6)),'Quantification_Config'!$U$2),""),"")</x:f>
        <x:v>50</x:v>
      </x:c>
      <x:c r="L99" t="n">
        <x:f>IF((COUNT('Quantification_Results'!K99)=1),IFERROR(ROUND((SUM(('Quantification_Results'!K99*'Quantification_Config'!$R$5))/SUM('Quantification_Config'!$R$5)),'Quantification_Config'!$U$2),""),"")</x:f>
        <x:v>50</x:v>
      </x:c>
      <x:c r="M99" t="n">
        <x:v>1</x:v>
      </x:c>
      <x:c r="N99" t="n">
        <x:v>5</x:v>
      </x:c>
      <x:c r="O99"/>
      <x:c r="P99" t="n">
        <x:f>IF(('Quantification_Results'!M99&lt;&gt;1),"",IF(('Quantification_Results'!O99=""),IF(ISNUMBER('Quantification_Results'!N99),IF(('Quantification_Results'!N99&lt;'Quantification_Config'!$S$9),"",IF(('Quantification_Results'!N99&gt;'Quantification_Config'!$T$9),"",'Quantification_Results'!N99)),""),IF(ISNUMBER('Quantification_Results'!O99),IF(('Quantification_Results'!O99&lt;'Quantification_Config'!$S$9),"",IF(('Quantification_Results'!O99&gt;'Quantification_Config'!$T$9),"",'Quantification_Results'!O99)),"")))</x:f>
        <x:v>5</x:v>
      </x:c>
      <x:c r="Q99" t="n">
        <x:f>IF(ISNUMBER('Quantification_Results'!P99),IFERROR(ROUND(((('Quantification_Results'!P99-'Quantification_Config'!$S$9)/('Quantification_Config'!$T$9-'Quantification_Config'!$S$9))*100),'Quantification_Config'!$U$2),""),"")</x:f>
        <x:v>50</x:v>
      </x:c>
      <x:c r="R99" t="inlineStr">
        <x:is>
          <x:t xml:space="preserve">SYSTEM-TEST-ONLY-NO-NETWORK-NOT-AN-EDUCATIONAL-EVALUATION</x:t>
        </x:is>
      </x:c>
      <x:c r="S99" t="inlineStr">
        <x:is>
          <x:t xml:space="preserve"/>
        </x:is>
      </x:c>
      <x:c r="T99" t="inlineStr">
        <x:is>
          <x:t xml:space="preserve">NONE</x:t>
        </x:is>
      </x:c>
      <x:c r="U99" t="inlineStr">
        <x:is>
          <x:t xml:space="preserve"/>
        </x:is>
      </x:c>
      <x:c r="V99" t="inlineStr">
        <x:is>
          <x:t xml:space="preserve">SUCCESS</x:t>
        </x:is>
      </x:c>
      <x:c r="W99" t="n">
        <x:f>IF((COUNT('Quantification_Results'!Q99)=1),IFERROR(ROUND((SUM(('Quantification_Results'!Q99*'Quantification_Config'!$R$9))/SUM('Quantification_Config'!$R$9)),'Quantification_Config'!$U$2),""),"")</x:f>
        <x:v>50</x:v>
      </x:c>
      <x:c r="X99" t="n">
        <x:f>IF((COUNT('Quantification_Results'!W99)=1),IFERROR(ROUND((SUM(('Quantification_Results'!W99*'Quantification_Config'!$R$8))/SUM('Quantification_Config'!$R$8)),'Quantification_Config'!$U$2),""),"")</x:f>
        <x:v>50</x:v>
      </x:c>
      <x:c r="Y99" t="n">
        <x:v>1</x:v>
      </x:c>
      <x:c r="Z99" t="n">
        <x:v>5</x:v>
      </x:c>
      <x:c r="AA99"/>
      <x:c r="AB99" t="n">
        <x:f>IF(('Quantification_Results'!Y99&lt;&gt;1),"",IF(('Quantification_Results'!AA99=""),IF(ISNUMBER('Quantification_Results'!Z99),IF(('Quantification_Results'!Z99&lt;'Quantification_Config'!$S$12),"",IF(('Quantification_Results'!Z99&gt;'Quantification_Config'!$T$12),"",'Quantification_Results'!Z99)),""),IF(ISNUMBER('Quantification_Results'!AA99),IF(('Quantification_Results'!AA99&lt;'Quantification_Config'!$S$12),"",IF(('Quantification_Results'!AA99&gt;'Quantification_Config'!$T$12),"",'Quantification_Results'!AA99)),"")))</x:f>
        <x:v>5</x:v>
      </x:c>
      <x:c r="AC99" t="n">
        <x:f>IF(ISNUMBER('Quantification_Results'!AB99),IFERROR(ROUND(((('Quantification_Results'!AB99-'Quantification_Config'!$S$12)/('Quantification_Config'!$T$12-'Quantification_Config'!$S$12))*100),'Quantification_Config'!$U$2),""),"")</x:f>
        <x:v>50</x:v>
      </x:c>
      <x:c r="AD99" t="inlineStr">
        <x:is>
          <x:t xml:space="preserve">SYSTEM-TEST-ONLY-NO-NETWORK-NOT-AN-EDUCATIONAL-EVALUATION</x:t>
        </x:is>
      </x:c>
      <x:c r="AE99" t="inlineStr">
        <x:is>
          <x:t xml:space="preserve"/>
        </x:is>
      </x:c>
      <x:c r="AF99" t="inlineStr">
        <x:is>
          <x:t xml:space="preserve">NONE</x:t>
        </x:is>
      </x:c>
      <x:c r="AG99" t="inlineStr">
        <x:is>
          <x:t xml:space="preserve"/>
        </x:is>
      </x:c>
      <x:c r="AH99" t="inlineStr">
        <x:is>
          <x:t xml:space="preserve">SUCCESS</x:t>
        </x:is>
      </x:c>
      <x:c r="AI99" t="n">
        <x:f>IF((COUNT('Quantification_Results'!AC99)=1),IFERROR(ROUND((SUM(('Quantification_Results'!AC99*'Quantification_Config'!$R$12))/SUM('Quantification_Config'!$R$12)),'Quantification_Config'!$U$2),""),"")</x:f>
        <x:v>50</x:v>
      </x:c>
      <x:c r="AJ99" t="n">
        <x:f>IF((COUNT('Quantification_Results'!AI99)=1),IFERROR(ROUND((SUM(('Quantification_Results'!AI99*'Quantification_Config'!$R$11))/SUM('Quantification_Config'!$R$11)),'Quantification_Config'!$U$2),""),"")</x:f>
        <x:v>50</x:v>
      </x:c>
      <x:c r="AK99" t="n">
        <x:v>1</x:v>
      </x:c>
      <x:c r="AL99" t="n">
        <x:v>5</x:v>
      </x:c>
      <x:c r="AM99"/>
      <x:c r="AN99" t="n">
        <x:f>IF(('Quantification_Results'!AK99&lt;&gt;1),"",IF(('Quantification_Results'!AM99=""),IF(ISNUMBER('Quantification_Results'!AL99),IF(('Quantification_Results'!AL99&lt;'Quantification_Config'!$S$15),"",IF(('Quantification_Results'!AL99&gt;'Quantification_Config'!$T$15),"",'Quantification_Results'!AL99)),""),IF(ISNUMBER('Quantification_Results'!AM99),IF(('Quantification_Results'!AM99&lt;'Quantification_Config'!$S$15),"",IF(('Quantification_Results'!AM99&gt;'Quantification_Config'!$T$15),"",'Quantification_Results'!AM99)),"")))</x:f>
        <x:v>5</x:v>
      </x:c>
      <x:c r="AO99" t="n">
        <x:f>IF(ISNUMBER('Quantification_Results'!AN99),IFERROR(ROUND(((('Quantification_Results'!AN99-'Quantification_Config'!$S$15)/('Quantification_Config'!$T$15-'Quantification_Config'!$S$15))*100),'Quantification_Config'!$U$2),""),"")</x:f>
        <x:v>50</x:v>
      </x:c>
      <x:c r="AP99" t="inlineStr">
        <x:is>
          <x:t xml:space="preserve">SYSTEM-TEST-ONLY-NO-NETWORK-NOT-AN-EDUCATIONAL-EVALUATION</x:t>
        </x:is>
      </x:c>
      <x:c r="AQ99" t="inlineStr">
        <x:is>
          <x:t xml:space="preserve"/>
        </x:is>
      </x:c>
      <x:c r="AR99" t="inlineStr">
        <x:is>
          <x:t xml:space="preserve">NONE</x:t>
        </x:is>
      </x:c>
      <x:c r="AS99" t="inlineStr">
        <x:is>
          <x:t xml:space="preserve"/>
        </x:is>
      </x:c>
      <x:c r="AT99" t="inlineStr">
        <x:is>
          <x:t xml:space="preserve">SUCCESS</x:t>
        </x:is>
      </x:c>
      <x:c r="AU99" t="n">
        <x:f>IF((COUNT('Quantification_Results'!AO99)=1),IFERROR(ROUND((SUM(('Quantification_Results'!AO99*'Quantification_Config'!$R$15))/SUM('Quantification_Config'!$R$15)),'Quantification_Config'!$U$2),""),"")</x:f>
        <x:v>50</x:v>
      </x:c>
      <x:c r="AV99" t="n">
        <x:f>IF((COUNT('Quantification_Results'!AU99)=1),IFERROR(ROUND((SUM(('Quantification_Results'!AU99*'Quantification_Config'!$R$14))/SUM('Quantification_Config'!$R$14)),'Quantification_Config'!$U$2),""),"")</x:f>
        <x:v>50</x:v>
      </x:c>
      <x:c r="AW99" t="n">
        <x:v>1</x:v>
      </x:c>
      <x:c r="AX99" t="n">
        <x:v>5</x:v>
      </x:c>
      <x:c r="AY99"/>
      <x:c r="AZ99" t="n">
        <x:f>IF(('Quantification_Results'!AW99&lt;&gt;1),"",IF(('Quantification_Results'!AY99=""),IF(ISNUMBER('Quantification_Results'!AX99),IF(('Quantification_Results'!AX99&lt;'Quantification_Config'!$S$19),"",IF(('Quantification_Results'!AX99&gt;'Quantification_Config'!$T$19),"",'Quantification_Results'!AX99)),""),IF(ISNUMBER('Quantification_Results'!AY99),IF(('Quantification_Results'!AY99&lt;'Quantification_Config'!$S$19),"",IF(('Quantification_Results'!AY99&gt;'Quantification_Config'!$T$19),"",'Quantification_Results'!AY99)),"")))</x:f>
        <x:v>5</x:v>
      </x:c>
      <x:c r="BA99" t="n">
        <x:f>IF(ISNUMBER('Quantification_Results'!AZ99),IFERROR(ROUND(((('Quantification_Results'!AZ99-'Quantification_Config'!$S$19)/('Quantification_Config'!$T$19-'Quantification_Config'!$S$19))*100),'Quantification_Config'!$U$2),""),"")</x:f>
        <x:v>50</x:v>
      </x:c>
      <x:c r="BB99" t="inlineStr">
        <x:is>
          <x:t xml:space="preserve">SYSTEM-TEST-ONLY-NO-NETWORK-NOT-AN-EDUCATIONAL-EVALUATION</x:t>
        </x:is>
      </x:c>
      <x:c r="BC99" t="inlineStr">
        <x:is>
          <x:t xml:space="preserve"/>
        </x:is>
      </x:c>
      <x:c r="BD99" t="inlineStr">
        <x:is>
          <x:t xml:space="preserve">NONE</x:t>
        </x:is>
      </x:c>
      <x:c r="BE99" t="inlineStr">
        <x:is>
          <x:t xml:space="preserve"/>
        </x:is>
      </x:c>
      <x:c r="BF99" t="inlineStr">
        <x:is>
          <x:t xml:space="preserve">SUCCESS</x:t>
        </x:is>
      </x:c>
      <x:c r="BG99" t="n">
        <x:f>IF((COUNT('Quantification_Results'!BA99)=1),IFERROR(ROUND((SUM(('Quantification_Results'!BA99*'Quantification_Config'!$R$19))/SUM('Quantification_Config'!$R$19)),'Quantification_Config'!$U$2),""),"")</x:f>
        <x:v>50</x:v>
      </x:c>
      <x:c r="BH99" t="n">
        <x:f>IF((COUNT('Quantification_Results'!BG99)=1),IFERROR(ROUND((SUM(('Quantification_Results'!BG99*'Quantification_Config'!$R$18))/SUM('Quantification_Config'!$R$18)),'Quantification_Config'!$U$2),""),"")</x:f>
        <x:v>50</x:v>
      </x:c>
      <x:c r="BI99" t="n">
        <x:f>IF((COUNT('Quantification_Results'!L99,'Quantification_Results'!X99,'Quantification_Results'!AJ99,'Quantification_Results'!AV99,'Quantification_Results'!BH99)=5),IFERROR(ROUND((SUM(('Quantification_Results'!L99*'Quantification_Config'!$R$4),('Quantification_Results'!X99*'Quantification_Config'!$R$7),('Quantification_Results'!AJ99*'Quantification_Config'!$R$10),('Quantification_Results'!AV99*'Quantification_Config'!$R$13),('Quantification_Results'!BH99*'Quantification_Config'!$R$16))/SUM('Quantification_Config'!$R$4,'Quantification_Config'!$R$7,'Quantification_Config'!$R$10,'Quantification_Config'!$R$13,'Quantification_Config'!$R$16)),'Quantification_Config'!$U$2),""),"")</x:f>
        <x:v>50</x:v>
      </x:c>
    </x:row>
    <x:row r="100">
      <x:c r="A100" t="n">
        <x:v>1</x:v>
      </x:c>
      <x:c r="B100" t="n">
        <x:v>5</x:v>
      </x:c>
      <x:c r="C100"/>
      <x:c r="D100" t="n">
        <x:f>IF(('Quantification_Results'!A100&lt;&gt;1),"",IF(('Quantification_Results'!C100=""),IF(ISNUMBER('Quantification_Results'!B100),IF(('Quantification_Results'!B100&lt;'Quantification_Config'!$S$6),"",IF(('Quantification_Results'!B100&gt;'Quantification_Config'!$T$6),"",'Quantification_Results'!B100)),""),IF(ISNUMBER('Quantification_Results'!C100),IF(('Quantification_Results'!C100&lt;'Quantification_Config'!$S$6),"",IF(('Quantification_Results'!C100&gt;'Quantification_Config'!$T$6),"",'Quantification_Results'!C100)),"")))</x:f>
        <x:v>5</x:v>
      </x:c>
      <x:c r="E100" t="n">
        <x:f>IF(ISNUMBER('Quantification_Results'!D100),IFERROR(ROUND(((('Quantification_Results'!D100-'Quantification_Config'!$S$6)/('Quantification_Config'!$T$6-'Quantification_Config'!$S$6))*100),'Quantification_Config'!$U$2),""),"")</x:f>
        <x:v>50</x:v>
      </x:c>
      <x:c r="F100" t="inlineStr">
        <x:is>
          <x:t xml:space="preserve">SYSTEM-TEST-ONLY-NO-NETWORK-NOT-AN-EDUCATIONAL-EVALUATION</x:t>
        </x:is>
      </x:c>
      <x:c r="G100" t="inlineStr">
        <x:is>
          <x:t xml:space="preserve"/>
        </x:is>
      </x:c>
      <x:c r="H100" t="inlineStr">
        <x:is>
          <x:t xml:space="preserve">NONE</x:t>
        </x:is>
      </x:c>
      <x:c r="I100" t="inlineStr">
        <x:is>
          <x:t xml:space="preserve"/>
        </x:is>
      </x:c>
      <x:c r="J100" t="inlineStr">
        <x:is>
          <x:t xml:space="preserve">SUCCESS</x:t>
        </x:is>
      </x:c>
      <x:c r="K100" t="n">
        <x:f>IF((COUNT('Quantification_Results'!E100)=1),IFERROR(ROUND((SUM(('Quantification_Results'!E100*'Quantification_Config'!$R$6))/SUM('Quantification_Config'!$R$6)),'Quantification_Config'!$U$2),""),"")</x:f>
        <x:v>50</x:v>
      </x:c>
      <x:c r="L100" t="n">
        <x:f>IF((COUNT('Quantification_Results'!K100)=1),IFERROR(ROUND((SUM(('Quantification_Results'!K100*'Quantification_Config'!$R$5))/SUM('Quantification_Config'!$R$5)),'Quantification_Config'!$U$2),""),"")</x:f>
        <x:v>50</x:v>
      </x:c>
      <x:c r="M100" t="n">
        <x:v>1</x:v>
      </x:c>
      <x:c r="N100" t="n">
        <x:v>5</x:v>
      </x:c>
      <x:c r="O100"/>
      <x:c r="P100" t="n">
        <x:f>IF(('Quantification_Results'!M100&lt;&gt;1),"",IF(('Quantification_Results'!O100=""),IF(ISNUMBER('Quantification_Results'!N100),IF(('Quantification_Results'!N100&lt;'Quantification_Config'!$S$9),"",IF(('Quantification_Results'!N100&gt;'Quantification_Config'!$T$9),"",'Quantification_Results'!N100)),""),IF(ISNUMBER('Quantification_Results'!O100),IF(('Quantification_Results'!O100&lt;'Quantification_Config'!$S$9),"",IF(('Quantification_Results'!O100&gt;'Quantification_Config'!$T$9),"",'Quantification_Results'!O100)),"")))</x:f>
        <x:v>5</x:v>
      </x:c>
      <x:c r="Q100" t="n">
        <x:f>IF(ISNUMBER('Quantification_Results'!P100),IFERROR(ROUND(((('Quantification_Results'!P100-'Quantification_Config'!$S$9)/('Quantification_Config'!$T$9-'Quantification_Config'!$S$9))*100),'Quantification_Config'!$U$2),""),"")</x:f>
        <x:v>50</x:v>
      </x:c>
      <x:c r="R100" t="inlineStr">
        <x:is>
          <x:t xml:space="preserve">SYSTEM-TEST-ONLY-NO-NETWORK-NOT-AN-EDUCATIONAL-EVALUATION</x:t>
        </x:is>
      </x:c>
      <x:c r="S100" t="inlineStr">
        <x:is>
          <x:t xml:space="preserve"/>
        </x:is>
      </x:c>
      <x:c r="T100" t="inlineStr">
        <x:is>
          <x:t xml:space="preserve">NONE</x:t>
        </x:is>
      </x:c>
      <x:c r="U100" t="inlineStr">
        <x:is>
          <x:t xml:space="preserve"/>
        </x:is>
      </x:c>
      <x:c r="V100" t="inlineStr">
        <x:is>
          <x:t xml:space="preserve">SUCCESS</x:t>
        </x:is>
      </x:c>
      <x:c r="W100" t="n">
        <x:f>IF((COUNT('Quantification_Results'!Q100)=1),IFERROR(ROUND((SUM(('Quantification_Results'!Q100*'Quantification_Config'!$R$9))/SUM('Quantification_Config'!$R$9)),'Quantification_Config'!$U$2),""),"")</x:f>
        <x:v>50</x:v>
      </x:c>
      <x:c r="X100" t="n">
        <x:f>IF((COUNT('Quantification_Results'!W100)=1),IFERROR(ROUND((SUM(('Quantification_Results'!W100*'Quantification_Config'!$R$8))/SUM('Quantification_Config'!$R$8)),'Quantification_Config'!$U$2),""),"")</x:f>
        <x:v>50</x:v>
      </x:c>
      <x:c r="Y100" t="n">
        <x:v>0</x:v>
      </x:c>
      <x:c r="Z100"/>
      <x:c r="AA100"/>
      <x:c r="AB100">
        <x:f>IF(('Quantification_Results'!Y100&lt;&gt;1),"",IF(('Quantification_Results'!AA100=""),IF(ISNUMBER('Quantification_Results'!Z100),IF(('Quantification_Results'!Z100&lt;'Quantification_Config'!$S$12),"",IF(('Quantification_Results'!Z100&gt;'Quantification_Config'!$T$12),"",'Quantification_Results'!Z100)),""),IF(ISNUMBER('Quantification_Results'!AA100),IF(('Quantification_Results'!AA100&lt;'Quantification_Config'!$S$12),"",IF(('Quantification_Results'!AA100&gt;'Quantification_Config'!$T$12),"",'Quantification_Results'!AA100)),"")))</x:f>
      </x:c>
      <x:c r="AC100">
        <x:f>IF(ISNUMBER('Quantification_Results'!AB100),IFERROR(ROUND(((('Quantification_Results'!AB100-'Quantification_Config'!$S$12)/('Quantification_Config'!$T$12-'Quantification_Config'!$S$12))*100),'Quantification_Config'!$U$2),""),"")</x:f>
      </x:c>
      <x:c r="AD100" t="inlineStr">
        <x:is>
          <x:t xml:space="preserve"/>
        </x:is>
      </x:c>
      <x:c r="AE100" t="inlineStr">
        <x:is>
          <x:t xml:space="preserve"/>
        </x:is>
      </x:c>
      <x:c r="AF100" t="inlineStr">
        <x:is>
          <x:t xml:space="preserve"/>
        </x:is>
      </x:c>
      <x:c r="AG100" t="inlineStr">
        <x:is>
          <x:t xml:space="preserve"/>
        </x:is>
      </x:c>
      <x:c r="AH100" t="inlineStr">
        <x:is>
          <x:t xml:space="preserve">EMPTY</x:t>
        </x:is>
      </x:c>
      <x:c r="AI100">
        <x:f>IF((COUNT('Quantification_Results'!AC100)=1),IFERROR(ROUND((SUM(('Quantification_Results'!AC100*'Quantification_Config'!$R$12))/SUM('Quantification_Config'!$R$12)),'Quantification_Config'!$U$2),""),"")</x:f>
      </x:c>
      <x:c r="AJ100">
        <x:f>IF((COUNT('Quantification_Results'!AI100)=1),IFERROR(ROUND((SUM(('Quantification_Results'!AI100*'Quantification_Config'!$R$11))/SUM('Quantification_Config'!$R$11)),'Quantification_Config'!$U$2),""),"")</x:f>
      </x:c>
      <x:c r="AK100" t="n">
        <x:v>1</x:v>
      </x:c>
      <x:c r="AL100" t="n">
        <x:v>5</x:v>
      </x:c>
      <x:c r="AM100"/>
      <x:c r="AN100" t="n">
        <x:f>IF(('Quantification_Results'!AK100&lt;&gt;1),"",IF(('Quantification_Results'!AM100=""),IF(ISNUMBER('Quantification_Results'!AL100),IF(('Quantification_Results'!AL100&lt;'Quantification_Config'!$S$15),"",IF(('Quantification_Results'!AL100&gt;'Quantification_Config'!$T$15),"",'Quantification_Results'!AL100)),""),IF(ISNUMBER('Quantification_Results'!AM100),IF(('Quantification_Results'!AM100&lt;'Quantification_Config'!$S$15),"",IF(('Quantification_Results'!AM100&gt;'Quantification_Config'!$T$15),"",'Quantification_Results'!AM100)),"")))</x:f>
        <x:v>5</x:v>
      </x:c>
      <x:c r="AO100" t="n">
        <x:f>IF(ISNUMBER('Quantification_Results'!AN100),IFERROR(ROUND(((('Quantification_Results'!AN100-'Quantification_Config'!$S$15)/('Quantification_Config'!$T$15-'Quantification_Config'!$S$15))*100),'Quantification_Config'!$U$2),""),"")</x:f>
        <x:v>50</x:v>
      </x:c>
      <x:c r="AP100" t="inlineStr">
        <x:is>
          <x:t xml:space="preserve">SYSTEM-TEST-ONLY-NO-NETWORK-NOT-AN-EDUCATIONAL-EVALUATION</x:t>
        </x:is>
      </x:c>
      <x:c r="AQ100" t="inlineStr">
        <x:is>
          <x:t xml:space="preserve"/>
        </x:is>
      </x:c>
      <x:c r="AR100" t="inlineStr">
        <x:is>
          <x:t xml:space="preserve">NONE</x:t>
        </x:is>
      </x:c>
      <x:c r="AS100" t="inlineStr">
        <x:is>
          <x:t xml:space="preserve"/>
        </x:is>
      </x:c>
      <x:c r="AT100" t="inlineStr">
        <x:is>
          <x:t xml:space="preserve">SUCCESS</x:t>
        </x:is>
      </x:c>
      <x:c r="AU100" t="n">
        <x:f>IF((COUNT('Quantification_Results'!AO100)=1),IFERROR(ROUND((SUM(('Quantification_Results'!AO100*'Quantification_Config'!$R$15))/SUM('Quantification_Config'!$R$15)),'Quantification_Config'!$U$2),""),"")</x:f>
        <x:v>50</x:v>
      </x:c>
      <x:c r="AV100" t="n">
        <x:f>IF((COUNT('Quantification_Results'!AU100)=1),IFERROR(ROUND((SUM(('Quantification_Results'!AU100*'Quantification_Config'!$R$14))/SUM('Quantification_Config'!$R$14)),'Quantification_Config'!$U$2),""),"")</x:f>
        <x:v>50</x:v>
      </x:c>
      <x:c r="AW100" t="n">
        <x:v>1</x:v>
      </x:c>
      <x:c r="AX100" t="n">
        <x:v>5</x:v>
      </x:c>
      <x:c r="AY100"/>
      <x:c r="AZ100" t="n">
        <x:f>IF(('Quantification_Results'!AW100&lt;&gt;1),"",IF(('Quantification_Results'!AY100=""),IF(ISNUMBER('Quantification_Results'!AX100),IF(('Quantification_Results'!AX100&lt;'Quantification_Config'!$S$19),"",IF(('Quantification_Results'!AX100&gt;'Quantification_Config'!$T$19),"",'Quantification_Results'!AX100)),""),IF(ISNUMBER('Quantification_Results'!AY100),IF(('Quantification_Results'!AY100&lt;'Quantification_Config'!$S$19),"",IF(('Quantification_Results'!AY100&gt;'Quantification_Config'!$T$19),"",'Quantification_Results'!AY100)),"")))</x:f>
        <x:v>5</x:v>
      </x:c>
      <x:c r="BA100" t="n">
        <x:f>IF(ISNUMBER('Quantification_Results'!AZ100),IFERROR(ROUND(((('Quantification_Results'!AZ100-'Quantification_Config'!$S$19)/('Quantification_Config'!$T$19-'Quantification_Config'!$S$19))*100),'Quantification_Config'!$U$2),""),"")</x:f>
        <x:v>50</x:v>
      </x:c>
      <x:c r="BB100" t="inlineStr">
        <x:is>
          <x:t xml:space="preserve">SYSTEM-TEST-ONLY-NO-NETWORK-NOT-AN-EDUCATIONAL-EVALUATION</x:t>
        </x:is>
      </x:c>
      <x:c r="BC100" t="inlineStr">
        <x:is>
          <x:t xml:space="preserve"/>
        </x:is>
      </x:c>
      <x:c r="BD100" t="inlineStr">
        <x:is>
          <x:t xml:space="preserve">NONE</x:t>
        </x:is>
      </x:c>
      <x:c r="BE100" t="inlineStr">
        <x:is>
          <x:t xml:space="preserve"/>
        </x:is>
      </x:c>
      <x:c r="BF100" t="inlineStr">
        <x:is>
          <x:t xml:space="preserve">SUCCESS</x:t>
        </x:is>
      </x:c>
      <x:c r="BG100" t="n">
        <x:f>IF((COUNT('Quantification_Results'!BA100)=1),IFERROR(ROUND((SUM(('Quantification_Results'!BA100*'Quantification_Config'!$R$19))/SUM('Quantification_Config'!$R$19)),'Quantification_Config'!$U$2),""),"")</x:f>
        <x:v>50</x:v>
      </x:c>
      <x:c r="BH100" t="n">
        <x:f>IF((COUNT('Quantification_Results'!BG100)=1),IFERROR(ROUND((SUM(('Quantification_Results'!BG100*'Quantification_Config'!$R$18))/SUM('Quantification_Config'!$R$18)),'Quantification_Config'!$U$2),""),"")</x:f>
        <x:v>50</x:v>
      </x:c>
      <x:c r="BI100">
        <x:f>IF((COUNT('Quantification_Results'!L100,'Quantification_Results'!X100,'Quantification_Results'!AJ100,'Quantification_Results'!AV100,'Quantification_Results'!BH100)=5),IFERROR(ROUND((SUM(('Quantification_Results'!L100*'Quantification_Config'!$R$4),('Quantification_Results'!X100*'Quantification_Config'!$R$7),('Quantification_Results'!AJ100*'Quantification_Config'!$R$10),('Quantification_Results'!AV100*'Quantification_Config'!$R$13),('Quantification_Results'!BH100*'Quantification_Config'!$R$16))/SUM('Quantification_Config'!$R$4,'Quantification_Config'!$R$7,'Quantification_Config'!$R$10,'Quantification_Config'!$R$13,'Quantification_Config'!$R$16)),'Quantification_Config'!$U$2),""),"")</x:f>
      </x:c>
    </x:row>
    <x:row r="101">
      <x:c r="A101" t="n">
        <x:v>1</x:v>
      </x:c>
      <x:c r="B101" t="n">
        <x:v>5</x:v>
      </x:c>
      <x:c r="C101"/>
      <x:c r="D101" t="n">
        <x:f>IF(('Quantification_Results'!A101&lt;&gt;1),"",IF(('Quantification_Results'!C101=""),IF(ISNUMBER('Quantification_Results'!B101),IF(('Quantification_Results'!B101&lt;'Quantification_Config'!$S$6),"",IF(('Quantification_Results'!B101&gt;'Quantification_Config'!$T$6),"",'Quantification_Results'!B101)),""),IF(ISNUMBER('Quantification_Results'!C101),IF(('Quantification_Results'!C101&lt;'Quantification_Config'!$S$6),"",IF(('Quantification_Results'!C101&gt;'Quantification_Config'!$T$6),"",'Quantification_Results'!C101)),"")))</x:f>
        <x:v>5</x:v>
      </x:c>
      <x:c r="E101" t="n">
        <x:f>IF(ISNUMBER('Quantification_Results'!D101),IFERROR(ROUND(((('Quantification_Results'!D101-'Quantification_Config'!$S$6)/('Quantification_Config'!$T$6-'Quantification_Config'!$S$6))*100),'Quantification_Config'!$U$2),""),"")</x:f>
        <x:v>50</x:v>
      </x:c>
      <x:c r="F101" t="inlineStr">
        <x:is>
          <x:t xml:space="preserve">SYSTEM-TEST-ONLY-NO-NETWORK-NOT-AN-EDUCATIONAL-EVALUATION</x:t>
        </x:is>
      </x:c>
      <x:c r="G101" t="inlineStr">
        <x:is>
          <x:t xml:space="preserve"/>
        </x:is>
      </x:c>
      <x:c r="H101" t="inlineStr">
        <x:is>
          <x:t xml:space="preserve">NONE</x:t>
        </x:is>
      </x:c>
      <x:c r="I101" t="inlineStr">
        <x:is>
          <x:t xml:space="preserve"/>
        </x:is>
      </x:c>
      <x:c r="J101" t="inlineStr">
        <x:is>
          <x:t xml:space="preserve">SUCCESS</x:t>
        </x:is>
      </x:c>
      <x:c r="K101" t="n">
        <x:f>IF((COUNT('Quantification_Results'!E101)=1),IFERROR(ROUND((SUM(('Quantification_Results'!E101*'Quantification_Config'!$R$6))/SUM('Quantification_Config'!$R$6)),'Quantification_Config'!$U$2),""),"")</x:f>
        <x:v>50</x:v>
      </x:c>
      <x:c r="L101" t="n">
        <x:f>IF((COUNT('Quantification_Results'!K101)=1),IFERROR(ROUND((SUM(('Quantification_Results'!K101*'Quantification_Config'!$R$5))/SUM('Quantification_Config'!$R$5)),'Quantification_Config'!$U$2),""),"")</x:f>
        <x:v>50</x:v>
      </x:c>
      <x:c r="M101" t="n">
        <x:v>1</x:v>
      </x:c>
      <x:c r="N101" t="n">
        <x:v>5</x:v>
      </x:c>
      <x:c r="O101"/>
      <x:c r="P101" t="n">
        <x:f>IF(('Quantification_Results'!M101&lt;&gt;1),"",IF(('Quantification_Results'!O101=""),IF(ISNUMBER('Quantification_Results'!N101),IF(('Quantification_Results'!N101&lt;'Quantification_Config'!$S$9),"",IF(('Quantification_Results'!N101&gt;'Quantification_Config'!$T$9),"",'Quantification_Results'!N101)),""),IF(ISNUMBER('Quantification_Results'!O101),IF(('Quantification_Results'!O101&lt;'Quantification_Config'!$S$9),"",IF(('Quantification_Results'!O101&gt;'Quantification_Config'!$T$9),"",'Quantification_Results'!O101)),"")))</x:f>
        <x:v>5</x:v>
      </x:c>
      <x:c r="Q101" t="n">
        <x:f>IF(ISNUMBER('Quantification_Results'!P101),IFERROR(ROUND(((('Quantification_Results'!P101-'Quantification_Config'!$S$9)/('Quantification_Config'!$T$9-'Quantification_Config'!$S$9))*100),'Quantification_Config'!$U$2),""),"")</x:f>
        <x:v>50</x:v>
      </x:c>
      <x:c r="R101" t="inlineStr">
        <x:is>
          <x:t xml:space="preserve">SYSTEM-TEST-ONLY-NO-NETWORK-NOT-AN-EDUCATIONAL-EVALUATION</x:t>
        </x:is>
      </x:c>
      <x:c r="S101" t="inlineStr">
        <x:is>
          <x:t xml:space="preserve"/>
        </x:is>
      </x:c>
      <x:c r="T101" t="inlineStr">
        <x:is>
          <x:t xml:space="preserve">NONE</x:t>
        </x:is>
      </x:c>
      <x:c r="U101" t="inlineStr">
        <x:is>
          <x:t xml:space="preserve"/>
        </x:is>
      </x:c>
      <x:c r="V101" t="inlineStr">
        <x:is>
          <x:t xml:space="preserve">SUCCESS</x:t>
        </x:is>
      </x:c>
      <x:c r="W101" t="n">
        <x:f>IF((COUNT('Quantification_Results'!Q101)=1),IFERROR(ROUND((SUM(('Quantification_Results'!Q101*'Quantification_Config'!$R$9))/SUM('Quantification_Config'!$R$9)),'Quantification_Config'!$U$2),""),"")</x:f>
        <x:v>50</x:v>
      </x:c>
      <x:c r="X101" t="n">
        <x:f>IF((COUNT('Quantification_Results'!W101)=1),IFERROR(ROUND((SUM(('Quantification_Results'!W101*'Quantification_Config'!$R$8))/SUM('Quantification_Config'!$R$8)),'Quantification_Config'!$U$2),""),"")</x:f>
        <x:v>50</x:v>
      </x:c>
      <x:c r="Y101" t="n">
        <x:v>0</x:v>
      </x:c>
      <x:c r="Z101"/>
      <x:c r="AA101"/>
      <x:c r="AB101">
        <x:f>IF(('Quantification_Results'!Y101&lt;&gt;1),"",IF(('Quantification_Results'!AA101=""),IF(ISNUMBER('Quantification_Results'!Z101),IF(('Quantification_Results'!Z101&lt;'Quantification_Config'!$S$12),"",IF(('Quantification_Results'!Z101&gt;'Quantification_Config'!$T$12),"",'Quantification_Results'!Z101)),""),IF(ISNUMBER('Quantification_Results'!AA101),IF(('Quantification_Results'!AA101&lt;'Quantification_Config'!$S$12),"",IF(('Quantification_Results'!AA101&gt;'Quantification_Config'!$T$12),"",'Quantification_Results'!AA101)),"")))</x:f>
      </x:c>
      <x:c r="AC101">
        <x:f>IF(ISNUMBER('Quantification_Results'!AB101),IFERROR(ROUND(((('Quantification_Results'!AB101-'Quantification_Config'!$S$12)/('Quantification_Config'!$T$12-'Quantification_Config'!$S$12))*100),'Quantification_Config'!$U$2),""),"")</x:f>
      </x:c>
      <x:c r="AD101" t="inlineStr">
        <x:is>
          <x:t xml:space="preserve"/>
        </x:is>
      </x:c>
      <x:c r="AE101" t="inlineStr">
        <x:is>
          <x:t xml:space="preserve"/>
        </x:is>
      </x:c>
      <x:c r="AF101" t="inlineStr">
        <x:is>
          <x:t xml:space="preserve"/>
        </x:is>
      </x:c>
      <x:c r="AG101" t="inlineStr">
        <x:is>
          <x:t xml:space="preserve"/>
        </x:is>
      </x:c>
      <x:c r="AH101" t="inlineStr">
        <x:is>
          <x:t xml:space="preserve">EMPTY</x:t>
        </x:is>
      </x:c>
      <x:c r="AI101">
        <x:f>IF((COUNT('Quantification_Results'!AC101)=1),IFERROR(ROUND((SUM(('Quantification_Results'!AC101*'Quantification_Config'!$R$12))/SUM('Quantification_Config'!$R$12)),'Quantification_Config'!$U$2),""),"")</x:f>
      </x:c>
      <x:c r="AJ101">
        <x:f>IF((COUNT('Quantification_Results'!AI101)=1),IFERROR(ROUND((SUM(('Quantification_Results'!AI101*'Quantification_Config'!$R$11))/SUM('Quantification_Config'!$R$11)),'Quantification_Config'!$U$2),""),"")</x:f>
      </x:c>
      <x:c r="AK101" t="n">
        <x:v>1</x:v>
      </x:c>
      <x:c r="AL101" t="n">
        <x:v>5</x:v>
      </x:c>
      <x:c r="AM101"/>
      <x:c r="AN101" t="n">
        <x:f>IF(('Quantification_Results'!AK101&lt;&gt;1),"",IF(('Quantification_Results'!AM101=""),IF(ISNUMBER('Quantification_Results'!AL101),IF(('Quantification_Results'!AL101&lt;'Quantification_Config'!$S$15),"",IF(('Quantification_Results'!AL101&gt;'Quantification_Config'!$T$15),"",'Quantification_Results'!AL101)),""),IF(ISNUMBER('Quantification_Results'!AM101),IF(('Quantification_Results'!AM101&lt;'Quantification_Config'!$S$15),"",IF(('Quantification_Results'!AM101&gt;'Quantification_Config'!$T$15),"",'Quantification_Results'!AM101)),"")))</x:f>
        <x:v>5</x:v>
      </x:c>
      <x:c r="AO101" t="n">
        <x:f>IF(ISNUMBER('Quantification_Results'!AN101),IFERROR(ROUND(((('Quantification_Results'!AN101-'Quantification_Config'!$S$15)/('Quantification_Config'!$T$15-'Quantification_Config'!$S$15))*100),'Quantification_Config'!$U$2),""),"")</x:f>
        <x:v>50</x:v>
      </x:c>
      <x:c r="AP101" t="inlineStr">
        <x:is>
          <x:t xml:space="preserve">SYSTEM-TEST-ONLY-NO-NETWORK-NOT-AN-EDUCATIONAL-EVALUATION</x:t>
        </x:is>
      </x:c>
      <x:c r="AQ101" t="inlineStr">
        <x:is>
          <x:t xml:space="preserve"/>
        </x:is>
      </x:c>
      <x:c r="AR101" t="inlineStr">
        <x:is>
          <x:t xml:space="preserve">NONE</x:t>
        </x:is>
      </x:c>
      <x:c r="AS101" t="inlineStr">
        <x:is>
          <x:t xml:space="preserve"/>
        </x:is>
      </x:c>
      <x:c r="AT101" t="inlineStr">
        <x:is>
          <x:t xml:space="preserve">SUCCESS</x:t>
        </x:is>
      </x:c>
      <x:c r="AU101" t="n">
        <x:f>IF((COUNT('Quantification_Results'!AO101)=1),IFERROR(ROUND((SUM(('Quantification_Results'!AO101*'Quantification_Config'!$R$15))/SUM('Quantification_Config'!$R$15)),'Quantification_Config'!$U$2),""),"")</x:f>
        <x:v>50</x:v>
      </x:c>
      <x:c r="AV101" t="n">
        <x:f>IF((COUNT('Quantification_Results'!AU101)=1),IFERROR(ROUND((SUM(('Quantification_Results'!AU101*'Quantification_Config'!$R$14))/SUM('Quantification_Config'!$R$14)),'Quantification_Config'!$U$2),""),"")</x:f>
        <x:v>50</x:v>
      </x:c>
      <x:c r="AW101" t="n">
        <x:v>1</x:v>
      </x:c>
      <x:c r="AX101" t="n">
        <x:v>5</x:v>
      </x:c>
      <x:c r="AY101"/>
      <x:c r="AZ101" t="n">
        <x:f>IF(('Quantification_Results'!AW101&lt;&gt;1),"",IF(('Quantification_Results'!AY101=""),IF(ISNUMBER('Quantification_Results'!AX101),IF(('Quantification_Results'!AX101&lt;'Quantification_Config'!$S$19),"",IF(('Quantification_Results'!AX101&gt;'Quantification_Config'!$T$19),"",'Quantification_Results'!AX101)),""),IF(ISNUMBER('Quantification_Results'!AY101),IF(('Quantification_Results'!AY101&lt;'Quantification_Config'!$S$19),"",IF(('Quantification_Results'!AY101&gt;'Quantification_Config'!$T$19),"",'Quantification_Results'!AY101)),"")))</x:f>
        <x:v>5</x:v>
      </x:c>
      <x:c r="BA101" t="n">
        <x:f>IF(ISNUMBER('Quantification_Results'!AZ101),IFERROR(ROUND(((('Quantification_Results'!AZ101-'Quantification_Config'!$S$19)/('Quantification_Config'!$T$19-'Quantification_Config'!$S$19))*100),'Quantification_Config'!$U$2),""),"")</x:f>
        <x:v>50</x:v>
      </x:c>
      <x:c r="BB101" t="inlineStr">
        <x:is>
          <x:t xml:space="preserve">SYSTEM-TEST-ONLY-NO-NETWORK-NOT-AN-EDUCATIONAL-EVALUATION</x:t>
        </x:is>
      </x:c>
      <x:c r="BC101" t="inlineStr">
        <x:is>
          <x:t xml:space="preserve"/>
        </x:is>
      </x:c>
      <x:c r="BD101" t="inlineStr">
        <x:is>
          <x:t xml:space="preserve">NONE</x:t>
        </x:is>
      </x:c>
      <x:c r="BE101" t="inlineStr">
        <x:is>
          <x:t xml:space="preserve"/>
        </x:is>
      </x:c>
      <x:c r="BF101" t="inlineStr">
        <x:is>
          <x:t xml:space="preserve">SUCCESS</x:t>
        </x:is>
      </x:c>
      <x:c r="BG101" t="n">
        <x:f>IF((COUNT('Quantification_Results'!BA101)=1),IFERROR(ROUND((SUM(('Quantification_Results'!BA101*'Quantification_Config'!$R$19))/SUM('Quantification_Config'!$R$19)),'Quantification_Config'!$U$2),""),"")</x:f>
        <x:v>50</x:v>
      </x:c>
      <x:c r="BH101" t="n">
        <x:f>IF((COUNT('Quantification_Results'!BG101)=1),IFERROR(ROUND((SUM(('Quantification_Results'!BG101*'Quantification_Config'!$R$18))/SUM('Quantification_Config'!$R$18)),'Quantification_Config'!$U$2),""),"")</x:f>
        <x:v>50</x:v>
      </x:c>
      <x:c r="BI101">
        <x:f>IF((COUNT('Quantification_Results'!L101,'Quantification_Results'!X101,'Quantification_Results'!AJ101,'Quantification_Results'!AV101,'Quantification_Results'!BH101)=5),IFERROR(ROUND((SUM(('Quantification_Results'!L101*'Quantification_Config'!$R$4),('Quantification_Results'!X101*'Quantification_Config'!$R$7),('Quantification_Results'!AJ101*'Quantification_Config'!$R$10),('Quantification_Results'!AV101*'Quantification_Config'!$R$13),('Quantification_Results'!BH101*'Quantification_Config'!$R$16))/SUM('Quantification_Config'!$R$4,'Quantification_Config'!$R$7,'Quantification_Config'!$R$10,'Quantification_Config'!$R$13,'Quantification_Config'!$R$16)),'Quantification_Config'!$U$2),""),"")</x:f>
      </x:c>
    </x:row>
    <x:row r="102">
      <x:c r="A102" t="n">
        <x:v>1</x:v>
      </x:c>
      <x:c r="B102" t="n">
        <x:v>5</x:v>
      </x:c>
      <x:c r="C102"/>
      <x:c r="D102" t="n">
        <x:f>IF(('Quantification_Results'!A102&lt;&gt;1),"",IF(('Quantification_Results'!C102=""),IF(ISNUMBER('Quantification_Results'!B102),IF(('Quantification_Results'!B102&lt;'Quantification_Config'!$S$6),"",IF(('Quantification_Results'!B102&gt;'Quantification_Config'!$T$6),"",'Quantification_Results'!B102)),""),IF(ISNUMBER('Quantification_Results'!C102),IF(('Quantification_Results'!C102&lt;'Quantification_Config'!$S$6),"",IF(('Quantification_Results'!C102&gt;'Quantification_Config'!$T$6),"",'Quantification_Results'!C102)),"")))</x:f>
        <x:v>5</x:v>
      </x:c>
      <x:c r="E102" t="n">
        <x:f>IF(ISNUMBER('Quantification_Results'!D102),IFERROR(ROUND(((('Quantification_Results'!D102-'Quantification_Config'!$S$6)/('Quantification_Config'!$T$6-'Quantification_Config'!$S$6))*100),'Quantification_Config'!$U$2),""),"")</x:f>
        <x:v>50</x:v>
      </x:c>
      <x:c r="F102" t="inlineStr">
        <x:is>
          <x:t xml:space="preserve">SYSTEM-TEST-ONLY-NO-NETWORK-NOT-AN-EDUCATIONAL-EVALUATION</x:t>
        </x:is>
      </x:c>
      <x:c r="G102" t="inlineStr">
        <x:is>
          <x:t xml:space="preserve"/>
        </x:is>
      </x:c>
      <x:c r="H102" t="inlineStr">
        <x:is>
          <x:t xml:space="preserve">NONE</x:t>
        </x:is>
      </x:c>
      <x:c r="I102" t="inlineStr">
        <x:is>
          <x:t xml:space="preserve"/>
        </x:is>
      </x:c>
      <x:c r="J102" t="inlineStr">
        <x:is>
          <x:t xml:space="preserve">SUCCESS</x:t>
        </x:is>
      </x:c>
      <x:c r="K102" t="n">
        <x:f>IF((COUNT('Quantification_Results'!E102)=1),IFERROR(ROUND((SUM(('Quantification_Results'!E102*'Quantification_Config'!$R$6))/SUM('Quantification_Config'!$R$6)),'Quantification_Config'!$U$2),""),"")</x:f>
        <x:v>50</x:v>
      </x:c>
      <x:c r="L102" t="n">
        <x:f>IF((COUNT('Quantification_Results'!K102)=1),IFERROR(ROUND((SUM(('Quantification_Results'!K102*'Quantification_Config'!$R$5))/SUM('Quantification_Config'!$R$5)),'Quantification_Config'!$U$2),""),"")</x:f>
        <x:v>50</x:v>
      </x:c>
      <x:c r="M102" t="n">
        <x:v>1</x:v>
      </x:c>
      <x:c r="N102" t="n">
        <x:v>5</x:v>
      </x:c>
      <x:c r="O102"/>
      <x:c r="P102" t="n">
        <x:f>IF(('Quantification_Results'!M102&lt;&gt;1),"",IF(('Quantification_Results'!O102=""),IF(ISNUMBER('Quantification_Results'!N102),IF(('Quantification_Results'!N102&lt;'Quantification_Config'!$S$9),"",IF(('Quantification_Results'!N102&gt;'Quantification_Config'!$T$9),"",'Quantification_Results'!N102)),""),IF(ISNUMBER('Quantification_Results'!O102),IF(('Quantification_Results'!O102&lt;'Quantification_Config'!$S$9),"",IF(('Quantification_Results'!O102&gt;'Quantification_Config'!$T$9),"",'Quantification_Results'!O102)),"")))</x:f>
        <x:v>5</x:v>
      </x:c>
      <x:c r="Q102" t="n">
        <x:f>IF(ISNUMBER('Quantification_Results'!P102),IFERROR(ROUND(((('Quantification_Results'!P102-'Quantification_Config'!$S$9)/('Quantification_Config'!$T$9-'Quantification_Config'!$S$9))*100),'Quantification_Config'!$U$2),""),"")</x:f>
        <x:v>50</x:v>
      </x:c>
      <x:c r="R102" t="inlineStr">
        <x:is>
          <x:t xml:space="preserve">SYSTEM-TEST-ONLY-NO-NETWORK-NOT-AN-EDUCATIONAL-EVALUATION</x:t>
        </x:is>
      </x:c>
      <x:c r="S102" t="inlineStr">
        <x:is>
          <x:t xml:space="preserve"/>
        </x:is>
      </x:c>
      <x:c r="T102" t="inlineStr">
        <x:is>
          <x:t xml:space="preserve">NONE</x:t>
        </x:is>
      </x:c>
      <x:c r="U102" t="inlineStr">
        <x:is>
          <x:t xml:space="preserve"/>
        </x:is>
      </x:c>
      <x:c r="V102" t="inlineStr">
        <x:is>
          <x:t xml:space="preserve">SUCCESS</x:t>
        </x:is>
      </x:c>
      <x:c r="W102" t="n">
        <x:f>IF((COUNT('Quantification_Results'!Q102)=1),IFERROR(ROUND((SUM(('Quantification_Results'!Q102*'Quantification_Config'!$R$9))/SUM('Quantification_Config'!$R$9)),'Quantification_Config'!$U$2),""),"")</x:f>
        <x:v>50</x:v>
      </x:c>
      <x:c r="X102" t="n">
        <x:f>IF((COUNT('Quantification_Results'!W102)=1),IFERROR(ROUND((SUM(('Quantification_Results'!W102*'Quantification_Config'!$R$8))/SUM('Quantification_Config'!$R$8)),'Quantification_Config'!$U$2),""),"")</x:f>
        <x:v>50</x:v>
      </x:c>
      <x:c r="Y102" t="n">
        <x:v>0</x:v>
      </x:c>
      <x:c r="Z102"/>
      <x:c r="AA102"/>
      <x:c r="AB102">
        <x:f>IF(('Quantification_Results'!Y102&lt;&gt;1),"",IF(('Quantification_Results'!AA102=""),IF(ISNUMBER('Quantification_Results'!Z102),IF(('Quantification_Results'!Z102&lt;'Quantification_Config'!$S$12),"",IF(('Quantification_Results'!Z102&gt;'Quantification_Config'!$T$12),"",'Quantification_Results'!Z102)),""),IF(ISNUMBER('Quantification_Results'!AA102),IF(('Quantification_Results'!AA102&lt;'Quantification_Config'!$S$12),"",IF(('Quantification_Results'!AA102&gt;'Quantification_Config'!$T$12),"",'Quantification_Results'!AA102)),"")))</x:f>
      </x:c>
      <x:c r="AC102">
        <x:f>IF(ISNUMBER('Quantification_Results'!AB102),IFERROR(ROUND(((('Quantification_Results'!AB102-'Quantification_Config'!$S$12)/('Quantification_Config'!$T$12-'Quantification_Config'!$S$12))*100),'Quantification_Config'!$U$2),""),"")</x:f>
      </x:c>
      <x:c r="AD102" t="inlineStr">
        <x:is>
          <x:t xml:space="preserve"/>
        </x:is>
      </x:c>
      <x:c r="AE102" t="inlineStr">
        <x:is>
          <x:t xml:space="preserve"/>
        </x:is>
      </x:c>
      <x:c r="AF102" t="inlineStr">
        <x:is>
          <x:t xml:space="preserve"/>
        </x:is>
      </x:c>
      <x:c r="AG102" t="inlineStr">
        <x:is>
          <x:t xml:space="preserve"/>
        </x:is>
      </x:c>
      <x:c r="AH102" t="inlineStr">
        <x:is>
          <x:t xml:space="preserve">EMPTY</x:t>
        </x:is>
      </x:c>
      <x:c r="AI102">
        <x:f>IF((COUNT('Quantification_Results'!AC102)=1),IFERROR(ROUND((SUM(('Quantification_Results'!AC102*'Quantification_Config'!$R$12))/SUM('Quantification_Config'!$R$12)),'Quantification_Config'!$U$2),""),"")</x:f>
      </x:c>
      <x:c r="AJ102">
        <x:f>IF((COUNT('Quantification_Results'!AI102)=1),IFERROR(ROUND((SUM(('Quantification_Results'!AI102*'Quantification_Config'!$R$11))/SUM('Quantification_Config'!$R$11)),'Quantification_Config'!$U$2),""),"")</x:f>
      </x:c>
      <x:c r="AK102" t="n">
        <x:v>1</x:v>
      </x:c>
      <x:c r="AL102" t="n">
        <x:v>5</x:v>
      </x:c>
      <x:c r="AM102"/>
      <x:c r="AN102" t="n">
        <x:f>IF(('Quantification_Results'!AK102&lt;&gt;1),"",IF(('Quantification_Results'!AM102=""),IF(ISNUMBER('Quantification_Results'!AL102),IF(('Quantification_Results'!AL102&lt;'Quantification_Config'!$S$15),"",IF(('Quantification_Results'!AL102&gt;'Quantification_Config'!$T$15),"",'Quantification_Results'!AL102)),""),IF(ISNUMBER('Quantification_Results'!AM102),IF(('Quantification_Results'!AM102&lt;'Quantification_Config'!$S$15),"",IF(('Quantification_Results'!AM102&gt;'Quantification_Config'!$T$15),"",'Quantification_Results'!AM102)),"")))</x:f>
        <x:v>5</x:v>
      </x:c>
      <x:c r="AO102" t="n">
        <x:f>IF(ISNUMBER('Quantification_Results'!AN102),IFERROR(ROUND(((('Quantification_Results'!AN102-'Quantification_Config'!$S$15)/('Quantification_Config'!$T$15-'Quantification_Config'!$S$15))*100),'Quantification_Config'!$U$2),""),"")</x:f>
        <x:v>50</x:v>
      </x:c>
      <x:c r="AP102" t="inlineStr">
        <x:is>
          <x:t xml:space="preserve">SYSTEM-TEST-ONLY-NO-NETWORK-NOT-AN-EDUCATIONAL-EVALUATION</x:t>
        </x:is>
      </x:c>
      <x:c r="AQ102" t="inlineStr">
        <x:is>
          <x:t xml:space="preserve"/>
        </x:is>
      </x:c>
      <x:c r="AR102" t="inlineStr">
        <x:is>
          <x:t xml:space="preserve">NONE</x:t>
        </x:is>
      </x:c>
      <x:c r="AS102" t="inlineStr">
        <x:is>
          <x:t xml:space="preserve"/>
        </x:is>
      </x:c>
      <x:c r="AT102" t="inlineStr">
        <x:is>
          <x:t xml:space="preserve">SUCCESS</x:t>
        </x:is>
      </x:c>
      <x:c r="AU102" t="n">
        <x:f>IF((COUNT('Quantification_Results'!AO102)=1),IFERROR(ROUND((SUM(('Quantification_Results'!AO102*'Quantification_Config'!$R$15))/SUM('Quantification_Config'!$R$15)),'Quantification_Config'!$U$2),""),"")</x:f>
        <x:v>50</x:v>
      </x:c>
      <x:c r="AV102" t="n">
        <x:f>IF((COUNT('Quantification_Results'!AU102)=1),IFERROR(ROUND((SUM(('Quantification_Results'!AU102*'Quantification_Config'!$R$14))/SUM('Quantification_Config'!$R$14)),'Quantification_Config'!$U$2),""),"")</x:f>
        <x:v>50</x:v>
      </x:c>
      <x:c r="AW102" t="n">
        <x:v>1</x:v>
      </x:c>
      <x:c r="AX102" t="n">
        <x:v>5</x:v>
      </x:c>
      <x:c r="AY102"/>
      <x:c r="AZ102" t="n">
        <x:f>IF(('Quantification_Results'!AW102&lt;&gt;1),"",IF(('Quantification_Results'!AY102=""),IF(ISNUMBER('Quantification_Results'!AX102),IF(('Quantification_Results'!AX102&lt;'Quantification_Config'!$S$19),"",IF(('Quantification_Results'!AX102&gt;'Quantification_Config'!$T$19),"",'Quantification_Results'!AX102)),""),IF(ISNUMBER('Quantification_Results'!AY102),IF(('Quantification_Results'!AY102&lt;'Quantification_Config'!$S$19),"",IF(('Quantification_Results'!AY102&gt;'Quantification_Config'!$T$19),"",'Quantification_Results'!AY102)),"")))</x:f>
        <x:v>5</x:v>
      </x:c>
      <x:c r="BA102" t="n">
        <x:f>IF(ISNUMBER('Quantification_Results'!AZ102),IFERROR(ROUND(((('Quantification_Results'!AZ102-'Quantification_Config'!$S$19)/('Quantification_Config'!$T$19-'Quantification_Config'!$S$19))*100),'Quantification_Config'!$U$2),""),"")</x:f>
        <x:v>50</x:v>
      </x:c>
      <x:c r="BB102" t="inlineStr">
        <x:is>
          <x:t xml:space="preserve">SYSTEM-TEST-ONLY-NO-NETWORK-NOT-AN-EDUCATIONAL-EVALUATION</x:t>
        </x:is>
      </x:c>
      <x:c r="BC102" t="inlineStr">
        <x:is>
          <x:t xml:space="preserve"/>
        </x:is>
      </x:c>
      <x:c r="BD102" t="inlineStr">
        <x:is>
          <x:t xml:space="preserve">NONE</x:t>
        </x:is>
      </x:c>
      <x:c r="BE102" t="inlineStr">
        <x:is>
          <x:t xml:space="preserve"/>
        </x:is>
      </x:c>
      <x:c r="BF102" t="inlineStr">
        <x:is>
          <x:t xml:space="preserve">SUCCESS</x:t>
        </x:is>
      </x:c>
      <x:c r="BG102" t="n">
        <x:f>IF((COUNT('Quantification_Results'!BA102)=1),IFERROR(ROUND((SUM(('Quantification_Results'!BA102*'Quantification_Config'!$R$19))/SUM('Quantification_Config'!$R$19)),'Quantification_Config'!$U$2),""),"")</x:f>
        <x:v>50</x:v>
      </x:c>
      <x:c r="BH102" t="n">
        <x:f>IF((COUNT('Quantification_Results'!BG102)=1),IFERROR(ROUND((SUM(('Quantification_Results'!BG102*'Quantification_Config'!$R$18))/SUM('Quantification_Config'!$R$18)),'Quantification_Config'!$U$2),""),"")</x:f>
        <x:v>50</x:v>
      </x:c>
      <x:c r="BI102">
        <x:f>IF((COUNT('Quantification_Results'!L102,'Quantification_Results'!X102,'Quantification_Results'!AJ102,'Quantification_Results'!AV102,'Quantification_Results'!BH102)=5),IFERROR(ROUND((SUM(('Quantification_Results'!L102*'Quantification_Config'!$R$4),('Quantification_Results'!X102*'Quantification_Config'!$R$7),('Quantification_Results'!AJ102*'Quantification_Config'!$R$10),('Quantification_Results'!AV102*'Quantification_Config'!$R$13),('Quantification_Results'!BH102*'Quantification_Config'!$R$16))/SUM('Quantification_Config'!$R$4,'Quantification_Config'!$R$7,'Quantification_Config'!$R$10,'Quantification_Config'!$R$13,'Quantification_Config'!$R$16)),'Quantification_Config'!$U$2),""),"")</x:f>
      </x:c>
    </x:row>
    <x:row r="103">
      <x:c r="A103" t="n">
        <x:v>1</x:v>
      </x:c>
      <x:c r="B103" t="n">
        <x:v>5</x:v>
      </x:c>
      <x:c r="C103"/>
      <x:c r="D103" t="n">
        <x:f>IF(('Quantification_Results'!A103&lt;&gt;1),"",IF(('Quantification_Results'!C103=""),IF(ISNUMBER('Quantification_Results'!B103),IF(('Quantification_Results'!B103&lt;'Quantification_Config'!$S$6),"",IF(('Quantification_Results'!B103&gt;'Quantification_Config'!$T$6),"",'Quantification_Results'!B103)),""),IF(ISNUMBER('Quantification_Results'!C103),IF(('Quantification_Results'!C103&lt;'Quantification_Config'!$S$6),"",IF(('Quantification_Results'!C103&gt;'Quantification_Config'!$T$6),"",'Quantification_Results'!C103)),"")))</x:f>
        <x:v>5</x:v>
      </x:c>
      <x:c r="E103" t="n">
        <x:f>IF(ISNUMBER('Quantification_Results'!D103),IFERROR(ROUND(((('Quantification_Results'!D103-'Quantification_Config'!$S$6)/('Quantification_Config'!$T$6-'Quantification_Config'!$S$6))*100),'Quantification_Config'!$U$2),""),"")</x:f>
        <x:v>50</x:v>
      </x:c>
      <x:c r="F103" t="inlineStr">
        <x:is>
          <x:t xml:space="preserve">SYSTEM-TEST-ONLY-NO-NETWORK-NOT-AN-EDUCATIONAL-EVALUATION</x:t>
        </x:is>
      </x:c>
      <x:c r="G103" t="inlineStr">
        <x:is>
          <x:t xml:space="preserve"/>
        </x:is>
      </x:c>
      <x:c r="H103" t="inlineStr">
        <x:is>
          <x:t xml:space="preserve">NONE</x:t>
        </x:is>
      </x:c>
      <x:c r="I103" t="inlineStr">
        <x:is>
          <x:t xml:space="preserve"/>
        </x:is>
      </x:c>
      <x:c r="J103" t="inlineStr">
        <x:is>
          <x:t xml:space="preserve">SUCCESS</x:t>
        </x:is>
      </x:c>
      <x:c r="K103" t="n">
        <x:f>IF((COUNT('Quantification_Results'!E103)=1),IFERROR(ROUND((SUM(('Quantification_Results'!E103*'Quantification_Config'!$R$6))/SUM('Quantification_Config'!$R$6)),'Quantification_Config'!$U$2),""),"")</x:f>
        <x:v>50</x:v>
      </x:c>
      <x:c r="L103" t="n">
        <x:f>IF((COUNT('Quantification_Results'!K103)=1),IFERROR(ROUND((SUM(('Quantification_Results'!K103*'Quantification_Config'!$R$5))/SUM('Quantification_Config'!$R$5)),'Quantification_Config'!$U$2),""),"")</x:f>
        <x:v>50</x:v>
      </x:c>
      <x:c r="M103" t="n">
        <x:v>1</x:v>
      </x:c>
      <x:c r="N103" t="n">
        <x:v>5</x:v>
      </x:c>
      <x:c r="O103"/>
      <x:c r="P103" t="n">
        <x:f>IF(('Quantification_Results'!M103&lt;&gt;1),"",IF(('Quantification_Results'!O103=""),IF(ISNUMBER('Quantification_Results'!N103),IF(('Quantification_Results'!N103&lt;'Quantification_Config'!$S$9),"",IF(('Quantification_Results'!N103&gt;'Quantification_Config'!$T$9),"",'Quantification_Results'!N103)),""),IF(ISNUMBER('Quantification_Results'!O103),IF(('Quantification_Results'!O103&lt;'Quantification_Config'!$S$9),"",IF(('Quantification_Results'!O103&gt;'Quantification_Config'!$T$9),"",'Quantification_Results'!O103)),"")))</x:f>
        <x:v>5</x:v>
      </x:c>
      <x:c r="Q103" t="n">
        <x:f>IF(ISNUMBER('Quantification_Results'!P103),IFERROR(ROUND(((('Quantification_Results'!P103-'Quantification_Config'!$S$9)/('Quantification_Config'!$T$9-'Quantification_Config'!$S$9))*100),'Quantification_Config'!$U$2),""),"")</x:f>
        <x:v>50</x:v>
      </x:c>
      <x:c r="R103" t="inlineStr">
        <x:is>
          <x:t xml:space="preserve">SYSTEM-TEST-ONLY-NO-NETWORK-NOT-AN-EDUCATIONAL-EVALUATION</x:t>
        </x:is>
      </x:c>
      <x:c r="S103" t="inlineStr">
        <x:is>
          <x:t xml:space="preserve"/>
        </x:is>
      </x:c>
      <x:c r="T103" t="inlineStr">
        <x:is>
          <x:t xml:space="preserve">NONE</x:t>
        </x:is>
      </x:c>
      <x:c r="U103" t="inlineStr">
        <x:is>
          <x:t xml:space="preserve"/>
        </x:is>
      </x:c>
      <x:c r="V103" t="inlineStr">
        <x:is>
          <x:t xml:space="preserve">SUCCESS</x:t>
        </x:is>
      </x:c>
      <x:c r="W103" t="n">
        <x:f>IF((COUNT('Quantification_Results'!Q103)=1),IFERROR(ROUND((SUM(('Quantification_Results'!Q103*'Quantification_Config'!$R$9))/SUM('Quantification_Config'!$R$9)),'Quantification_Config'!$U$2),""),"")</x:f>
        <x:v>50</x:v>
      </x:c>
      <x:c r="X103" t="n">
        <x:f>IF((COUNT('Quantification_Results'!W103)=1),IFERROR(ROUND((SUM(('Quantification_Results'!W103*'Quantification_Config'!$R$8))/SUM('Quantification_Config'!$R$8)),'Quantification_Config'!$U$2),""),"")</x:f>
        <x:v>50</x:v>
      </x:c>
      <x:c r="Y103" t="n">
        <x:v>0</x:v>
      </x:c>
      <x:c r="Z103"/>
      <x:c r="AA103"/>
      <x:c r="AB103">
        <x:f>IF(('Quantification_Results'!Y103&lt;&gt;1),"",IF(('Quantification_Results'!AA103=""),IF(ISNUMBER('Quantification_Results'!Z103),IF(('Quantification_Results'!Z103&lt;'Quantification_Config'!$S$12),"",IF(('Quantification_Results'!Z103&gt;'Quantification_Config'!$T$12),"",'Quantification_Results'!Z103)),""),IF(ISNUMBER('Quantification_Results'!AA103),IF(('Quantification_Results'!AA103&lt;'Quantification_Config'!$S$12),"",IF(('Quantification_Results'!AA103&gt;'Quantification_Config'!$T$12),"",'Quantification_Results'!AA103)),"")))</x:f>
      </x:c>
      <x:c r="AC103">
        <x:f>IF(ISNUMBER('Quantification_Results'!AB103),IFERROR(ROUND(((('Quantification_Results'!AB103-'Quantification_Config'!$S$12)/('Quantification_Config'!$T$12-'Quantification_Config'!$S$12))*100),'Quantification_Config'!$U$2),""),"")</x:f>
      </x:c>
      <x:c r="AD103" t="inlineStr">
        <x:is>
          <x:t xml:space="preserve"/>
        </x:is>
      </x:c>
      <x:c r="AE103" t="inlineStr">
        <x:is>
          <x:t xml:space="preserve"/>
        </x:is>
      </x:c>
      <x:c r="AF103" t="inlineStr">
        <x:is>
          <x:t xml:space="preserve"/>
        </x:is>
      </x:c>
      <x:c r="AG103" t="inlineStr">
        <x:is>
          <x:t xml:space="preserve"/>
        </x:is>
      </x:c>
      <x:c r="AH103" t="inlineStr">
        <x:is>
          <x:t xml:space="preserve">EMPTY</x:t>
        </x:is>
      </x:c>
      <x:c r="AI103">
        <x:f>IF((COUNT('Quantification_Results'!AC103)=1),IFERROR(ROUND((SUM(('Quantification_Results'!AC103*'Quantification_Config'!$R$12))/SUM('Quantification_Config'!$R$12)),'Quantification_Config'!$U$2),""),"")</x:f>
      </x:c>
      <x:c r="AJ103">
        <x:f>IF((COUNT('Quantification_Results'!AI103)=1),IFERROR(ROUND((SUM(('Quantification_Results'!AI103*'Quantification_Config'!$R$11))/SUM('Quantification_Config'!$R$11)),'Quantification_Config'!$U$2),""),"")</x:f>
      </x:c>
      <x:c r="AK103" t="n">
        <x:v>1</x:v>
      </x:c>
      <x:c r="AL103" t="n">
        <x:v>5</x:v>
      </x:c>
      <x:c r="AM103"/>
      <x:c r="AN103" t="n">
        <x:f>IF(('Quantification_Results'!AK103&lt;&gt;1),"",IF(('Quantification_Results'!AM103=""),IF(ISNUMBER('Quantification_Results'!AL103),IF(('Quantification_Results'!AL103&lt;'Quantification_Config'!$S$15),"",IF(('Quantification_Results'!AL103&gt;'Quantification_Config'!$T$15),"",'Quantification_Results'!AL103)),""),IF(ISNUMBER('Quantification_Results'!AM103),IF(('Quantification_Results'!AM103&lt;'Quantification_Config'!$S$15),"",IF(('Quantification_Results'!AM103&gt;'Quantification_Config'!$T$15),"",'Quantification_Results'!AM103)),"")))</x:f>
        <x:v>5</x:v>
      </x:c>
      <x:c r="AO103" t="n">
        <x:f>IF(ISNUMBER('Quantification_Results'!AN103),IFERROR(ROUND(((('Quantification_Results'!AN103-'Quantification_Config'!$S$15)/('Quantification_Config'!$T$15-'Quantification_Config'!$S$15))*100),'Quantification_Config'!$U$2),""),"")</x:f>
        <x:v>50</x:v>
      </x:c>
      <x:c r="AP103" t="inlineStr">
        <x:is>
          <x:t xml:space="preserve">SYSTEM-TEST-ONLY-NO-NETWORK-NOT-AN-EDUCATIONAL-EVALUATION</x:t>
        </x:is>
      </x:c>
      <x:c r="AQ103" t="inlineStr">
        <x:is>
          <x:t xml:space="preserve"/>
        </x:is>
      </x:c>
      <x:c r="AR103" t="inlineStr">
        <x:is>
          <x:t xml:space="preserve">NONE</x:t>
        </x:is>
      </x:c>
      <x:c r="AS103" t="inlineStr">
        <x:is>
          <x:t xml:space="preserve"/>
        </x:is>
      </x:c>
      <x:c r="AT103" t="inlineStr">
        <x:is>
          <x:t xml:space="preserve">SUCCESS</x:t>
        </x:is>
      </x:c>
      <x:c r="AU103" t="n">
        <x:f>IF((COUNT('Quantification_Results'!AO103)=1),IFERROR(ROUND((SUM(('Quantification_Results'!AO103*'Quantification_Config'!$R$15))/SUM('Quantification_Config'!$R$15)),'Quantification_Config'!$U$2),""),"")</x:f>
        <x:v>50</x:v>
      </x:c>
      <x:c r="AV103" t="n">
        <x:f>IF((COUNT('Quantification_Results'!AU103)=1),IFERROR(ROUND((SUM(('Quantification_Results'!AU103*'Quantification_Config'!$R$14))/SUM('Quantification_Config'!$R$14)),'Quantification_Config'!$U$2),""),"")</x:f>
        <x:v>50</x:v>
      </x:c>
      <x:c r="AW103" t="n">
        <x:v>1</x:v>
      </x:c>
      <x:c r="AX103" t="n">
        <x:v>5</x:v>
      </x:c>
      <x:c r="AY103"/>
      <x:c r="AZ103" t="n">
        <x:f>IF(('Quantification_Results'!AW103&lt;&gt;1),"",IF(('Quantification_Results'!AY103=""),IF(ISNUMBER('Quantification_Results'!AX103),IF(('Quantification_Results'!AX103&lt;'Quantification_Config'!$S$19),"",IF(('Quantification_Results'!AX103&gt;'Quantification_Config'!$T$19),"",'Quantification_Results'!AX103)),""),IF(ISNUMBER('Quantification_Results'!AY103),IF(('Quantification_Results'!AY103&lt;'Quantification_Config'!$S$19),"",IF(('Quantification_Results'!AY103&gt;'Quantification_Config'!$T$19),"",'Quantification_Results'!AY103)),"")))</x:f>
        <x:v>5</x:v>
      </x:c>
      <x:c r="BA103" t="n">
        <x:f>IF(ISNUMBER('Quantification_Results'!AZ103),IFERROR(ROUND(((('Quantification_Results'!AZ103-'Quantification_Config'!$S$19)/('Quantification_Config'!$T$19-'Quantification_Config'!$S$19))*100),'Quantification_Config'!$U$2),""),"")</x:f>
        <x:v>50</x:v>
      </x:c>
      <x:c r="BB103" t="inlineStr">
        <x:is>
          <x:t xml:space="preserve">SYSTEM-TEST-ONLY-NO-NETWORK-NOT-AN-EDUCATIONAL-EVALUATION</x:t>
        </x:is>
      </x:c>
      <x:c r="BC103" t="inlineStr">
        <x:is>
          <x:t xml:space="preserve"/>
        </x:is>
      </x:c>
      <x:c r="BD103" t="inlineStr">
        <x:is>
          <x:t xml:space="preserve">NONE</x:t>
        </x:is>
      </x:c>
      <x:c r="BE103" t="inlineStr">
        <x:is>
          <x:t xml:space="preserve"/>
        </x:is>
      </x:c>
      <x:c r="BF103" t="inlineStr">
        <x:is>
          <x:t xml:space="preserve">SUCCESS</x:t>
        </x:is>
      </x:c>
      <x:c r="BG103" t="n">
        <x:f>IF((COUNT('Quantification_Results'!BA103)=1),IFERROR(ROUND((SUM(('Quantification_Results'!BA103*'Quantification_Config'!$R$19))/SUM('Quantification_Config'!$R$19)),'Quantification_Config'!$U$2),""),"")</x:f>
        <x:v>50</x:v>
      </x:c>
      <x:c r="BH103" t="n">
        <x:f>IF((COUNT('Quantification_Results'!BG103)=1),IFERROR(ROUND((SUM(('Quantification_Results'!BG103*'Quantification_Config'!$R$18))/SUM('Quantification_Config'!$R$18)),'Quantification_Config'!$U$2),""),"")</x:f>
        <x:v>50</x:v>
      </x:c>
      <x:c r="BI103">
        <x:f>IF((COUNT('Quantification_Results'!L103,'Quantification_Results'!X103,'Quantification_Results'!AJ103,'Quantification_Results'!AV103,'Quantification_Results'!BH103)=5),IFERROR(ROUND((SUM(('Quantification_Results'!L103*'Quantification_Config'!$R$4),('Quantification_Results'!X103*'Quantification_Config'!$R$7),('Quantification_Results'!AJ103*'Quantification_Config'!$R$10),('Quantification_Results'!AV103*'Quantification_Config'!$R$13),('Quantification_Results'!BH103*'Quantification_Config'!$R$16))/SUM('Quantification_Config'!$R$4,'Quantification_Config'!$R$7,'Quantification_Config'!$R$10,'Quantification_Config'!$R$13,'Quantification_Config'!$R$16)),'Quantification_Config'!$U$2),""),"")</x:f>
      </x:c>
    </x:row>
    <x:row r="104">
      <x:c r="A104" t="n">
        <x:v>1</x:v>
      </x:c>
      <x:c r="B104" t="n">
        <x:v>5</x:v>
      </x:c>
      <x:c r="C104"/>
      <x:c r="D104" t="n">
        <x:f>IF(('Quantification_Results'!A104&lt;&gt;1),"",IF(('Quantification_Results'!C104=""),IF(ISNUMBER('Quantification_Results'!B104),IF(('Quantification_Results'!B104&lt;'Quantification_Config'!$S$6),"",IF(('Quantification_Results'!B104&gt;'Quantification_Config'!$T$6),"",'Quantification_Results'!B104)),""),IF(ISNUMBER('Quantification_Results'!C104),IF(('Quantification_Results'!C104&lt;'Quantification_Config'!$S$6),"",IF(('Quantification_Results'!C104&gt;'Quantification_Config'!$T$6),"",'Quantification_Results'!C104)),"")))</x:f>
        <x:v>5</x:v>
      </x:c>
      <x:c r="E104" t="n">
        <x:f>IF(ISNUMBER('Quantification_Results'!D104),IFERROR(ROUND(((('Quantification_Results'!D104-'Quantification_Config'!$S$6)/('Quantification_Config'!$T$6-'Quantification_Config'!$S$6))*100),'Quantification_Config'!$U$2),""),"")</x:f>
        <x:v>50</x:v>
      </x:c>
      <x:c r="F104" t="inlineStr">
        <x:is>
          <x:t xml:space="preserve">SYSTEM-TEST-ONLY-NO-NETWORK-NOT-AN-EDUCATIONAL-EVALUATION</x:t>
        </x:is>
      </x:c>
      <x:c r="G104" t="inlineStr">
        <x:is>
          <x:t xml:space="preserve"/>
        </x:is>
      </x:c>
      <x:c r="H104" t="inlineStr">
        <x:is>
          <x:t xml:space="preserve">NONE</x:t>
        </x:is>
      </x:c>
      <x:c r="I104" t="inlineStr">
        <x:is>
          <x:t xml:space="preserve"/>
        </x:is>
      </x:c>
      <x:c r="J104" t="inlineStr">
        <x:is>
          <x:t xml:space="preserve">SUCCESS</x:t>
        </x:is>
      </x:c>
      <x:c r="K104" t="n">
        <x:f>IF((COUNT('Quantification_Results'!E104)=1),IFERROR(ROUND((SUM(('Quantification_Results'!E104*'Quantification_Config'!$R$6))/SUM('Quantification_Config'!$R$6)),'Quantification_Config'!$U$2),""),"")</x:f>
        <x:v>50</x:v>
      </x:c>
      <x:c r="L104" t="n">
        <x:f>IF((COUNT('Quantification_Results'!K104)=1),IFERROR(ROUND((SUM(('Quantification_Results'!K104*'Quantification_Config'!$R$5))/SUM('Quantification_Config'!$R$5)),'Quantification_Config'!$U$2),""),"")</x:f>
        <x:v>50</x:v>
      </x:c>
      <x:c r="M104" t="n">
        <x:v>1</x:v>
      </x:c>
      <x:c r="N104" t="n">
        <x:v>5</x:v>
      </x:c>
      <x:c r="O104"/>
      <x:c r="P104" t="n">
        <x:f>IF(('Quantification_Results'!M104&lt;&gt;1),"",IF(('Quantification_Results'!O104=""),IF(ISNUMBER('Quantification_Results'!N104),IF(('Quantification_Results'!N104&lt;'Quantification_Config'!$S$9),"",IF(('Quantification_Results'!N104&gt;'Quantification_Config'!$T$9),"",'Quantification_Results'!N104)),""),IF(ISNUMBER('Quantification_Results'!O104),IF(('Quantification_Results'!O104&lt;'Quantification_Config'!$S$9),"",IF(('Quantification_Results'!O104&gt;'Quantification_Config'!$T$9),"",'Quantification_Results'!O104)),"")))</x:f>
        <x:v>5</x:v>
      </x:c>
      <x:c r="Q104" t="n">
        <x:f>IF(ISNUMBER('Quantification_Results'!P104),IFERROR(ROUND(((('Quantification_Results'!P104-'Quantification_Config'!$S$9)/('Quantification_Config'!$T$9-'Quantification_Config'!$S$9))*100),'Quantification_Config'!$U$2),""),"")</x:f>
        <x:v>50</x:v>
      </x:c>
      <x:c r="R104" t="inlineStr">
        <x:is>
          <x:t xml:space="preserve">SYSTEM-TEST-ONLY-NO-NETWORK-NOT-AN-EDUCATIONAL-EVALUATION</x:t>
        </x:is>
      </x:c>
      <x:c r="S104" t="inlineStr">
        <x:is>
          <x:t xml:space="preserve"/>
        </x:is>
      </x:c>
      <x:c r="T104" t="inlineStr">
        <x:is>
          <x:t xml:space="preserve">NONE</x:t>
        </x:is>
      </x:c>
      <x:c r="U104" t="inlineStr">
        <x:is>
          <x:t xml:space="preserve"/>
        </x:is>
      </x:c>
      <x:c r="V104" t="inlineStr">
        <x:is>
          <x:t xml:space="preserve">SUCCESS</x:t>
        </x:is>
      </x:c>
      <x:c r="W104" t="n">
        <x:f>IF((COUNT('Quantification_Results'!Q104)=1),IFERROR(ROUND((SUM(('Quantification_Results'!Q104*'Quantification_Config'!$R$9))/SUM('Quantification_Config'!$R$9)),'Quantification_Config'!$U$2),""),"")</x:f>
        <x:v>50</x:v>
      </x:c>
      <x:c r="X104" t="n">
        <x:f>IF((COUNT('Quantification_Results'!W104)=1),IFERROR(ROUND((SUM(('Quantification_Results'!W104*'Quantification_Config'!$R$8))/SUM('Quantification_Config'!$R$8)),'Quantification_Config'!$U$2),""),"")</x:f>
        <x:v>50</x:v>
      </x:c>
      <x:c r="Y104" t="n">
        <x:v>0</x:v>
      </x:c>
      <x:c r="Z104"/>
      <x:c r="AA104"/>
      <x:c r="AB104">
        <x:f>IF(('Quantification_Results'!Y104&lt;&gt;1),"",IF(('Quantification_Results'!AA104=""),IF(ISNUMBER('Quantification_Results'!Z104),IF(('Quantification_Results'!Z104&lt;'Quantification_Config'!$S$12),"",IF(('Quantification_Results'!Z104&gt;'Quantification_Config'!$T$12),"",'Quantification_Results'!Z104)),""),IF(ISNUMBER('Quantification_Results'!AA104),IF(('Quantification_Results'!AA104&lt;'Quantification_Config'!$S$12),"",IF(('Quantification_Results'!AA104&gt;'Quantification_Config'!$T$12),"",'Quantification_Results'!AA104)),"")))</x:f>
      </x:c>
      <x:c r="AC104">
        <x:f>IF(ISNUMBER('Quantification_Results'!AB104),IFERROR(ROUND(((('Quantification_Results'!AB104-'Quantification_Config'!$S$12)/('Quantification_Config'!$T$12-'Quantification_Config'!$S$12))*100),'Quantification_Config'!$U$2),""),"")</x:f>
      </x:c>
      <x:c r="AD104" t="inlineStr">
        <x:is>
          <x:t xml:space="preserve"/>
        </x:is>
      </x:c>
      <x:c r="AE104" t="inlineStr">
        <x:is>
          <x:t xml:space="preserve"/>
        </x:is>
      </x:c>
      <x:c r="AF104" t="inlineStr">
        <x:is>
          <x:t xml:space="preserve"/>
        </x:is>
      </x:c>
      <x:c r="AG104" t="inlineStr">
        <x:is>
          <x:t xml:space="preserve"/>
        </x:is>
      </x:c>
      <x:c r="AH104" t="inlineStr">
        <x:is>
          <x:t xml:space="preserve">EMPTY</x:t>
        </x:is>
      </x:c>
      <x:c r="AI104">
        <x:f>IF((COUNT('Quantification_Results'!AC104)=1),IFERROR(ROUND((SUM(('Quantification_Results'!AC104*'Quantification_Config'!$R$12))/SUM('Quantification_Config'!$R$12)),'Quantification_Config'!$U$2),""),"")</x:f>
      </x:c>
      <x:c r="AJ104">
        <x:f>IF((COUNT('Quantification_Results'!AI104)=1),IFERROR(ROUND((SUM(('Quantification_Results'!AI104*'Quantification_Config'!$R$11))/SUM('Quantification_Config'!$R$11)),'Quantification_Config'!$U$2),""),"")</x:f>
      </x:c>
      <x:c r="AK104" t="n">
        <x:v>1</x:v>
      </x:c>
      <x:c r="AL104" t="n">
        <x:v>5</x:v>
      </x:c>
      <x:c r="AM104"/>
      <x:c r="AN104" t="n">
        <x:f>IF(('Quantification_Results'!AK104&lt;&gt;1),"",IF(('Quantification_Results'!AM104=""),IF(ISNUMBER('Quantification_Results'!AL104),IF(('Quantification_Results'!AL104&lt;'Quantification_Config'!$S$15),"",IF(('Quantification_Results'!AL104&gt;'Quantification_Config'!$T$15),"",'Quantification_Results'!AL104)),""),IF(ISNUMBER('Quantification_Results'!AM104),IF(('Quantification_Results'!AM104&lt;'Quantification_Config'!$S$15),"",IF(('Quantification_Results'!AM104&gt;'Quantification_Config'!$T$15),"",'Quantification_Results'!AM104)),"")))</x:f>
        <x:v>5</x:v>
      </x:c>
      <x:c r="AO104" t="n">
        <x:f>IF(ISNUMBER('Quantification_Results'!AN104),IFERROR(ROUND(((('Quantification_Results'!AN104-'Quantification_Config'!$S$15)/('Quantification_Config'!$T$15-'Quantification_Config'!$S$15))*100),'Quantification_Config'!$U$2),""),"")</x:f>
        <x:v>50</x:v>
      </x:c>
      <x:c r="AP104" t="inlineStr">
        <x:is>
          <x:t xml:space="preserve">SYSTEM-TEST-ONLY-NO-NETWORK-NOT-AN-EDUCATIONAL-EVALUATION</x:t>
        </x:is>
      </x:c>
      <x:c r="AQ104" t="inlineStr">
        <x:is>
          <x:t xml:space="preserve"/>
        </x:is>
      </x:c>
      <x:c r="AR104" t="inlineStr">
        <x:is>
          <x:t xml:space="preserve">NONE</x:t>
        </x:is>
      </x:c>
      <x:c r="AS104" t="inlineStr">
        <x:is>
          <x:t xml:space="preserve"/>
        </x:is>
      </x:c>
      <x:c r="AT104" t="inlineStr">
        <x:is>
          <x:t xml:space="preserve">SUCCESS</x:t>
        </x:is>
      </x:c>
      <x:c r="AU104" t="n">
        <x:f>IF((COUNT('Quantification_Results'!AO104)=1),IFERROR(ROUND((SUM(('Quantification_Results'!AO104*'Quantification_Config'!$R$15))/SUM('Quantification_Config'!$R$15)),'Quantification_Config'!$U$2),""),"")</x:f>
        <x:v>50</x:v>
      </x:c>
      <x:c r="AV104" t="n">
        <x:f>IF((COUNT('Quantification_Results'!AU104)=1),IFERROR(ROUND((SUM(('Quantification_Results'!AU104*'Quantification_Config'!$R$14))/SUM('Quantification_Config'!$R$14)),'Quantification_Config'!$U$2),""),"")</x:f>
        <x:v>50</x:v>
      </x:c>
      <x:c r="AW104" t="n">
        <x:v>1</x:v>
      </x:c>
      <x:c r="AX104" t="n">
        <x:v>5</x:v>
      </x:c>
      <x:c r="AY104"/>
      <x:c r="AZ104" t="n">
        <x:f>IF(('Quantification_Results'!AW104&lt;&gt;1),"",IF(('Quantification_Results'!AY104=""),IF(ISNUMBER('Quantification_Results'!AX104),IF(('Quantification_Results'!AX104&lt;'Quantification_Config'!$S$19),"",IF(('Quantification_Results'!AX104&gt;'Quantification_Config'!$T$19),"",'Quantification_Results'!AX104)),""),IF(ISNUMBER('Quantification_Results'!AY104),IF(('Quantification_Results'!AY104&lt;'Quantification_Config'!$S$19),"",IF(('Quantification_Results'!AY104&gt;'Quantification_Config'!$T$19),"",'Quantification_Results'!AY104)),"")))</x:f>
        <x:v>5</x:v>
      </x:c>
      <x:c r="BA104" t="n">
        <x:f>IF(ISNUMBER('Quantification_Results'!AZ104),IFERROR(ROUND(((('Quantification_Results'!AZ104-'Quantification_Config'!$S$19)/('Quantification_Config'!$T$19-'Quantification_Config'!$S$19))*100),'Quantification_Config'!$U$2),""),"")</x:f>
        <x:v>50</x:v>
      </x:c>
      <x:c r="BB104" t="inlineStr">
        <x:is>
          <x:t xml:space="preserve">SYSTEM-TEST-ONLY-NO-NETWORK-NOT-AN-EDUCATIONAL-EVALUATION</x:t>
        </x:is>
      </x:c>
      <x:c r="BC104" t="inlineStr">
        <x:is>
          <x:t xml:space="preserve"/>
        </x:is>
      </x:c>
      <x:c r="BD104" t="inlineStr">
        <x:is>
          <x:t xml:space="preserve">NONE</x:t>
        </x:is>
      </x:c>
      <x:c r="BE104" t="inlineStr">
        <x:is>
          <x:t xml:space="preserve"/>
        </x:is>
      </x:c>
      <x:c r="BF104" t="inlineStr">
        <x:is>
          <x:t xml:space="preserve">SUCCESS</x:t>
        </x:is>
      </x:c>
      <x:c r="BG104" t="n">
        <x:f>IF((COUNT('Quantification_Results'!BA104)=1),IFERROR(ROUND((SUM(('Quantification_Results'!BA104*'Quantification_Config'!$R$19))/SUM('Quantification_Config'!$R$19)),'Quantification_Config'!$U$2),""),"")</x:f>
        <x:v>50</x:v>
      </x:c>
      <x:c r="BH104" t="n">
        <x:f>IF((COUNT('Quantification_Results'!BG104)=1),IFERROR(ROUND((SUM(('Quantification_Results'!BG104*'Quantification_Config'!$R$18))/SUM('Quantification_Config'!$R$18)),'Quantification_Config'!$U$2),""),"")</x:f>
        <x:v>50</x:v>
      </x:c>
      <x:c r="BI104">
        <x:f>IF((COUNT('Quantification_Results'!L104,'Quantification_Results'!X104,'Quantification_Results'!AJ104,'Quantification_Results'!AV104,'Quantification_Results'!BH104)=5),IFERROR(ROUND((SUM(('Quantification_Results'!L104*'Quantification_Config'!$R$4),('Quantification_Results'!X104*'Quantification_Config'!$R$7),('Quantification_Results'!AJ104*'Quantification_Config'!$R$10),('Quantification_Results'!AV104*'Quantification_Config'!$R$13),('Quantification_Results'!BH104*'Quantification_Config'!$R$16))/SUM('Quantification_Config'!$R$4,'Quantification_Config'!$R$7,'Quantification_Config'!$R$10,'Quantification_Config'!$R$13,'Quantification_Config'!$R$16)),'Quantification_Config'!$U$2),""),"")</x:f>
      </x:c>
    </x:row>
    <x:row r="105">
      <x:c r="A105" t="n">
        <x:v>1</x:v>
      </x:c>
      <x:c r="B105" t="n">
        <x:v>5</x:v>
      </x:c>
      <x:c r="C105"/>
      <x:c r="D105" t="n">
        <x:f>IF(('Quantification_Results'!A105&lt;&gt;1),"",IF(('Quantification_Results'!C105=""),IF(ISNUMBER('Quantification_Results'!B105),IF(('Quantification_Results'!B105&lt;'Quantification_Config'!$S$6),"",IF(('Quantification_Results'!B105&gt;'Quantification_Config'!$T$6),"",'Quantification_Results'!B105)),""),IF(ISNUMBER('Quantification_Results'!C105),IF(('Quantification_Results'!C105&lt;'Quantification_Config'!$S$6),"",IF(('Quantification_Results'!C105&gt;'Quantification_Config'!$T$6),"",'Quantification_Results'!C105)),"")))</x:f>
        <x:v>5</x:v>
      </x:c>
      <x:c r="E105" t="n">
        <x:f>IF(ISNUMBER('Quantification_Results'!D105),IFERROR(ROUND(((('Quantification_Results'!D105-'Quantification_Config'!$S$6)/('Quantification_Config'!$T$6-'Quantification_Config'!$S$6))*100),'Quantification_Config'!$U$2),""),"")</x:f>
        <x:v>50</x:v>
      </x:c>
      <x:c r="F105" t="inlineStr">
        <x:is>
          <x:t xml:space="preserve">SYSTEM-TEST-ONLY-NO-NETWORK-NOT-AN-EDUCATIONAL-EVALUATION</x:t>
        </x:is>
      </x:c>
      <x:c r="G105" t="inlineStr">
        <x:is>
          <x:t xml:space="preserve"/>
        </x:is>
      </x:c>
      <x:c r="H105" t="inlineStr">
        <x:is>
          <x:t xml:space="preserve">NONE</x:t>
        </x:is>
      </x:c>
      <x:c r="I105" t="inlineStr">
        <x:is>
          <x:t xml:space="preserve"/>
        </x:is>
      </x:c>
      <x:c r="J105" t="inlineStr">
        <x:is>
          <x:t xml:space="preserve">SUCCESS</x:t>
        </x:is>
      </x:c>
      <x:c r="K105" t="n">
        <x:f>IF((COUNT('Quantification_Results'!E105)=1),IFERROR(ROUND((SUM(('Quantification_Results'!E105*'Quantification_Config'!$R$6))/SUM('Quantification_Config'!$R$6)),'Quantification_Config'!$U$2),""),"")</x:f>
        <x:v>50</x:v>
      </x:c>
      <x:c r="L105" t="n">
        <x:f>IF((COUNT('Quantification_Results'!K105)=1),IFERROR(ROUND((SUM(('Quantification_Results'!K105*'Quantification_Config'!$R$5))/SUM('Quantification_Config'!$R$5)),'Quantification_Config'!$U$2),""),"")</x:f>
        <x:v>50</x:v>
      </x:c>
      <x:c r="M105" t="n">
        <x:v>1</x:v>
      </x:c>
      <x:c r="N105" t="n">
        <x:v>5</x:v>
      </x:c>
      <x:c r="O105"/>
      <x:c r="P105" t="n">
        <x:f>IF(('Quantification_Results'!M105&lt;&gt;1),"",IF(('Quantification_Results'!O105=""),IF(ISNUMBER('Quantification_Results'!N105),IF(('Quantification_Results'!N105&lt;'Quantification_Config'!$S$9),"",IF(('Quantification_Results'!N105&gt;'Quantification_Config'!$T$9),"",'Quantification_Results'!N105)),""),IF(ISNUMBER('Quantification_Results'!O105),IF(('Quantification_Results'!O105&lt;'Quantification_Config'!$S$9),"",IF(('Quantification_Results'!O105&gt;'Quantification_Config'!$T$9),"",'Quantification_Results'!O105)),"")))</x:f>
        <x:v>5</x:v>
      </x:c>
      <x:c r="Q105" t="n">
        <x:f>IF(ISNUMBER('Quantification_Results'!P105),IFERROR(ROUND(((('Quantification_Results'!P105-'Quantification_Config'!$S$9)/('Quantification_Config'!$T$9-'Quantification_Config'!$S$9))*100),'Quantification_Config'!$U$2),""),"")</x:f>
        <x:v>50</x:v>
      </x:c>
      <x:c r="R105" t="inlineStr">
        <x:is>
          <x:t xml:space="preserve">SYSTEM-TEST-ONLY-NO-NETWORK-NOT-AN-EDUCATIONAL-EVALUATION</x:t>
        </x:is>
      </x:c>
      <x:c r="S105" t="inlineStr">
        <x:is>
          <x:t xml:space="preserve"/>
        </x:is>
      </x:c>
      <x:c r="T105" t="inlineStr">
        <x:is>
          <x:t xml:space="preserve">NONE</x:t>
        </x:is>
      </x:c>
      <x:c r="U105" t="inlineStr">
        <x:is>
          <x:t xml:space="preserve"/>
        </x:is>
      </x:c>
      <x:c r="V105" t="inlineStr">
        <x:is>
          <x:t xml:space="preserve">SUCCESS</x:t>
        </x:is>
      </x:c>
      <x:c r="W105" t="n">
        <x:f>IF((COUNT('Quantification_Results'!Q105)=1),IFERROR(ROUND((SUM(('Quantification_Results'!Q105*'Quantification_Config'!$R$9))/SUM('Quantification_Config'!$R$9)),'Quantification_Config'!$U$2),""),"")</x:f>
        <x:v>50</x:v>
      </x:c>
      <x:c r="X105" t="n">
        <x:f>IF((COUNT('Quantification_Results'!W105)=1),IFERROR(ROUND((SUM(('Quantification_Results'!W105*'Quantification_Config'!$R$8))/SUM('Quantification_Config'!$R$8)),'Quantification_Config'!$U$2),""),"")</x:f>
        <x:v>50</x:v>
      </x:c>
      <x:c r="Y105" t="n">
        <x:v>0</x:v>
      </x:c>
      <x:c r="Z105"/>
      <x:c r="AA105"/>
      <x:c r="AB105">
        <x:f>IF(('Quantification_Results'!Y105&lt;&gt;1),"",IF(('Quantification_Results'!AA105=""),IF(ISNUMBER('Quantification_Results'!Z105),IF(('Quantification_Results'!Z105&lt;'Quantification_Config'!$S$12),"",IF(('Quantification_Results'!Z105&gt;'Quantification_Config'!$T$12),"",'Quantification_Results'!Z105)),""),IF(ISNUMBER('Quantification_Results'!AA105),IF(('Quantification_Results'!AA105&lt;'Quantification_Config'!$S$12),"",IF(('Quantification_Results'!AA105&gt;'Quantification_Config'!$T$12),"",'Quantification_Results'!AA105)),"")))</x:f>
      </x:c>
      <x:c r="AC105">
        <x:f>IF(ISNUMBER('Quantification_Results'!AB105),IFERROR(ROUND(((('Quantification_Results'!AB105-'Quantification_Config'!$S$12)/('Quantification_Config'!$T$12-'Quantification_Config'!$S$12))*100),'Quantification_Config'!$U$2),""),"")</x:f>
      </x:c>
      <x:c r="AD105" t="inlineStr">
        <x:is>
          <x:t xml:space="preserve"/>
        </x:is>
      </x:c>
      <x:c r="AE105" t="inlineStr">
        <x:is>
          <x:t xml:space="preserve"/>
        </x:is>
      </x:c>
      <x:c r="AF105" t="inlineStr">
        <x:is>
          <x:t xml:space="preserve"/>
        </x:is>
      </x:c>
      <x:c r="AG105" t="inlineStr">
        <x:is>
          <x:t xml:space="preserve"/>
        </x:is>
      </x:c>
      <x:c r="AH105" t="inlineStr">
        <x:is>
          <x:t xml:space="preserve">EMPTY</x:t>
        </x:is>
      </x:c>
      <x:c r="AI105">
        <x:f>IF((COUNT('Quantification_Results'!AC105)=1),IFERROR(ROUND((SUM(('Quantification_Results'!AC105*'Quantification_Config'!$R$12))/SUM('Quantification_Config'!$R$12)),'Quantification_Config'!$U$2),""),"")</x:f>
      </x:c>
      <x:c r="AJ105">
        <x:f>IF((COUNT('Quantification_Results'!AI105)=1),IFERROR(ROUND((SUM(('Quantification_Results'!AI105*'Quantification_Config'!$R$11))/SUM('Quantification_Config'!$R$11)),'Quantification_Config'!$U$2),""),"")</x:f>
      </x:c>
      <x:c r="AK105" t="n">
        <x:v>1</x:v>
      </x:c>
      <x:c r="AL105" t="n">
        <x:v>5</x:v>
      </x:c>
      <x:c r="AM105"/>
      <x:c r="AN105" t="n">
        <x:f>IF(('Quantification_Results'!AK105&lt;&gt;1),"",IF(('Quantification_Results'!AM105=""),IF(ISNUMBER('Quantification_Results'!AL105),IF(('Quantification_Results'!AL105&lt;'Quantification_Config'!$S$15),"",IF(('Quantification_Results'!AL105&gt;'Quantification_Config'!$T$15),"",'Quantification_Results'!AL105)),""),IF(ISNUMBER('Quantification_Results'!AM105),IF(('Quantification_Results'!AM105&lt;'Quantification_Config'!$S$15),"",IF(('Quantification_Results'!AM105&gt;'Quantification_Config'!$T$15),"",'Quantification_Results'!AM105)),"")))</x:f>
        <x:v>5</x:v>
      </x:c>
      <x:c r="AO105" t="n">
        <x:f>IF(ISNUMBER('Quantification_Results'!AN105),IFERROR(ROUND(((('Quantification_Results'!AN105-'Quantification_Config'!$S$15)/('Quantification_Config'!$T$15-'Quantification_Config'!$S$15))*100),'Quantification_Config'!$U$2),""),"")</x:f>
        <x:v>50</x:v>
      </x:c>
      <x:c r="AP105" t="inlineStr">
        <x:is>
          <x:t xml:space="preserve">SYSTEM-TEST-ONLY-NO-NETWORK-NOT-AN-EDUCATIONAL-EVALUATION</x:t>
        </x:is>
      </x:c>
      <x:c r="AQ105" t="inlineStr">
        <x:is>
          <x:t xml:space="preserve"/>
        </x:is>
      </x:c>
      <x:c r="AR105" t="inlineStr">
        <x:is>
          <x:t xml:space="preserve">NONE</x:t>
        </x:is>
      </x:c>
      <x:c r="AS105" t="inlineStr">
        <x:is>
          <x:t xml:space="preserve"/>
        </x:is>
      </x:c>
      <x:c r="AT105" t="inlineStr">
        <x:is>
          <x:t xml:space="preserve">SUCCESS</x:t>
        </x:is>
      </x:c>
      <x:c r="AU105" t="n">
        <x:f>IF((COUNT('Quantification_Results'!AO105)=1),IFERROR(ROUND((SUM(('Quantification_Results'!AO105*'Quantification_Config'!$R$15))/SUM('Quantification_Config'!$R$15)),'Quantification_Config'!$U$2),""),"")</x:f>
        <x:v>50</x:v>
      </x:c>
      <x:c r="AV105" t="n">
        <x:f>IF((COUNT('Quantification_Results'!AU105)=1),IFERROR(ROUND((SUM(('Quantification_Results'!AU105*'Quantification_Config'!$R$14))/SUM('Quantification_Config'!$R$14)),'Quantification_Config'!$U$2),""),"")</x:f>
        <x:v>50</x:v>
      </x:c>
      <x:c r="AW105" t="n">
        <x:v>1</x:v>
      </x:c>
      <x:c r="AX105" t="n">
        <x:v>5</x:v>
      </x:c>
      <x:c r="AY105"/>
      <x:c r="AZ105" t="n">
        <x:f>IF(('Quantification_Results'!AW105&lt;&gt;1),"",IF(('Quantification_Results'!AY105=""),IF(ISNUMBER('Quantification_Results'!AX105),IF(('Quantification_Results'!AX105&lt;'Quantification_Config'!$S$19),"",IF(('Quantification_Results'!AX105&gt;'Quantification_Config'!$T$19),"",'Quantification_Results'!AX105)),""),IF(ISNUMBER('Quantification_Results'!AY105),IF(('Quantification_Results'!AY105&lt;'Quantification_Config'!$S$19),"",IF(('Quantification_Results'!AY105&gt;'Quantification_Config'!$T$19),"",'Quantification_Results'!AY105)),"")))</x:f>
        <x:v>5</x:v>
      </x:c>
      <x:c r="BA105" t="n">
        <x:f>IF(ISNUMBER('Quantification_Results'!AZ105),IFERROR(ROUND(((('Quantification_Results'!AZ105-'Quantification_Config'!$S$19)/('Quantification_Config'!$T$19-'Quantification_Config'!$S$19))*100),'Quantification_Config'!$U$2),""),"")</x:f>
        <x:v>50</x:v>
      </x:c>
      <x:c r="BB105" t="inlineStr">
        <x:is>
          <x:t xml:space="preserve">SYSTEM-TEST-ONLY-NO-NETWORK-NOT-AN-EDUCATIONAL-EVALUATION</x:t>
        </x:is>
      </x:c>
      <x:c r="BC105" t="inlineStr">
        <x:is>
          <x:t xml:space="preserve"/>
        </x:is>
      </x:c>
      <x:c r="BD105" t="inlineStr">
        <x:is>
          <x:t xml:space="preserve">NONE</x:t>
        </x:is>
      </x:c>
      <x:c r="BE105" t="inlineStr">
        <x:is>
          <x:t xml:space="preserve"/>
        </x:is>
      </x:c>
      <x:c r="BF105" t="inlineStr">
        <x:is>
          <x:t xml:space="preserve">SUCCESS</x:t>
        </x:is>
      </x:c>
      <x:c r="BG105" t="n">
        <x:f>IF((COUNT('Quantification_Results'!BA105)=1),IFERROR(ROUND((SUM(('Quantification_Results'!BA105*'Quantification_Config'!$R$19))/SUM('Quantification_Config'!$R$19)),'Quantification_Config'!$U$2),""),"")</x:f>
        <x:v>50</x:v>
      </x:c>
      <x:c r="BH105" t="n">
        <x:f>IF((COUNT('Quantification_Results'!BG105)=1),IFERROR(ROUND((SUM(('Quantification_Results'!BG105*'Quantification_Config'!$R$18))/SUM('Quantification_Config'!$R$18)),'Quantification_Config'!$U$2),""),"")</x:f>
        <x:v>50</x:v>
      </x:c>
      <x:c r="BI105">
        <x:f>IF((COUNT('Quantification_Results'!L105,'Quantification_Results'!X105,'Quantification_Results'!AJ105,'Quantification_Results'!AV105,'Quantification_Results'!BH105)=5),IFERROR(ROUND((SUM(('Quantification_Results'!L105*'Quantification_Config'!$R$4),('Quantification_Results'!X105*'Quantification_Config'!$R$7),('Quantification_Results'!AJ105*'Quantification_Config'!$R$10),('Quantification_Results'!AV105*'Quantification_Config'!$R$13),('Quantification_Results'!BH105*'Quantification_Config'!$R$16))/SUM('Quantification_Config'!$R$4,'Quantification_Config'!$R$7,'Quantification_Config'!$R$10,'Quantification_Config'!$R$13,'Quantification_Config'!$R$16)),'Quantification_Config'!$U$2),""),"")</x:f>
      </x:c>
    </x:row>
    <x:row r="106">
      <x:c r="A106" t="n">
        <x:v>1</x:v>
      </x:c>
      <x:c r="B106" t="n">
        <x:v>5</x:v>
      </x:c>
      <x:c r="C106"/>
      <x:c r="D106" t="n">
        <x:f>IF(('Quantification_Results'!A106&lt;&gt;1),"",IF(('Quantification_Results'!C106=""),IF(ISNUMBER('Quantification_Results'!B106),IF(('Quantification_Results'!B106&lt;'Quantification_Config'!$S$6),"",IF(('Quantification_Results'!B106&gt;'Quantification_Config'!$T$6),"",'Quantification_Results'!B106)),""),IF(ISNUMBER('Quantification_Results'!C106),IF(('Quantification_Results'!C106&lt;'Quantification_Config'!$S$6),"",IF(('Quantification_Results'!C106&gt;'Quantification_Config'!$T$6),"",'Quantification_Results'!C106)),"")))</x:f>
        <x:v>5</x:v>
      </x:c>
      <x:c r="E106" t="n">
        <x:f>IF(ISNUMBER('Quantification_Results'!D106),IFERROR(ROUND(((('Quantification_Results'!D106-'Quantification_Config'!$S$6)/('Quantification_Config'!$T$6-'Quantification_Config'!$S$6))*100),'Quantification_Config'!$U$2),""),"")</x:f>
        <x:v>50</x:v>
      </x:c>
      <x:c r="F106" t="inlineStr">
        <x:is>
          <x:t xml:space="preserve">SYSTEM-TEST-ONLY-NO-NETWORK-NOT-AN-EDUCATIONAL-EVALUATION</x:t>
        </x:is>
      </x:c>
      <x:c r="G106" t="inlineStr">
        <x:is>
          <x:t xml:space="preserve"/>
        </x:is>
      </x:c>
      <x:c r="H106" t="inlineStr">
        <x:is>
          <x:t xml:space="preserve">NONE</x:t>
        </x:is>
      </x:c>
      <x:c r="I106" t="inlineStr">
        <x:is>
          <x:t xml:space="preserve"/>
        </x:is>
      </x:c>
      <x:c r="J106" t="inlineStr">
        <x:is>
          <x:t xml:space="preserve">SUCCESS</x:t>
        </x:is>
      </x:c>
      <x:c r="K106" t="n">
        <x:f>IF((COUNT('Quantification_Results'!E106)=1),IFERROR(ROUND((SUM(('Quantification_Results'!E106*'Quantification_Config'!$R$6))/SUM('Quantification_Config'!$R$6)),'Quantification_Config'!$U$2),""),"")</x:f>
        <x:v>50</x:v>
      </x:c>
      <x:c r="L106" t="n">
        <x:f>IF((COUNT('Quantification_Results'!K106)=1),IFERROR(ROUND((SUM(('Quantification_Results'!K106*'Quantification_Config'!$R$5))/SUM('Quantification_Config'!$R$5)),'Quantification_Config'!$U$2),""),"")</x:f>
        <x:v>50</x:v>
      </x:c>
      <x:c r="M106" t="n">
        <x:v>1</x:v>
      </x:c>
      <x:c r="N106" t="n">
        <x:v>5</x:v>
      </x:c>
      <x:c r="O106"/>
      <x:c r="P106" t="n">
        <x:f>IF(('Quantification_Results'!M106&lt;&gt;1),"",IF(('Quantification_Results'!O106=""),IF(ISNUMBER('Quantification_Results'!N106),IF(('Quantification_Results'!N106&lt;'Quantification_Config'!$S$9),"",IF(('Quantification_Results'!N106&gt;'Quantification_Config'!$T$9),"",'Quantification_Results'!N106)),""),IF(ISNUMBER('Quantification_Results'!O106),IF(('Quantification_Results'!O106&lt;'Quantification_Config'!$S$9),"",IF(('Quantification_Results'!O106&gt;'Quantification_Config'!$T$9),"",'Quantification_Results'!O106)),"")))</x:f>
        <x:v>5</x:v>
      </x:c>
      <x:c r="Q106" t="n">
        <x:f>IF(ISNUMBER('Quantification_Results'!P106),IFERROR(ROUND(((('Quantification_Results'!P106-'Quantification_Config'!$S$9)/('Quantification_Config'!$T$9-'Quantification_Config'!$S$9))*100),'Quantification_Config'!$U$2),""),"")</x:f>
        <x:v>50</x:v>
      </x:c>
      <x:c r="R106" t="inlineStr">
        <x:is>
          <x:t xml:space="preserve">SYSTEM-TEST-ONLY-NO-NETWORK-NOT-AN-EDUCATIONAL-EVALUATION</x:t>
        </x:is>
      </x:c>
      <x:c r="S106" t="inlineStr">
        <x:is>
          <x:t xml:space="preserve"/>
        </x:is>
      </x:c>
      <x:c r="T106" t="inlineStr">
        <x:is>
          <x:t xml:space="preserve">NONE</x:t>
        </x:is>
      </x:c>
      <x:c r="U106" t="inlineStr">
        <x:is>
          <x:t xml:space="preserve"/>
        </x:is>
      </x:c>
      <x:c r="V106" t="inlineStr">
        <x:is>
          <x:t xml:space="preserve">SUCCESS</x:t>
        </x:is>
      </x:c>
      <x:c r="W106" t="n">
        <x:f>IF((COUNT('Quantification_Results'!Q106)=1),IFERROR(ROUND((SUM(('Quantification_Results'!Q106*'Quantification_Config'!$R$9))/SUM('Quantification_Config'!$R$9)),'Quantification_Config'!$U$2),""),"")</x:f>
        <x:v>50</x:v>
      </x:c>
      <x:c r="X106" t="n">
        <x:f>IF((COUNT('Quantification_Results'!W106)=1),IFERROR(ROUND((SUM(('Quantification_Results'!W106*'Quantification_Config'!$R$8))/SUM('Quantification_Config'!$R$8)),'Quantification_Config'!$U$2),""),"")</x:f>
        <x:v>50</x:v>
      </x:c>
      <x:c r="Y106" t="n">
        <x:v>0</x:v>
      </x:c>
      <x:c r="Z106"/>
      <x:c r="AA106"/>
      <x:c r="AB106">
        <x:f>IF(('Quantification_Results'!Y106&lt;&gt;1),"",IF(('Quantification_Results'!AA106=""),IF(ISNUMBER('Quantification_Results'!Z106),IF(('Quantification_Results'!Z106&lt;'Quantification_Config'!$S$12),"",IF(('Quantification_Results'!Z106&gt;'Quantification_Config'!$T$12),"",'Quantification_Results'!Z106)),""),IF(ISNUMBER('Quantification_Results'!AA106),IF(('Quantification_Results'!AA106&lt;'Quantification_Config'!$S$12),"",IF(('Quantification_Results'!AA106&gt;'Quantification_Config'!$T$12),"",'Quantification_Results'!AA106)),"")))</x:f>
      </x:c>
      <x:c r="AC106">
        <x:f>IF(ISNUMBER('Quantification_Results'!AB106),IFERROR(ROUND(((('Quantification_Results'!AB106-'Quantification_Config'!$S$12)/('Quantification_Config'!$T$12-'Quantification_Config'!$S$12))*100),'Quantification_Config'!$U$2),""),"")</x:f>
      </x:c>
      <x:c r="AD106" t="inlineStr">
        <x:is>
          <x:t xml:space="preserve"/>
        </x:is>
      </x:c>
      <x:c r="AE106" t="inlineStr">
        <x:is>
          <x:t xml:space="preserve"/>
        </x:is>
      </x:c>
      <x:c r="AF106" t="inlineStr">
        <x:is>
          <x:t xml:space="preserve"/>
        </x:is>
      </x:c>
      <x:c r="AG106" t="inlineStr">
        <x:is>
          <x:t xml:space="preserve"/>
        </x:is>
      </x:c>
      <x:c r="AH106" t="inlineStr">
        <x:is>
          <x:t xml:space="preserve">EMPTY</x:t>
        </x:is>
      </x:c>
      <x:c r="AI106">
        <x:f>IF((COUNT('Quantification_Results'!AC106)=1),IFERROR(ROUND((SUM(('Quantification_Results'!AC106*'Quantification_Config'!$R$12))/SUM('Quantification_Config'!$R$12)),'Quantification_Config'!$U$2),""),"")</x:f>
      </x:c>
      <x:c r="AJ106">
        <x:f>IF((COUNT('Quantification_Results'!AI106)=1),IFERROR(ROUND((SUM(('Quantification_Results'!AI106*'Quantification_Config'!$R$11))/SUM('Quantification_Config'!$R$11)),'Quantification_Config'!$U$2),""),"")</x:f>
      </x:c>
      <x:c r="AK106" t="n">
        <x:v>1</x:v>
      </x:c>
      <x:c r="AL106" t="n">
        <x:v>5</x:v>
      </x:c>
      <x:c r="AM106"/>
      <x:c r="AN106" t="n">
        <x:f>IF(('Quantification_Results'!AK106&lt;&gt;1),"",IF(('Quantification_Results'!AM106=""),IF(ISNUMBER('Quantification_Results'!AL106),IF(('Quantification_Results'!AL106&lt;'Quantification_Config'!$S$15),"",IF(('Quantification_Results'!AL106&gt;'Quantification_Config'!$T$15),"",'Quantification_Results'!AL106)),""),IF(ISNUMBER('Quantification_Results'!AM106),IF(('Quantification_Results'!AM106&lt;'Quantification_Config'!$S$15),"",IF(('Quantification_Results'!AM106&gt;'Quantification_Config'!$T$15),"",'Quantification_Results'!AM106)),"")))</x:f>
        <x:v>5</x:v>
      </x:c>
      <x:c r="AO106" t="n">
        <x:f>IF(ISNUMBER('Quantification_Results'!AN106),IFERROR(ROUND(((('Quantification_Results'!AN106-'Quantification_Config'!$S$15)/('Quantification_Config'!$T$15-'Quantification_Config'!$S$15))*100),'Quantification_Config'!$U$2),""),"")</x:f>
        <x:v>50</x:v>
      </x:c>
      <x:c r="AP106" t="inlineStr">
        <x:is>
          <x:t xml:space="preserve">SYSTEM-TEST-ONLY-NO-NETWORK-NOT-AN-EDUCATIONAL-EVALUATION</x:t>
        </x:is>
      </x:c>
      <x:c r="AQ106" t="inlineStr">
        <x:is>
          <x:t xml:space="preserve"/>
        </x:is>
      </x:c>
      <x:c r="AR106" t="inlineStr">
        <x:is>
          <x:t xml:space="preserve">NONE</x:t>
        </x:is>
      </x:c>
      <x:c r="AS106" t="inlineStr">
        <x:is>
          <x:t xml:space="preserve"/>
        </x:is>
      </x:c>
      <x:c r="AT106" t="inlineStr">
        <x:is>
          <x:t xml:space="preserve">SUCCESS</x:t>
        </x:is>
      </x:c>
      <x:c r="AU106" t="n">
        <x:f>IF((COUNT('Quantification_Results'!AO106)=1),IFERROR(ROUND((SUM(('Quantification_Results'!AO106*'Quantification_Config'!$R$15))/SUM('Quantification_Config'!$R$15)),'Quantification_Config'!$U$2),""),"")</x:f>
        <x:v>50</x:v>
      </x:c>
      <x:c r="AV106" t="n">
        <x:f>IF((COUNT('Quantification_Results'!AU106)=1),IFERROR(ROUND((SUM(('Quantification_Results'!AU106*'Quantification_Config'!$R$14))/SUM('Quantification_Config'!$R$14)),'Quantification_Config'!$U$2),""),"")</x:f>
        <x:v>50</x:v>
      </x:c>
      <x:c r="AW106" t="n">
        <x:v>1</x:v>
      </x:c>
      <x:c r="AX106" t="n">
        <x:v>5</x:v>
      </x:c>
      <x:c r="AY106"/>
      <x:c r="AZ106" t="n">
        <x:f>IF(('Quantification_Results'!AW106&lt;&gt;1),"",IF(('Quantification_Results'!AY106=""),IF(ISNUMBER('Quantification_Results'!AX106),IF(('Quantification_Results'!AX106&lt;'Quantification_Config'!$S$19),"",IF(('Quantification_Results'!AX106&gt;'Quantification_Config'!$T$19),"",'Quantification_Results'!AX106)),""),IF(ISNUMBER('Quantification_Results'!AY106),IF(('Quantification_Results'!AY106&lt;'Quantification_Config'!$S$19),"",IF(('Quantification_Results'!AY106&gt;'Quantification_Config'!$T$19),"",'Quantification_Results'!AY106)),"")))</x:f>
        <x:v>5</x:v>
      </x:c>
      <x:c r="BA106" t="n">
        <x:f>IF(ISNUMBER('Quantification_Results'!AZ106),IFERROR(ROUND(((('Quantification_Results'!AZ106-'Quantification_Config'!$S$19)/('Quantification_Config'!$T$19-'Quantification_Config'!$S$19))*100),'Quantification_Config'!$U$2),""),"")</x:f>
        <x:v>50</x:v>
      </x:c>
      <x:c r="BB106" t="inlineStr">
        <x:is>
          <x:t xml:space="preserve">SYSTEM-TEST-ONLY-NO-NETWORK-NOT-AN-EDUCATIONAL-EVALUATION</x:t>
        </x:is>
      </x:c>
      <x:c r="BC106" t="inlineStr">
        <x:is>
          <x:t xml:space="preserve"/>
        </x:is>
      </x:c>
      <x:c r="BD106" t="inlineStr">
        <x:is>
          <x:t xml:space="preserve">NONE</x:t>
        </x:is>
      </x:c>
      <x:c r="BE106" t="inlineStr">
        <x:is>
          <x:t xml:space="preserve"/>
        </x:is>
      </x:c>
      <x:c r="BF106" t="inlineStr">
        <x:is>
          <x:t xml:space="preserve">SUCCESS</x:t>
        </x:is>
      </x:c>
      <x:c r="BG106" t="n">
        <x:f>IF((COUNT('Quantification_Results'!BA106)=1),IFERROR(ROUND((SUM(('Quantification_Results'!BA106*'Quantification_Config'!$R$19))/SUM('Quantification_Config'!$R$19)),'Quantification_Config'!$U$2),""),"")</x:f>
        <x:v>50</x:v>
      </x:c>
      <x:c r="BH106" t="n">
        <x:f>IF((COUNT('Quantification_Results'!BG106)=1),IFERROR(ROUND((SUM(('Quantification_Results'!BG106*'Quantification_Config'!$R$18))/SUM('Quantification_Config'!$R$18)),'Quantification_Config'!$U$2),""),"")</x:f>
        <x:v>50</x:v>
      </x:c>
      <x:c r="BI106">
        <x:f>IF((COUNT('Quantification_Results'!L106,'Quantification_Results'!X106,'Quantification_Results'!AJ106,'Quantification_Results'!AV106,'Quantification_Results'!BH106)=5),IFERROR(ROUND((SUM(('Quantification_Results'!L106*'Quantification_Config'!$R$4),('Quantification_Results'!X106*'Quantification_Config'!$R$7),('Quantification_Results'!AJ106*'Quantification_Config'!$R$10),('Quantification_Results'!AV106*'Quantification_Config'!$R$13),('Quantification_Results'!BH106*'Quantification_Config'!$R$16))/SUM('Quantification_Config'!$R$4,'Quantification_Config'!$R$7,'Quantification_Config'!$R$10,'Quantification_Config'!$R$13,'Quantification_Config'!$R$16)),'Quantification_Config'!$U$2),""),"")</x:f>
      </x:c>
    </x:row>
    <x:row r="107">
      <x:c r="A107" t="n">
        <x:v>1</x:v>
      </x:c>
      <x:c r="B107" t="n">
        <x:v>5</x:v>
      </x:c>
      <x:c r="C107"/>
      <x:c r="D107" t="n">
        <x:f>IF(('Quantification_Results'!A107&lt;&gt;1),"",IF(('Quantification_Results'!C107=""),IF(ISNUMBER('Quantification_Results'!B107),IF(('Quantification_Results'!B107&lt;'Quantification_Config'!$S$6),"",IF(('Quantification_Results'!B107&gt;'Quantification_Config'!$T$6),"",'Quantification_Results'!B107)),""),IF(ISNUMBER('Quantification_Results'!C107),IF(('Quantification_Results'!C107&lt;'Quantification_Config'!$S$6),"",IF(('Quantification_Results'!C107&gt;'Quantification_Config'!$T$6),"",'Quantification_Results'!C107)),"")))</x:f>
        <x:v>5</x:v>
      </x:c>
      <x:c r="E107" t="n">
        <x:f>IF(ISNUMBER('Quantification_Results'!D107),IFERROR(ROUND(((('Quantification_Results'!D107-'Quantification_Config'!$S$6)/('Quantification_Config'!$T$6-'Quantification_Config'!$S$6))*100),'Quantification_Config'!$U$2),""),"")</x:f>
        <x:v>50</x:v>
      </x:c>
      <x:c r="F107" t="inlineStr">
        <x:is>
          <x:t xml:space="preserve">SYSTEM-TEST-ONLY-NO-NETWORK-NOT-AN-EDUCATIONAL-EVALUATION</x:t>
        </x:is>
      </x:c>
      <x:c r="G107" t="inlineStr">
        <x:is>
          <x:t xml:space="preserve"/>
        </x:is>
      </x:c>
      <x:c r="H107" t="inlineStr">
        <x:is>
          <x:t xml:space="preserve">NONE</x:t>
        </x:is>
      </x:c>
      <x:c r="I107" t="inlineStr">
        <x:is>
          <x:t xml:space="preserve"/>
        </x:is>
      </x:c>
      <x:c r="J107" t="inlineStr">
        <x:is>
          <x:t xml:space="preserve">SUCCESS</x:t>
        </x:is>
      </x:c>
      <x:c r="K107" t="n">
        <x:f>IF((COUNT('Quantification_Results'!E107)=1),IFERROR(ROUND((SUM(('Quantification_Results'!E107*'Quantification_Config'!$R$6))/SUM('Quantification_Config'!$R$6)),'Quantification_Config'!$U$2),""),"")</x:f>
        <x:v>50</x:v>
      </x:c>
      <x:c r="L107" t="n">
        <x:f>IF((COUNT('Quantification_Results'!K107)=1),IFERROR(ROUND((SUM(('Quantification_Results'!K107*'Quantification_Config'!$R$5))/SUM('Quantification_Config'!$R$5)),'Quantification_Config'!$U$2),""),"")</x:f>
        <x:v>50</x:v>
      </x:c>
      <x:c r="M107" t="n">
        <x:v>1</x:v>
      </x:c>
      <x:c r="N107" t="n">
        <x:v>5</x:v>
      </x:c>
      <x:c r="O107"/>
      <x:c r="P107" t="n">
        <x:f>IF(('Quantification_Results'!M107&lt;&gt;1),"",IF(('Quantification_Results'!O107=""),IF(ISNUMBER('Quantification_Results'!N107),IF(('Quantification_Results'!N107&lt;'Quantification_Config'!$S$9),"",IF(('Quantification_Results'!N107&gt;'Quantification_Config'!$T$9),"",'Quantification_Results'!N107)),""),IF(ISNUMBER('Quantification_Results'!O107),IF(('Quantification_Results'!O107&lt;'Quantification_Config'!$S$9),"",IF(('Quantification_Results'!O107&gt;'Quantification_Config'!$T$9),"",'Quantification_Results'!O107)),"")))</x:f>
        <x:v>5</x:v>
      </x:c>
      <x:c r="Q107" t="n">
        <x:f>IF(ISNUMBER('Quantification_Results'!P107),IFERROR(ROUND(((('Quantification_Results'!P107-'Quantification_Config'!$S$9)/('Quantification_Config'!$T$9-'Quantification_Config'!$S$9))*100),'Quantification_Config'!$U$2),""),"")</x:f>
        <x:v>50</x:v>
      </x:c>
      <x:c r="R107" t="inlineStr">
        <x:is>
          <x:t xml:space="preserve">SYSTEM-TEST-ONLY-NO-NETWORK-NOT-AN-EDUCATIONAL-EVALUATION</x:t>
        </x:is>
      </x:c>
      <x:c r="S107" t="inlineStr">
        <x:is>
          <x:t xml:space="preserve"/>
        </x:is>
      </x:c>
      <x:c r="T107" t="inlineStr">
        <x:is>
          <x:t xml:space="preserve">NONE</x:t>
        </x:is>
      </x:c>
      <x:c r="U107" t="inlineStr">
        <x:is>
          <x:t xml:space="preserve"/>
        </x:is>
      </x:c>
      <x:c r="V107" t="inlineStr">
        <x:is>
          <x:t xml:space="preserve">SUCCESS</x:t>
        </x:is>
      </x:c>
      <x:c r="W107" t="n">
        <x:f>IF((COUNT('Quantification_Results'!Q107)=1),IFERROR(ROUND((SUM(('Quantification_Results'!Q107*'Quantification_Config'!$R$9))/SUM('Quantification_Config'!$R$9)),'Quantification_Config'!$U$2),""),"")</x:f>
        <x:v>50</x:v>
      </x:c>
      <x:c r="X107" t="n">
        <x:f>IF((COUNT('Quantification_Results'!W107)=1),IFERROR(ROUND((SUM(('Quantification_Results'!W107*'Quantification_Config'!$R$8))/SUM('Quantification_Config'!$R$8)),'Quantification_Config'!$U$2),""),"")</x:f>
        <x:v>50</x:v>
      </x:c>
      <x:c r="Y107" t="n">
        <x:v>0</x:v>
      </x:c>
      <x:c r="Z107"/>
      <x:c r="AA107"/>
      <x:c r="AB107">
        <x:f>IF(('Quantification_Results'!Y107&lt;&gt;1),"",IF(('Quantification_Results'!AA107=""),IF(ISNUMBER('Quantification_Results'!Z107),IF(('Quantification_Results'!Z107&lt;'Quantification_Config'!$S$12),"",IF(('Quantification_Results'!Z107&gt;'Quantification_Config'!$T$12),"",'Quantification_Results'!Z107)),""),IF(ISNUMBER('Quantification_Results'!AA107),IF(('Quantification_Results'!AA107&lt;'Quantification_Config'!$S$12),"",IF(('Quantification_Results'!AA107&gt;'Quantification_Config'!$T$12),"",'Quantification_Results'!AA107)),"")))</x:f>
      </x:c>
      <x:c r="AC107">
        <x:f>IF(ISNUMBER('Quantification_Results'!AB107),IFERROR(ROUND(((('Quantification_Results'!AB107-'Quantification_Config'!$S$12)/('Quantification_Config'!$T$12-'Quantification_Config'!$S$12))*100),'Quantification_Config'!$U$2),""),"")</x:f>
      </x:c>
      <x:c r="AD107" t="inlineStr">
        <x:is>
          <x:t xml:space="preserve"/>
        </x:is>
      </x:c>
      <x:c r="AE107" t="inlineStr">
        <x:is>
          <x:t xml:space="preserve"/>
        </x:is>
      </x:c>
      <x:c r="AF107" t="inlineStr">
        <x:is>
          <x:t xml:space="preserve"/>
        </x:is>
      </x:c>
      <x:c r="AG107" t="inlineStr">
        <x:is>
          <x:t xml:space="preserve"/>
        </x:is>
      </x:c>
      <x:c r="AH107" t="inlineStr">
        <x:is>
          <x:t xml:space="preserve">EMPTY</x:t>
        </x:is>
      </x:c>
      <x:c r="AI107">
        <x:f>IF((COUNT('Quantification_Results'!AC107)=1),IFERROR(ROUND((SUM(('Quantification_Results'!AC107*'Quantification_Config'!$R$12))/SUM('Quantification_Config'!$R$12)),'Quantification_Config'!$U$2),""),"")</x:f>
      </x:c>
      <x:c r="AJ107">
        <x:f>IF((COUNT('Quantification_Results'!AI107)=1),IFERROR(ROUND((SUM(('Quantification_Results'!AI107*'Quantification_Config'!$R$11))/SUM('Quantification_Config'!$R$11)),'Quantification_Config'!$U$2),""),"")</x:f>
      </x:c>
      <x:c r="AK107" t="n">
        <x:v>1</x:v>
      </x:c>
      <x:c r="AL107" t="n">
        <x:v>5</x:v>
      </x:c>
      <x:c r="AM107"/>
      <x:c r="AN107" t="n">
        <x:f>IF(('Quantification_Results'!AK107&lt;&gt;1),"",IF(('Quantification_Results'!AM107=""),IF(ISNUMBER('Quantification_Results'!AL107),IF(('Quantification_Results'!AL107&lt;'Quantification_Config'!$S$15),"",IF(('Quantification_Results'!AL107&gt;'Quantification_Config'!$T$15),"",'Quantification_Results'!AL107)),""),IF(ISNUMBER('Quantification_Results'!AM107),IF(('Quantification_Results'!AM107&lt;'Quantification_Config'!$S$15),"",IF(('Quantification_Results'!AM107&gt;'Quantification_Config'!$T$15),"",'Quantification_Results'!AM107)),"")))</x:f>
        <x:v>5</x:v>
      </x:c>
      <x:c r="AO107" t="n">
        <x:f>IF(ISNUMBER('Quantification_Results'!AN107),IFERROR(ROUND(((('Quantification_Results'!AN107-'Quantification_Config'!$S$15)/('Quantification_Config'!$T$15-'Quantification_Config'!$S$15))*100),'Quantification_Config'!$U$2),""),"")</x:f>
        <x:v>50</x:v>
      </x:c>
      <x:c r="AP107" t="inlineStr">
        <x:is>
          <x:t xml:space="preserve">SYSTEM-TEST-ONLY-NO-NETWORK-NOT-AN-EDUCATIONAL-EVALUATION</x:t>
        </x:is>
      </x:c>
      <x:c r="AQ107" t="inlineStr">
        <x:is>
          <x:t xml:space="preserve"/>
        </x:is>
      </x:c>
      <x:c r="AR107" t="inlineStr">
        <x:is>
          <x:t xml:space="preserve">NONE</x:t>
        </x:is>
      </x:c>
      <x:c r="AS107" t="inlineStr">
        <x:is>
          <x:t xml:space="preserve"/>
        </x:is>
      </x:c>
      <x:c r="AT107" t="inlineStr">
        <x:is>
          <x:t xml:space="preserve">SUCCESS</x:t>
        </x:is>
      </x:c>
      <x:c r="AU107" t="n">
        <x:f>IF((COUNT('Quantification_Results'!AO107)=1),IFERROR(ROUND((SUM(('Quantification_Results'!AO107*'Quantification_Config'!$R$15))/SUM('Quantification_Config'!$R$15)),'Quantification_Config'!$U$2),""),"")</x:f>
        <x:v>50</x:v>
      </x:c>
      <x:c r="AV107" t="n">
        <x:f>IF((COUNT('Quantification_Results'!AU107)=1),IFERROR(ROUND((SUM(('Quantification_Results'!AU107*'Quantification_Config'!$R$14))/SUM('Quantification_Config'!$R$14)),'Quantification_Config'!$U$2),""),"")</x:f>
        <x:v>50</x:v>
      </x:c>
      <x:c r="AW107" t="n">
        <x:v>1</x:v>
      </x:c>
      <x:c r="AX107" t="n">
        <x:v>5</x:v>
      </x:c>
      <x:c r="AY107"/>
      <x:c r="AZ107" t="n">
        <x:f>IF(('Quantification_Results'!AW107&lt;&gt;1),"",IF(('Quantification_Results'!AY107=""),IF(ISNUMBER('Quantification_Results'!AX107),IF(('Quantification_Results'!AX107&lt;'Quantification_Config'!$S$19),"",IF(('Quantification_Results'!AX107&gt;'Quantification_Config'!$T$19),"",'Quantification_Results'!AX107)),""),IF(ISNUMBER('Quantification_Results'!AY107),IF(('Quantification_Results'!AY107&lt;'Quantification_Config'!$S$19),"",IF(('Quantification_Results'!AY107&gt;'Quantification_Config'!$T$19),"",'Quantification_Results'!AY107)),"")))</x:f>
        <x:v>5</x:v>
      </x:c>
      <x:c r="BA107" t="n">
        <x:f>IF(ISNUMBER('Quantification_Results'!AZ107),IFERROR(ROUND(((('Quantification_Results'!AZ107-'Quantification_Config'!$S$19)/('Quantification_Config'!$T$19-'Quantification_Config'!$S$19))*100),'Quantification_Config'!$U$2),""),"")</x:f>
        <x:v>50</x:v>
      </x:c>
      <x:c r="BB107" t="inlineStr">
        <x:is>
          <x:t xml:space="preserve">SYSTEM-TEST-ONLY-NO-NETWORK-NOT-AN-EDUCATIONAL-EVALUATION</x:t>
        </x:is>
      </x:c>
      <x:c r="BC107" t="inlineStr">
        <x:is>
          <x:t xml:space="preserve"/>
        </x:is>
      </x:c>
      <x:c r="BD107" t="inlineStr">
        <x:is>
          <x:t xml:space="preserve">NONE</x:t>
        </x:is>
      </x:c>
      <x:c r="BE107" t="inlineStr">
        <x:is>
          <x:t xml:space="preserve"/>
        </x:is>
      </x:c>
      <x:c r="BF107" t="inlineStr">
        <x:is>
          <x:t xml:space="preserve">SUCCESS</x:t>
        </x:is>
      </x:c>
      <x:c r="BG107" t="n">
        <x:f>IF((COUNT('Quantification_Results'!BA107)=1),IFERROR(ROUND((SUM(('Quantification_Results'!BA107*'Quantification_Config'!$R$19))/SUM('Quantification_Config'!$R$19)),'Quantification_Config'!$U$2),""),"")</x:f>
        <x:v>50</x:v>
      </x:c>
      <x:c r="BH107" t="n">
        <x:f>IF((COUNT('Quantification_Results'!BG107)=1),IFERROR(ROUND((SUM(('Quantification_Results'!BG107*'Quantification_Config'!$R$18))/SUM('Quantification_Config'!$R$18)),'Quantification_Config'!$U$2),""),"")</x:f>
        <x:v>50</x:v>
      </x:c>
      <x:c r="BI107">
        <x:f>IF((COUNT('Quantification_Results'!L107,'Quantification_Results'!X107,'Quantification_Results'!AJ107,'Quantification_Results'!AV107,'Quantification_Results'!BH107)=5),IFERROR(ROUND((SUM(('Quantification_Results'!L107*'Quantification_Config'!$R$4),('Quantification_Results'!X107*'Quantification_Config'!$R$7),('Quantification_Results'!AJ107*'Quantification_Config'!$R$10),('Quantification_Results'!AV107*'Quantification_Config'!$R$13),('Quantification_Results'!BH107*'Quantification_Config'!$R$16))/SUM('Quantification_Config'!$R$4,'Quantification_Config'!$R$7,'Quantification_Config'!$R$10,'Quantification_Config'!$R$13,'Quantification_Config'!$R$16)),'Quantification_Config'!$U$2),""),"")</x:f>
      </x:c>
    </x:row>
    <x:row r="108">
      <x:c r="A108" t="n">
        <x:v>1</x:v>
      </x:c>
      <x:c r="B108" t="n">
        <x:v>5</x:v>
      </x:c>
      <x:c r="C108"/>
      <x:c r="D108" t="n">
        <x:f>IF(('Quantification_Results'!A108&lt;&gt;1),"",IF(('Quantification_Results'!C108=""),IF(ISNUMBER('Quantification_Results'!B108),IF(('Quantification_Results'!B108&lt;'Quantification_Config'!$S$6),"",IF(('Quantification_Results'!B108&gt;'Quantification_Config'!$T$6),"",'Quantification_Results'!B108)),""),IF(ISNUMBER('Quantification_Results'!C108),IF(('Quantification_Results'!C108&lt;'Quantification_Config'!$S$6),"",IF(('Quantification_Results'!C108&gt;'Quantification_Config'!$T$6),"",'Quantification_Results'!C108)),"")))</x:f>
        <x:v>5</x:v>
      </x:c>
      <x:c r="E108" t="n">
        <x:f>IF(ISNUMBER('Quantification_Results'!D108),IFERROR(ROUND(((('Quantification_Results'!D108-'Quantification_Config'!$S$6)/('Quantification_Config'!$T$6-'Quantification_Config'!$S$6))*100),'Quantification_Config'!$U$2),""),"")</x:f>
        <x:v>50</x:v>
      </x:c>
      <x:c r="F108" t="inlineStr">
        <x:is>
          <x:t xml:space="preserve">SYSTEM-TEST-ONLY-NO-NETWORK-NOT-AN-EDUCATIONAL-EVALUATION</x:t>
        </x:is>
      </x:c>
      <x:c r="G108" t="inlineStr">
        <x:is>
          <x:t xml:space="preserve"/>
        </x:is>
      </x:c>
      <x:c r="H108" t="inlineStr">
        <x:is>
          <x:t xml:space="preserve">NONE</x:t>
        </x:is>
      </x:c>
      <x:c r="I108" t="inlineStr">
        <x:is>
          <x:t xml:space="preserve"/>
        </x:is>
      </x:c>
      <x:c r="J108" t="inlineStr">
        <x:is>
          <x:t xml:space="preserve">SUCCESS</x:t>
        </x:is>
      </x:c>
      <x:c r="K108" t="n">
        <x:f>IF((COUNT('Quantification_Results'!E108)=1),IFERROR(ROUND((SUM(('Quantification_Results'!E108*'Quantification_Config'!$R$6))/SUM('Quantification_Config'!$R$6)),'Quantification_Config'!$U$2),""),"")</x:f>
        <x:v>50</x:v>
      </x:c>
      <x:c r="L108" t="n">
        <x:f>IF((COUNT('Quantification_Results'!K108)=1),IFERROR(ROUND((SUM(('Quantification_Results'!K108*'Quantification_Config'!$R$5))/SUM('Quantification_Config'!$R$5)),'Quantification_Config'!$U$2),""),"")</x:f>
        <x:v>50</x:v>
      </x:c>
      <x:c r="M108" t="n">
        <x:v>1</x:v>
      </x:c>
      <x:c r="N108" t="n">
        <x:v>5</x:v>
      </x:c>
      <x:c r="O108"/>
      <x:c r="P108" t="n">
        <x:f>IF(('Quantification_Results'!M108&lt;&gt;1),"",IF(('Quantification_Results'!O108=""),IF(ISNUMBER('Quantification_Results'!N108),IF(('Quantification_Results'!N108&lt;'Quantification_Config'!$S$9),"",IF(('Quantification_Results'!N108&gt;'Quantification_Config'!$T$9),"",'Quantification_Results'!N108)),""),IF(ISNUMBER('Quantification_Results'!O108),IF(('Quantification_Results'!O108&lt;'Quantification_Config'!$S$9),"",IF(('Quantification_Results'!O108&gt;'Quantification_Config'!$T$9),"",'Quantification_Results'!O108)),"")))</x:f>
        <x:v>5</x:v>
      </x:c>
      <x:c r="Q108" t="n">
        <x:f>IF(ISNUMBER('Quantification_Results'!P108),IFERROR(ROUND(((('Quantification_Results'!P108-'Quantification_Config'!$S$9)/('Quantification_Config'!$T$9-'Quantification_Config'!$S$9))*100),'Quantification_Config'!$U$2),""),"")</x:f>
        <x:v>50</x:v>
      </x:c>
      <x:c r="R108" t="inlineStr">
        <x:is>
          <x:t xml:space="preserve">SYSTEM-TEST-ONLY-NO-NETWORK-NOT-AN-EDUCATIONAL-EVALUATION</x:t>
        </x:is>
      </x:c>
      <x:c r="S108" t="inlineStr">
        <x:is>
          <x:t xml:space="preserve"/>
        </x:is>
      </x:c>
      <x:c r="T108" t="inlineStr">
        <x:is>
          <x:t xml:space="preserve">NONE</x:t>
        </x:is>
      </x:c>
      <x:c r="U108" t="inlineStr">
        <x:is>
          <x:t xml:space="preserve"/>
        </x:is>
      </x:c>
      <x:c r="V108" t="inlineStr">
        <x:is>
          <x:t xml:space="preserve">SUCCESS</x:t>
        </x:is>
      </x:c>
      <x:c r="W108" t="n">
        <x:f>IF((COUNT('Quantification_Results'!Q108)=1),IFERROR(ROUND((SUM(('Quantification_Results'!Q108*'Quantification_Config'!$R$9))/SUM('Quantification_Config'!$R$9)),'Quantification_Config'!$U$2),""),"")</x:f>
        <x:v>50</x:v>
      </x:c>
      <x:c r="X108" t="n">
        <x:f>IF((COUNT('Quantification_Results'!W108)=1),IFERROR(ROUND((SUM(('Quantification_Results'!W108*'Quantification_Config'!$R$8))/SUM('Quantification_Config'!$R$8)),'Quantification_Config'!$U$2),""),"")</x:f>
        <x:v>50</x:v>
      </x:c>
      <x:c r="Y108" t="n">
        <x:v>0</x:v>
      </x:c>
      <x:c r="Z108"/>
      <x:c r="AA108"/>
      <x:c r="AB108">
        <x:f>IF(('Quantification_Results'!Y108&lt;&gt;1),"",IF(('Quantification_Results'!AA108=""),IF(ISNUMBER('Quantification_Results'!Z108),IF(('Quantification_Results'!Z108&lt;'Quantification_Config'!$S$12),"",IF(('Quantification_Results'!Z108&gt;'Quantification_Config'!$T$12),"",'Quantification_Results'!Z108)),""),IF(ISNUMBER('Quantification_Results'!AA108),IF(('Quantification_Results'!AA108&lt;'Quantification_Config'!$S$12),"",IF(('Quantification_Results'!AA108&gt;'Quantification_Config'!$T$12),"",'Quantification_Results'!AA108)),"")))</x:f>
      </x:c>
      <x:c r="AC108">
        <x:f>IF(ISNUMBER('Quantification_Results'!AB108),IFERROR(ROUND(((('Quantification_Results'!AB108-'Quantification_Config'!$S$12)/('Quantification_Config'!$T$12-'Quantification_Config'!$S$12))*100),'Quantification_Config'!$U$2),""),"")</x:f>
      </x:c>
      <x:c r="AD108" t="inlineStr">
        <x:is>
          <x:t xml:space="preserve"/>
        </x:is>
      </x:c>
      <x:c r="AE108" t="inlineStr">
        <x:is>
          <x:t xml:space="preserve"/>
        </x:is>
      </x:c>
      <x:c r="AF108" t="inlineStr">
        <x:is>
          <x:t xml:space="preserve"/>
        </x:is>
      </x:c>
      <x:c r="AG108" t="inlineStr">
        <x:is>
          <x:t xml:space="preserve"/>
        </x:is>
      </x:c>
      <x:c r="AH108" t="inlineStr">
        <x:is>
          <x:t xml:space="preserve">EMPTY</x:t>
        </x:is>
      </x:c>
      <x:c r="AI108">
        <x:f>IF((COUNT('Quantification_Results'!AC108)=1),IFERROR(ROUND((SUM(('Quantification_Results'!AC108*'Quantification_Config'!$R$12))/SUM('Quantification_Config'!$R$12)),'Quantification_Config'!$U$2),""),"")</x:f>
      </x:c>
      <x:c r="AJ108">
        <x:f>IF((COUNT('Quantification_Results'!AI108)=1),IFERROR(ROUND((SUM(('Quantification_Results'!AI108*'Quantification_Config'!$R$11))/SUM('Quantification_Config'!$R$11)),'Quantification_Config'!$U$2),""),"")</x:f>
      </x:c>
      <x:c r="AK108" t="n">
        <x:v>1</x:v>
      </x:c>
      <x:c r="AL108" t="n">
        <x:v>5</x:v>
      </x:c>
      <x:c r="AM108"/>
      <x:c r="AN108" t="n">
        <x:f>IF(('Quantification_Results'!AK108&lt;&gt;1),"",IF(('Quantification_Results'!AM108=""),IF(ISNUMBER('Quantification_Results'!AL108),IF(('Quantification_Results'!AL108&lt;'Quantification_Config'!$S$15),"",IF(('Quantification_Results'!AL108&gt;'Quantification_Config'!$T$15),"",'Quantification_Results'!AL108)),""),IF(ISNUMBER('Quantification_Results'!AM108),IF(('Quantification_Results'!AM108&lt;'Quantification_Config'!$S$15),"",IF(('Quantification_Results'!AM108&gt;'Quantification_Config'!$T$15),"",'Quantification_Results'!AM108)),"")))</x:f>
        <x:v>5</x:v>
      </x:c>
      <x:c r="AO108" t="n">
        <x:f>IF(ISNUMBER('Quantification_Results'!AN108),IFERROR(ROUND(((('Quantification_Results'!AN108-'Quantification_Config'!$S$15)/('Quantification_Config'!$T$15-'Quantification_Config'!$S$15))*100),'Quantification_Config'!$U$2),""),"")</x:f>
        <x:v>50</x:v>
      </x:c>
      <x:c r="AP108" t="inlineStr">
        <x:is>
          <x:t xml:space="preserve">SYSTEM-TEST-ONLY-NO-NETWORK-NOT-AN-EDUCATIONAL-EVALUATION</x:t>
        </x:is>
      </x:c>
      <x:c r="AQ108" t="inlineStr">
        <x:is>
          <x:t xml:space="preserve"/>
        </x:is>
      </x:c>
      <x:c r="AR108" t="inlineStr">
        <x:is>
          <x:t xml:space="preserve">NONE</x:t>
        </x:is>
      </x:c>
      <x:c r="AS108" t="inlineStr">
        <x:is>
          <x:t xml:space="preserve"/>
        </x:is>
      </x:c>
      <x:c r="AT108" t="inlineStr">
        <x:is>
          <x:t xml:space="preserve">SUCCESS</x:t>
        </x:is>
      </x:c>
      <x:c r="AU108" t="n">
        <x:f>IF((COUNT('Quantification_Results'!AO108)=1),IFERROR(ROUND((SUM(('Quantification_Results'!AO108*'Quantification_Config'!$R$15))/SUM('Quantification_Config'!$R$15)),'Quantification_Config'!$U$2),""),"")</x:f>
        <x:v>50</x:v>
      </x:c>
      <x:c r="AV108" t="n">
        <x:f>IF((COUNT('Quantification_Results'!AU108)=1),IFERROR(ROUND((SUM(('Quantification_Results'!AU108*'Quantification_Config'!$R$14))/SUM('Quantification_Config'!$R$14)),'Quantification_Config'!$U$2),""),"")</x:f>
        <x:v>50</x:v>
      </x:c>
      <x:c r="AW108" t="n">
        <x:v>1</x:v>
      </x:c>
      <x:c r="AX108" t="n">
        <x:v>5</x:v>
      </x:c>
      <x:c r="AY108"/>
      <x:c r="AZ108" t="n">
        <x:f>IF(('Quantification_Results'!AW108&lt;&gt;1),"",IF(('Quantification_Results'!AY108=""),IF(ISNUMBER('Quantification_Results'!AX108),IF(('Quantification_Results'!AX108&lt;'Quantification_Config'!$S$19),"",IF(('Quantification_Results'!AX108&gt;'Quantification_Config'!$T$19),"",'Quantification_Results'!AX108)),""),IF(ISNUMBER('Quantification_Results'!AY108),IF(('Quantification_Results'!AY108&lt;'Quantification_Config'!$S$19),"",IF(('Quantification_Results'!AY108&gt;'Quantification_Config'!$T$19),"",'Quantification_Results'!AY108)),"")))</x:f>
        <x:v>5</x:v>
      </x:c>
      <x:c r="BA108" t="n">
        <x:f>IF(ISNUMBER('Quantification_Results'!AZ108),IFERROR(ROUND(((('Quantification_Results'!AZ108-'Quantification_Config'!$S$19)/('Quantification_Config'!$T$19-'Quantification_Config'!$S$19))*100),'Quantification_Config'!$U$2),""),"")</x:f>
        <x:v>50</x:v>
      </x:c>
      <x:c r="BB108" t="inlineStr">
        <x:is>
          <x:t xml:space="preserve">SYSTEM-TEST-ONLY-NO-NETWORK-NOT-AN-EDUCATIONAL-EVALUATION</x:t>
        </x:is>
      </x:c>
      <x:c r="BC108" t="inlineStr">
        <x:is>
          <x:t xml:space="preserve"/>
        </x:is>
      </x:c>
      <x:c r="BD108" t="inlineStr">
        <x:is>
          <x:t xml:space="preserve">NONE</x:t>
        </x:is>
      </x:c>
      <x:c r="BE108" t="inlineStr">
        <x:is>
          <x:t xml:space="preserve"/>
        </x:is>
      </x:c>
      <x:c r="BF108" t="inlineStr">
        <x:is>
          <x:t xml:space="preserve">SUCCESS</x:t>
        </x:is>
      </x:c>
      <x:c r="BG108" t="n">
        <x:f>IF((COUNT('Quantification_Results'!BA108)=1),IFERROR(ROUND((SUM(('Quantification_Results'!BA108*'Quantification_Config'!$R$19))/SUM('Quantification_Config'!$R$19)),'Quantification_Config'!$U$2),""),"")</x:f>
        <x:v>50</x:v>
      </x:c>
      <x:c r="BH108" t="n">
        <x:f>IF((COUNT('Quantification_Results'!BG108)=1),IFERROR(ROUND((SUM(('Quantification_Results'!BG108*'Quantification_Config'!$R$18))/SUM('Quantification_Config'!$R$18)),'Quantification_Config'!$U$2),""),"")</x:f>
        <x:v>50</x:v>
      </x:c>
      <x:c r="BI108">
        <x:f>IF((COUNT('Quantification_Results'!L108,'Quantification_Results'!X108,'Quantification_Results'!AJ108,'Quantification_Results'!AV108,'Quantification_Results'!BH108)=5),IFERROR(ROUND((SUM(('Quantification_Results'!L108*'Quantification_Config'!$R$4),('Quantification_Results'!X108*'Quantification_Config'!$R$7),('Quantification_Results'!AJ108*'Quantification_Config'!$R$10),('Quantification_Results'!AV108*'Quantification_Config'!$R$13),('Quantification_Results'!BH108*'Quantification_Config'!$R$16))/SUM('Quantification_Config'!$R$4,'Quantification_Config'!$R$7,'Quantification_Config'!$R$10,'Quantification_Config'!$R$13,'Quantification_Config'!$R$16)),'Quantification_Config'!$U$2),""),"")</x:f>
      </x:c>
    </x:row>
    <x:row r="109">
      <x:c r="A109" t="n">
        <x:v>1</x:v>
      </x:c>
      <x:c r="B109" t="n">
        <x:v>5</x:v>
      </x:c>
      <x:c r="C109"/>
      <x:c r="D109" t="n">
        <x:f>IF(('Quantification_Results'!A109&lt;&gt;1),"",IF(('Quantification_Results'!C109=""),IF(ISNUMBER('Quantification_Results'!B109),IF(('Quantification_Results'!B109&lt;'Quantification_Config'!$S$6),"",IF(('Quantification_Results'!B109&gt;'Quantification_Config'!$T$6),"",'Quantification_Results'!B109)),""),IF(ISNUMBER('Quantification_Results'!C109),IF(('Quantification_Results'!C109&lt;'Quantification_Config'!$S$6),"",IF(('Quantification_Results'!C109&gt;'Quantification_Config'!$T$6),"",'Quantification_Results'!C109)),"")))</x:f>
        <x:v>5</x:v>
      </x:c>
      <x:c r="E109" t="n">
        <x:f>IF(ISNUMBER('Quantification_Results'!D109),IFERROR(ROUND(((('Quantification_Results'!D109-'Quantification_Config'!$S$6)/('Quantification_Config'!$T$6-'Quantification_Config'!$S$6))*100),'Quantification_Config'!$U$2),""),"")</x:f>
        <x:v>50</x:v>
      </x:c>
      <x:c r="F109" t="inlineStr">
        <x:is>
          <x:t xml:space="preserve">SYSTEM-TEST-ONLY-NO-NETWORK-NOT-AN-EDUCATIONAL-EVALUATION</x:t>
        </x:is>
      </x:c>
      <x:c r="G109" t="inlineStr">
        <x:is>
          <x:t xml:space="preserve"/>
        </x:is>
      </x:c>
      <x:c r="H109" t="inlineStr">
        <x:is>
          <x:t xml:space="preserve">NONE</x:t>
        </x:is>
      </x:c>
      <x:c r="I109" t="inlineStr">
        <x:is>
          <x:t xml:space="preserve"/>
        </x:is>
      </x:c>
      <x:c r="J109" t="inlineStr">
        <x:is>
          <x:t xml:space="preserve">SUCCESS</x:t>
        </x:is>
      </x:c>
      <x:c r="K109" t="n">
        <x:f>IF((COUNT('Quantification_Results'!E109)=1),IFERROR(ROUND((SUM(('Quantification_Results'!E109*'Quantification_Config'!$R$6))/SUM('Quantification_Config'!$R$6)),'Quantification_Config'!$U$2),""),"")</x:f>
        <x:v>50</x:v>
      </x:c>
      <x:c r="L109" t="n">
        <x:f>IF((COUNT('Quantification_Results'!K109)=1),IFERROR(ROUND((SUM(('Quantification_Results'!K109*'Quantification_Config'!$R$5))/SUM('Quantification_Config'!$R$5)),'Quantification_Config'!$U$2),""),"")</x:f>
        <x:v>50</x:v>
      </x:c>
      <x:c r="M109" t="n">
        <x:v>1</x:v>
      </x:c>
      <x:c r="N109" t="n">
        <x:v>5</x:v>
      </x:c>
      <x:c r="O109"/>
      <x:c r="P109" t="n">
        <x:f>IF(('Quantification_Results'!M109&lt;&gt;1),"",IF(('Quantification_Results'!O109=""),IF(ISNUMBER('Quantification_Results'!N109),IF(('Quantification_Results'!N109&lt;'Quantification_Config'!$S$9),"",IF(('Quantification_Results'!N109&gt;'Quantification_Config'!$T$9),"",'Quantification_Results'!N109)),""),IF(ISNUMBER('Quantification_Results'!O109),IF(('Quantification_Results'!O109&lt;'Quantification_Config'!$S$9),"",IF(('Quantification_Results'!O109&gt;'Quantification_Config'!$T$9),"",'Quantification_Results'!O109)),"")))</x:f>
        <x:v>5</x:v>
      </x:c>
      <x:c r="Q109" t="n">
        <x:f>IF(ISNUMBER('Quantification_Results'!P109),IFERROR(ROUND(((('Quantification_Results'!P109-'Quantification_Config'!$S$9)/('Quantification_Config'!$T$9-'Quantification_Config'!$S$9))*100),'Quantification_Config'!$U$2),""),"")</x:f>
        <x:v>50</x:v>
      </x:c>
      <x:c r="R109" t="inlineStr">
        <x:is>
          <x:t xml:space="preserve">SYSTEM-TEST-ONLY-NO-NETWORK-NOT-AN-EDUCATIONAL-EVALUATION</x:t>
        </x:is>
      </x:c>
      <x:c r="S109" t="inlineStr">
        <x:is>
          <x:t xml:space="preserve"/>
        </x:is>
      </x:c>
      <x:c r="T109" t="inlineStr">
        <x:is>
          <x:t xml:space="preserve">NONE</x:t>
        </x:is>
      </x:c>
      <x:c r="U109" t="inlineStr">
        <x:is>
          <x:t xml:space="preserve"/>
        </x:is>
      </x:c>
      <x:c r="V109" t="inlineStr">
        <x:is>
          <x:t xml:space="preserve">SUCCESS</x:t>
        </x:is>
      </x:c>
      <x:c r="W109" t="n">
        <x:f>IF((COUNT('Quantification_Results'!Q109)=1),IFERROR(ROUND((SUM(('Quantification_Results'!Q109*'Quantification_Config'!$R$9))/SUM('Quantification_Config'!$R$9)),'Quantification_Config'!$U$2),""),"")</x:f>
        <x:v>50</x:v>
      </x:c>
      <x:c r="X109" t="n">
        <x:f>IF((COUNT('Quantification_Results'!W109)=1),IFERROR(ROUND((SUM(('Quantification_Results'!W109*'Quantification_Config'!$R$8))/SUM('Quantification_Config'!$R$8)),'Quantification_Config'!$U$2),""),"")</x:f>
        <x:v>50</x:v>
      </x:c>
      <x:c r="Y109" t="n">
        <x:v>0</x:v>
      </x:c>
      <x:c r="Z109"/>
      <x:c r="AA109"/>
      <x:c r="AB109">
        <x:f>IF(('Quantification_Results'!Y109&lt;&gt;1),"",IF(('Quantification_Results'!AA109=""),IF(ISNUMBER('Quantification_Results'!Z109),IF(('Quantification_Results'!Z109&lt;'Quantification_Config'!$S$12),"",IF(('Quantification_Results'!Z109&gt;'Quantification_Config'!$T$12),"",'Quantification_Results'!Z109)),""),IF(ISNUMBER('Quantification_Results'!AA109),IF(('Quantification_Results'!AA109&lt;'Quantification_Config'!$S$12),"",IF(('Quantification_Results'!AA109&gt;'Quantification_Config'!$T$12),"",'Quantification_Results'!AA109)),"")))</x:f>
      </x:c>
      <x:c r="AC109">
        <x:f>IF(ISNUMBER('Quantification_Results'!AB109),IFERROR(ROUND(((('Quantification_Results'!AB109-'Quantification_Config'!$S$12)/('Quantification_Config'!$T$12-'Quantification_Config'!$S$12))*100),'Quantification_Config'!$U$2),""),"")</x:f>
      </x:c>
      <x:c r="AD109" t="inlineStr">
        <x:is>
          <x:t xml:space="preserve"/>
        </x:is>
      </x:c>
      <x:c r="AE109" t="inlineStr">
        <x:is>
          <x:t xml:space="preserve"/>
        </x:is>
      </x:c>
      <x:c r="AF109" t="inlineStr">
        <x:is>
          <x:t xml:space="preserve"/>
        </x:is>
      </x:c>
      <x:c r="AG109" t="inlineStr">
        <x:is>
          <x:t xml:space="preserve"/>
        </x:is>
      </x:c>
      <x:c r="AH109" t="inlineStr">
        <x:is>
          <x:t xml:space="preserve">EMPTY</x:t>
        </x:is>
      </x:c>
      <x:c r="AI109">
        <x:f>IF((COUNT('Quantification_Results'!AC109)=1),IFERROR(ROUND((SUM(('Quantification_Results'!AC109*'Quantification_Config'!$R$12))/SUM('Quantification_Config'!$R$12)),'Quantification_Config'!$U$2),""),"")</x:f>
      </x:c>
      <x:c r="AJ109">
        <x:f>IF((COUNT('Quantification_Results'!AI109)=1),IFERROR(ROUND((SUM(('Quantification_Results'!AI109*'Quantification_Config'!$R$11))/SUM('Quantification_Config'!$R$11)),'Quantification_Config'!$U$2),""),"")</x:f>
      </x:c>
      <x:c r="AK109" t="n">
        <x:v>1</x:v>
      </x:c>
      <x:c r="AL109" t="n">
        <x:v>5</x:v>
      </x:c>
      <x:c r="AM109"/>
      <x:c r="AN109" t="n">
        <x:f>IF(('Quantification_Results'!AK109&lt;&gt;1),"",IF(('Quantification_Results'!AM109=""),IF(ISNUMBER('Quantification_Results'!AL109),IF(('Quantification_Results'!AL109&lt;'Quantification_Config'!$S$15),"",IF(('Quantification_Results'!AL109&gt;'Quantification_Config'!$T$15),"",'Quantification_Results'!AL109)),""),IF(ISNUMBER('Quantification_Results'!AM109),IF(('Quantification_Results'!AM109&lt;'Quantification_Config'!$S$15),"",IF(('Quantification_Results'!AM109&gt;'Quantification_Config'!$T$15),"",'Quantification_Results'!AM109)),"")))</x:f>
        <x:v>5</x:v>
      </x:c>
      <x:c r="AO109" t="n">
        <x:f>IF(ISNUMBER('Quantification_Results'!AN109),IFERROR(ROUND(((('Quantification_Results'!AN109-'Quantification_Config'!$S$15)/('Quantification_Config'!$T$15-'Quantification_Config'!$S$15))*100),'Quantification_Config'!$U$2),""),"")</x:f>
        <x:v>50</x:v>
      </x:c>
      <x:c r="AP109" t="inlineStr">
        <x:is>
          <x:t xml:space="preserve">SYSTEM-TEST-ONLY-NO-NETWORK-NOT-AN-EDUCATIONAL-EVALUATION</x:t>
        </x:is>
      </x:c>
      <x:c r="AQ109" t="inlineStr">
        <x:is>
          <x:t xml:space="preserve"/>
        </x:is>
      </x:c>
      <x:c r="AR109" t="inlineStr">
        <x:is>
          <x:t xml:space="preserve">NONE</x:t>
        </x:is>
      </x:c>
      <x:c r="AS109" t="inlineStr">
        <x:is>
          <x:t xml:space="preserve"/>
        </x:is>
      </x:c>
      <x:c r="AT109" t="inlineStr">
        <x:is>
          <x:t xml:space="preserve">SUCCESS</x:t>
        </x:is>
      </x:c>
      <x:c r="AU109" t="n">
        <x:f>IF((COUNT('Quantification_Results'!AO109)=1),IFERROR(ROUND((SUM(('Quantification_Results'!AO109*'Quantification_Config'!$R$15))/SUM('Quantification_Config'!$R$15)),'Quantification_Config'!$U$2),""),"")</x:f>
        <x:v>50</x:v>
      </x:c>
      <x:c r="AV109" t="n">
        <x:f>IF((COUNT('Quantification_Results'!AU109)=1),IFERROR(ROUND((SUM(('Quantification_Results'!AU109*'Quantification_Config'!$R$14))/SUM('Quantification_Config'!$R$14)),'Quantification_Config'!$U$2),""),"")</x:f>
        <x:v>50</x:v>
      </x:c>
      <x:c r="AW109" t="n">
        <x:v>1</x:v>
      </x:c>
      <x:c r="AX109" t="n">
        <x:v>5</x:v>
      </x:c>
      <x:c r="AY109"/>
      <x:c r="AZ109" t="n">
        <x:f>IF(('Quantification_Results'!AW109&lt;&gt;1),"",IF(('Quantification_Results'!AY109=""),IF(ISNUMBER('Quantification_Results'!AX109),IF(('Quantification_Results'!AX109&lt;'Quantification_Config'!$S$19),"",IF(('Quantification_Results'!AX109&gt;'Quantification_Config'!$T$19),"",'Quantification_Results'!AX109)),""),IF(ISNUMBER('Quantification_Results'!AY109),IF(('Quantification_Results'!AY109&lt;'Quantification_Config'!$S$19),"",IF(('Quantification_Results'!AY109&gt;'Quantification_Config'!$T$19),"",'Quantification_Results'!AY109)),"")))</x:f>
        <x:v>5</x:v>
      </x:c>
      <x:c r="BA109" t="n">
        <x:f>IF(ISNUMBER('Quantification_Results'!AZ109),IFERROR(ROUND(((('Quantification_Results'!AZ109-'Quantification_Config'!$S$19)/('Quantification_Config'!$T$19-'Quantification_Config'!$S$19))*100),'Quantification_Config'!$U$2),""),"")</x:f>
        <x:v>50</x:v>
      </x:c>
      <x:c r="BB109" t="inlineStr">
        <x:is>
          <x:t xml:space="preserve">SYSTEM-TEST-ONLY-NO-NETWORK-NOT-AN-EDUCATIONAL-EVALUATION</x:t>
        </x:is>
      </x:c>
      <x:c r="BC109" t="inlineStr">
        <x:is>
          <x:t xml:space="preserve"/>
        </x:is>
      </x:c>
      <x:c r="BD109" t="inlineStr">
        <x:is>
          <x:t xml:space="preserve">NONE</x:t>
        </x:is>
      </x:c>
      <x:c r="BE109" t="inlineStr">
        <x:is>
          <x:t xml:space="preserve"/>
        </x:is>
      </x:c>
      <x:c r="BF109" t="inlineStr">
        <x:is>
          <x:t xml:space="preserve">SUCCESS</x:t>
        </x:is>
      </x:c>
      <x:c r="BG109" t="n">
        <x:f>IF((COUNT('Quantification_Results'!BA109)=1),IFERROR(ROUND((SUM(('Quantification_Results'!BA109*'Quantification_Config'!$R$19))/SUM('Quantification_Config'!$R$19)),'Quantification_Config'!$U$2),""),"")</x:f>
        <x:v>50</x:v>
      </x:c>
      <x:c r="BH109" t="n">
        <x:f>IF((COUNT('Quantification_Results'!BG109)=1),IFERROR(ROUND((SUM(('Quantification_Results'!BG109*'Quantification_Config'!$R$18))/SUM('Quantification_Config'!$R$18)),'Quantification_Config'!$U$2),""),"")</x:f>
        <x:v>50</x:v>
      </x:c>
      <x:c r="BI109">
        <x:f>IF((COUNT('Quantification_Results'!L109,'Quantification_Results'!X109,'Quantification_Results'!AJ109,'Quantification_Results'!AV109,'Quantification_Results'!BH109)=5),IFERROR(ROUND((SUM(('Quantification_Results'!L109*'Quantification_Config'!$R$4),('Quantification_Results'!X109*'Quantification_Config'!$R$7),('Quantification_Results'!AJ109*'Quantification_Config'!$R$10),('Quantification_Results'!AV109*'Quantification_Config'!$R$13),('Quantification_Results'!BH109*'Quantification_Config'!$R$16))/SUM('Quantification_Config'!$R$4,'Quantification_Config'!$R$7,'Quantification_Config'!$R$10,'Quantification_Config'!$R$13,'Quantification_Config'!$R$16)),'Quantification_Config'!$U$2),""),"")</x:f>
      </x:c>
    </x:row>
    <x:row r="110">
      <x:c r="A110" t="n">
        <x:v>1</x:v>
      </x:c>
      <x:c r="B110" t="n">
        <x:v>5</x:v>
      </x:c>
      <x:c r="C110"/>
      <x:c r="D110" t="n">
        <x:f>IF(('Quantification_Results'!A110&lt;&gt;1),"",IF(('Quantification_Results'!C110=""),IF(ISNUMBER('Quantification_Results'!B110),IF(('Quantification_Results'!B110&lt;'Quantification_Config'!$S$6),"",IF(('Quantification_Results'!B110&gt;'Quantification_Config'!$T$6),"",'Quantification_Results'!B110)),""),IF(ISNUMBER('Quantification_Results'!C110),IF(('Quantification_Results'!C110&lt;'Quantification_Config'!$S$6),"",IF(('Quantification_Results'!C110&gt;'Quantification_Config'!$T$6),"",'Quantification_Results'!C110)),"")))</x:f>
        <x:v>5</x:v>
      </x:c>
      <x:c r="E110" t="n">
        <x:f>IF(ISNUMBER('Quantification_Results'!D110),IFERROR(ROUND(((('Quantification_Results'!D110-'Quantification_Config'!$S$6)/('Quantification_Config'!$T$6-'Quantification_Config'!$S$6))*100),'Quantification_Config'!$U$2),""),"")</x:f>
        <x:v>50</x:v>
      </x:c>
      <x:c r="F110" t="inlineStr">
        <x:is>
          <x:t xml:space="preserve">SYSTEM-TEST-ONLY-NO-NETWORK-NOT-AN-EDUCATIONAL-EVALUATION</x:t>
        </x:is>
      </x:c>
      <x:c r="G110" t="inlineStr">
        <x:is>
          <x:t xml:space="preserve"/>
        </x:is>
      </x:c>
      <x:c r="H110" t="inlineStr">
        <x:is>
          <x:t xml:space="preserve">NONE</x:t>
        </x:is>
      </x:c>
      <x:c r="I110" t="inlineStr">
        <x:is>
          <x:t xml:space="preserve"/>
        </x:is>
      </x:c>
      <x:c r="J110" t="inlineStr">
        <x:is>
          <x:t xml:space="preserve">SUCCESS</x:t>
        </x:is>
      </x:c>
      <x:c r="K110" t="n">
        <x:f>IF((COUNT('Quantification_Results'!E110)=1),IFERROR(ROUND((SUM(('Quantification_Results'!E110*'Quantification_Config'!$R$6))/SUM('Quantification_Config'!$R$6)),'Quantification_Config'!$U$2),""),"")</x:f>
        <x:v>50</x:v>
      </x:c>
      <x:c r="L110" t="n">
        <x:f>IF((COUNT('Quantification_Results'!K110)=1),IFERROR(ROUND((SUM(('Quantification_Results'!K110*'Quantification_Config'!$R$5))/SUM('Quantification_Config'!$R$5)),'Quantification_Config'!$U$2),""),"")</x:f>
        <x:v>50</x:v>
      </x:c>
      <x:c r="M110" t="n">
        <x:v>1</x:v>
      </x:c>
      <x:c r="N110" t="n">
        <x:v>5</x:v>
      </x:c>
      <x:c r="O110"/>
      <x:c r="P110" t="n">
        <x:f>IF(('Quantification_Results'!M110&lt;&gt;1),"",IF(('Quantification_Results'!O110=""),IF(ISNUMBER('Quantification_Results'!N110),IF(('Quantification_Results'!N110&lt;'Quantification_Config'!$S$9),"",IF(('Quantification_Results'!N110&gt;'Quantification_Config'!$T$9),"",'Quantification_Results'!N110)),""),IF(ISNUMBER('Quantification_Results'!O110),IF(('Quantification_Results'!O110&lt;'Quantification_Config'!$S$9),"",IF(('Quantification_Results'!O110&gt;'Quantification_Config'!$T$9),"",'Quantification_Results'!O110)),"")))</x:f>
        <x:v>5</x:v>
      </x:c>
      <x:c r="Q110" t="n">
        <x:f>IF(ISNUMBER('Quantification_Results'!P110),IFERROR(ROUND(((('Quantification_Results'!P110-'Quantification_Config'!$S$9)/('Quantification_Config'!$T$9-'Quantification_Config'!$S$9))*100),'Quantification_Config'!$U$2),""),"")</x:f>
        <x:v>50</x:v>
      </x:c>
      <x:c r="R110" t="inlineStr">
        <x:is>
          <x:t xml:space="preserve">SYSTEM-TEST-ONLY-NO-NETWORK-NOT-AN-EDUCATIONAL-EVALUATION</x:t>
        </x:is>
      </x:c>
      <x:c r="S110" t="inlineStr">
        <x:is>
          <x:t xml:space="preserve"/>
        </x:is>
      </x:c>
      <x:c r="T110" t="inlineStr">
        <x:is>
          <x:t xml:space="preserve">NONE</x:t>
        </x:is>
      </x:c>
      <x:c r="U110" t="inlineStr">
        <x:is>
          <x:t xml:space="preserve"/>
        </x:is>
      </x:c>
      <x:c r="V110" t="inlineStr">
        <x:is>
          <x:t xml:space="preserve">SUCCESS</x:t>
        </x:is>
      </x:c>
      <x:c r="W110" t="n">
        <x:f>IF((COUNT('Quantification_Results'!Q110)=1),IFERROR(ROUND((SUM(('Quantification_Results'!Q110*'Quantification_Config'!$R$9))/SUM('Quantification_Config'!$R$9)),'Quantification_Config'!$U$2),""),"")</x:f>
        <x:v>50</x:v>
      </x:c>
      <x:c r="X110" t="n">
        <x:f>IF((COUNT('Quantification_Results'!W110)=1),IFERROR(ROUND((SUM(('Quantification_Results'!W110*'Quantification_Config'!$R$8))/SUM('Quantification_Config'!$R$8)),'Quantification_Config'!$U$2),""),"")</x:f>
        <x:v>50</x:v>
      </x:c>
      <x:c r="Y110" t="n">
        <x:v>0</x:v>
      </x:c>
      <x:c r="Z110"/>
      <x:c r="AA110"/>
      <x:c r="AB110">
        <x:f>IF(('Quantification_Results'!Y110&lt;&gt;1),"",IF(('Quantification_Results'!AA110=""),IF(ISNUMBER('Quantification_Results'!Z110),IF(('Quantification_Results'!Z110&lt;'Quantification_Config'!$S$12),"",IF(('Quantification_Results'!Z110&gt;'Quantification_Config'!$T$12),"",'Quantification_Results'!Z110)),""),IF(ISNUMBER('Quantification_Results'!AA110),IF(('Quantification_Results'!AA110&lt;'Quantification_Config'!$S$12),"",IF(('Quantification_Results'!AA110&gt;'Quantification_Config'!$T$12),"",'Quantification_Results'!AA110)),"")))</x:f>
      </x:c>
      <x:c r="AC110">
        <x:f>IF(ISNUMBER('Quantification_Results'!AB110),IFERROR(ROUND(((('Quantification_Results'!AB110-'Quantification_Config'!$S$12)/('Quantification_Config'!$T$12-'Quantification_Config'!$S$12))*100),'Quantification_Config'!$U$2),""),"")</x:f>
      </x:c>
      <x:c r="AD110" t="inlineStr">
        <x:is>
          <x:t xml:space="preserve"/>
        </x:is>
      </x:c>
      <x:c r="AE110" t="inlineStr">
        <x:is>
          <x:t xml:space="preserve"/>
        </x:is>
      </x:c>
      <x:c r="AF110" t="inlineStr">
        <x:is>
          <x:t xml:space="preserve"/>
        </x:is>
      </x:c>
      <x:c r="AG110" t="inlineStr">
        <x:is>
          <x:t xml:space="preserve"/>
        </x:is>
      </x:c>
      <x:c r="AH110" t="inlineStr">
        <x:is>
          <x:t xml:space="preserve">EMPTY</x:t>
        </x:is>
      </x:c>
      <x:c r="AI110">
        <x:f>IF((COUNT('Quantification_Results'!AC110)=1),IFERROR(ROUND((SUM(('Quantification_Results'!AC110*'Quantification_Config'!$R$12))/SUM('Quantification_Config'!$R$12)),'Quantification_Config'!$U$2),""),"")</x:f>
      </x:c>
      <x:c r="AJ110">
        <x:f>IF((COUNT('Quantification_Results'!AI110)=1),IFERROR(ROUND((SUM(('Quantification_Results'!AI110*'Quantification_Config'!$R$11))/SUM('Quantification_Config'!$R$11)),'Quantification_Config'!$U$2),""),"")</x:f>
      </x:c>
      <x:c r="AK110" t="n">
        <x:v>1</x:v>
      </x:c>
      <x:c r="AL110" t="n">
        <x:v>5</x:v>
      </x:c>
      <x:c r="AM110"/>
      <x:c r="AN110" t="n">
        <x:f>IF(('Quantification_Results'!AK110&lt;&gt;1),"",IF(('Quantification_Results'!AM110=""),IF(ISNUMBER('Quantification_Results'!AL110),IF(('Quantification_Results'!AL110&lt;'Quantification_Config'!$S$15),"",IF(('Quantification_Results'!AL110&gt;'Quantification_Config'!$T$15),"",'Quantification_Results'!AL110)),""),IF(ISNUMBER('Quantification_Results'!AM110),IF(('Quantification_Results'!AM110&lt;'Quantification_Config'!$S$15),"",IF(('Quantification_Results'!AM110&gt;'Quantification_Config'!$T$15),"",'Quantification_Results'!AM110)),"")))</x:f>
        <x:v>5</x:v>
      </x:c>
      <x:c r="AO110" t="n">
        <x:f>IF(ISNUMBER('Quantification_Results'!AN110),IFERROR(ROUND(((('Quantification_Results'!AN110-'Quantification_Config'!$S$15)/('Quantification_Config'!$T$15-'Quantification_Config'!$S$15))*100),'Quantification_Config'!$U$2),""),"")</x:f>
        <x:v>50</x:v>
      </x:c>
      <x:c r="AP110" t="inlineStr">
        <x:is>
          <x:t xml:space="preserve">SYSTEM-TEST-ONLY-NO-NETWORK-NOT-AN-EDUCATIONAL-EVALUATION</x:t>
        </x:is>
      </x:c>
      <x:c r="AQ110" t="inlineStr">
        <x:is>
          <x:t xml:space="preserve"/>
        </x:is>
      </x:c>
      <x:c r="AR110" t="inlineStr">
        <x:is>
          <x:t xml:space="preserve">NONE</x:t>
        </x:is>
      </x:c>
      <x:c r="AS110" t="inlineStr">
        <x:is>
          <x:t xml:space="preserve"/>
        </x:is>
      </x:c>
      <x:c r="AT110" t="inlineStr">
        <x:is>
          <x:t xml:space="preserve">SUCCESS</x:t>
        </x:is>
      </x:c>
      <x:c r="AU110" t="n">
        <x:f>IF((COUNT('Quantification_Results'!AO110)=1),IFERROR(ROUND((SUM(('Quantification_Results'!AO110*'Quantification_Config'!$R$15))/SUM('Quantification_Config'!$R$15)),'Quantification_Config'!$U$2),""),"")</x:f>
        <x:v>50</x:v>
      </x:c>
      <x:c r="AV110" t="n">
        <x:f>IF((COUNT('Quantification_Results'!AU110)=1),IFERROR(ROUND((SUM(('Quantification_Results'!AU110*'Quantification_Config'!$R$14))/SUM('Quantification_Config'!$R$14)),'Quantification_Config'!$U$2),""),"")</x:f>
        <x:v>50</x:v>
      </x:c>
      <x:c r="AW110" t="n">
        <x:v>1</x:v>
      </x:c>
      <x:c r="AX110" t="n">
        <x:v>5</x:v>
      </x:c>
      <x:c r="AY110"/>
      <x:c r="AZ110" t="n">
        <x:f>IF(('Quantification_Results'!AW110&lt;&gt;1),"",IF(('Quantification_Results'!AY110=""),IF(ISNUMBER('Quantification_Results'!AX110),IF(('Quantification_Results'!AX110&lt;'Quantification_Config'!$S$19),"",IF(('Quantification_Results'!AX110&gt;'Quantification_Config'!$T$19),"",'Quantification_Results'!AX110)),""),IF(ISNUMBER('Quantification_Results'!AY110),IF(('Quantification_Results'!AY110&lt;'Quantification_Config'!$S$19),"",IF(('Quantification_Results'!AY110&gt;'Quantification_Config'!$T$19),"",'Quantification_Results'!AY110)),"")))</x:f>
        <x:v>5</x:v>
      </x:c>
      <x:c r="BA110" t="n">
        <x:f>IF(ISNUMBER('Quantification_Results'!AZ110),IFERROR(ROUND(((('Quantification_Results'!AZ110-'Quantification_Config'!$S$19)/('Quantification_Config'!$T$19-'Quantification_Config'!$S$19))*100),'Quantification_Config'!$U$2),""),"")</x:f>
        <x:v>50</x:v>
      </x:c>
      <x:c r="BB110" t="inlineStr">
        <x:is>
          <x:t xml:space="preserve">SYSTEM-TEST-ONLY-NO-NETWORK-NOT-AN-EDUCATIONAL-EVALUATION</x:t>
        </x:is>
      </x:c>
      <x:c r="BC110" t="inlineStr">
        <x:is>
          <x:t xml:space="preserve"/>
        </x:is>
      </x:c>
      <x:c r="BD110" t="inlineStr">
        <x:is>
          <x:t xml:space="preserve">NONE</x:t>
        </x:is>
      </x:c>
      <x:c r="BE110" t="inlineStr">
        <x:is>
          <x:t xml:space="preserve"/>
        </x:is>
      </x:c>
      <x:c r="BF110" t="inlineStr">
        <x:is>
          <x:t xml:space="preserve">SUCCESS</x:t>
        </x:is>
      </x:c>
      <x:c r="BG110" t="n">
        <x:f>IF((COUNT('Quantification_Results'!BA110)=1),IFERROR(ROUND((SUM(('Quantification_Results'!BA110*'Quantification_Config'!$R$19))/SUM('Quantification_Config'!$R$19)),'Quantification_Config'!$U$2),""),"")</x:f>
        <x:v>50</x:v>
      </x:c>
      <x:c r="BH110" t="n">
        <x:f>IF((COUNT('Quantification_Results'!BG110)=1),IFERROR(ROUND((SUM(('Quantification_Results'!BG110*'Quantification_Config'!$R$18))/SUM('Quantification_Config'!$R$18)),'Quantification_Config'!$U$2),""),"")</x:f>
        <x:v>50</x:v>
      </x:c>
      <x:c r="BI110">
        <x:f>IF((COUNT('Quantification_Results'!L110,'Quantification_Results'!X110,'Quantification_Results'!AJ110,'Quantification_Results'!AV110,'Quantification_Results'!BH110)=5),IFERROR(ROUND((SUM(('Quantification_Results'!L110*'Quantification_Config'!$R$4),('Quantification_Results'!X110*'Quantification_Config'!$R$7),('Quantification_Results'!AJ110*'Quantification_Config'!$R$10),('Quantification_Results'!AV110*'Quantification_Config'!$R$13),('Quantification_Results'!BH110*'Quantification_Config'!$R$16))/SUM('Quantification_Config'!$R$4,'Quantification_Config'!$R$7,'Quantification_Config'!$R$10,'Quantification_Config'!$R$13,'Quantification_Config'!$R$16)),'Quantification_Config'!$U$2),""),"")</x:f>
      </x:c>
    </x:row>
    <x:row r="111">
      <x:c r="A111" t="n">
        <x:v>1</x:v>
      </x:c>
      <x:c r="B111" t="n">
        <x:v>5</x:v>
      </x:c>
      <x:c r="C111"/>
      <x:c r="D111" t="n">
        <x:f>IF(('Quantification_Results'!A111&lt;&gt;1),"",IF(('Quantification_Results'!C111=""),IF(ISNUMBER('Quantification_Results'!B111),IF(('Quantification_Results'!B111&lt;'Quantification_Config'!$S$6),"",IF(('Quantification_Results'!B111&gt;'Quantification_Config'!$T$6),"",'Quantification_Results'!B111)),""),IF(ISNUMBER('Quantification_Results'!C111),IF(('Quantification_Results'!C111&lt;'Quantification_Config'!$S$6),"",IF(('Quantification_Results'!C111&gt;'Quantification_Config'!$T$6),"",'Quantification_Results'!C111)),"")))</x:f>
        <x:v>5</x:v>
      </x:c>
      <x:c r="E111" t="n">
        <x:f>IF(ISNUMBER('Quantification_Results'!D111),IFERROR(ROUND(((('Quantification_Results'!D111-'Quantification_Config'!$S$6)/('Quantification_Config'!$T$6-'Quantification_Config'!$S$6))*100),'Quantification_Config'!$U$2),""),"")</x:f>
        <x:v>50</x:v>
      </x:c>
      <x:c r="F111" t="inlineStr">
        <x:is>
          <x:t xml:space="preserve">SYSTEM-TEST-ONLY-NO-NETWORK-NOT-AN-EDUCATIONAL-EVALUATION</x:t>
        </x:is>
      </x:c>
      <x:c r="G111" t="inlineStr">
        <x:is>
          <x:t xml:space="preserve"/>
        </x:is>
      </x:c>
      <x:c r="H111" t="inlineStr">
        <x:is>
          <x:t xml:space="preserve">NONE</x:t>
        </x:is>
      </x:c>
      <x:c r="I111" t="inlineStr">
        <x:is>
          <x:t xml:space="preserve"/>
        </x:is>
      </x:c>
      <x:c r="J111" t="inlineStr">
        <x:is>
          <x:t xml:space="preserve">SUCCESS</x:t>
        </x:is>
      </x:c>
      <x:c r="K111" t="n">
        <x:f>IF((COUNT('Quantification_Results'!E111)=1),IFERROR(ROUND((SUM(('Quantification_Results'!E111*'Quantification_Config'!$R$6))/SUM('Quantification_Config'!$R$6)),'Quantification_Config'!$U$2),""),"")</x:f>
        <x:v>50</x:v>
      </x:c>
      <x:c r="L111" t="n">
        <x:f>IF((COUNT('Quantification_Results'!K111)=1),IFERROR(ROUND((SUM(('Quantification_Results'!K111*'Quantification_Config'!$R$5))/SUM('Quantification_Config'!$R$5)),'Quantification_Config'!$U$2),""),"")</x:f>
        <x:v>50</x:v>
      </x:c>
      <x:c r="M111" t="n">
        <x:v>1</x:v>
      </x:c>
      <x:c r="N111" t="n">
        <x:v>5</x:v>
      </x:c>
      <x:c r="O111"/>
      <x:c r="P111" t="n">
        <x:f>IF(('Quantification_Results'!M111&lt;&gt;1),"",IF(('Quantification_Results'!O111=""),IF(ISNUMBER('Quantification_Results'!N111),IF(('Quantification_Results'!N111&lt;'Quantification_Config'!$S$9),"",IF(('Quantification_Results'!N111&gt;'Quantification_Config'!$T$9),"",'Quantification_Results'!N111)),""),IF(ISNUMBER('Quantification_Results'!O111),IF(('Quantification_Results'!O111&lt;'Quantification_Config'!$S$9),"",IF(('Quantification_Results'!O111&gt;'Quantification_Config'!$T$9),"",'Quantification_Results'!O111)),"")))</x:f>
        <x:v>5</x:v>
      </x:c>
      <x:c r="Q111" t="n">
        <x:f>IF(ISNUMBER('Quantification_Results'!P111),IFERROR(ROUND(((('Quantification_Results'!P111-'Quantification_Config'!$S$9)/('Quantification_Config'!$T$9-'Quantification_Config'!$S$9))*100),'Quantification_Config'!$U$2),""),"")</x:f>
        <x:v>50</x:v>
      </x:c>
      <x:c r="R111" t="inlineStr">
        <x:is>
          <x:t xml:space="preserve">SYSTEM-TEST-ONLY-NO-NETWORK-NOT-AN-EDUCATIONAL-EVALUATION</x:t>
        </x:is>
      </x:c>
      <x:c r="S111" t="inlineStr">
        <x:is>
          <x:t xml:space="preserve"/>
        </x:is>
      </x:c>
      <x:c r="T111" t="inlineStr">
        <x:is>
          <x:t xml:space="preserve">NONE</x:t>
        </x:is>
      </x:c>
      <x:c r="U111" t="inlineStr">
        <x:is>
          <x:t xml:space="preserve"/>
        </x:is>
      </x:c>
      <x:c r="V111" t="inlineStr">
        <x:is>
          <x:t xml:space="preserve">SUCCESS</x:t>
        </x:is>
      </x:c>
      <x:c r="W111" t="n">
        <x:f>IF((COUNT('Quantification_Results'!Q111)=1),IFERROR(ROUND((SUM(('Quantification_Results'!Q111*'Quantification_Config'!$R$9))/SUM('Quantification_Config'!$R$9)),'Quantification_Config'!$U$2),""),"")</x:f>
        <x:v>50</x:v>
      </x:c>
      <x:c r="X111" t="n">
        <x:f>IF((COUNT('Quantification_Results'!W111)=1),IFERROR(ROUND((SUM(('Quantification_Results'!W111*'Quantification_Config'!$R$8))/SUM('Quantification_Config'!$R$8)),'Quantification_Config'!$U$2),""),"")</x:f>
        <x:v>50</x:v>
      </x:c>
      <x:c r="Y111" t="n">
        <x:v>0</x:v>
      </x:c>
      <x:c r="Z111"/>
      <x:c r="AA111"/>
      <x:c r="AB111">
        <x:f>IF(('Quantification_Results'!Y111&lt;&gt;1),"",IF(('Quantification_Results'!AA111=""),IF(ISNUMBER('Quantification_Results'!Z111),IF(('Quantification_Results'!Z111&lt;'Quantification_Config'!$S$12),"",IF(('Quantification_Results'!Z111&gt;'Quantification_Config'!$T$12),"",'Quantification_Results'!Z111)),""),IF(ISNUMBER('Quantification_Results'!AA111),IF(('Quantification_Results'!AA111&lt;'Quantification_Config'!$S$12),"",IF(('Quantification_Results'!AA111&gt;'Quantification_Config'!$T$12),"",'Quantification_Results'!AA111)),"")))</x:f>
      </x:c>
      <x:c r="AC111">
        <x:f>IF(ISNUMBER('Quantification_Results'!AB111),IFERROR(ROUND(((('Quantification_Results'!AB111-'Quantification_Config'!$S$12)/('Quantification_Config'!$T$12-'Quantification_Config'!$S$12))*100),'Quantification_Config'!$U$2),""),"")</x:f>
      </x:c>
      <x:c r="AD111" t="inlineStr">
        <x:is>
          <x:t xml:space="preserve"/>
        </x:is>
      </x:c>
      <x:c r="AE111" t="inlineStr">
        <x:is>
          <x:t xml:space="preserve"/>
        </x:is>
      </x:c>
      <x:c r="AF111" t="inlineStr">
        <x:is>
          <x:t xml:space="preserve"/>
        </x:is>
      </x:c>
      <x:c r="AG111" t="inlineStr">
        <x:is>
          <x:t xml:space="preserve"/>
        </x:is>
      </x:c>
      <x:c r="AH111" t="inlineStr">
        <x:is>
          <x:t xml:space="preserve">EMPTY</x:t>
        </x:is>
      </x:c>
      <x:c r="AI111">
        <x:f>IF((COUNT('Quantification_Results'!AC111)=1),IFERROR(ROUND((SUM(('Quantification_Results'!AC111*'Quantification_Config'!$R$12))/SUM('Quantification_Config'!$R$12)),'Quantification_Config'!$U$2),""),"")</x:f>
      </x:c>
      <x:c r="AJ111">
        <x:f>IF((COUNT('Quantification_Results'!AI111)=1),IFERROR(ROUND((SUM(('Quantification_Results'!AI111*'Quantification_Config'!$R$11))/SUM('Quantification_Config'!$R$11)),'Quantification_Config'!$U$2),""),"")</x:f>
      </x:c>
      <x:c r="AK111" t="n">
        <x:v>1</x:v>
      </x:c>
      <x:c r="AL111" t="n">
        <x:v>5</x:v>
      </x:c>
      <x:c r="AM111"/>
      <x:c r="AN111" t="n">
        <x:f>IF(('Quantification_Results'!AK111&lt;&gt;1),"",IF(('Quantification_Results'!AM111=""),IF(ISNUMBER('Quantification_Results'!AL111),IF(('Quantification_Results'!AL111&lt;'Quantification_Config'!$S$15),"",IF(('Quantification_Results'!AL111&gt;'Quantification_Config'!$T$15),"",'Quantification_Results'!AL111)),""),IF(ISNUMBER('Quantification_Results'!AM111),IF(('Quantification_Results'!AM111&lt;'Quantification_Config'!$S$15),"",IF(('Quantification_Results'!AM111&gt;'Quantification_Config'!$T$15),"",'Quantification_Results'!AM111)),"")))</x:f>
        <x:v>5</x:v>
      </x:c>
      <x:c r="AO111" t="n">
        <x:f>IF(ISNUMBER('Quantification_Results'!AN111),IFERROR(ROUND(((('Quantification_Results'!AN111-'Quantification_Config'!$S$15)/('Quantification_Config'!$T$15-'Quantification_Config'!$S$15))*100),'Quantification_Config'!$U$2),""),"")</x:f>
        <x:v>50</x:v>
      </x:c>
      <x:c r="AP111" t="inlineStr">
        <x:is>
          <x:t xml:space="preserve">SYSTEM-TEST-ONLY-NO-NETWORK-NOT-AN-EDUCATIONAL-EVALUATION</x:t>
        </x:is>
      </x:c>
      <x:c r="AQ111" t="inlineStr">
        <x:is>
          <x:t xml:space="preserve"/>
        </x:is>
      </x:c>
      <x:c r="AR111" t="inlineStr">
        <x:is>
          <x:t xml:space="preserve">NONE</x:t>
        </x:is>
      </x:c>
      <x:c r="AS111" t="inlineStr">
        <x:is>
          <x:t xml:space="preserve"/>
        </x:is>
      </x:c>
      <x:c r="AT111" t="inlineStr">
        <x:is>
          <x:t xml:space="preserve">SUCCESS</x:t>
        </x:is>
      </x:c>
      <x:c r="AU111" t="n">
        <x:f>IF((COUNT('Quantification_Results'!AO111)=1),IFERROR(ROUND((SUM(('Quantification_Results'!AO111*'Quantification_Config'!$R$15))/SUM('Quantification_Config'!$R$15)),'Quantification_Config'!$U$2),""),"")</x:f>
        <x:v>50</x:v>
      </x:c>
      <x:c r="AV111" t="n">
        <x:f>IF((COUNT('Quantification_Results'!AU111)=1),IFERROR(ROUND((SUM(('Quantification_Results'!AU111*'Quantification_Config'!$R$14))/SUM('Quantification_Config'!$R$14)),'Quantification_Config'!$U$2),""),"")</x:f>
        <x:v>50</x:v>
      </x:c>
      <x:c r="AW111" t="n">
        <x:v>1</x:v>
      </x:c>
      <x:c r="AX111" t="n">
        <x:v>5</x:v>
      </x:c>
      <x:c r="AY111"/>
      <x:c r="AZ111" t="n">
        <x:f>IF(('Quantification_Results'!AW111&lt;&gt;1),"",IF(('Quantification_Results'!AY111=""),IF(ISNUMBER('Quantification_Results'!AX111),IF(('Quantification_Results'!AX111&lt;'Quantification_Config'!$S$19),"",IF(('Quantification_Results'!AX111&gt;'Quantification_Config'!$T$19),"",'Quantification_Results'!AX111)),""),IF(ISNUMBER('Quantification_Results'!AY111),IF(('Quantification_Results'!AY111&lt;'Quantification_Config'!$S$19),"",IF(('Quantification_Results'!AY111&gt;'Quantification_Config'!$T$19),"",'Quantification_Results'!AY111)),"")))</x:f>
        <x:v>5</x:v>
      </x:c>
      <x:c r="BA111" t="n">
        <x:f>IF(ISNUMBER('Quantification_Results'!AZ111),IFERROR(ROUND(((('Quantification_Results'!AZ111-'Quantification_Config'!$S$19)/('Quantification_Config'!$T$19-'Quantification_Config'!$S$19))*100),'Quantification_Config'!$U$2),""),"")</x:f>
        <x:v>50</x:v>
      </x:c>
      <x:c r="BB111" t="inlineStr">
        <x:is>
          <x:t xml:space="preserve">SYSTEM-TEST-ONLY-NO-NETWORK-NOT-AN-EDUCATIONAL-EVALUATION</x:t>
        </x:is>
      </x:c>
      <x:c r="BC111" t="inlineStr">
        <x:is>
          <x:t xml:space="preserve"/>
        </x:is>
      </x:c>
      <x:c r="BD111" t="inlineStr">
        <x:is>
          <x:t xml:space="preserve">NONE</x:t>
        </x:is>
      </x:c>
      <x:c r="BE111" t="inlineStr">
        <x:is>
          <x:t xml:space="preserve"/>
        </x:is>
      </x:c>
      <x:c r="BF111" t="inlineStr">
        <x:is>
          <x:t xml:space="preserve">SUCCESS</x:t>
        </x:is>
      </x:c>
      <x:c r="BG111" t="n">
        <x:f>IF((COUNT('Quantification_Results'!BA111)=1),IFERROR(ROUND((SUM(('Quantification_Results'!BA111*'Quantification_Config'!$R$19))/SUM('Quantification_Config'!$R$19)),'Quantification_Config'!$U$2),""),"")</x:f>
        <x:v>50</x:v>
      </x:c>
      <x:c r="BH111" t="n">
        <x:f>IF((COUNT('Quantification_Results'!BG111)=1),IFERROR(ROUND((SUM(('Quantification_Results'!BG111*'Quantification_Config'!$R$18))/SUM('Quantification_Config'!$R$18)),'Quantification_Config'!$U$2),""),"")</x:f>
        <x:v>50</x:v>
      </x:c>
      <x:c r="BI111">
        <x:f>IF((COUNT('Quantification_Results'!L111,'Quantification_Results'!X111,'Quantification_Results'!AJ111,'Quantification_Results'!AV111,'Quantification_Results'!BH111)=5),IFERROR(ROUND((SUM(('Quantification_Results'!L111*'Quantification_Config'!$R$4),('Quantification_Results'!X111*'Quantification_Config'!$R$7),('Quantification_Results'!AJ111*'Quantification_Config'!$R$10),('Quantification_Results'!AV111*'Quantification_Config'!$R$13),('Quantification_Results'!BH111*'Quantification_Config'!$R$16))/SUM('Quantification_Config'!$R$4,'Quantification_Config'!$R$7,'Quantification_Config'!$R$10,'Quantification_Config'!$R$13,'Quantification_Config'!$R$16)),'Quantification_Config'!$U$2),""),"")</x:f>
      </x:c>
    </x:row>
    <x:row r="112">
      <x:c r="A112" t="n">
        <x:v>1</x:v>
      </x:c>
      <x:c r="B112" t="n">
        <x:v>5</x:v>
      </x:c>
      <x:c r="C112"/>
      <x:c r="D112" t="n">
        <x:f>IF(('Quantification_Results'!A112&lt;&gt;1),"",IF(('Quantification_Results'!C112=""),IF(ISNUMBER('Quantification_Results'!B112),IF(('Quantification_Results'!B112&lt;'Quantification_Config'!$S$6),"",IF(('Quantification_Results'!B112&gt;'Quantification_Config'!$T$6),"",'Quantification_Results'!B112)),""),IF(ISNUMBER('Quantification_Results'!C112),IF(('Quantification_Results'!C112&lt;'Quantification_Config'!$S$6),"",IF(('Quantification_Results'!C112&gt;'Quantification_Config'!$T$6),"",'Quantification_Results'!C112)),"")))</x:f>
        <x:v>5</x:v>
      </x:c>
      <x:c r="E112" t="n">
        <x:f>IF(ISNUMBER('Quantification_Results'!D112),IFERROR(ROUND(((('Quantification_Results'!D112-'Quantification_Config'!$S$6)/('Quantification_Config'!$T$6-'Quantification_Config'!$S$6))*100),'Quantification_Config'!$U$2),""),"")</x:f>
        <x:v>50</x:v>
      </x:c>
      <x:c r="F112" t="inlineStr">
        <x:is>
          <x:t xml:space="preserve">SYSTEM-TEST-ONLY-NO-NETWORK-NOT-AN-EDUCATIONAL-EVALUATION</x:t>
        </x:is>
      </x:c>
      <x:c r="G112" t="inlineStr">
        <x:is>
          <x:t xml:space="preserve"/>
        </x:is>
      </x:c>
      <x:c r="H112" t="inlineStr">
        <x:is>
          <x:t xml:space="preserve">NONE</x:t>
        </x:is>
      </x:c>
      <x:c r="I112" t="inlineStr">
        <x:is>
          <x:t xml:space="preserve"/>
        </x:is>
      </x:c>
      <x:c r="J112" t="inlineStr">
        <x:is>
          <x:t xml:space="preserve">SUCCESS</x:t>
        </x:is>
      </x:c>
      <x:c r="K112" t="n">
        <x:f>IF((COUNT('Quantification_Results'!E112)=1),IFERROR(ROUND((SUM(('Quantification_Results'!E112*'Quantification_Config'!$R$6))/SUM('Quantification_Config'!$R$6)),'Quantification_Config'!$U$2),""),"")</x:f>
        <x:v>50</x:v>
      </x:c>
      <x:c r="L112" t="n">
        <x:f>IF((COUNT('Quantification_Results'!K112)=1),IFERROR(ROUND((SUM(('Quantification_Results'!K112*'Quantification_Config'!$R$5))/SUM('Quantification_Config'!$R$5)),'Quantification_Config'!$U$2),""),"")</x:f>
        <x:v>50</x:v>
      </x:c>
      <x:c r="M112" t="n">
        <x:v>1</x:v>
      </x:c>
      <x:c r="N112" t="n">
        <x:v>5</x:v>
      </x:c>
      <x:c r="O112"/>
      <x:c r="P112" t="n">
        <x:f>IF(('Quantification_Results'!M112&lt;&gt;1),"",IF(('Quantification_Results'!O112=""),IF(ISNUMBER('Quantification_Results'!N112),IF(('Quantification_Results'!N112&lt;'Quantification_Config'!$S$9),"",IF(('Quantification_Results'!N112&gt;'Quantification_Config'!$T$9),"",'Quantification_Results'!N112)),""),IF(ISNUMBER('Quantification_Results'!O112),IF(('Quantification_Results'!O112&lt;'Quantification_Config'!$S$9),"",IF(('Quantification_Results'!O112&gt;'Quantification_Config'!$T$9),"",'Quantification_Results'!O112)),"")))</x:f>
        <x:v>5</x:v>
      </x:c>
      <x:c r="Q112" t="n">
        <x:f>IF(ISNUMBER('Quantification_Results'!P112),IFERROR(ROUND(((('Quantification_Results'!P112-'Quantification_Config'!$S$9)/('Quantification_Config'!$T$9-'Quantification_Config'!$S$9))*100),'Quantification_Config'!$U$2),""),"")</x:f>
        <x:v>50</x:v>
      </x:c>
      <x:c r="R112" t="inlineStr">
        <x:is>
          <x:t xml:space="preserve">SYSTEM-TEST-ONLY-NO-NETWORK-NOT-AN-EDUCATIONAL-EVALUATION</x:t>
        </x:is>
      </x:c>
      <x:c r="S112" t="inlineStr">
        <x:is>
          <x:t xml:space="preserve"/>
        </x:is>
      </x:c>
      <x:c r="T112" t="inlineStr">
        <x:is>
          <x:t xml:space="preserve">NONE</x:t>
        </x:is>
      </x:c>
      <x:c r="U112" t="inlineStr">
        <x:is>
          <x:t xml:space="preserve"/>
        </x:is>
      </x:c>
      <x:c r="V112" t="inlineStr">
        <x:is>
          <x:t xml:space="preserve">SUCCESS</x:t>
        </x:is>
      </x:c>
      <x:c r="W112" t="n">
        <x:f>IF((COUNT('Quantification_Results'!Q112)=1),IFERROR(ROUND((SUM(('Quantification_Results'!Q112*'Quantification_Config'!$R$9))/SUM('Quantification_Config'!$R$9)),'Quantification_Config'!$U$2),""),"")</x:f>
        <x:v>50</x:v>
      </x:c>
      <x:c r="X112" t="n">
        <x:f>IF((COUNT('Quantification_Results'!W112)=1),IFERROR(ROUND((SUM(('Quantification_Results'!W112*'Quantification_Config'!$R$8))/SUM('Quantification_Config'!$R$8)),'Quantification_Config'!$U$2),""),"")</x:f>
        <x:v>50</x:v>
      </x:c>
      <x:c r="Y112" t="n">
        <x:v>0</x:v>
      </x:c>
      <x:c r="Z112"/>
      <x:c r="AA112"/>
      <x:c r="AB112">
        <x:f>IF(('Quantification_Results'!Y112&lt;&gt;1),"",IF(('Quantification_Results'!AA112=""),IF(ISNUMBER('Quantification_Results'!Z112),IF(('Quantification_Results'!Z112&lt;'Quantification_Config'!$S$12),"",IF(('Quantification_Results'!Z112&gt;'Quantification_Config'!$T$12),"",'Quantification_Results'!Z112)),""),IF(ISNUMBER('Quantification_Results'!AA112),IF(('Quantification_Results'!AA112&lt;'Quantification_Config'!$S$12),"",IF(('Quantification_Results'!AA112&gt;'Quantification_Config'!$T$12),"",'Quantification_Results'!AA112)),"")))</x:f>
      </x:c>
      <x:c r="AC112">
        <x:f>IF(ISNUMBER('Quantification_Results'!AB112),IFERROR(ROUND(((('Quantification_Results'!AB112-'Quantification_Config'!$S$12)/('Quantification_Config'!$T$12-'Quantification_Config'!$S$12))*100),'Quantification_Config'!$U$2),""),"")</x:f>
      </x:c>
      <x:c r="AD112" t="inlineStr">
        <x:is>
          <x:t xml:space="preserve"/>
        </x:is>
      </x:c>
      <x:c r="AE112" t="inlineStr">
        <x:is>
          <x:t xml:space="preserve"/>
        </x:is>
      </x:c>
      <x:c r="AF112" t="inlineStr">
        <x:is>
          <x:t xml:space="preserve"/>
        </x:is>
      </x:c>
      <x:c r="AG112" t="inlineStr">
        <x:is>
          <x:t xml:space="preserve"/>
        </x:is>
      </x:c>
      <x:c r="AH112" t="inlineStr">
        <x:is>
          <x:t xml:space="preserve">EMPTY</x:t>
        </x:is>
      </x:c>
      <x:c r="AI112">
        <x:f>IF((COUNT('Quantification_Results'!AC112)=1),IFERROR(ROUND((SUM(('Quantification_Results'!AC112*'Quantification_Config'!$R$12))/SUM('Quantification_Config'!$R$12)),'Quantification_Config'!$U$2),""),"")</x:f>
      </x:c>
      <x:c r="AJ112">
        <x:f>IF((COUNT('Quantification_Results'!AI112)=1),IFERROR(ROUND((SUM(('Quantification_Results'!AI112*'Quantification_Config'!$R$11))/SUM('Quantification_Config'!$R$11)),'Quantification_Config'!$U$2),""),"")</x:f>
      </x:c>
      <x:c r="AK112" t="n">
        <x:v>1</x:v>
      </x:c>
      <x:c r="AL112" t="n">
        <x:v>5</x:v>
      </x:c>
      <x:c r="AM112"/>
      <x:c r="AN112" t="n">
        <x:f>IF(('Quantification_Results'!AK112&lt;&gt;1),"",IF(('Quantification_Results'!AM112=""),IF(ISNUMBER('Quantification_Results'!AL112),IF(('Quantification_Results'!AL112&lt;'Quantification_Config'!$S$15),"",IF(('Quantification_Results'!AL112&gt;'Quantification_Config'!$T$15),"",'Quantification_Results'!AL112)),""),IF(ISNUMBER('Quantification_Results'!AM112),IF(('Quantification_Results'!AM112&lt;'Quantification_Config'!$S$15),"",IF(('Quantification_Results'!AM112&gt;'Quantification_Config'!$T$15),"",'Quantification_Results'!AM112)),"")))</x:f>
        <x:v>5</x:v>
      </x:c>
      <x:c r="AO112" t="n">
        <x:f>IF(ISNUMBER('Quantification_Results'!AN112),IFERROR(ROUND(((('Quantification_Results'!AN112-'Quantification_Config'!$S$15)/('Quantification_Config'!$T$15-'Quantification_Config'!$S$15))*100),'Quantification_Config'!$U$2),""),"")</x:f>
        <x:v>50</x:v>
      </x:c>
      <x:c r="AP112" t="inlineStr">
        <x:is>
          <x:t xml:space="preserve">SYSTEM-TEST-ONLY-NO-NETWORK-NOT-AN-EDUCATIONAL-EVALUATION</x:t>
        </x:is>
      </x:c>
      <x:c r="AQ112" t="inlineStr">
        <x:is>
          <x:t xml:space="preserve"/>
        </x:is>
      </x:c>
      <x:c r="AR112" t="inlineStr">
        <x:is>
          <x:t xml:space="preserve">NONE</x:t>
        </x:is>
      </x:c>
      <x:c r="AS112" t="inlineStr">
        <x:is>
          <x:t xml:space="preserve"/>
        </x:is>
      </x:c>
      <x:c r="AT112" t="inlineStr">
        <x:is>
          <x:t xml:space="preserve">SUCCESS</x:t>
        </x:is>
      </x:c>
      <x:c r="AU112" t="n">
        <x:f>IF((COUNT('Quantification_Results'!AO112)=1),IFERROR(ROUND((SUM(('Quantification_Results'!AO112*'Quantification_Config'!$R$15))/SUM('Quantification_Config'!$R$15)),'Quantification_Config'!$U$2),""),"")</x:f>
        <x:v>50</x:v>
      </x:c>
      <x:c r="AV112" t="n">
        <x:f>IF((COUNT('Quantification_Results'!AU112)=1),IFERROR(ROUND((SUM(('Quantification_Results'!AU112*'Quantification_Config'!$R$14))/SUM('Quantification_Config'!$R$14)),'Quantification_Config'!$U$2),""),"")</x:f>
        <x:v>50</x:v>
      </x:c>
      <x:c r="AW112" t="n">
        <x:v>1</x:v>
      </x:c>
      <x:c r="AX112" t="n">
        <x:v>5</x:v>
      </x:c>
      <x:c r="AY112"/>
      <x:c r="AZ112" t="n">
        <x:f>IF(('Quantification_Results'!AW112&lt;&gt;1),"",IF(('Quantification_Results'!AY112=""),IF(ISNUMBER('Quantification_Results'!AX112),IF(('Quantification_Results'!AX112&lt;'Quantification_Config'!$S$19),"",IF(('Quantification_Results'!AX112&gt;'Quantification_Config'!$T$19),"",'Quantification_Results'!AX112)),""),IF(ISNUMBER('Quantification_Results'!AY112),IF(('Quantification_Results'!AY112&lt;'Quantification_Config'!$S$19),"",IF(('Quantification_Results'!AY112&gt;'Quantification_Config'!$T$19),"",'Quantification_Results'!AY112)),"")))</x:f>
        <x:v>5</x:v>
      </x:c>
      <x:c r="BA112" t="n">
        <x:f>IF(ISNUMBER('Quantification_Results'!AZ112),IFERROR(ROUND(((('Quantification_Results'!AZ112-'Quantification_Config'!$S$19)/('Quantification_Config'!$T$19-'Quantification_Config'!$S$19))*100),'Quantification_Config'!$U$2),""),"")</x:f>
        <x:v>50</x:v>
      </x:c>
      <x:c r="BB112" t="inlineStr">
        <x:is>
          <x:t xml:space="preserve">SYSTEM-TEST-ONLY-NO-NETWORK-NOT-AN-EDUCATIONAL-EVALUATION</x:t>
        </x:is>
      </x:c>
      <x:c r="BC112" t="inlineStr">
        <x:is>
          <x:t xml:space="preserve"/>
        </x:is>
      </x:c>
      <x:c r="BD112" t="inlineStr">
        <x:is>
          <x:t xml:space="preserve">NONE</x:t>
        </x:is>
      </x:c>
      <x:c r="BE112" t="inlineStr">
        <x:is>
          <x:t xml:space="preserve"/>
        </x:is>
      </x:c>
      <x:c r="BF112" t="inlineStr">
        <x:is>
          <x:t xml:space="preserve">SUCCESS</x:t>
        </x:is>
      </x:c>
      <x:c r="BG112" t="n">
        <x:f>IF((COUNT('Quantification_Results'!BA112)=1),IFERROR(ROUND((SUM(('Quantification_Results'!BA112*'Quantification_Config'!$R$19))/SUM('Quantification_Config'!$R$19)),'Quantification_Config'!$U$2),""),"")</x:f>
        <x:v>50</x:v>
      </x:c>
      <x:c r="BH112" t="n">
        <x:f>IF((COUNT('Quantification_Results'!BG112)=1),IFERROR(ROUND((SUM(('Quantification_Results'!BG112*'Quantification_Config'!$R$18))/SUM('Quantification_Config'!$R$18)),'Quantification_Config'!$U$2),""),"")</x:f>
        <x:v>50</x:v>
      </x:c>
      <x:c r="BI112">
        <x:f>IF((COUNT('Quantification_Results'!L112,'Quantification_Results'!X112,'Quantification_Results'!AJ112,'Quantification_Results'!AV112,'Quantification_Results'!BH112)=5),IFERROR(ROUND((SUM(('Quantification_Results'!L112*'Quantification_Config'!$R$4),('Quantification_Results'!X112*'Quantification_Config'!$R$7),('Quantification_Results'!AJ112*'Quantification_Config'!$R$10),('Quantification_Results'!AV112*'Quantification_Config'!$R$13),('Quantification_Results'!BH112*'Quantification_Config'!$R$16))/SUM('Quantification_Config'!$R$4,'Quantification_Config'!$R$7,'Quantification_Config'!$R$10,'Quantification_Config'!$R$13,'Quantification_Config'!$R$16)),'Quantification_Config'!$U$2),""),"")</x:f>
      </x:c>
    </x:row>
    <x:row r="113">
      <x:c r="A113" t="n">
        <x:v>1</x:v>
      </x:c>
      <x:c r="B113" t="n">
        <x:v>5</x:v>
      </x:c>
      <x:c r="C113"/>
      <x:c r="D113" t="n">
        <x:f>IF(('Quantification_Results'!A113&lt;&gt;1),"",IF(('Quantification_Results'!C113=""),IF(ISNUMBER('Quantification_Results'!B113),IF(('Quantification_Results'!B113&lt;'Quantification_Config'!$S$6),"",IF(('Quantification_Results'!B113&gt;'Quantification_Config'!$T$6),"",'Quantification_Results'!B113)),""),IF(ISNUMBER('Quantification_Results'!C113),IF(('Quantification_Results'!C113&lt;'Quantification_Config'!$S$6),"",IF(('Quantification_Results'!C113&gt;'Quantification_Config'!$T$6),"",'Quantification_Results'!C113)),"")))</x:f>
        <x:v>5</x:v>
      </x:c>
      <x:c r="E113" t="n">
        <x:f>IF(ISNUMBER('Quantification_Results'!D113),IFERROR(ROUND(((('Quantification_Results'!D113-'Quantification_Config'!$S$6)/('Quantification_Config'!$T$6-'Quantification_Config'!$S$6))*100),'Quantification_Config'!$U$2),""),"")</x:f>
        <x:v>50</x:v>
      </x:c>
      <x:c r="F113" t="inlineStr">
        <x:is>
          <x:t xml:space="preserve">SYSTEM-TEST-ONLY-NO-NETWORK-NOT-AN-EDUCATIONAL-EVALUATION</x:t>
        </x:is>
      </x:c>
      <x:c r="G113" t="inlineStr">
        <x:is>
          <x:t xml:space="preserve"/>
        </x:is>
      </x:c>
      <x:c r="H113" t="inlineStr">
        <x:is>
          <x:t xml:space="preserve">NONE</x:t>
        </x:is>
      </x:c>
      <x:c r="I113" t="inlineStr">
        <x:is>
          <x:t xml:space="preserve"/>
        </x:is>
      </x:c>
      <x:c r="J113" t="inlineStr">
        <x:is>
          <x:t xml:space="preserve">SUCCESS</x:t>
        </x:is>
      </x:c>
      <x:c r="K113" t="n">
        <x:f>IF((COUNT('Quantification_Results'!E113)=1),IFERROR(ROUND((SUM(('Quantification_Results'!E113*'Quantification_Config'!$R$6))/SUM('Quantification_Config'!$R$6)),'Quantification_Config'!$U$2),""),"")</x:f>
        <x:v>50</x:v>
      </x:c>
      <x:c r="L113" t="n">
        <x:f>IF((COUNT('Quantification_Results'!K113)=1),IFERROR(ROUND((SUM(('Quantification_Results'!K113*'Quantification_Config'!$R$5))/SUM('Quantification_Config'!$R$5)),'Quantification_Config'!$U$2),""),"")</x:f>
        <x:v>50</x:v>
      </x:c>
      <x:c r="M113" t="n">
        <x:v>0</x:v>
      </x:c>
      <x:c r="N113"/>
      <x:c r="O113"/>
      <x:c r="P113">
        <x:f>IF(('Quantification_Results'!M113&lt;&gt;1),"",IF(('Quantification_Results'!O113=""),IF(ISNUMBER('Quantification_Results'!N113),IF(('Quantification_Results'!N113&lt;'Quantification_Config'!$S$9),"",IF(('Quantification_Results'!N113&gt;'Quantification_Config'!$T$9),"",'Quantification_Results'!N113)),""),IF(ISNUMBER('Quantification_Results'!O113),IF(('Quantification_Results'!O113&lt;'Quantification_Config'!$S$9),"",IF(('Quantification_Results'!O113&gt;'Quantification_Config'!$T$9),"",'Quantification_Results'!O113)),"")))</x:f>
      </x:c>
      <x:c r="Q113">
        <x:f>IF(ISNUMBER('Quantification_Results'!P113),IFERROR(ROUND(((('Quantification_Results'!P113-'Quantification_Config'!$S$9)/('Quantification_Config'!$T$9-'Quantification_Config'!$S$9))*100),'Quantification_Config'!$U$2),""),"")</x:f>
      </x:c>
      <x:c r="R113" t="inlineStr">
        <x:is>
          <x:t xml:space="preserve"/>
        </x:is>
      </x:c>
      <x:c r="S113" t="inlineStr">
        <x:is>
          <x:t xml:space="preserve"/>
        </x:is>
      </x:c>
      <x:c r="T113" t="inlineStr">
        <x:is>
          <x:t xml:space="preserve"/>
        </x:is>
      </x:c>
      <x:c r="U113" t="inlineStr">
        <x:is>
          <x:t xml:space="preserve"/>
        </x:is>
      </x:c>
      <x:c r="V113" t="inlineStr">
        <x:is>
          <x:t xml:space="preserve">EMPTY</x:t>
        </x:is>
      </x:c>
      <x:c r="W113">
        <x:f>IF((COUNT('Quantification_Results'!Q113)=1),IFERROR(ROUND((SUM(('Quantification_Results'!Q113*'Quantification_Config'!$R$9))/SUM('Quantification_Config'!$R$9)),'Quantification_Config'!$U$2),""),"")</x:f>
      </x:c>
      <x:c r="X113">
        <x:f>IF((COUNT('Quantification_Results'!W113)=1),IFERROR(ROUND((SUM(('Quantification_Results'!W113*'Quantification_Config'!$R$8))/SUM('Quantification_Config'!$R$8)),'Quantification_Config'!$U$2),""),"")</x:f>
      </x:c>
      <x:c r="Y113" t="n">
        <x:v>0</x:v>
      </x:c>
      <x:c r="Z113"/>
      <x:c r="AA113"/>
      <x:c r="AB113">
        <x:f>IF(('Quantification_Results'!Y113&lt;&gt;1),"",IF(('Quantification_Results'!AA113=""),IF(ISNUMBER('Quantification_Results'!Z113),IF(('Quantification_Results'!Z113&lt;'Quantification_Config'!$S$12),"",IF(('Quantification_Results'!Z113&gt;'Quantification_Config'!$T$12),"",'Quantification_Results'!Z113)),""),IF(ISNUMBER('Quantification_Results'!AA113),IF(('Quantification_Results'!AA113&lt;'Quantification_Config'!$S$12),"",IF(('Quantification_Results'!AA113&gt;'Quantification_Config'!$T$12),"",'Quantification_Results'!AA113)),"")))</x:f>
      </x:c>
      <x:c r="AC113">
        <x:f>IF(ISNUMBER('Quantification_Results'!AB113),IFERROR(ROUND(((('Quantification_Results'!AB113-'Quantification_Config'!$S$12)/('Quantification_Config'!$T$12-'Quantification_Config'!$S$12))*100),'Quantification_Config'!$U$2),""),"")</x:f>
      </x:c>
      <x:c r="AD113" t="inlineStr">
        <x:is>
          <x:t xml:space="preserve"/>
        </x:is>
      </x:c>
      <x:c r="AE113" t="inlineStr">
        <x:is>
          <x:t xml:space="preserve"/>
        </x:is>
      </x:c>
      <x:c r="AF113" t="inlineStr">
        <x:is>
          <x:t xml:space="preserve"/>
        </x:is>
      </x:c>
      <x:c r="AG113" t="inlineStr">
        <x:is>
          <x:t xml:space="preserve"/>
        </x:is>
      </x:c>
      <x:c r="AH113" t="inlineStr">
        <x:is>
          <x:t xml:space="preserve">EMPTY</x:t>
        </x:is>
      </x:c>
      <x:c r="AI113">
        <x:f>IF((COUNT('Quantification_Results'!AC113)=1),IFERROR(ROUND((SUM(('Quantification_Results'!AC113*'Quantification_Config'!$R$12))/SUM('Quantification_Config'!$R$12)),'Quantification_Config'!$U$2),""),"")</x:f>
      </x:c>
      <x:c r="AJ113">
        <x:f>IF((COUNT('Quantification_Results'!AI113)=1),IFERROR(ROUND((SUM(('Quantification_Results'!AI113*'Quantification_Config'!$R$11))/SUM('Quantification_Config'!$R$11)),'Quantification_Config'!$U$2),""),"")</x:f>
      </x:c>
      <x:c r="AK113" t="n">
        <x:v>1</x:v>
      </x:c>
      <x:c r="AL113" t="n">
        <x:v>5</x:v>
      </x:c>
      <x:c r="AM113"/>
      <x:c r="AN113" t="n">
        <x:f>IF(('Quantification_Results'!AK113&lt;&gt;1),"",IF(('Quantification_Results'!AM113=""),IF(ISNUMBER('Quantification_Results'!AL113),IF(('Quantification_Results'!AL113&lt;'Quantification_Config'!$S$15),"",IF(('Quantification_Results'!AL113&gt;'Quantification_Config'!$T$15),"",'Quantification_Results'!AL113)),""),IF(ISNUMBER('Quantification_Results'!AM113),IF(('Quantification_Results'!AM113&lt;'Quantification_Config'!$S$15),"",IF(('Quantification_Results'!AM113&gt;'Quantification_Config'!$T$15),"",'Quantification_Results'!AM113)),"")))</x:f>
        <x:v>5</x:v>
      </x:c>
      <x:c r="AO113" t="n">
        <x:f>IF(ISNUMBER('Quantification_Results'!AN113),IFERROR(ROUND(((('Quantification_Results'!AN113-'Quantification_Config'!$S$15)/('Quantification_Config'!$T$15-'Quantification_Config'!$S$15))*100),'Quantification_Config'!$U$2),""),"")</x:f>
        <x:v>50</x:v>
      </x:c>
      <x:c r="AP113" t="inlineStr">
        <x:is>
          <x:t xml:space="preserve">SYSTEM-TEST-ONLY-NO-NETWORK-NOT-AN-EDUCATIONAL-EVALUATION</x:t>
        </x:is>
      </x:c>
      <x:c r="AQ113" t="inlineStr">
        <x:is>
          <x:t xml:space="preserve"/>
        </x:is>
      </x:c>
      <x:c r="AR113" t="inlineStr">
        <x:is>
          <x:t xml:space="preserve">NONE</x:t>
        </x:is>
      </x:c>
      <x:c r="AS113" t="inlineStr">
        <x:is>
          <x:t xml:space="preserve"/>
        </x:is>
      </x:c>
      <x:c r="AT113" t="inlineStr">
        <x:is>
          <x:t xml:space="preserve">SUCCESS</x:t>
        </x:is>
      </x:c>
      <x:c r="AU113" t="n">
        <x:f>IF((COUNT('Quantification_Results'!AO113)=1),IFERROR(ROUND((SUM(('Quantification_Results'!AO113*'Quantification_Config'!$R$15))/SUM('Quantification_Config'!$R$15)),'Quantification_Config'!$U$2),""),"")</x:f>
        <x:v>50</x:v>
      </x:c>
      <x:c r="AV113" t="n">
        <x:f>IF((COUNT('Quantification_Results'!AU113)=1),IFERROR(ROUND((SUM(('Quantification_Results'!AU113*'Quantification_Config'!$R$14))/SUM('Quantification_Config'!$R$14)),'Quantification_Config'!$U$2),""),"")</x:f>
        <x:v>50</x:v>
      </x:c>
      <x:c r="AW113" t="n">
        <x:v>0</x:v>
      </x:c>
      <x:c r="AX113"/>
      <x:c r="AY113"/>
      <x:c r="AZ113">
        <x:f>IF(('Quantification_Results'!AW113&lt;&gt;1),"",IF(('Quantification_Results'!AY113=""),IF(ISNUMBER('Quantification_Results'!AX113),IF(('Quantification_Results'!AX113&lt;'Quantification_Config'!$S$19),"",IF(('Quantification_Results'!AX113&gt;'Quantification_Config'!$T$19),"",'Quantification_Results'!AX113)),""),IF(ISNUMBER('Quantification_Results'!AY113),IF(('Quantification_Results'!AY113&lt;'Quantification_Config'!$S$19),"",IF(('Quantification_Results'!AY113&gt;'Quantification_Config'!$T$19),"",'Quantification_Results'!AY113)),"")))</x:f>
      </x:c>
      <x:c r="BA113">
        <x:f>IF(ISNUMBER('Quantification_Results'!AZ113),IFERROR(ROUND(((('Quantification_Results'!AZ113-'Quantification_Config'!$S$19)/('Quantification_Config'!$T$19-'Quantification_Config'!$S$19))*100),'Quantification_Config'!$U$2),""),"")</x:f>
      </x:c>
      <x:c r="BB113" t="inlineStr">
        <x:is>
          <x:t xml:space="preserve"/>
        </x:is>
      </x:c>
      <x:c r="BC113" t="inlineStr">
        <x:is>
          <x:t xml:space="preserve"/>
        </x:is>
      </x:c>
      <x:c r="BD113" t="inlineStr">
        <x:is>
          <x:t xml:space="preserve"/>
        </x:is>
      </x:c>
      <x:c r="BE113" t="inlineStr">
        <x:is>
          <x:t xml:space="preserve"/>
        </x:is>
      </x:c>
      <x:c r="BF113" t="inlineStr">
        <x:is>
          <x:t xml:space="preserve">EMPTY</x:t>
        </x:is>
      </x:c>
      <x:c r="BG113">
        <x:f>IF((COUNT('Quantification_Results'!BA113)=1),IFERROR(ROUND((SUM(('Quantification_Results'!BA113*'Quantification_Config'!$R$19))/SUM('Quantification_Config'!$R$19)),'Quantification_Config'!$U$2),""),"")</x:f>
      </x:c>
      <x:c r="BH113">
        <x:f>IF((COUNT('Quantification_Results'!BG113)=1),IFERROR(ROUND((SUM(('Quantification_Results'!BG113*'Quantification_Config'!$R$18))/SUM('Quantification_Config'!$R$18)),'Quantification_Config'!$U$2),""),"")</x:f>
      </x:c>
      <x:c r="BI113">
        <x:f>IF((COUNT('Quantification_Results'!L113,'Quantification_Results'!X113,'Quantification_Results'!AJ113,'Quantification_Results'!AV113,'Quantification_Results'!BH113)=5),IFERROR(ROUND((SUM(('Quantification_Results'!L113*'Quantification_Config'!$R$4),('Quantification_Results'!X113*'Quantification_Config'!$R$7),('Quantification_Results'!AJ113*'Quantification_Config'!$R$10),('Quantification_Results'!AV113*'Quantification_Config'!$R$13),('Quantification_Results'!BH113*'Quantification_Config'!$R$16))/SUM('Quantification_Config'!$R$4,'Quantification_Config'!$R$7,'Quantification_Config'!$R$10,'Quantification_Config'!$R$13,'Quantification_Config'!$R$16)),'Quantification_Config'!$U$2),""),"")</x:f>
      </x:c>
    </x:row>
    <x:row r="114">
      <x:c r="A114" t="n">
        <x:v>1</x:v>
      </x:c>
      <x:c r="B114" t="n">
        <x:v>5</x:v>
      </x:c>
      <x:c r="C114"/>
      <x:c r="D114" t="n">
        <x:f>IF(('Quantification_Results'!A114&lt;&gt;1),"",IF(('Quantification_Results'!C114=""),IF(ISNUMBER('Quantification_Results'!B114),IF(('Quantification_Results'!B114&lt;'Quantification_Config'!$S$6),"",IF(('Quantification_Results'!B114&gt;'Quantification_Config'!$T$6),"",'Quantification_Results'!B114)),""),IF(ISNUMBER('Quantification_Results'!C114),IF(('Quantification_Results'!C114&lt;'Quantification_Config'!$S$6),"",IF(('Quantification_Results'!C114&gt;'Quantification_Config'!$T$6),"",'Quantification_Results'!C114)),"")))</x:f>
        <x:v>5</x:v>
      </x:c>
      <x:c r="E114" t="n">
        <x:f>IF(ISNUMBER('Quantification_Results'!D114),IFERROR(ROUND(((('Quantification_Results'!D114-'Quantification_Config'!$S$6)/('Quantification_Config'!$T$6-'Quantification_Config'!$S$6))*100),'Quantification_Config'!$U$2),""),"")</x:f>
        <x:v>50</x:v>
      </x:c>
      <x:c r="F114" t="inlineStr">
        <x:is>
          <x:t xml:space="preserve">SYSTEM-TEST-ONLY-NO-NETWORK-NOT-AN-EDUCATIONAL-EVALUATION</x:t>
        </x:is>
      </x:c>
      <x:c r="G114" t="inlineStr">
        <x:is>
          <x:t xml:space="preserve"/>
        </x:is>
      </x:c>
      <x:c r="H114" t="inlineStr">
        <x:is>
          <x:t xml:space="preserve">NONE</x:t>
        </x:is>
      </x:c>
      <x:c r="I114" t="inlineStr">
        <x:is>
          <x:t xml:space="preserve"/>
        </x:is>
      </x:c>
      <x:c r="J114" t="inlineStr">
        <x:is>
          <x:t xml:space="preserve">SUCCESS</x:t>
        </x:is>
      </x:c>
      <x:c r="K114" t="n">
        <x:f>IF((COUNT('Quantification_Results'!E114)=1),IFERROR(ROUND((SUM(('Quantification_Results'!E114*'Quantification_Config'!$R$6))/SUM('Quantification_Config'!$R$6)),'Quantification_Config'!$U$2),""),"")</x:f>
        <x:v>50</x:v>
      </x:c>
      <x:c r="L114" t="n">
        <x:f>IF((COUNT('Quantification_Results'!K114)=1),IFERROR(ROUND((SUM(('Quantification_Results'!K114*'Quantification_Config'!$R$5))/SUM('Quantification_Config'!$R$5)),'Quantification_Config'!$U$2),""),"")</x:f>
        <x:v>50</x:v>
      </x:c>
      <x:c r="M114" t="n">
        <x:v>1</x:v>
      </x:c>
      <x:c r="N114" t="n">
        <x:v>5</x:v>
      </x:c>
      <x:c r="O114"/>
      <x:c r="P114" t="n">
        <x:f>IF(('Quantification_Results'!M114&lt;&gt;1),"",IF(('Quantification_Results'!O114=""),IF(ISNUMBER('Quantification_Results'!N114),IF(('Quantification_Results'!N114&lt;'Quantification_Config'!$S$9),"",IF(('Quantification_Results'!N114&gt;'Quantification_Config'!$T$9),"",'Quantification_Results'!N114)),""),IF(ISNUMBER('Quantification_Results'!O114),IF(('Quantification_Results'!O114&lt;'Quantification_Config'!$S$9),"",IF(('Quantification_Results'!O114&gt;'Quantification_Config'!$T$9),"",'Quantification_Results'!O114)),"")))</x:f>
        <x:v>5</x:v>
      </x:c>
      <x:c r="Q114" t="n">
        <x:f>IF(ISNUMBER('Quantification_Results'!P114),IFERROR(ROUND(((('Quantification_Results'!P114-'Quantification_Config'!$S$9)/('Quantification_Config'!$T$9-'Quantification_Config'!$S$9))*100),'Quantification_Config'!$U$2),""),"")</x:f>
        <x:v>50</x:v>
      </x:c>
      <x:c r="R114" t="inlineStr">
        <x:is>
          <x:t xml:space="preserve">SYSTEM-TEST-ONLY-NO-NETWORK-NOT-AN-EDUCATIONAL-EVALUATION</x:t>
        </x:is>
      </x:c>
      <x:c r="S114" t="inlineStr">
        <x:is>
          <x:t xml:space="preserve"/>
        </x:is>
      </x:c>
      <x:c r="T114" t="inlineStr">
        <x:is>
          <x:t xml:space="preserve">NONE</x:t>
        </x:is>
      </x:c>
      <x:c r="U114" t="inlineStr">
        <x:is>
          <x:t xml:space="preserve"/>
        </x:is>
      </x:c>
      <x:c r="V114" t="inlineStr">
        <x:is>
          <x:t xml:space="preserve">SUCCESS</x:t>
        </x:is>
      </x:c>
      <x:c r="W114" t="n">
        <x:f>IF((COUNT('Quantification_Results'!Q114)=1),IFERROR(ROUND((SUM(('Quantification_Results'!Q114*'Quantification_Config'!$R$9))/SUM('Quantification_Config'!$R$9)),'Quantification_Config'!$U$2),""),"")</x:f>
        <x:v>50</x:v>
      </x:c>
      <x:c r="X114" t="n">
        <x:f>IF((COUNT('Quantification_Results'!W114)=1),IFERROR(ROUND((SUM(('Quantification_Results'!W114*'Quantification_Config'!$R$8))/SUM('Quantification_Config'!$R$8)),'Quantification_Config'!$U$2),""),"")</x:f>
        <x:v>50</x:v>
      </x:c>
      <x:c r="Y114" t="n">
        <x:v>1</x:v>
      </x:c>
      <x:c r="Z114" t="n">
        <x:v>5</x:v>
      </x:c>
      <x:c r="AA114"/>
      <x:c r="AB114" t="n">
        <x:f>IF(('Quantification_Results'!Y114&lt;&gt;1),"",IF(('Quantification_Results'!AA114=""),IF(ISNUMBER('Quantification_Results'!Z114),IF(('Quantification_Results'!Z114&lt;'Quantification_Config'!$S$12),"",IF(('Quantification_Results'!Z114&gt;'Quantification_Config'!$T$12),"",'Quantification_Results'!Z114)),""),IF(ISNUMBER('Quantification_Results'!AA114),IF(('Quantification_Results'!AA114&lt;'Quantification_Config'!$S$12),"",IF(('Quantification_Results'!AA114&gt;'Quantification_Config'!$T$12),"",'Quantification_Results'!AA114)),"")))</x:f>
        <x:v>5</x:v>
      </x:c>
      <x:c r="AC114" t="n">
        <x:f>IF(ISNUMBER('Quantification_Results'!AB114),IFERROR(ROUND(((('Quantification_Results'!AB114-'Quantification_Config'!$S$12)/('Quantification_Config'!$T$12-'Quantification_Config'!$S$12))*100),'Quantification_Config'!$U$2),""),"")</x:f>
        <x:v>50</x:v>
      </x:c>
      <x:c r="AD114" t="inlineStr">
        <x:is>
          <x:t xml:space="preserve">SYSTEM-TEST-ONLY-NO-NETWORK-NOT-AN-EDUCATIONAL-EVALUATION</x:t>
        </x:is>
      </x:c>
      <x:c r="AE114" t="inlineStr">
        <x:is>
          <x:t xml:space="preserve"/>
        </x:is>
      </x:c>
      <x:c r="AF114" t="inlineStr">
        <x:is>
          <x:t xml:space="preserve">NONE</x:t>
        </x:is>
      </x:c>
      <x:c r="AG114" t="inlineStr">
        <x:is>
          <x:t xml:space="preserve"/>
        </x:is>
      </x:c>
      <x:c r="AH114" t="inlineStr">
        <x:is>
          <x:t xml:space="preserve">SUCCESS</x:t>
        </x:is>
      </x:c>
      <x:c r="AI114" t="n">
        <x:f>IF((COUNT('Quantification_Results'!AC114)=1),IFERROR(ROUND((SUM(('Quantification_Results'!AC114*'Quantification_Config'!$R$12))/SUM('Quantification_Config'!$R$12)),'Quantification_Config'!$U$2),""),"")</x:f>
        <x:v>50</x:v>
      </x:c>
      <x:c r="AJ114" t="n">
        <x:f>IF((COUNT('Quantification_Results'!AI114)=1),IFERROR(ROUND((SUM(('Quantification_Results'!AI114*'Quantification_Config'!$R$11))/SUM('Quantification_Config'!$R$11)),'Quantification_Config'!$U$2),""),"")</x:f>
        <x:v>50</x:v>
      </x:c>
      <x:c r="AK114" t="n">
        <x:v>1</x:v>
      </x:c>
      <x:c r="AL114" t="n">
        <x:v>5</x:v>
      </x:c>
      <x:c r="AM114"/>
      <x:c r="AN114" t="n">
        <x:f>IF(('Quantification_Results'!AK114&lt;&gt;1),"",IF(('Quantification_Results'!AM114=""),IF(ISNUMBER('Quantification_Results'!AL114),IF(('Quantification_Results'!AL114&lt;'Quantification_Config'!$S$15),"",IF(('Quantification_Results'!AL114&gt;'Quantification_Config'!$T$15),"",'Quantification_Results'!AL114)),""),IF(ISNUMBER('Quantification_Results'!AM114),IF(('Quantification_Results'!AM114&lt;'Quantification_Config'!$S$15),"",IF(('Quantification_Results'!AM114&gt;'Quantification_Config'!$T$15),"",'Quantification_Results'!AM114)),"")))</x:f>
        <x:v>5</x:v>
      </x:c>
      <x:c r="AO114" t="n">
        <x:f>IF(ISNUMBER('Quantification_Results'!AN114),IFERROR(ROUND(((('Quantification_Results'!AN114-'Quantification_Config'!$S$15)/('Quantification_Config'!$T$15-'Quantification_Config'!$S$15))*100),'Quantification_Config'!$U$2),""),"")</x:f>
        <x:v>50</x:v>
      </x:c>
      <x:c r="AP114" t="inlineStr">
        <x:is>
          <x:t xml:space="preserve">SYSTEM-TEST-ONLY-NO-NETWORK-NOT-AN-EDUCATIONAL-EVALUATION</x:t>
        </x:is>
      </x:c>
      <x:c r="AQ114" t="inlineStr">
        <x:is>
          <x:t xml:space="preserve"/>
        </x:is>
      </x:c>
      <x:c r="AR114" t="inlineStr">
        <x:is>
          <x:t xml:space="preserve">NONE</x:t>
        </x:is>
      </x:c>
      <x:c r="AS114" t="inlineStr">
        <x:is>
          <x:t xml:space="preserve"/>
        </x:is>
      </x:c>
      <x:c r="AT114" t="inlineStr">
        <x:is>
          <x:t xml:space="preserve">SUCCESS</x:t>
        </x:is>
      </x:c>
      <x:c r="AU114" t="n">
        <x:f>IF((COUNT('Quantification_Results'!AO114)=1),IFERROR(ROUND((SUM(('Quantification_Results'!AO114*'Quantification_Config'!$R$15))/SUM('Quantification_Config'!$R$15)),'Quantification_Config'!$U$2),""),"")</x:f>
        <x:v>50</x:v>
      </x:c>
      <x:c r="AV114" t="n">
        <x:f>IF((COUNT('Quantification_Results'!AU114)=1),IFERROR(ROUND((SUM(('Quantification_Results'!AU114*'Quantification_Config'!$R$14))/SUM('Quantification_Config'!$R$14)),'Quantification_Config'!$U$2),""),"")</x:f>
        <x:v>50</x:v>
      </x:c>
      <x:c r="AW114" t="n">
        <x:v>1</x:v>
      </x:c>
      <x:c r="AX114" t="n">
        <x:v>5</x:v>
      </x:c>
      <x:c r="AY114"/>
      <x:c r="AZ114" t="n">
        <x:f>IF(('Quantification_Results'!AW114&lt;&gt;1),"",IF(('Quantification_Results'!AY114=""),IF(ISNUMBER('Quantification_Results'!AX114),IF(('Quantification_Results'!AX114&lt;'Quantification_Config'!$S$19),"",IF(('Quantification_Results'!AX114&gt;'Quantification_Config'!$T$19),"",'Quantification_Results'!AX114)),""),IF(ISNUMBER('Quantification_Results'!AY114),IF(('Quantification_Results'!AY114&lt;'Quantification_Config'!$S$19),"",IF(('Quantification_Results'!AY114&gt;'Quantification_Config'!$T$19),"",'Quantification_Results'!AY114)),"")))</x:f>
        <x:v>5</x:v>
      </x:c>
      <x:c r="BA114" t="n">
        <x:f>IF(ISNUMBER('Quantification_Results'!AZ114),IFERROR(ROUND(((('Quantification_Results'!AZ114-'Quantification_Config'!$S$19)/('Quantification_Config'!$T$19-'Quantification_Config'!$S$19))*100),'Quantification_Config'!$U$2),""),"")</x:f>
        <x:v>50</x:v>
      </x:c>
      <x:c r="BB114" t="inlineStr">
        <x:is>
          <x:t xml:space="preserve">SYSTEM-TEST-ONLY-NO-NETWORK-NOT-AN-EDUCATIONAL-EVALUATION</x:t>
        </x:is>
      </x:c>
      <x:c r="BC114" t="inlineStr">
        <x:is>
          <x:t xml:space="preserve"/>
        </x:is>
      </x:c>
      <x:c r="BD114" t="inlineStr">
        <x:is>
          <x:t xml:space="preserve">NONE</x:t>
        </x:is>
      </x:c>
      <x:c r="BE114" t="inlineStr">
        <x:is>
          <x:t xml:space="preserve"/>
        </x:is>
      </x:c>
      <x:c r="BF114" t="inlineStr">
        <x:is>
          <x:t xml:space="preserve">SUCCESS</x:t>
        </x:is>
      </x:c>
      <x:c r="BG114" t="n">
        <x:f>IF((COUNT('Quantification_Results'!BA114)=1),IFERROR(ROUND((SUM(('Quantification_Results'!BA114*'Quantification_Config'!$R$19))/SUM('Quantification_Config'!$R$19)),'Quantification_Config'!$U$2),""),"")</x:f>
        <x:v>50</x:v>
      </x:c>
      <x:c r="BH114" t="n">
        <x:f>IF((COUNT('Quantification_Results'!BG114)=1),IFERROR(ROUND((SUM(('Quantification_Results'!BG114*'Quantification_Config'!$R$18))/SUM('Quantification_Config'!$R$18)),'Quantification_Config'!$U$2),""),"")</x:f>
        <x:v>50</x:v>
      </x:c>
      <x:c r="BI114" t="n">
        <x:f>IF((COUNT('Quantification_Results'!L114,'Quantification_Results'!X114,'Quantification_Results'!AJ114,'Quantification_Results'!AV114,'Quantification_Results'!BH114)=5),IFERROR(ROUND((SUM(('Quantification_Results'!L114*'Quantification_Config'!$R$4),('Quantification_Results'!X114*'Quantification_Config'!$R$7),('Quantification_Results'!AJ114*'Quantification_Config'!$R$10),('Quantification_Results'!AV114*'Quantification_Config'!$R$13),('Quantification_Results'!BH114*'Quantification_Config'!$R$16))/SUM('Quantification_Config'!$R$4,'Quantification_Config'!$R$7,'Quantification_Config'!$R$10,'Quantification_Config'!$R$13,'Quantification_Config'!$R$16)),'Quantification_Config'!$U$2),""),"")</x:f>
        <x:v>50</x:v>
      </x:c>
    </x:row>
    <x:row r="115">
      <x:c r="A115" t="n">
        <x:v>1</x:v>
      </x:c>
      <x:c r="B115" t="n">
        <x:v>5</x:v>
      </x:c>
      <x:c r="C115"/>
      <x:c r="D115" t="n">
        <x:f>IF(('Quantification_Results'!A115&lt;&gt;1),"",IF(('Quantification_Results'!C115=""),IF(ISNUMBER('Quantification_Results'!B115),IF(('Quantification_Results'!B115&lt;'Quantification_Config'!$S$6),"",IF(('Quantification_Results'!B115&gt;'Quantification_Config'!$T$6),"",'Quantification_Results'!B115)),""),IF(ISNUMBER('Quantification_Results'!C115),IF(('Quantification_Results'!C115&lt;'Quantification_Config'!$S$6),"",IF(('Quantification_Results'!C115&gt;'Quantification_Config'!$T$6),"",'Quantification_Results'!C115)),"")))</x:f>
        <x:v>5</x:v>
      </x:c>
      <x:c r="E115" t="n">
        <x:f>IF(ISNUMBER('Quantification_Results'!D115),IFERROR(ROUND(((('Quantification_Results'!D115-'Quantification_Config'!$S$6)/('Quantification_Config'!$T$6-'Quantification_Config'!$S$6))*100),'Quantification_Config'!$U$2),""),"")</x:f>
        <x:v>50</x:v>
      </x:c>
      <x:c r="F115" t="inlineStr">
        <x:is>
          <x:t xml:space="preserve">SYSTEM-TEST-ONLY-NO-NETWORK-NOT-AN-EDUCATIONAL-EVALUATION</x:t>
        </x:is>
      </x:c>
      <x:c r="G115" t="inlineStr">
        <x:is>
          <x:t xml:space="preserve"/>
        </x:is>
      </x:c>
      <x:c r="H115" t="inlineStr">
        <x:is>
          <x:t xml:space="preserve">NONE</x:t>
        </x:is>
      </x:c>
      <x:c r="I115" t="inlineStr">
        <x:is>
          <x:t xml:space="preserve"/>
        </x:is>
      </x:c>
      <x:c r="J115" t="inlineStr">
        <x:is>
          <x:t xml:space="preserve">SUCCESS</x:t>
        </x:is>
      </x:c>
      <x:c r="K115" t="n">
        <x:f>IF((COUNT('Quantification_Results'!E115)=1),IFERROR(ROUND((SUM(('Quantification_Results'!E115*'Quantification_Config'!$R$6))/SUM('Quantification_Config'!$R$6)),'Quantification_Config'!$U$2),""),"")</x:f>
        <x:v>50</x:v>
      </x:c>
      <x:c r="L115" t="n">
        <x:f>IF((COUNT('Quantification_Results'!K115)=1),IFERROR(ROUND((SUM(('Quantification_Results'!K115*'Quantification_Config'!$R$5))/SUM('Quantification_Config'!$R$5)),'Quantification_Config'!$U$2),""),"")</x:f>
        <x:v>50</x:v>
      </x:c>
      <x:c r="M115" t="n">
        <x:v>0</x:v>
      </x:c>
      <x:c r="N115"/>
      <x:c r="O115"/>
      <x:c r="P115">
        <x:f>IF(('Quantification_Results'!M115&lt;&gt;1),"",IF(('Quantification_Results'!O115=""),IF(ISNUMBER('Quantification_Results'!N115),IF(('Quantification_Results'!N115&lt;'Quantification_Config'!$S$9),"",IF(('Quantification_Results'!N115&gt;'Quantification_Config'!$T$9),"",'Quantification_Results'!N115)),""),IF(ISNUMBER('Quantification_Results'!O115),IF(('Quantification_Results'!O115&lt;'Quantification_Config'!$S$9),"",IF(('Quantification_Results'!O115&gt;'Quantification_Config'!$T$9),"",'Quantification_Results'!O115)),"")))</x:f>
      </x:c>
      <x:c r="Q115">
        <x:f>IF(ISNUMBER('Quantification_Results'!P115),IFERROR(ROUND(((('Quantification_Results'!P115-'Quantification_Config'!$S$9)/('Quantification_Config'!$T$9-'Quantification_Config'!$S$9))*100),'Quantification_Config'!$U$2),""),"")</x:f>
      </x:c>
      <x:c r="R115" t="inlineStr">
        <x:is>
          <x:t xml:space="preserve"/>
        </x:is>
      </x:c>
      <x:c r="S115" t="inlineStr">
        <x:is>
          <x:t xml:space="preserve"/>
        </x:is>
      </x:c>
      <x:c r="T115" t="inlineStr">
        <x:is>
          <x:t xml:space="preserve"/>
        </x:is>
      </x:c>
      <x:c r="U115" t="inlineStr">
        <x:is>
          <x:t xml:space="preserve"/>
        </x:is>
      </x:c>
      <x:c r="V115" t="inlineStr">
        <x:is>
          <x:t xml:space="preserve">EMPTY</x:t>
        </x:is>
      </x:c>
      <x:c r="W115">
        <x:f>IF((COUNT('Quantification_Results'!Q115)=1),IFERROR(ROUND((SUM(('Quantification_Results'!Q115*'Quantification_Config'!$R$9))/SUM('Quantification_Config'!$R$9)),'Quantification_Config'!$U$2),""),"")</x:f>
      </x:c>
      <x:c r="X115">
        <x:f>IF((COUNT('Quantification_Results'!W115)=1),IFERROR(ROUND((SUM(('Quantification_Results'!W115*'Quantification_Config'!$R$8))/SUM('Quantification_Config'!$R$8)),'Quantification_Config'!$U$2),""),"")</x:f>
      </x:c>
      <x:c r="Y115" t="n">
        <x:v>0</x:v>
      </x:c>
      <x:c r="Z115"/>
      <x:c r="AA115"/>
      <x:c r="AB115">
        <x:f>IF(('Quantification_Results'!Y115&lt;&gt;1),"",IF(('Quantification_Results'!AA115=""),IF(ISNUMBER('Quantification_Results'!Z115),IF(('Quantification_Results'!Z115&lt;'Quantification_Config'!$S$12),"",IF(('Quantification_Results'!Z115&gt;'Quantification_Config'!$T$12),"",'Quantification_Results'!Z115)),""),IF(ISNUMBER('Quantification_Results'!AA115),IF(('Quantification_Results'!AA115&lt;'Quantification_Config'!$S$12),"",IF(('Quantification_Results'!AA115&gt;'Quantification_Config'!$T$12),"",'Quantification_Results'!AA115)),"")))</x:f>
      </x:c>
      <x:c r="AC115">
        <x:f>IF(ISNUMBER('Quantification_Results'!AB115),IFERROR(ROUND(((('Quantification_Results'!AB115-'Quantification_Config'!$S$12)/('Quantification_Config'!$T$12-'Quantification_Config'!$S$12))*100),'Quantification_Config'!$U$2),""),"")</x:f>
      </x:c>
      <x:c r="AD115" t="inlineStr">
        <x:is>
          <x:t xml:space="preserve"/>
        </x:is>
      </x:c>
      <x:c r="AE115" t="inlineStr">
        <x:is>
          <x:t xml:space="preserve"/>
        </x:is>
      </x:c>
      <x:c r="AF115" t="inlineStr">
        <x:is>
          <x:t xml:space="preserve"/>
        </x:is>
      </x:c>
      <x:c r="AG115" t="inlineStr">
        <x:is>
          <x:t xml:space="preserve"/>
        </x:is>
      </x:c>
      <x:c r="AH115" t="inlineStr">
        <x:is>
          <x:t xml:space="preserve">EMPTY</x:t>
        </x:is>
      </x:c>
      <x:c r="AI115">
        <x:f>IF((COUNT('Quantification_Results'!AC115)=1),IFERROR(ROUND((SUM(('Quantification_Results'!AC115*'Quantification_Config'!$R$12))/SUM('Quantification_Config'!$R$12)),'Quantification_Config'!$U$2),""),"")</x:f>
      </x:c>
      <x:c r="AJ115">
        <x:f>IF((COUNT('Quantification_Results'!AI115)=1),IFERROR(ROUND((SUM(('Quantification_Results'!AI115*'Quantification_Config'!$R$11))/SUM('Quantification_Config'!$R$11)),'Quantification_Config'!$U$2),""),"")</x:f>
      </x:c>
      <x:c r="AK115" t="n">
        <x:v>1</x:v>
      </x:c>
      <x:c r="AL115" t="n">
        <x:v>5</x:v>
      </x:c>
      <x:c r="AM115"/>
      <x:c r="AN115" t="n">
        <x:f>IF(('Quantification_Results'!AK115&lt;&gt;1),"",IF(('Quantification_Results'!AM115=""),IF(ISNUMBER('Quantification_Results'!AL115),IF(('Quantification_Results'!AL115&lt;'Quantification_Config'!$S$15),"",IF(('Quantification_Results'!AL115&gt;'Quantification_Config'!$T$15),"",'Quantification_Results'!AL115)),""),IF(ISNUMBER('Quantification_Results'!AM115),IF(('Quantification_Results'!AM115&lt;'Quantification_Config'!$S$15),"",IF(('Quantification_Results'!AM115&gt;'Quantification_Config'!$T$15),"",'Quantification_Results'!AM115)),"")))</x:f>
        <x:v>5</x:v>
      </x:c>
      <x:c r="AO115" t="n">
        <x:f>IF(ISNUMBER('Quantification_Results'!AN115),IFERROR(ROUND(((('Quantification_Results'!AN115-'Quantification_Config'!$S$15)/('Quantification_Config'!$T$15-'Quantification_Config'!$S$15))*100),'Quantification_Config'!$U$2),""),"")</x:f>
        <x:v>50</x:v>
      </x:c>
      <x:c r="AP115" t="inlineStr">
        <x:is>
          <x:t xml:space="preserve">SYSTEM-TEST-ONLY-NO-NETWORK-NOT-AN-EDUCATIONAL-EVALUATION</x:t>
        </x:is>
      </x:c>
      <x:c r="AQ115" t="inlineStr">
        <x:is>
          <x:t xml:space="preserve"/>
        </x:is>
      </x:c>
      <x:c r="AR115" t="inlineStr">
        <x:is>
          <x:t xml:space="preserve">NONE</x:t>
        </x:is>
      </x:c>
      <x:c r="AS115" t="inlineStr">
        <x:is>
          <x:t xml:space="preserve"/>
        </x:is>
      </x:c>
      <x:c r="AT115" t="inlineStr">
        <x:is>
          <x:t xml:space="preserve">SUCCESS</x:t>
        </x:is>
      </x:c>
      <x:c r="AU115" t="n">
        <x:f>IF((COUNT('Quantification_Results'!AO115)=1),IFERROR(ROUND((SUM(('Quantification_Results'!AO115*'Quantification_Config'!$R$15))/SUM('Quantification_Config'!$R$15)),'Quantification_Config'!$U$2),""),"")</x:f>
        <x:v>50</x:v>
      </x:c>
      <x:c r="AV115" t="n">
        <x:f>IF((COUNT('Quantification_Results'!AU115)=1),IFERROR(ROUND((SUM(('Quantification_Results'!AU115*'Quantification_Config'!$R$14))/SUM('Quantification_Config'!$R$14)),'Quantification_Config'!$U$2),""),"")</x:f>
        <x:v>50</x:v>
      </x:c>
      <x:c r="AW115" t="n">
        <x:v>1</x:v>
      </x:c>
      <x:c r="AX115" t="n">
        <x:v>5</x:v>
      </x:c>
      <x:c r="AY115"/>
      <x:c r="AZ115" t="n">
        <x:f>IF(('Quantification_Results'!AW115&lt;&gt;1),"",IF(('Quantification_Results'!AY115=""),IF(ISNUMBER('Quantification_Results'!AX115),IF(('Quantification_Results'!AX115&lt;'Quantification_Config'!$S$19),"",IF(('Quantification_Results'!AX115&gt;'Quantification_Config'!$T$19),"",'Quantification_Results'!AX115)),""),IF(ISNUMBER('Quantification_Results'!AY115),IF(('Quantification_Results'!AY115&lt;'Quantification_Config'!$S$19),"",IF(('Quantification_Results'!AY115&gt;'Quantification_Config'!$T$19),"",'Quantification_Results'!AY115)),"")))</x:f>
        <x:v>5</x:v>
      </x:c>
      <x:c r="BA115" t="n">
        <x:f>IF(ISNUMBER('Quantification_Results'!AZ115),IFERROR(ROUND(((('Quantification_Results'!AZ115-'Quantification_Config'!$S$19)/('Quantification_Config'!$T$19-'Quantification_Config'!$S$19))*100),'Quantification_Config'!$U$2),""),"")</x:f>
        <x:v>50</x:v>
      </x:c>
      <x:c r="BB115" t="inlineStr">
        <x:is>
          <x:t xml:space="preserve">SYSTEM-TEST-ONLY-NO-NETWORK-NOT-AN-EDUCATIONAL-EVALUATION</x:t>
        </x:is>
      </x:c>
      <x:c r="BC115" t="inlineStr">
        <x:is>
          <x:t xml:space="preserve"/>
        </x:is>
      </x:c>
      <x:c r="BD115" t="inlineStr">
        <x:is>
          <x:t xml:space="preserve">NONE</x:t>
        </x:is>
      </x:c>
      <x:c r="BE115" t="inlineStr">
        <x:is>
          <x:t xml:space="preserve"/>
        </x:is>
      </x:c>
      <x:c r="BF115" t="inlineStr">
        <x:is>
          <x:t xml:space="preserve">SUCCESS</x:t>
        </x:is>
      </x:c>
      <x:c r="BG115" t="n">
        <x:f>IF((COUNT('Quantification_Results'!BA115)=1),IFERROR(ROUND((SUM(('Quantification_Results'!BA115*'Quantification_Config'!$R$19))/SUM('Quantification_Config'!$R$19)),'Quantification_Config'!$U$2),""),"")</x:f>
        <x:v>50</x:v>
      </x:c>
      <x:c r="BH115" t="n">
        <x:f>IF((COUNT('Quantification_Results'!BG115)=1),IFERROR(ROUND((SUM(('Quantification_Results'!BG115*'Quantification_Config'!$R$18))/SUM('Quantification_Config'!$R$18)),'Quantification_Config'!$U$2),""),"")</x:f>
        <x:v>50</x:v>
      </x:c>
      <x:c r="BI115">
        <x:f>IF((COUNT('Quantification_Results'!L115,'Quantification_Results'!X115,'Quantification_Results'!AJ115,'Quantification_Results'!AV115,'Quantification_Results'!BH115)=5),IFERROR(ROUND((SUM(('Quantification_Results'!L115*'Quantification_Config'!$R$4),('Quantification_Results'!X115*'Quantification_Config'!$R$7),('Quantification_Results'!AJ115*'Quantification_Config'!$R$10),('Quantification_Results'!AV115*'Quantification_Config'!$R$13),('Quantification_Results'!BH115*'Quantification_Config'!$R$16))/SUM('Quantification_Config'!$R$4,'Quantification_Config'!$R$7,'Quantification_Config'!$R$10,'Quantification_Config'!$R$13,'Quantification_Config'!$R$16)),'Quantification_Config'!$U$2),""),"")</x:f>
      </x:c>
    </x:row>
    <x:row r="116">
      <x:c r="A116" t="n">
        <x:v>1</x:v>
      </x:c>
      <x:c r="B116" t="n">
        <x:v>5</x:v>
      </x:c>
      <x:c r="C116"/>
      <x:c r="D116" t="n">
        <x:f>IF(('Quantification_Results'!A116&lt;&gt;1),"",IF(('Quantification_Results'!C116=""),IF(ISNUMBER('Quantification_Results'!B116),IF(('Quantification_Results'!B116&lt;'Quantification_Config'!$S$6),"",IF(('Quantification_Results'!B116&gt;'Quantification_Config'!$T$6),"",'Quantification_Results'!B116)),""),IF(ISNUMBER('Quantification_Results'!C116),IF(('Quantification_Results'!C116&lt;'Quantification_Config'!$S$6),"",IF(('Quantification_Results'!C116&gt;'Quantification_Config'!$T$6),"",'Quantification_Results'!C116)),"")))</x:f>
        <x:v>5</x:v>
      </x:c>
      <x:c r="E116" t="n">
        <x:f>IF(ISNUMBER('Quantification_Results'!D116),IFERROR(ROUND(((('Quantification_Results'!D116-'Quantification_Config'!$S$6)/('Quantification_Config'!$T$6-'Quantification_Config'!$S$6))*100),'Quantification_Config'!$U$2),""),"")</x:f>
        <x:v>50</x:v>
      </x:c>
      <x:c r="F116" t="inlineStr">
        <x:is>
          <x:t xml:space="preserve">SYSTEM-TEST-ONLY-NO-NETWORK-NOT-AN-EDUCATIONAL-EVALUATION</x:t>
        </x:is>
      </x:c>
      <x:c r="G116" t="inlineStr">
        <x:is>
          <x:t xml:space="preserve"/>
        </x:is>
      </x:c>
      <x:c r="H116" t="inlineStr">
        <x:is>
          <x:t xml:space="preserve">NONE</x:t>
        </x:is>
      </x:c>
      <x:c r="I116" t="inlineStr">
        <x:is>
          <x:t xml:space="preserve"/>
        </x:is>
      </x:c>
      <x:c r="J116" t="inlineStr">
        <x:is>
          <x:t xml:space="preserve">SUCCESS</x:t>
        </x:is>
      </x:c>
      <x:c r="K116" t="n">
        <x:f>IF((COUNT('Quantification_Results'!E116)=1),IFERROR(ROUND((SUM(('Quantification_Results'!E116*'Quantification_Config'!$R$6))/SUM('Quantification_Config'!$R$6)),'Quantification_Config'!$U$2),""),"")</x:f>
        <x:v>50</x:v>
      </x:c>
      <x:c r="L116" t="n">
        <x:f>IF((COUNT('Quantification_Results'!K116)=1),IFERROR(ROUND((SUM(('Quantification_Results'!K116*'Quantification_Config'!$R$5))/SUM('Quantification_Config'!$R$5)),'Quantification_Config'!$U$2),""),"")</x:f>
        <x:v>50</x:v>
      </x:c>
      <x:c r="M116" t="n">
        <x:v>1</x:v>
      </x:c>
      <x:c r="N116" t="n">
        <x:v>5</x:v>
      </x:c>
      <x:c r="O116"/>
      <x:c r="P116" t="n">
        <x:f>IF(('Quantification_Results'!M116&lt;&gt;1),"",IF(('Quantification_Results'!O116=""),IF(ISNUMBER('Quantification_Results'!N116),IF(('Quantification_Results'!N116&lt;'Quantification_Config'!$S$9),"",IF(('Quantification_Results'!N116&gt;'Quantification_Config'!$T$9),"",'Quantification_Results'!N116)),""),IF(ISNUMBER('Quantification_Results'!O116),IF(('Quantification_Results'!O116&lt;'Quantification_Config'!$S$9),"",IF(('Quantification_Results'!O116&gt;'Quantification_Config'!$T$9),"",'Quantification_Results'!O116)),"")))</x:f>
        <x:v>5</x:v>
      </x:c>
      <x:c r="Q116" t="n">
        <x:f>IF(ISNUMBER('Quantification_Results'!P116),IFERROR(ROUND(((('Quantification_Results'!P116-'Quantification_Config'!$S$9)/('Quantification_Config'!$T$9-'Quantification_Config'!$S$9))*100),'Quantification_Config'!$U$2),""),"")</x:f>
        <x:v>50</x:v>
      </x:c>
      <x:c r="R116" t="inlineStr">
        <x:is>
          <x:t xml:space="preserve">SYSTEM-TEST-ONLY-NO-NETWORK-NOT-AN-EDUCATIONAL-EVALUATION</x:t>
        </x:is>
      </x:c>
      <x:c r="S116" t="inlineStr">
        <x:is>
          <x:t xml:space="preserve"/>
        </x:is>
      </x:c>
      <x:c r="T116" t="inlineStr">
        <x:is>
          <x:t xml:space="preserve">NONE</x:t>
        </x:is>
      </x:c>
      <x:c r="U116" t="inlineStr">
        <x:is>
          <x:t xml:space="preserve"/>
        </x:is>
      </x:c>
      <x:c r="V116" t="inlineStr">
        <x:is>
          <x:t xml:space="preserve">SUCCESS</x:t>
        </x:is>
      </x:c>
      <x:c r="W116" t="n">
        <x:f>IF((COUNT('Quantification_Results'!Q116)=1),IFERROR(ROUND((SUM(('Quantification_Results'!Q116*'Quantification_Config'!$R$9))/SUM('Quantification_Config'!$R$9)),'Quantification_Config'!$U$2),""),"")</x:f>
        <x:v>50</x:v>
      </x:c>
      <x:c r="X116" t="n">
        <x:f>IF((COUNT('Quantification_Results'!W116)=1),IFERROR(ROUND((SUM(('Quantification_Results'!W116*'Quantification_Config'!$R$8))/SUM('Quantification_Config'!$R$8)),'Quantification_Config'!$U$2),""),"")</x:f>
        <x:v>50</x:v>
      </x:c>
      <x:c r="Y116" t="n">
        <x:v>0</x:v>
      </x:c>
      <x:c r="Z116"/>
      <x:c r="AA116"/>
      <x:c r="AB116">
        <x:f>IF(('Quantification_Results'!Y116&lt;&gt;1),"",IF(('Quantification_Results'!AA116=""),IF(ISNUMBER('Quantification_Results'!Z116),IF(('Quantification_Results'!Z116&lt;'Quantification_Config'!$S$12),"",IF(('Quantification_Results'!Z116&gt;'Quantification_Config'!$T$12),"",'Quantification_Results'!Z116)),""),IF(ISNUMBER('Quantification_Results'!AA116),IF(('Quantification_Results'!AA116&lt;'Quantification_Config'!$S$12),"",IF(('Quantification_Results'!AA116&gt;'Quantification_Config'!$T$12),"",'Quantification_Results'!AA116)),"")))</x:f>
      </x:c>
      <x:c r="AC116">
        <x:f>IF(ISNUMBER('Quantification_Results'!AB116),IFERROR(ROUND(((('Quantification_Results'!AB116-'Quantification_Config'!$S$12)/('Quantification_Config'!$T$12-'Quantification_Config'!$S$12))*100),'Quantification_Config'!$U$2),""),"")</x:f>
      </x:c>
      <x:c r="AD116" t="inlineStr">
        <x:is>
          <x:t xml:space="preserve"/>
        </x:is>
      </x:c>
      <x:c r="AE116" t="inlineStr">
        <x:is>
          <x:t xml:space="preserve"/>
        </x:is>
      </x:c>
      <x:c r="AF116" t="inlineStr">
        <x:is>
          <x:t xml:space="preserve"/>
        </x:is>
      </x:c>
      <x:c r="AG116" t="inlineStr">
        <x:is>
          <x:t xml:space="preserve"/>
        </x:is>
      </x:c>
      <x:c r="AH116" t="inlineStr">
        <x:is>
          <x:t xml:space="preserve">EMPTY</x:t>
        </x:is>
      </x:c>
      <x:c r="AI116">
        <x:f>IF((COUNT('Quantification_Results'!AC116)=1),IFERROR(ROUND((SUM(('Quantification_Results'!AC116*'Quantification_Config'!$R$12))/SUM('Quantification_Config'!$R$12)),'Quantification_Config'!$U$2),""),"")</x:f>
      </x:c>
      <x:c r="AJ116">
        <x:f>IF((COUNT('Quantification_Results'!AI116)=1),IFERROR(ROUND((SUM(('Quantification_Results'!AI116*'Quantification_Config'!$R$11))/SUM('Quantification_Config'!$R$11)),'Quantification_Config'!$U$2),""),"")</x:f>
      </x:c>
      <x:c r="AK116" t="n">
        <x:v>1</x:v>
      </x:c>
      <x:c r="AL116" t="n">
        <x:v>5</x:v>
      </x:c>
      <x:c r="AM116"/>
      <x:c r="AN116" t="n">
        <x:f>IF(('Quantification_Results'!AK116&lt;&gt;1),"",IF(('Quantification_Results'!AM116=""),IF(ISNUMBER('Quantification_Results'!AL116),IF(('Quantification_Results'!AL116&lt;'Quantification_Config'!$S$15),"",IF(('Quantification_Results'!AL116&gt;'Quantification_Config'!$T$15),"",'Quantification_Results'!AL116)),""),IF(ISNUMBER('Quantification_Results'!AM116),IF(('Quantification_Results'!AM116&lt;'Quantification_Config'!$S$15),"",IF(('Quantification_Results'!AM116&gt;'Quantification_Config'!$T$15),"",'Quantification_Results'!AM116)),"")))</x:f>
        <x:v>5</x:v>
      </x:c>
      <x:c r="AO116" t="n">
        <x:f>IF(ISNUMBER('Quantification_Results'!AN116),IFERROR(ROUND(((('Quantification_Results'!AN116-'Quantification_Config'!$S$15)/('Quantification_Config'!$T$15-'Quantification_Config'!$S$15))*100),'Quantification_Config'!$U$2),""),"")</x:f>
        <x:v>50</x:v>
      </x:c>
      <x:c r="AP116" t="inlineStr">
        <x:is>
          <x:t xml:space="preserve">SYSTEM-TEST-ONLY-NO-NETWORK-NOT-AN-EDUCATIONAL-EVALUATION</x:t>
        </x:is>
      </x:c>
      <x:c r="AQ116" t="inlineStr">
        <x:is>
          <x:t xml:space="preserve"/>
        </x:is>
      </x:c>
      <x:c r="AR116" t="inlineStr">
        <x:is>
          <x:t xml:space="preserve">NONE</x:t>
        </x:is>
      </x:c>
      <x:c r="AS116" t="inlineStr">
        <x:is>
          <x:t xml:space="preserve"/>
        </x:is>
      </x:c>
      <x:c r="AT116" t="inlineStr">
        <x:is>
          <x:t xml:space="preserve">SUCCESS</x:t>
        </x:is>
      </x:c>
      <x:c r="AU116" t="n">
        <x:f>IF((COUNT('Quantification_Results'!AO116)=1),IFERROR(ROUND((SUM(('Quantification_Results'!AO116*'Quantification_Config'!$R$15))/SUM('Quantification_Config'!$R$15)),'Quantification_Config'!$U$2),""),"")</x:f>
        <x:v>50</x:v>
      </x:c>
      <x:c r="AV116" t="n">
        <x:f>IF((COUNT('Quantification_Results'!AU116)=1),IFERROR(ROUND((SUM(('Quantification_Results'!AU116*'Quantification_Config'!$R$14))/SUM('Quantification_Config'!$R$14)),'Quantification_Config'!$U$2),""),"")</x:f>
        <x:v>50</x:v>
      </x:c>
      <x:c r="AW116" t="n">
        <x:v>1</x:v>
      </x:c>
      <x:c r="AX116" t="n">
        <x:v>5</x:v>
      </x:c>
      <x:c r="AY116"/>
      <x:c r="AZ116" t="n">
        <x:f>IF(('Quantification_Results'!AW116&lt;&gt;1),"",IF(('Quantification_Results'!AY116=""),IF(ISNUMBER('Quantification_Results'!AX116),IF(('Quantification_Results'!AX116&lt;'Quantification_Config'!$S$19),"",IF(('Quantification_Results'!AX116&gt;'Quantification_Config'!$T$19),"",'Quantification_Results'!AX116)),""),IF(ISNUMBER('Quantification_Results'!AY116),IF(('Quantification_Results'!AY116&lt;'Quantification_Config'!$S$19),"",IF(('Quantification_Results'!AY116&gt;'Quantification_Config'!$T$19),"",'Quantification_Results'!AY116)),"")))</x:f>
        <x:v>5</x:v>
      </x:c>
      <x:c r="BA116" t="n">
        <x:f>IF(ISNUMBER('Quantification_Results'!AZ116),IFERROR(ROUND(((('Quantification_Results'!AZ116-'Quantification_Config'!$S$19)/('Quantification_Config'!$T$19-'Quantification_Config'!$S$19))*100),'Quantification_Config'!$U$2),""),"")</x:f>
        <x:v>50</x:v>
      </x:c>
      <x:c r="BB116" t="inlineStr">
        <x:is>
          <x:t xml:space="preserve">SYSTEM-TEST-ONLY-NO-NETWORK-NOT-AN-EDUCATIONAL-EVALUATION</x:t>
        </x:is>
      </x:c>
      <x:c r="BC116" t="inlineStr">
        <x:is>
          <x:t xml:space="preserve"/>
        </x:is>
      </x:c>
      <x:c r="BD116" t="inlineStr">
        <x:is>
          <x:t xml:space="preserve">NONE</x:t>
        </x:is>
      </x:c>
      <x:c r="BE116" t="inlineStr">
        <x:is>
          <x:t xml:space="preserve"/>
        </x:is>
      </x:c>
      <x:c r="BF116" t="inlineStr">
        <x:is>
          <x:t xml:space="preserve">SUCCESS</x:t>
        </x:is>
      </x:c>
      <x:c r="BG116" t="n">
        <x:f>IF((COUNT('Quantification_Results'!BA116)=1),IFERROR(ROUND((SUM(('Quantification_Results'!BA116*'Quantification_Config'!$R$19))/SUM('Quantification_Config'!$R$19)),'Quantification_Config'!$U$2),""),"")</x:f>
        <x:v>50</x:v>
      </x:c>
      <x:c r="BH116" t="n">
        <x:f>IF((COUNT('Quantification_Results'!BG116)=1),IFERROR(ROUND((SUM(('Quantification_Results'!BG116*'Quantification_Config'!$R$18))/SUM('Quantification_Config'!$R$18)),'Quantification_Config'!$U$2),""),"")</x:f>
        <x:v>50</x:v>
      </x:c>
      <x:c r="BI116">
        <x:f>IF((COUNT('Quantification_Results'!L116,'Quantification_Results'!X116,'Quantification_Results'!AJ116,'Quantification_Results'!AV116,'Quantification_Results'!BH116)=5),IFERROR(ROUND((SUM(('Quantification_Results'!L116*'Quantification_Config'!$R$4),('Quantification_Results'!X116*'Quantification_Config'!$R$7),('Quantification_Results'!AJ116*'Quantification_Config'!$R$10),('Quantification_Results'!AV116*'Quantification_Config'!$R$13),('Quantification_Results'!BH116*'Quantification_Config'!$R$16))/SUM('Quantification_Config'!$R$4,'Quantification_Config'!$R$7,'Quantification_Config'!$R$10,'Quantification_Config'!$R$13,'Quantification_Config'!$R$16)),'Quantification_Config'!$U$2),""),"")</x:f>
      </x:c>
    </x:row>
    <x:row r="117">
      <x:c r="A117" t="n">
        <x:v>1</x:v>
      </x:c>
      <x:c r="B117" t="n">
        <x:v>5</x:v>
      </x:c>
      <x:c r="C117"/>
      <x:c r="D117" t="n">
        <x:f>IF(('Quantification_Results'!A117&lt;&gt;1),"",IF(('Quantification_Results'!C117=""),IF(ISNUMBER('Quantification_Results'!B117),IF(('Quantification_Results'!B117&lt;'Quantification_Config'!$S$6),"",IF(('Quantification_Results'!B117&gt;'Quantification_Config'!$T$6),"",'Quantification_Results'!B117)),""),IF(ISNUMBER('Quantification_Results'!C117),IF(('Quantification_Results'!C117&lt;'Quantification_Config'!$S$6),"",IF(('Quantification_Results'!C117&gt;'Quantification_Config'!$T$6),"",'Quantification_Results'!C117)),"")))</x:f>
        <x:v>5</x:v>
      </x:c>
      <x:c r="E117" t="n">
        <x:f>IF(ISNUMBER('Quantification_Results'!D117),IFERROR(ROUND(((('Quantification_Results'!D117-'Quantification_Config'!$S$6)/('Quantification_Config'!$T$6-'Quantification_Config'!$S$6))*100),'Quantification_Config'!$U$2),""),"")</x:f>
        <x:v>50</x:v>
      </x:c>
      <x:c r="F117" t="inlineStr">
        <x:is>
          <x:t xml:space="preserve">SYSTEM-TEST-ONLY-NO-NETWORK-NOT-AN-EDUCATIONAL-EVALUATION</x:t>
        </x:is>
      </x:c>
      <x:c r="G117" t="inlineStr">
        <x:is>
          <x:t xml:space="preserve"/>
        </x:is>
      </x:c>
      <x:c r="H117" t="inlineStr">
        <x:is>
          <x:t xml:space="preserve">NONE</x:t>
        </x:is>
      </x:c>
      <x:c r="I117" t="inlineStr">
        <x:is>
          <x:t xml:space="preserve"/>
        </x:is>
      </x:c>
      <x:c r="J117" t="inlineStr">
        <x:is>
          <x:t xml:space="preserve">SUCCESS</x:t>
        </x:is>
      </x:c>
      <x:c r="K117" t="n">
        <x:f>IF((COUNT('Quantification_Results'!E117)=1),IFERROR(ROUND((SUM(('Quantification_Results'!E117*'Quantification_Config'!$R$6))/SUM('Quantification_Config'!$R$6)),'Quantification_Config'!$U$2),""),"")</x:f>
        <x:v>50</x:v>
      </x:c>
      <x:c r="L117" t="n">
        <x:f>IF((COUNT('Quantification_Results'!K117)=1),IFERROR(ROUND((SUM(('Quantification_Results'!K117*'Quantification_Config'!$R$5))/SUM('Quantification_Config'!$R$5)),'Quantification_Config'!$U$2),""),"")</x:f>
        <x:v>50</x:v>
      </x:c>
      <x:c r="M117" t="n">
        <x:v>1</x:v>
      </x:c>
      <x:c r="N117" t="n">
        <x:v>5</x:v>
      </x:c>
      <x:c r="O117"/>
      <x:c r="P117" t="n">
        <x:f>IF(('Quantification_Results'!M117&lt;&gt;1),"",IF(('Quantification_Results'!O117=""),IF(ISNUMBER('Quantification_Results'!N117),IF(('Quantification_Results'!N117&lt;'Quantification_Config'!$S$9),"",IF(('Quantification_Results'!N117&gt;'Quantification_Config'!$T$9),"",'Quantification_Results'!N117)),""),IF(ISNUMBER('Quantification_Results'!O117),IF(('Quantification_Results'!O117&lt;'Quantification_Config'!$S$9),"",IF(('Quantification_Results'!O117&gt;'Quantification_Config'!$T$9),"",'Quantification_Results'!O117)),"")))</x:f>
        <x:v>5</x:v>
      </x:c>
      <x:c r="Q117" t="n">
        <x:f>IF(ISNUMBER('Quantification_Results'!P117),IFERROR(ROUND(((('Quantification_Results'!P117-'Quantification_Config'!$S$9)/('Quantification_Config'!$T$9-'Quantification_Config'!$S$9))*100),'Quantification_Config'!$U$2),""),"")</x:f>
        <x:v>50</x:v>
      </x:c>
      <x:c r="R117" t="inlineStr">
        <x:is>
          <x:t xml:space="preserve">SYSTEM-TEST-ONLY-NO-NETWORK-NOT-AN-EDUCATIONAL-EVALUATION</x:t>
        </x:is>
      </x:c>
      <x:c r="S117" t="inlineStr">
        <x:is>
          <x:t xml:space="preserve"/>
        </x:is>
      </x:c>
      <x:c r="T117" t="inlineStr">
        <x:is>
          <x:t xml:space="preserve">NONE</x:t>
        </x:is>
      </x:c>
      <x:c r="U117" t="inlineStr">
        <x:is>
          <x:t xml:space="preserve"/>
        </x:is>
      </x:c>
      <x:c r="V117" t="inlineStr">
        <x:is>
          <x:t xml:space="preserve">SUCCESS</x:t>
        </x:is>
      </x:c>
      <x:c r="W117" t="n">
        <x:f>IF((COUNT('Quantification_Results'!Q117)=1),IFERROR(ROUND((SUM(('Quantification_Results'!Q117*'Quantification_Config'!$R$9))/SUM('Quantification_Config'!$R$9)),'Quantification_Config'!$U$2),""),"")</x:f>
        <x:v>50</x:v>
      </x:c>
      <x:c r="X117" t="n">
        <x:f>IF((COUNT('Quantification_Results'!W117)=1),IFERROR(ROUND((SUM(('Quantification_Results'!W117*'Quantification_Config'!$R$8))/SUM('Quantification_Config'!$R$8)),'Quantification_Config'!$U$2),""),"")</x:f>
        <x:v>50</x:v>
      </x:c>
      <x:c r="Y117" t="n">
        <x:v>0</x:v>
      </x:c>
      <x:c r="Z117"/>
      <x:c r="AA117"/>
      <x:c r="AB117">
        <x:f>IF(('Quantification_Results'!Y117&lt;&gt;1),"",IF(('Quantification_Results'!AA117=""),IF(ISNUMBER('Quantification_Results'!Z117),IF(('Quantification_Results'!Z117&lt;'Quantification_Config'!$S$12),"",IF(('Quantification_Results'!Z117&gt;'Quantification_Config'!$T$12),"",'Quantification_Results'!Z117)),""),IF(ISNUMBER('Quantification_Results'!AA117),IF(('Quantification_Results'!AA117&lt;'Quantification_Config'!$S$12),"",IF(('Quantification_Results'!AA117&gt;'Quantification_Config'!$T$12),"",'Quantification_Results'!AA117)),"")))</x:f>
      </x:c>
      <x:c r="AC117">
        <x:f>IF(ISNUMBER('Quantification_Results'!AB117),IFERROR(ROUND(((('Quantification_Results'!AB117-'Quantification_Config'!$S$12)/('Quantification_Config'!$T$12-'Quantification_Config'!$S$12))*100),'Quantification_Config'!$U$2),""),"")</x:f>
      </x:c>
      <x:c r="AD117" t="inlineStr">
        <x:is>
          <x:t xml:space="preserve"/>
        </x:is>
      </x:c>
      <x:c r="AE117" t="inlineStr">
        <x:is>
          <x:t xml:space="preserve"/>
        </x:is>
      </x:c>
      <x:c r="AF117" t="inlineStr">
        <x:is>
          <x:t xml:space="preserve"/>
        </x:is>
      </x:c>
      <x:c r="AG117" t="inlineStr">
        <x:is>
          <x:t xml:space="preserve"/>
        </x:is>
      </x:c>
      <x:c r="AH117" t="inlineStr">
        <x:is>
          <x:t xml:space="preserve">EMPTY</x:t>
        </x:is>
      </x:c>
      <x:c r="AI117">
        <x:f>IF((COUNT('Quantification_Results'!AC117)=1),IFERROR(ROUND((SUM(('Quantification_Results'!AC117*'Quantification_Config'!$R$12))/SUM('Quantification_Config'!$R$12)),'Quantification_Config'!$U$2),""),"")</x:f>
      </x:c>
      <x:c r="AJ117">
        <x:f>IF((COUNT('Quantification_Results'!AI117)=1),IFERROR(ROUND((SUM(('Quantification_Results'!AI117*'Quantification_Config'!$R$11))/SUM('Quantification_Config'!$R$11)),'Quantification_Config'!$U$2),""),"")</x:f>
      </x:c>
      <x:c r="AK117" t="n">
        <x:v>1</x:v>
      </x:c>
      <x:c r="AL117" t="n">
        <x:v>5</x:v>
      </x:c>
      <x:c r="AM117"/>
      <x:c r="AN117" t="n">
        <x:f>IF(('Quantification_Results'!AK117&lt;&gt;1),"",IF(('Quantification_Results'!AM117=""),IF(ISNUMBER('Quantification_Results'!AL117),IF(('Quantification_Results'!AL117&lt;'Quantification_Config'!$S$15),"",IF(('Quantification_Results'!AL117&gt;'Quantification_Config'!$T$15),"",'Quantification_Results'!AL117)),""),IF(ISNUMBER('Quantification_Results'!AM117),IF(('Quantification_Results'!AM117&lt;'Quantification_Config'!$S$15),"",IF(('Quantification_Results'!AM117&gt;'Quantification_Config'!$T$15),"",'Quantification_Results'!AM117)),"")))</x:f>
        <x:v>5</x:v>
      </x:c>
      <x:c r="AO117" t="n">
        <x:f>IF(ISNUMBER('Quantification_Results'!AN117),IFERROR(ROUND(((('Quantification_Results'!AN117-'Quantification_Config'!$S$15)/('Quantification_Config'!$T$15-'Quantification_Config'!$S$15))*100),'Quantification_Config'!$U$2),""),"")</x:f>
        <x:v>50</x:v>
      </x:c>
      <x:c r="AP117" t="inlineStr">
        <x:is>
          <x:t xml:space="preserve">SYSTEM-TEST-ONLY-NO-NETWORK-NOT-AN-EDUCATIONAL-EVALUATION</x:t>
        </x:is>
      </x:c>
      <x:c r="AQ117" t="inlineStr">
        <x:is>
          <x:t xml:space="preserve"/>
        </x:is>
      </x:c>
      <x:c r="AR117" t="inlineStr">
        <x:is>
          <x:t xml:space="preserve">NONE</x:t>
        </x:is>
      </x:c>
      <x:c r="AS117" t="inlineStr">
        <x:is>
          <x:t xml:space="preserve"/>
        </x:is>
      </x:c>
      <x:c r="AT117" t="inlineStr">
        <x:is>
          <x:t xml:space="preserve">SUCCESS</x:t>
        </x:is>
      </x:c>
      <x:c r="AU117" t="n">
        <x:f>IF((COUNT('Quantification_Results'!AO117)=1),IFERROR(ROUND((SUM(('Quantification_Results'!AO117*'Quantification_Config'!$R$15))/SUM('Quantification_Config'!$R$15)),'Quantification_Config'!$U$2),""),"")</x:f>
        <x:v>50</x:v>
      </x:c>
      <x:c r="AV117" t="n">
        <x:f>IF((COUNT('Quantification_Results'!AU117)=1),IFERROR(ROUND((SUM(('Quantification_Results'!AU117*'Quantification_Config'!$R$14))/SUM('Quantification_Config'!$R$14)),'Quantification_Config'!$U$2),""),"")</x:f>
        <x:v>50</x:v>
      </x:c>
      <x:c r="AW117" t="n">
        <x:v>1</x:v>
      </x:c>
      <x:c r="AX117" t="n">
        <x:v>5</x:v>
      </x:c>
      <x:c r="AY117"/>
      <x:c r="AZ117" t="n">
        <x:f>IF(('Quantification_Results'!AW117&lt;&gt;1),"",IF(('Quantification_Results'!AY117=""),IF(ISNUMBER('Quantification_Results'!AX117),IF(('Quantification_Results'!AX117&lt;'Quantification_Config'!$S$19),"",IF(('Quantification_Results'!AX117&gt;'Quantification_Config'!$T$19),"",'Quantification_Results'!AX117)),""),IF(ISNUMBER('Quantification_Results'!AY117),IF(('Quantification_Results'!AY117&lt;'Quantification_Config'!$S$19),"",IF(('Quantification_Results'!AY117&gt;'Quantification_Config'!$T$19),"",'Quantification_Results'!AY117)),"")))</x:f>
        <x:v>5</x:v>
      </x:c>
      <x:c r="BA117" t="n">
        <x:f>IF(ISNUMBER('Quantification_Results'!AZ117),IFERROR(ROUND(((('Quantification_Results'!AZ117-'Quantification_Config'!$S$19)/('Quantification_Config'!$T$19-'Quantification_Config'!$S$19))*100),'Quantification_Config'!$U$2),""),"")</x:f>
        <x:v>50</x:v>
      </x:c>
      <x:c r="BB117" t="inlineStr">
        <x:is>
          <x:t xml:space="preserve">SYSTEM-TEST-ONLY-NO-NETWORK-NOT-AN-EDUCATIONAL-EVALUATION</x:t>
        </x:is>
      </x:c>
      <x:c r="BC117" t="inlineStr">
        <x:is>
          <x:t xml:space="preserve"/>
        </x:is>
      </x:c>
      <x:c r="BD117" t="inlineStr">
        <x:is>
          <x:t xml:space="preserve">NONE</x:t>
        </x:is>
      </x:c>
      <x:c r="BE117" t="inlineStr">
        <x:is>
          <x:t xml:space="preserve"/>
        </x:is>
      </x:c>
      <x:c r="BF117" t="inlineStr">
        <x:is>
          <x:t xml:space="preserve">SUCCESS</x:t>
        </x:is>
      </x:c>
      <x:c r="BG117" t="n">
        <x:f>IF((COUNT('Quantification_Results'!BA117)=1),IFERROR(ROUND((SUM(('Quantification_Results'!BA117*'Quantification_Config'!$R$19))/SUM('Quantification_Config'!$R$19)),'Quantification_Config'!$U$2),""),"")</x:f>
        <x:v>50</x:v>
      </x:c>
      <x:c r="BH117" t="n">
        <x:f>IF((COUNT('Quantification_Results'!BG117)=1),IFERROR(ROUND((SUM(('Quantification_Results'!BG117*'Quantification_Config'!$R$18))/SUM('Quantification_Config'!$R$18)),'Quantification_Config'!$U$2),""),"")</x:f>
        <x:v>50</x:v>
      </x:c>
      <x:c r="BI117">
        <x:f>IF((COUNT('Quantification_Results'!L117,'Quantification_Results'!X117,'Quantification_Results'!AJ117,'Quantification_Results'!AV117,'Quantification_Results'!BH117)=5),IFERROR(ROUND((SUM(('Quantification_Results'!L117*'Quantification_Config'!$R$4),('Quantification_Results'!X117*'Quantification_Config'!$R$7),('Quantification_Results'!AJ117*'Quantification_Config'!$R$10),('Quantification_Results'!AV117*'Quantification_Config'!$R$13),('Quantification_Results'!BH117*'Quantification_Config'!$R$16))/SUM('Quantification_Config'!$R$4,'Quantification_Config'!$R$7,'Quantification_Config'!$R$10,'Quantification_Config'!$R$13,'Quantification_Config'!$R$16)),'Quantification_Config'!$U$2),""),"")</x:f>
      </x:c>
    </x:row>
    <x:row r="118">
      <x:c r="A118" t="n">
        <x:v>1</x:v>
      </x:c>
      <x:c r="B118" t="n">
        <x:v>5</x:v>
      </x:c>
      <x:c r="C118"/>
      <x:c r="D118" t="n">
        <x:f>IF(('Quantification_Results'!A118&lt;&gt;1),"",IF(('Quantification_Results'!C118=""),IF(ISNUMBER('Quantification_Results'!B118),IF(('Quantification_Results'!B118&lt;'Quantification_Config'!$S$6),"",IF(('Quantification_Results'!B118&gt;'Quantification_Config'!$T$6),"",'Quantification_Results'!B118)),""),IF(ISNUMBER('Quantification_Results'!C118),IF(('Quantification_Results'!C118&lt;'Quantification_Config'!$S$6),"",IF(('Quantification_Results'!C118&gt;'Quantification_Config'!$T$6),"",'Quantification_Results'!C118)),"")))</x:f>
        <x:v>5</x:v>
      </x:c>
      <x:c r="E118" t="n">
        <x:f>IF(ISNUMBER('Quantification_Results'!D118),IFERROR(ROUND(((('Quantification_Results'!D118-'Quantification_Config'!$S$6)/('Quantification_Config'!$T$6-'Quantification_Config'!$S$6))*100),'Quantification_Config'!$U$2),""),"")</x:f>
        <x:v>50</x:v>
      </x:c>
      <x:c r="F118" t="inlineStr">
        <x:is>
          <x:t xml:space="preserve">SYSTEM-TEST-ONLY-NO-NETWORK-NOT-AN-EDUCATIONAL-EVALUATION</x:t>
        </x:is>
      </x:c>
      <x:c r="G118" t="inlineStr">
        <x:is>
          <x:t xml:space="preserve"/>
        </x:is>
      </x:c>
      <x:c r="H118" t="inlineStr">
        <x:is>
          <x:t xml:space="preserve">NONE</x:t>
        </x:is>
      </x:c>
      <x:c r="I118" t="inlineStr">
        <x:is>
          <x:t xml:space="preserve"/>
        </x:is>
      </x:c>
      <x:c r="J118" t="inlineStr">
        <x:is>
          <x:t xml:space="preserve">SUCCESS</x:t>
        </x:is>
      </x:c>
      <x:c r="K118" t="n">
        <x:f>IF((COUNT('Quantification_Results'!E118)=1),IFERROR(ROUND((SUM(('Quantification_Results'!E118*'Quantification_Config'!$R$6))/SUM('Quantification_Config'!$R$6)),'Quantification_Config'!$U$2),""),"")</x:f>
        <x:v>50</x:v>
      </x:c>
      <x:c r="L118" t="n">
        <x:f>IF((COUNT('Quantification_Results'!K118)=1),IFERROR(ROUND((SUM(('Quantification_Results'!K118*'Quantification_Config'!$R$5))/SUM('Quantification_Config'!$R$5)),'Quantification_Config'!$U$2),""),"")</x:f>
        <x:v>50</x:v>
      </x:c>
      <x:c r="M118" t="n">
        <x:v>1</x:v>
      </x:c>
      <x:c r="N118" t="n">
        <x:v>5</x:v>
      </x:c>
      <x:c r="O118"/>
      <x:c r="P118" t="n">
        <x:f>IF(('Quantification_Results'!M118&lt;&gt;1),"",IF(('Quantification_Results'!O118=""),IF(ISNUMBER('Quantification_Results'!N118),IF(('Quantification_Results'!N118&lt;'Quantification_Config'!$S$9),"",IF(('Quantification_Results'!N118&gt;'Quantification_Config'!$T$9),"",'Quantification_Results'!N118)),""),IF(ISNUMBER('Quantification_Results'!O118),IF(('Quantification_Results'!O118&lt;'Quantification_Config'!$S$9),"",IF(('Quantification_Results'!O118&gt;'Quantification_Config'!$T$9),"",'Quantification_Results'!O118)),"")))</x:f>
        <x:v>5</x:v>
      </x:c>
      <x:c r="Q118" t="n">
        <x:f>IF(ISNUMBER('Quantification_Results'!P118),IFERROR(ROUND(((('Quantification_Results'!P118-'Quantification_Config'!$S$9)/('Quantification_Config'!$T$9-'Quantification_Config'!$S$9))*100),'Quantification_Config'!$U$2),""),"")</x:f>
        <x:v>50</x:v>
      </x:c>
      <x:c r="R118" t="inlineStr">
        <x:is>
          <x:t xml:space="preserve">SYSTEM-TEST-ONLY-NO-NETWORK-NOT-AN-EDUCATIONAL-EVALUATION</x:t>
        </x:is>
      </x:c>
      <x:c r="S118" t="inlineStr">
        <x:is>
          <x:t xml:space="preserve"/>
        </x:is>
      </x:c>
      <x:c r="T118" t="inlineStr">
        <x:is>
          <x:t xml:space="preserve">NONE</x:t>
        </x:is>
      </x:c>
      <x:c r="U118" t="inlineStr">
        <x:is>
          <x:t xml:space="preserve"/>
        </x:is>
      </x:c>
      <x:c r="V118" t="inlineStr">
        <x:is>
          <x:t xml:space="preserve">SUCCESS</x:t>
        </x:is>
      </x:c>
      <x:c r="W118" t="n">
        <x:f>IF((COUNT('Quantification_Results'!Q118)=1),IFERROR(ROUND((SUM(('Quantification_Results'!Q118*'Quantification_Config'!$R$9))/SUM('Quantification_Config'!$R$9)),'Quantification_Config'!$U$2),""),"")</x:f>
        <x:v>50</x:v>
      </x:c>
      <x:c r="X118" t="n">
        <x:f>IF((COUNT('Quantification_Results'!W118)=1),IFERROR(ROUND((SUM(('Quantification_Results'!W118*'Quantification_Config'!$R$8))/SUM('Quantification_Config'!$R$8)),'Quantification_Config'!$U$2),""),"")</x:f>
        <x:v>50</x:v>
      </x:c>
      <x:c r="Y118" t="n">
        <x:v>0</x:v>
      </x:c>
      <x:c r="Z118"/>
      <x:c r="AA118"/>
      <x:c r="AB118">
        <x:f>IF(('Quantification_Results'!Y118&lt;&gt;1),"",IF(('Quantification_Results'!AA118=""),IF(ISNUMBER('Quantification_Results'!Z118),IF(('Quantification_Results'!Z118&lt;'Quantification_Config'!$S$12),"",IF(('Quantification_Results'!Z118&gt;'Quantification_Config'!$T$12),"",'Quantification_Results'!Z118)),""),IF(ISNUMBER('Quantification_Results'!AA118),IF(('Quantification_Results'!AA118&lt;'Quantification_Config'!$S$12),"",IF(('Quantification_Results'!AA118&gt;'Quantification_Config'!$T$12),"",'Quantification_Results'!AA118)),"")))</x:f>
      </x:c>
      <x:c r="AC118">
        <x:f>IF(ISNUMBER('Quantification_Results'!AB118),IFERROR(ROUND(((('Quantification_Results'!AB118-'Quantification_Config'!$S$12)/('Quantification_Config'!$T$12-'Quantification_Config'!$S$12))*100),'Quantification_Config'!$U$2),""),"")</x:f>
      </x:c>
      <x:c r="AD118" t="inlineStr">
        <x:is>
          <x:t xml:space="preserve"/>
        </x:is>
      </x:c>
      <x:c r="AE118" t="inlineStr">
        <x:is>
          <x:t xml:space="preserve"/>
        </x:is>
      </x:c>
      <x:c r="AF118" t="inlineStr">
        <x:is>
          <x:t xml:space="preserve"/>
        </x:is>
      </x:c>
      <x:c r="AG118" t="inlineStr">
        <x:is>
          <x:t xml:space="preserve"/>
        </x:is>
      </x:c>
      <x:c r="AH118" t="inlineStr">
        <x:is>
          <x:t xml:space="preserve">EMPTY</x:t>
        </x:is>
      </x:c>
      <x:c r="AI118">
        <x:f>IF((COUNT('Quantification_Results'!AC118)=1),IFERROR(ROUND((SUM(('Quantification_Results'!AC118*'Quantification_Config'!$R$12))/SUM('Quantification_Config'!$R$12)),'Quantification_Config'!$U$2),""),"")</x:f>
      </x:c>
      <x:c r="AJ118">
        <x:f>IF((COUNT('Quantification_Results'!AI118)=1),IFERROR(ROUND((SUM(('Quantification_Results'!AI118*'Quantification_Config'!$R$11))/SUM('Quantification_Config'!$R$11)),'Quantification_Config'!$U$2),""),"")</x:f>
      </x:c>
      <x:c r="AK118" t="n">
        <x:v>1</x:v>
      </x:c>
      <x:c r="AL118" t="n">
        <x:v>5</x:v>
      </x:c>
      <x:c r="AM118"/>
      <x:c r="AN118" t="n">
        <x:f>IF(('Quantification_Results'!AK118&lt;&gt;1),"",IF(('Quantification_Results'!AM118=""),IF(ISNUMBER('Quantification_Results'!AL118),IF(('Quantification_Results'!AL118&lt;'Quantification_Config'!$S$15),"",IF(('Quantification_Results'!AL118&gt;'Quantification_Config'!$T$15),"",'Quantification_Results'!AL118)),""),IF(ISNUMBER('Quantification_Results'!AM118),IF(('Quantification_Results'!AM118&lt;'Quantification_Config'!$S$15),"",IF(('Quantification_Results'!AM118&gt;'Quantification_Config'!$T$15),"",'Quantification_Results'!AM118)),"")))</x:f>
        <x:v>5</x:v>
      </x:c>
      <x:c r="AO118" t="n">
        <x:f>IF(ISNUMBER('Quantification_Results'!AN118),IFERROR(ROUND(((('Quantification_Results'!AN118-'Quantification_Config'!$S$15)/('Quantification_Config'!$T$15-'Quantification_Config'!$S$15))*100),'Quantification_Config'!$U$2),""),"")</x:f>
        <x:v>50</x:v>
      </x:c>
      <x:c r="AP118" t="inlineStr">
        <x:is>
          <x:t xml:space="preserve">SYSTEM-TEST-ONLY-NO-NETWORK-NOT-AN-EDUCATIONAL-EVALUATION</x:t>
        </x:is>
      </x:c>
      <x:c r="AQ118" t="inlineStr">
        <x:is>
          <x:t xml:space="preserve"/>
        </x:is>
      </x:c>
      <x:c r="AR118" t="inlineStr">
        <x:is>
          <x:t xml:space="preserve">NONE</x:t>
        </x:is>
      </x:c>
      <x:c r="AS118" t="inlineStr">
        <x:is>
          <x:t xml:space="preserve"/>
        </x:is>
      </x:c>
      <x:c r="AT118" t="inlineStr">
        <x:is>
          <x:t xml:space="preserve">SUCCESS</x:t>
        </x:is>
      </x:c>
      <x:c r="AU118" t="n">
        <x:f>IF((COUNT('Quantification_Results'!AO118)=1),IFERROR(ROUND((SUM(('Quantification_Results'!AO118*'Quantification_Config'!$R$15))/SUM('Quantification_Config'!$R$15)),'Quantification_Config'!$U$2),""),"")</x:f>
        <x:v>50</x:v>
      </x:c>
      <x:c r="AV118" t="n">
        <x:f>IF((COUNT('Quantification_Results'!AU118)=1),IFERROR(ROUND((SUM(('Quantification_Results'!AU118*'Quantification_Config'!$R$14))/SUM('Quantification_Config'!$R$14)),'Quantification_Config'!$U$2),""),"")</x:f>
        <x:v>50</x:v>
      </x:c>
      <x:c r="AW118" t="n">
        <x:v>1</x:v>
      </x:c>
      <x:c r="AX118" t="n">
        <x:v>5</x:v>
      </x:c>
      <x:c r="AY118"/>
      <x:c r="AZ118" t="n">
        <x:f>IF(('Quantification_Results'!AW118&lt;&gt;1),"",IF(('Quantification_Results'!AY118=""),IF(ISNUMBER('Quantification_Results'!AX118),IF(('Quantification_Results'!AX118&lt;'Quantification_Config'!$S$19),"",IF(('Quantification_Results'!AX118&gt;'Quantification_Config'!$T$19),"",'Quantification_Results'!AX118)),""),IF(ISNUMBER('Quantification_Results'!AY118),IF(('Quantification_Results'!AY118&lt;'Quantification_Config'!$S$19),"",IF(('Quantification_Results'!AY118&gt;'Quantification_Config'!$T$19),"",'Quantification_Results'!AY118)),"")))</x:f>
        <x:v>5</x:v>
      </x:c>
      <x:c r="BA118" t="n">
        <x:f>IF(ISNUMBER('Quantification_Results'!AZ118),IFERROR(ROUND(((('Quantification_Results'!AZ118-'Quantification_Config'!$S$19)/('Quantification_Config'!$T$19-'Quantification_Config'!$S$19))*100),'Quantification_Config'!$U$2),""),"")</x:f>
        <x:v>50</x:v>
      </x:c>
      <x:c r="BB118" t="inlineStr">
        <x:is>
          <x:t xml:space="preserve">SYSTEM-TEST-ONLY-NO-NETWORK-NOT-AN-EDUCATIONAL-EVALUATION</x:t>
        </x:is>
      </x:c>
      <x:c r="BC118" t="inlineStr">
        <x:is>
          <x:t xml:space="preserve"/>
        </x:is>
      </x:c>
      <x:c r="BD118" t="inlineStr">
        <x:is>
          <x:t xml:space="preserve">NONE</x:t>
        </x:is>
      </x:c>
      <x:c r="BE118" t="inlineStr">
        <x:is>
          <x:t xml:space="preserve"/>
        </x:is>
      </x:c>
      <x:c r="BF118" t="inlineStr">
        <x:is>
          <x:t xml:space="preserve">SUCCESS</x:t>
        </x:is>
      </x:c>
      <x:c r="BG118" t="n">
        <x:f>IF((COUNT('Quantification_Results'!BA118)=1),IFERROR(ROUND((SUM(('Quantification_Results'!BA118*'Quantification_Config'!$R$19))/SUM('Quantification_Config'!$R$19)),'Quantification_Config'!$U$2),""),"")</x:f>
        <x:v>50</x:v>
      </x:c>
      <x:c r="BH118" t="n">
        <x:f>IF((COUNT('Quantification_Results'!BG118)=1),IFERROR(ROUND((SUM(('Quantification_Results'!BG118*'Quantification_Config'!$R$18))/SUM('Quantification_Config'!$R$18)),'Quantification_Config'!$U$2),""),"")</x:f>
        <x:v>50</x:v>
      </x:c>
      <x:c r="BI118">
        <x:f>IF((COUNT('Quantification_Results'!L118,'Quantification_Results'!X118,'Quantification_Results'!AJ118,'Quantification_Results'!AV118,'Quantification_Results'!BH118)=5),IFERROR(ROUND((SUM(('Quantification_Results'!L118*'Quantification_Config'!$R$4),('Quantification_Results'!X118*'Quantification_Config'!$R$7),('Quantification_Results'!AJ118*'Quantification_Config'!$R$10),('Quantification_Results'!AV118*'Quantification_Config'!$R$13),('Quantification_Results'!BH118*'Quantification_Config'!$R$16))/SUM('Quantification_Config'!$R$4,'Quantification_Config'!$R$7,'Quantification_Config'!$R$10,'Quantification_Config'!$R$13,'Quantification_Config'!$R$16)),'Quantification_Config'!$U$2),""),"")</x:f>
      </x:c>
    </x:row>
    <x:row r="119">
      <x:c r="A119" t="n">
        <x:v>1</x:v>
      </x:c>
      <x:c r="B119" t="n">
        <x:v>5</x:v>
      </x:c>
      <x:c r="C119"/>
      <x:c r="D119" t="n">
        <x:f>IF(('Quantification_Results'!A119&lt;&gt;1),"",IF(('Quantification_Results'!C119=""),IF(ISNUMBER('Quantification_Results'!B119),IF(('Quantification_Results'!B119&lt;'Quantification_Config'!$S$6),"",IF(('Quantification_Results'!B119&gt;'Quantification_Config'!$T$6),"",'Quantification_Results'!B119)),""),IF(ISNUMBER('Quantification_Results'!C119),IF(('Quantification_Results'!C119&lt;'Quantification_Config'!$S$6),"",IF(('Quantification_Results'!C119&gt;'Quantification_Config'!$T$6),"",'Quantification_Results'!C119)),"")))</x:f>
        <x:v>5</x:v>
      </x:c>
      <x:c r="E119" t="n">
        <x:f>IF(ISNUMBER('Quantification_Results'!D119),IFERROR(ROUND(((('Quantification_Results'!D119-'Quantification_Config'!$S$6)/('Quantification_Config'!$T$6-'Quantification_Config'!$S$6))*100),'Quantification_Config'!$U$2),""),"")</x:f>
        <x:v>50</x:v>
      </x:c>
      <x:c r="F119" t="inlineStr">
        <x:is>
          <x:t xml:space="preserve">SYSTEM-TEST-ONLY-NO-NETWORK-NOT-AN-EDUCATIONAL-EVALUATION</x:t>
        </x:is>
      </x:c>
      <x:c r="G119" t="inlineStr">
        <x:is>
          <x:t xml:space="preserve"/>
        </x:is>
      </x:c>
      <x:c r="H119" t="inlineStr">
        <x:is>
          <x:t xml:space="preserve">NONE</x:t>
        </x:is>
      </x:c>
      <x:c r="I119" t="inlineStr">
        <x:is>
          <x:t xml:space="preserve"/>
        </x:is>
      </x:c>
      <x:c r="J119" t="inlineStr">
        <x:is>
          <x:t xml:space="preserve">SUCCESS</x:t>
        </x:is>
      </x:c>
      <x:c r="K119" t="n">
        <x:f>IF((COUNT('Quantification_Results'!E119)=1),IFERROR(ROUND((SUM(('Quantification_Results'!E119*'Quantification_Config'!$R$6))/SUM('Quantification_Config'!$R$6)),'Quantification_Config'!$U$2),""),"")</x:f>
        <x:v>50</x:v>
      </x:c>
      <x:c r="L119" t="n">
        <x:f>IF((COUNT('Quantification_Results'!K119)=1),IFERROR(ROUND((SUM(('Quantification_Results'!K119*'Quantification_Config'!$R$5))/SUM('Quantification_Config'!$R$5)),'Quantification_Config'!$U$2),""),"")</x:f>
        <x:v>50</x:v>
      </x:c>
      <x:c r="M119" t="n">
        <x:v>1</x:v>
      </x:c>
      <x:c r="N119" t="n">
        <x:v>5</x:v>
      </x:c>
      <x:c r="O119"/>
      <x:c r="P119" t="n">
        <x:f>IF(('Quantification_Results'!M119&lt;&gt;1),"",IF(('Quantification_Results'!O119=""),IF(ISNUMBER('Quantification_Results'!N119),IF(('Quantification_Results'!N119&lt;'Quantification_Config'!$S$9),"",IF(('Quantification_Results'!N119&gt;'Quantification_Config'!$T$9),"",'Quantification_Results'!N119)),""),IF(ISNUMBER('Quantification_Results'!O119),IF(('Quantification_Results'!O119&lt;'Quantification_Config'!$S$9),"",IF(('Quantification_Results'!O119&gt;'Quantification_Config'!$T$9),"",'Quantification_Results'!O119)),"")))</x:f>
        <x:v>5</x:v>
      </x:c>
      <x:c r="Q119" t="n">
        <x:f>IF(ISNUMBER('Quantification_Results'!P119),IFERROR(ROUND(((('Quantification_Results'!P119-'Quantification_Config'!$S$9)/('Quantification_Config'!$T$9-'Quantification_Config'!$S$9))*100),'Quantification_Config'!$U$2),""),"")</x:f>
        <x:v>50</x:v>
      </x:c>
      <x:c r="R119" t="inlineStr">
        <x:is>
          <x:t xml:space="preserve">SYSTEM-TEST-ONLY-NO-NETWORK-NOT-AN-EDUCATIONAL-EVALUATION</x:t>
        </x:is>
      </x:c>
      <x:c r="S119" t="inlineStr">
        <x:is>
          <x:t xml:space="preserve"/>
        </x:is>
      </x:c>
      <x:c r="T119" t="inlineStr">
        <x:is>
          <x:t xml:space="preserve">NONE</x:t>
        </x:is>
      </x:c>
      <x:c r="U119" t="inlineStr">
        <x:is>
          <x:t xml:space="preserve"/>
        </x:is>
      </x:c>
      <x:c r="V119" t="inlineStr">
        <x:is>
          <x:t xml:space="preserve">SUCCESS</x:t>
        </x:is>
      </x:c>
      <x:c r="W119" t="n">
        <x:f>IF((COUNT('Quantification_Results'!Q119)=1),IFERROR(ROUND((SUM(('Quantification_Results'!Q119*'Quantification_Config'!$R$9))/SUM('Quantification_Config'!$R$9)),'Quantification_Config'!$U$2),""),"")</x:f>
        <x:v>50</x:v>
      </x:c>
      <x:c r="X119" t="n">
        <x:f>IF((COUNT('Quantification_Results'!W119)=1),IFERROR(ROUND((SUM(('Quantification_Results'!W119*'Quantification_Config'!$R$8))/SUM('Quantification_Config'!$R$8)),'Quantification_Config'!$U$2),""),"")</x:f>
        <x:v>50</x:v>
      </x:c>
      <x:c r="Y119" t="n">
        <x:v>0</x:v>
      </x:c>
      <x:c r="Z119"/>
      <x:c r="AA119"/>
      <x:c r="AB119">
        <x:f>IF(('Quantification_Results'!Y119&lt;&gt;1),"",IF(('Quantification_Results'!AA119=""),IF(ISNUMBER('Quantification_Results'!Z119),IF(('Quantification_Results'!Z119&lt;'Quantification_Config'!$S$12),"",IF(('Quantification_Results'!Z119&gt;'Quantification_Config'!$T$12),"",'Quantification_Results'!Z119)),""),IF(ISNUMBER('Quantification_Results'!AA119),IF(('Quantification_Results'!AA119&lt;'Quantification_Config'!$S$12),"",IF(('Quantification_Results'!AA119&gt;'Quantification_Config'!$T$12),"",'Quantification_Results'!AA119)),"")))</x:f>
      </x:c>
      <x:c r="AC119">
        <x:f>IF(ISNUMBER('Quantification_Results'!AB119),IFERROR(ROUND(((('Quantification_Results'!AB119-'Quantification_Config'!$S$12)/('Quantification_Config'!$T$12-'Quantification_Config'!$S$12))*100),'Quantification_Config'!$U$2),""),"")</x:f>
      </x:c>
      <x:c r="AD119" t="inlineStr">
        <x:is>
          <x:t xml:space="preserve"/>
        </x:is>
      </x:c>
      <x:c r="AE119" t="inlineStr">
        <x:is>
          <x:t xml:space="preserve"/>
        </x:is>
      </x:c>
      <x:c r="AF119" t="inlineStr">
        <x:is>
          <x:t xml:space="preserve"/>
        </x:is>
      </x:c>
      <x:c r="AG119" t="inlineStr">
        <x:is>
          <x:t xml:space="preserve"/>
        </x:is>
      </x:c>
      <x:c r="AH119" t="inlineStr">
        <x:is>
          <x:t xml:space="preserve">EMPTY</x:t>
        </x:is>
      </x:c>
      <x:c r="AI119">
        <x:f>IF((COUNT('Quantification_Results'!AC119)=1),IFERROR(ROUND((SUM(('Quantification_Results'!AC119*'Quantification_Config'!$R$12))/SUM('Quantification_Config'!$R$12)),'Quantification_Config'!$U$2),""),"")</x:f>
      </x:c>
      <x:c r="AJ119">
        <x:f>IF((COUNT('Quantification_Results'!AI119)=1),IFERROR(ROUND((SUM(('Quantification_Results'!AI119*'Quantification_Config'!$R$11))/SUM('Quantification_Config'!$R$11)),'Quantification_Config'!$U$2),""),"")</x:f>
      </x:c>
      <x:c r="AK119" t="n">
        <x:v>1</x:v>
      </x:c>
      <x:c r="AL119" t="n">
        <x:v>5</x:v>
      </x:c>
      <x:c r="AM119"/>
      <x:c r="AN119" t="n">
        <x:f>IF(('Quantification_Results'!AK119&lt;&gt;1),"",IF(('Quantification_Results'!AM119=""),IF(ISNUMBER('Quantification_Results'!AL119),IF(('Quantification_Results'!AL119&lt;'Quantification_Config'!$S$15),"",IF(('Quantification_Results'!AL119&gt;'Quantification_Config'!$T$15),"",'Quantification_Results'!AL119)),""),IF(ISNUMBER('Quantification_Results'!AM119),IF(('Quantification_Results'!AM119&lt;'Quantification_Config'!$S$15),"",IF(('Quantification_Results'!AM119&gt;'Quantification_Config'!$T$15),"",'Quantification_Results'!AM119)),"")))</x:f>
        <x:v>5</x:v>
      </x:c>
      <x:c r="AO119" t="n">
        <x:f>IF(ISNUMBER('Quantification_Results'!AN119),IFERROR(ROUND(((('Quantification_Results'!AN119-'Quantification_Config'!$S$15)/('Quantification_Config'!$T$15-'Quantification_Config'!$S$15))*100),'Quantification_Config'!$U$2),""),"")</x:f>
        <x:v>50</x:v>
      </x:c>
      <x:c r="AP119" t="inlineStr">
        <x:is>
          <x:t xml:space="preserve">SYSTEM-TEST-ONLY-NO-NETWORK-NOT-AN-EDUCATIONAL-EVALUATION</x:t>
        </x:is>
      </x:c>
      <x:c r="AQ119" t="inlineStr">
        <x:is>
          <x:t xml:space="preserve"/>
        </x:is>
      </x:c>
      <x:c r="AR119" t="inlineStr">
        <x:is>
          <x:t xml:space="preserve">NONE</x:t>
        </x:is>
      </x:c>
      <x:c r="AS119" t="inlineStr">
        <x:is>
          <x:t xml:space="preserve"/>
        </x:is>
      </x:c>
      <x:c r="AT119" t="inlineStr">
        <x:is>
          <x:t xml:space="preserve">SUCCESS</x:t>
        </x:is>
      </x:c>
      <x:c r="AU119" t="n">
        <x:f>IF((COUNT('Quantification_Results'!AO119)=1),IFERROR(ROUND((SUM(('Quantification_Results'!AO119*'Quantification_Config'!$R$15))/SUM('Quantification_Config'!$R$15)),'Quantification_Config'!$U$2),""),"")</x:f>
        <x:v>50</x:v>
      </x:c>
      <x:c r="AV119" t="n">
        <x:f>IF((COUNT('Quantification_Results'!AU119)=1),IFERROR(ROUND((SUM(('Quantification_Results'!AU119*'Quantification_Config'!$R$14))/SUM('Quantification_Config'!$R$14)),'Quantification_Config'!$U$2),""),"")</x:f>
        <x:v>50</x:v>
      </x:c>
      <x:c r="AW119" t="n">
        <x:v>1</x:v>
      </x:c>
      <x:c r="AX119" t="n">
        <x:v>5</x:v>
      </x:c>
      <x:c r="AY119"/>
      <x:c r="AZ119" t="n">
        <x:f>IF(('Quantification_Results'!AW119&lt;&gt;1),"",IF(('Quantification_Results'!AY119=""),IF(ISNUMBER('Quantification_Results'!AX119),IF(('Quantification_Results'!AX119&lt;'Quantification_Config'!$S$19),"",IF(('Quantification_Results'!AX119&gt;'Quantification_Config'!$T$19),"",'Quantification_Results'!AX119)),""),IF(ISNUMBER('Quantification_Results'!AY119),IF(('Quantification_Results'!AY119&lt;'Quantification_Config'!$S$19),"",IF(('Quantification_Results'!AY119&gt;'Quantification_Config'!$T$19),"",'Quantification_Results'!AY119)),"")))</x:f>
        <x:v>5</x:v>
      </x:c>
      <x:c r="BA119" t="n">
        <x:f>IF(ISNUMBER('Quantification_Results'!AZ119),IFERROR(ROUND(((('Quantification_Results'!AZ119-'Quantification_Config'!$S$19)/('Quantification_Config'!$T$19-'Quantification_Config'!$S$19))*100),'Quantification_Config'!$U$2),""),"")</x:f>
        <x:v>50</x:v>
      </x:c>
      <x:c r="BB119" t="inlineStr">
        <x:is>
          <x:t xml:space="preserve">SYSTEM-TEST-ONLY-NO-NETWORK-NOT-AN-EDUCATIONAL-EVALUATION</x:t>
        </x:is>
      </x:c>
      <x:c r="BC119" t="inlineStr">
        <x:is>
          <x:t xml:space="preserve"/>
        </x:is>
      </x:c>
      <x:c r="BD119" t="inlineStr">
        <x:is>
          <x:t xml:space="preserve">NONE</x:t>
        </x:is>
      </x:c>
      <x:c r="BE119" t="inlineStr">
        <x:is>
          <x:t xml:space="preserve"/>
        </x:is>
      </x:c>
      <x:c r="BF119" t="inlineStr">
        <x:is>
          <x:t xml:space="preserve">SUCCESS</x:t>
        </x:is>
      </x:c>
      <x:c r="BG119" t="n">
        <x:f>IF((COUNT('Quantification_Results'!BA119)=1),IFERROR(ROUND((SUM(('Quantification_Results'!BA119*'Quantification_Config'!$R$19))/SUM('Quantification_Config'!$R$19)),'Quantification_Config'!$U$2),""),"")</x:f>
        <x:v>50</x:v>
      </x:c>
      <x:c r="BH119" t="n">
        <x:f>IF((COUNT('Quantification_Results'!BG119)=1),IFERROR(ROUND((SUM(('Quantification_Results'!BG119*'Quantification_Config'!$R$18))/SUM('Quantification_Config'!$R$18)),'Quantification_Config'!$U$2),""),"")</x:f>
        <x:v>50</x:v>
      </x:c>
      <x:c r="BI119">
        <x:f>IF((COUNT('Quantification_Results'!L119,'Quantification_Results'!X119,'Quantification_Results'!AJ119,'Quantification_Results'!AV119,'Quantification_Results'!BH119)=5),IFERROR(ROUND((SUM(('Quantification_Results'!L119*'Quantification_Config'!$R$4),('Quantification_Results'!X119*'Quantification_Config'!$R$7),('Quantification_Results'!AJ119*'Quantification_Config'!$R$10),('Quantification_Results'!AV119*'Quantification_Config'!$R$13),('Quantification_Results'!BH119*'Quantification_Config'!$R$16))/SUM('Quantification_Config'!$R$4,'Quantification_Config'!$R$7,'Quantification_Config'!$R$10,'Quantification_Config'!$R$13,'Quantification_Config'!$R$16)),'Quantification_Config'!$U$2),""),"")</x:f>
      </x:c>
    </x:row>
    <x:row r="120">
      <x:c r="A120" t="n">
        <x:v>1</x:v>
      </x:c>
      <x:c r="B120" t="n">
        <x:v>5</x:v>
      </x:c>
      <x:c r="C120"/>
      <x:c r="D120" t="n">
        <x:f>IF(('Quantification_Results'!A120&lt;&gt;1),"",IF(('Quantification_Results'!C120=""),IF(ISNUMBER('Quantification_Results'!B120),IF(('Quantification_Results'!B120&lt;'Quantification_Config'!$S$6),"",IF(('Quantification_Results'!B120&gt;'Quantification_Config'!$T$6),"",'Quantification_Results'!B120)),""),IF(ISNUMBER('Quantification_Results'!C120),IF(('Quantification_Results'!C120&lt;'Quantification_Config'!$S$6),"",IF(('Quantification_Results'!C120&gt;'Quantification_Config'!$T$6),"",'Quantification_Results'!C120)),"")))</x:f>
        <x:v>5</x:v>
      </x:c>
      <x:c r="E120" t="n">
        <x:f>IF(ISNUMBER('Quantification_Results'!D120),IFERROR(ROUND(((('Quantification_Results'!D120-'Quantification_Config'!$S$6)/('Quantification_Config'!$T$6-'Quantification_Config'!$S$6))*100),'Quantification_Config'!$U$2),""),"")</x:f>
        <x:v>50</x:v>
      </x:c>
      <x:c r="F120" t="inlineStr">
        <x:is>
          <x:t xml:space="preserve">SYSTEM-TEST-ONLY-NO-NETWORK-NOT-AN-EDUCATIONAL-EVALUATION</x:t>
        </x:is>
      </x:c>
      <x:c r="G120" t="inlineStr">
        <x:is>
          <x:t xml:space="preserve"/>
        </x:is>
      </x:c>
      <x:c r="H120" t="inlineStr">
        <x:is>
          <x:t xml:space="preserve">NONE</x:t>
        </x:is>
      </x:c>
      <x:c r="I120" t="inlineStr">
        <x:is>
          <x:t xml:space="preserve"/>
        </x:is>
      </x:c>
      <x:c r="J120" t="inlineStr">
        <x:is>
          <x:t xml:space="preserve">SUCCESS</x:t>
        </x:is>
      </x:c>
      <x:c r="K120" t="n">
        <x:f>IF((COUNT('Quantification_Results'!E120)=1),IFERROR(ROUND((SUM(('Quantification_Results'!E120*'Quantification_Config'!$R$6))/SUM('Quantification_Config'!$R$6)),'Quantification_Config'!$U$2),""),"")</x:f>
        <x:v>50</x:v>
      </x:c>
      <x:c r="L120" t="n">
        <x:f>IF((COUNT('Quantification_Results'!K120)=1),IFERROR(ROUND((SUM(('Quantification_Results'!K120*'Quantification_Config'!$R$5))/SUM('Quantification_Config'!$R$5)),'Quantification_Config'!$U$2),""),"")</x:f>
        <x:v>50</x:v>
      </x:c>
      <x:c r="M120" t="n">
        <x:v>1</x:v>
      </x:c>
      <x:c r="N120" t="n">
        <x:v>5</x:v>
      </x:c>
      <x:c r="O120"/>
      <x:c r="P120" t="n">
        <x:f>IF(('Quantification_Results'!M120&lt;&gt;1),"",IF(('Quantification_Results'!O120=""),IF(ISNUMBER('Quantification_Results'!N120),IF(('Quantification_Results'!N120&lt;'Quantification_Config'!$S$9),"",IF(('Quantification_Results'!N120&gt;'Quantification_Config'!$T$9),"",'Quantification_Results'!N120)),""),IF(ISNUMBER('Quantification_Results'!O120),IF(('Quantification_Results'!O120&lt;'Quantification_Config'!$S$9),"",IF(('Quantification_Results'!O120&gt;'Quantification_Config'!$T$9),"",'Quantification_Results'!O120)),"")))</x:f>
        <x:v>5</x:v>
      </x:c>
      <x:c r="Q120" t="n">
        <x:f>IF(ISNUMBER('Quantification_Results'!P120),IFERROR(ROUND(((('Quantification_Results'!P120-'Quantification_Config'!$S$9)/('Quantification_Config'!$T$9-'Quantification_Config'!$S$9))*100),'Quantification_Config'!$U$2),""),"")</x:f>
        <x:v>50</x:v>
      </x:c>
      <x:c r="R120" t="inlineStr">
        <x:is>
          <x:t xml:space="preserve">SYSTEM-TEST-ONLY-NO-NETWORK-NOT-AN-EDUCATIONAL-EVALUATION</x:t>
        </x:is>
      </x:c>
      <x:c r="S120" t="inlineStr">
        <x:is>
          <x:t xml:space="preserve"/>
        </x:is>
      </x:c>
      <x:c r="T120" t="inlineStr">
        <x:is>
          <x:t xml:space="preserve">NONE</x:t>
        </x:is>
      </x:c>
      <x:c r="U120" t="inlineStr">
        <x:is>
          <x:t xml:space="preserve"/>
        </x:is>
      </x:c>
      <x:c r="V120" t="inlineStr">
        <x:is>
          <x:t xml:space="preserve">SUCCESS</x:t>
        </x:is>
      </x:c>
      <x:c r="W120" t="n">
        <x:f>IF((COUNT('Quantification_Results'!Q120)=1),IFERROR(ROUND((SUM(('Quantification_Results'!Q120*'Quantification_Config'!$R$9))/SUM('Quantification_Config'!$R$9)),'Quantification_Config'!$U$2),""),"")</x:f>
        <x:v>50</x:v>
      </x:c>
      <x:c r="X120" t="n">
        <x:f>IF((COUNT('Quantification_Results'!W120)=1),IFERROR(ROUND((SUM(('Quantification_Results'!W120*'Quantification_Config'!$R$8))/SUM('Quantification_Config'!$R$8)),'Quantification_Config'!$U$2),""),"")</x:f>
        <x:v>50</x:v>
      </x:c>
      <x:c r="Y120" t="n">
        <x:v>0</x:v>
      </x:c>
      <x:c r="Z120"/>
      <x:c r="AA120"/>
      <x:c r="AB120">
        <x:f>IF(('Quantification_Results'!Y120&lt;&gt;1),"",IF(('Quantification_Results'!AA120=""),IF(ISNUMBER('Quantification_Results'!Z120),IF(('Quantification_Results'!Z120&lt;'Quantification_Config'!$S$12),"",IF(('Quantification_Results'!Z120&gt;'Quantification_Config'!$T$12),"",'Quantification_Results'!Z120)),""),IF(ISNUMBER('Quantification_Results'!AA120),IF(('Quantification_Results'!AA120&lt;'Quantification_Config'!$S$12),"",IF(('Quantification_Results'!AA120&gt;'Quantification_Config'!$T$12),"",'Quantification_Results'!AA120)),"")))</x:f>
      </x:c>
      <x:c r="AC120">
        <x:f>IF(ISNUMBER('Quantification_Results'!AB120),IFERROR(ROUND(((('Quantification_Results'!AB120-'Quantification_Config'!$S$12)/('Quantification_Config'!$T$12-'Quantification_Config'!$S$12))*100),'Quantification_Config'!$U$2),""),"")</x:f>
      </x:c>
      <x:c r="AD120" t="inlineStr">
        <x:is>
          <x:t xml:space="preserve"/>
        </x:is>
      </x:c>
      <x:c r="AE120" t="inlineStr">
        <x:is>
          <x:t xml:space="preserve"/>
        </x:is>
      </x:c>
      <x:c r="AF120" t="inlineStr">
        <x:is>
          <x:t xml:space="preserve"/>
        </x:is>
      </x:c>
      <x:c r="AG120" t="inlineStr">
        <x:is>
          <x:t xml:space="preserve"/>
        </x:is>
      </x:c>
      <x:c r="AH120" t="inlineStr">
        <x:is>
          <x:t xml:space="preserve">EMPTY</x:t>
        </x:is>
      </x:c>
      <x:c r="AI120">
        <x:f>IF((COUNT('Quantification_Results'!AC120)=1),IFERROR(ROUND((SUM(('Quantification_Results'!AC120*'Quantification_Config'!$R$12))/SUM('Quantification_Config'!$R$12)),'Quantification_Config'!$U$2),""),"")</x:f>
      </x:c>
      <x:c r="AJ120">
        <x:f>IF((COUNT('Quantification_Results'!AI120)=1),IFERROR(ROUND((SUM(('Quantification_Results'!AI120*'Quantification_Config'!$R$11))/SUM('Quantification_Config'!$R$11)),'Quantification_Config'!$U$2),""),"")</x:f>
      </x:c>
      <x:c r="AK120" t="n">
        <x:v>1</x:v>
      </x:c>
      <x:c r="AL120" t="n">
        <x:v>5</x:v>
      </x:c>
      <x:c r="AM120"/>
      <x:c r="AN120" t="n">
        <x:f>IF(('Quantification_Results'!AK120&lt;&gt;1),"",IF(('Quantification_Results'!AM120=""),IF(ISNUMBER('Quantification_Results'!AL120),IF(('Quantification_Results'!AL120&lt;'Quantification_Config'!$S$15),"",IF(('Quantification_Results'!AL120&gt;'Quantification_Config'!$T$15),"",'Quantification_Results'!AL120)),""),IF(ISNUMBER('Quantification_Results'!AM120),IF(('Quantification_Results'!AM120&lt;'Quantification_Config'!$S$15),"",IF(('Quantification_Results'!AM120&gt;'Quantification_Config'!$T$15),"",'Quantification_Results'!AM120)),"")))</x:f>
        <x:v>5</x:v>
      </x:c>
      <x:c r="AO120" t="n">
        <x:f>IF(ISNUMBER('Quantification_Results'!AN120),IFERROR(ROUND(((('Quantification_Results'!AN120-'Quantification_Config'!$S$15)/('Quantification_Config'!$T$15-'Quantification_Config'!$S$15))*100),'Quantification_Config'!$U$2),""),"")</x:f>
        <x:v>50</x:v>
      </x:c>
      <x:c r="AP120" t="inlineStr">
        <x:is>
          <x:t xml:space="preserve">SYSTEM-TEST-ONLY-NO-NETWORK-NOT-AN-EDUCATIONAL-EVALUATION</x:t>
        </x:is>
      </x:c>
      <x:c r="AQ120" t="inlineStr">
        <x:is>
          <x:t xml:space="preserve"/>
        </x:is>
      </x:c>
      <x:c r="AR120" t="inlineStr">
        <x:is>
          <x:t xml:space="preserve">NONE</x:t>
        </x:is>
      </x:c>
      <x:c r="AS120" t="inlineStr">
        <x:is>
          <x:t xml:space="preserve"/>
        </x:is>
      </x:c>
      <x:c r="AT120" t="inlineStr">
        <x:is>
          <x:t xml:space="preserve">SUCCESS</x:t>
        </x:is>
      </x:c>
      <x:c r="AU120" t="n">
        <x:f>IF((COUNT('Quantification_Results'!AO120)=1),IFERROR(ROUND((SUM(('Quantification_Results'!AO120*'Quantification_Config'!$R$15))/SUM('Quantification_Config'!$R$15)),'Quantification_Config'!$U$2),""),"")</x:f>
        <x:v>50</x:v>
      </x:c>
      <x:c r="AV120" t="n">
        <x:f>IF((COUNT('Quantification_Results'!AU120)=1),IFERROR(ROUND((SUM(('Quantification_Results'!AU120*'Quantification_Config'!$R$14))/SUM('Quantification_Config'!$R$14)),'Quantification_Config'!$U$2),""),"")</x:f>
        <x:v>50</x:v>
      </x:c>
      <x:c r="AW120" t="n">
        <x:v>1</x:v>
      </x:c>
      <x:c r="AX120" t="n">
        <x:v>5</x:v>
      </x:c>
      <x:c r="AY120"/>
      <x:c r="AZ120" t="n">
        <x:f>IF(('Quantification_Results'!AW120&lt;&gt;1),"",IF(('Quantification_Results'!AY120=""),IF(ISNUMBER('Quantification_Results'!AX120),IF(('Quantification_Results'!AX120&lt;'Quantification_Config'!$S$19),"",IF(('Quantification_Results'!AX120&gt;'Quantification_Config'!$T$19),"",'Quantification_Results'!AX120)),""),IF(ISNUMBER('Quantification_Results'!AY120),IF(('Quantification_Results'!AY120&lt;'Quantification_Config'!$S$19),"",IF(('Quantification_Results'!AY120&gt;'Quantification_Config'!$T$19),"",'Quantification_Results'!AY120)),"")))</x:f>
        <x:v>5</x:v>
      </x:c>
      <x:c r="BA120" t="n">
        <x:f>IF(ISNUMBER('Quantification_Results'!AZ120),IFERROR(ROUND(((('Quantification_Results'!AZ120-'Quantification_Config'!$S$19)/('Quantification_Config'!$T$19-'Quantification_Config'!$S$19))*100),'Quantification_Config'!$U$2),""),"")</x:f>
        <x:v>50</x:v>
      </x:c>
      <x:c r="BB120" t="inlineStr">
        <x:is>
          <x:t xml:space="preserve">SYSTEM-TEST-ONLY-NO-NETWORK-NOT-AN-EDUCATIONAL-EVALUATION</x:t>
        </x:is>
      </x:c>
      <x:c r="BC120" t="inlineStr">
        <x:is>
          <x:t xml:space="preserve"/>
        </x:is>
      </x:c>
      <x:c r="BD120" t="inlineStr">
        <x:is>
          <x:t xml:space="preserve">NONE</x:t>
        </x:is>
      </x:c>
      <x:c r="BE120" t="inlineStr">
        <x:is>
          <x:t xml:space="preserve"/>
        </x:is>
      </x:c>
      <x:c r="BF120" t="inlineStr">
        <x:is>
          <x:t xml:space="preserve">SUCCESS</x:t>
        </x:is>
      </x:c>
      <x:c r="BG120" t="n">
        <x:f>IF((COUNT('Quantification_Results'!BA120)=1),IFERROR(ROUND((SUM(('Quantification_Results'!BA120*'Quantification_Config'!$R$19))/SUM('Quantification_Config'!$R$19)),'Quantification_Config'!$U$2),""),"")</x:f>
        <x:v>50</x:v>
      </x:c>
      <x:c r="BH120" t="n">
        <x:f>IF((COUNT('Quantification_Results'!BG120)=1),IFERROR(ROUND((SUM(('Quantification_Results'!BG120*'Quantification_Config'!$R$18))/SUM('Quantification_Config'!$R$18)),'Quantification_Config'!$U$2),""),"")</x:f>
        <x:v>50</x:v>
      </x:c>
      <x:c r="BI120">
        <x:f>IF((COUNT('Quantification_Results'!L120,'Quantification_Results'!X120,'Quantification_Results'!AJ120,'Quantification_Results'!AV120,'Quantification_Results'!BH120)=5),IFERROR(ROUND((SUM(('Quantification_Results'!L120*'Quantification_Config'!$R$4),('Quantification_Results'!X120*'Quantification_Config'!$R$7),('Quantification_Results'!AJ120*'Quantification_Config'!$R$10),('Quantification_Results'!AV120*'Quantification_Config'!$R$13),('Quantification_Results'!BH120*'Quantification_Config'!$R$16))/SUM('Quantification_Config'!$R$4,'Quantification_Config'!$R$7,'Quantification_Config'!$R$10,'Quantification_Config'!$R$13,'Quantification_Config'!$R$16)),'Quantification_Config'!$U$2),""),"")</x:f>
      </x:c>
    </x:row>
    <x:row r="121">
      <x:c r="A121" t="n">
        <x:v>1</x:v>
      </x:c>
      <x:c r="B121" t="n">
        <x:v>5</x:v>
      </x:c>
      <x:c r="C121"/>
      <x:c r="D121" t="n">
        <x:f>IF(('Quantification_Results'!A121&lt;&gt;1),"",IF(('Quantification_Results'!C121=""),IF(ISNUMBER('Quantification_Results'!B121),IF(('Quantification_Results'!B121&lt;'Quantification_Config'!$S$6),"",IF(('Quantification_Results'!B121&gt;'Quantification_Config'!$T$6),"",'Quantification_Results'!B121)),""),IF(ISNUMBER('Quantification_Results'!C121),IF(('Quantification_Results'!C121&lt;'Quantification_Config'!$S$6),"",IF(('Quantification_Results'!C121&gt;'Quantification_Config'!$T$6),"",'Quantification_Results'!C121)),"")))</x:f>
        <x:v>5</x:v>
      </x:c>
      <x:c r="E121" t="n">
        <x:f>IF(ISNUMBER('Quantification_Results'!D121),IFERROR(ROUND(((('Quantification_Results'!D121-'Quantification_Config'!$S$6)/('Quantification_Config'!$T$6-'Quantification_Config'!$S$6))*100),'Quantification_Config'!$U$2),""),"")</x:f>
        <x:v>50</x:v>
      </x:c>
      <x:c r="F121" t="inlineStr">
        <x:is>
          <x:t xml:space="preserve">SYSTEM-TEST-ONLY-NO-NETWORK-NOT-AN-EDUCATIONAL-EVALUATION</x:t>
        </x:is>
      </x:c>
      <x:c r="G121" t="inlineStr">
        <x:is>
          <x:t xml:space="preserve"/>
        </x:is>
      </x:c>
      <x:c r="H121" t="inlineStr">
        <x:is>
          <x:t xml:space="preserve">NONE</x:t>
        </x:is>
      </x:c>
      <x:c r="I121" t="inlineStr">
        <x:is>
          <x:t xml:space="preserve"/>
        </x:is>
      </x:c>
      <x:c r="J121" t="inlineStr">
        <x:is>
          <x:t xml:space="preserve">SUCCESS</x:t>
        </x:is>
      </x:c>
      <x:c r="K121" t="n">
        <x:f>IF((COUNT('Quantification_Results'!E121)=1),IFERROR(ROUND((SUM(('Quantification_Results'!E121*'Quantification_Config'!$R$6))/SUM('Quantification_Config'!$R$6)),'Quantification_Config'!$U$2),""),"")</x:f>
        <x:v>50</x:v>
      </x:c>
      <x:c r="L121" t="n">
        <x:f>IF((COUNT('Quantification_Results'!K121)=1),IFERROR(ROUND((SUM(('Quantification_Results'!K121*'Quantification_Config'!$R$5))/SUM('Quantification_Config'!$R$5)),'Quantification_Config'!$U$2),""),"")</x:f>
        <x:v>50</x:v>
      </x:c>
      <x:c r="M121" t="n">
        <x:v>1</x:v>
      </x:c>
      <x:c r="N121" t="n">
        <x:v>5</x:v>
      </x:c>
      <x:c r="O121"/>
      <x:c r="P121" t="n">
        <x:f>IF(('Quantification_Results'!M121&lt;&gt;1),"",IF(('Quantification_Results'!O121=""),IF(ISNUMBER('Quantification_Results'!N121),IF(('Quantification_Results'!N121&lt;'Quantification_Config'!$S$9),"",IF(('Quantification_Results'!N121&gt;'Quantification_Config'!$T$9),"",'Quantification_Results'!N121)),""),IF(ISNUMBER('Quantification_Results'!O121),IF(('Quantification_Results'!O121&lt;'Quantification_Config'!$S$9),"",IF(('Quantification_Results'!O121&gt;'Quantification_Config'!$T$9),"",'Quantification_Results'!O121)),"")))</x:f>
        <x:v>5</x:v>
      </x:c>
      <x:c r="Q121" t="n">
        <x:f>IF(ISNUMBER('Quantification_Results'!P121),IFERROR(ROUND(((('Quantification_Results'!P121-'Quantification_Config'!$S$9)/('Quantification_Config'!$T$9-'Quantification_Config'!$S$9))*100),'Quantification_Config'!$U$2),""),"")</x:f>
        <x:v>50</x:v>
      </x:c>
      <x:c r="R121" t="inlineStr">
        <x:is>
          <x:t xml:space="preserve">SYSTEM-TEST-ONLY-NO-NETWORK-NOT-AN-EDUCATIONAL-EVALUATION</x:t>
        </x:is>
      </x:c>
      <x:c r="S121" t="inlineStr">
        <x:is>
          <x:t xml:space="preserve"/>
        </x:is>
      </x:c>
      <x:c r="T121" t="inlineStr">
        <x:is>
          <x:t xml:space="preserve">NONE</x:t>
        </x:is>
      </x:c>
      <x:c r="U121" t="inlineStr">
        <x:is>
          <x:t xml:space="preserve"/>
        </x:is>
      </x:c>
      <x:c r="V121" t="inlineStr">
        <x:is>
          <x:t xml:space="preserve">SUCCESS</x:t>
        </x:is>
      </x:c>
      <x:c r="W121" t="n">
        <x:f>IF((COUNT('Quantification_Results'!Q121)=1),IFERROR(ROUND((SUM(('Quantification_Results'!Q121*'Quantification_Config'!$R$9))/SUM('Quantification_Config'!$R$9)),'Quantification_Config'!$U$2),""),"")</x:f>
        <x:v>50</x:v>
      </x:c>
      <x:c r="X121" t="n">
        <x:f>IF((COUNT('Quantification_Results'!W121)=1),IFERROR(ROUND((SUM(('Quantification_Results'!W121*'Quantification_Config'!$R$8))/SUM('Quantification_Config'!$R$8)),'Quantification_Config'!$U$2),""),"")</x:f>
        <x:v>50</x:v>
      </x:c>
      <x:c r="Y121" t="n">
        <x:v>0</x:v>
      </x:c>
      <x:c r="Z121"/>
      <x:c r="AA121"/>
      <x:c r="AB121">
        <x:f>IF(('Quantification_Results'!Y121&lt;&gt;1),"",IF(('Quantification_Results'!AA121=""),IF(ISNUMBER('Quantification_Results'!Z121),IF(('Quantification_Results'!Z121&lt;'Quantification_Config'!$S$12),"",IF(('Quantification_Results'!Z121&gt;'Quantification_Config'!$T$12),"",'Quantification_Results'!Z121)),""),IF(ISNUMBER('Quantification_Results'!AA121),IF(('Quantification_Results'!AA121&lt;'Quantification_Config'!$S$12),"",IF(('Quantification_Results'!AA121&gt;'Quantification_Config'!$T$12),"",'Quantification_Results'!AA121)),"")))</x:f>
      </x:c>
      <x:c r="AC121">
        <x:f>IF(ISNUMBER('Quantification_Results'!AB121),IFERROR(ROUND(((('Quantification_Results'!AB121-'Quantification_Config'!$S$12)/('Quantification_Config'!$T$12-'Quantification_Config'!$S$12))*100),'Quantification_Config'!$U$2),""),"")</x:f>
      </x:c>
      <x:c r="AD121" t="inlineStr">
        <x:is>
          <x:t xml:space="preserve"/>
        </x:is>
      </x:c>
      <x:c r="AE121" t="inlineStr">
        <x:is>
          <x:t xml:space="preserve"/>
        </x:is>
      </x:c>
      <x:c r="AF121" t="inlineStr">
        <x:is>
          <x:t xml:space="preserve"/>
        </x:is>
      </x:c>
      <x:c r="AG121" t="inlineStr">
        <x:is>
          <x:t xml:space="preserve"/>
        </x:is>
      </x:c>
      <x:c r="AH121" t="inlineStr">
        <x:is>
          <x:t xml:space="preserve">EMPTY</x:t>
        </x:is>
      </x:c>
      <x:c r="AI121">
        <x:f>IF((COUNT('Quantification_Results'!AC121)=1),IFERROR(ROUND((SUM(('Quantification_Results'!AC121*'Quantification_Config'!$R$12))/SUM('Quantification_Config'!$R$12)),'Quantification_Config'!$U$2),""),"")</x:f>
      </x:c>
      <x:c r="AJ121">
        <x:f>IF((COUNT('Quantification_Results'!AI121)=1),IFERROR(ROUND((SUM(('Quantification_Results'!AI121*'Quantification_Config'!$R$11))/SUM('Quantification_Config'!$R$11)),'Quantification_Config'!$U$2),""),"")</x:f>
      </x:c>
      <x:c r="AK121" t="n">
        <x:v>1</x:v>
      </x:c>
      <x:c r="AL121" t="n">
        <x:v>5</x:v>
      </x:c>
      <x:c r="AM121"/>
      <x:c r="AN121" t="n">
        <x:f>IF(('Quantification_Results'!AK121&lt;&gt;1),"",IF(('Quantification_Results'!AM121=""),IF(ISNUMBER('Quantification_Results'!AL121),IF(('Quantification_Results'!AL121&lt;'Quantification_Config'!$S$15),"",IF(('Quantification_Results'!AL121&gt;'Quantification_Config'!$T$15),"",'Quantification_Results'!AL121)),""),IF(ISNUMBER('Quantification_Results'!AM121),IF(('Quantification_Results'!AM121&lt;'Quantification_Config'!$S$15),"",IF(('Quantification_Results'!AM121&gt;'Quantification_Config'!$T$15),"",'Quantification_Results'!AM121)),"")))</x:f>
        <x:v>5</x:v>
      </x:c>
      <x:c r="AO121" t="n">
        <x:f>IF(ISNUMBER('Quantification_Results'!AN121),IFERROR(ROUND(((('Quantification_Results'!AN121-'Quantification_Config'!$S$15)/('Quantification_Config'!$T$15-'Quantification_Config'!$S$15))*100),'Quantification_Config'!$U$2),""),"")</x:f>
        <x:v>50</x:v>
      </x:c>
      <x:c r="AP121" t="inlineStr">
        <x:is>
          <x:t xml:space="preserve">SYSTEM-TEST-ONLY-NO-NETWORK-NOT-AN-EDUCATIONAL-EVALUATION</x:t>
        </x:is>
      </x:c>
      <x:c r="AQ121" t="inlineStr">
        <x:is>
          <x:t xml:space="preserve"/>
        </x:is>
      </x:c>
      <x:c r="AR121" t="inlineStr">
        <x:is>
          <x:t xml:space="preserve">NONE</x:t>
        </x:is>
      </x:c>
      <x:c r="AS121" t="inlineStr">
        <x:is>
          <x:t xml:space="preserve"/>
        </x:is>
      </x:c>
      <x:c r="AT121" t="inlineStr">
        <x:is>
          <x:t xml:space="preserve">SUCCESS</x:t>
        </x:is>
      </x:c>
      <x:c r="AU121" t="n">
        <x:f>IF((COUNT('Quantification_Results'!AO121)=1),IFERROR(ROUND((SUM(('Quantification_Results'!AO121*'Quantification_Config'!$R$15))/SUM('Quantification_Config'!$R$15)),'Quantification_Config'!$U$2),""),"")</x:f>
        <x:v>50</x:v>
      </x:c>
      <x:c r="AV121" t="n">
        <x:f>IF((COUNT('Quantification_Results'!AU121)=1),IFERROR(ROUND((SUM(('Quantification_Results'!AU121*'Quantification_Config'!$R$14))/SUM('Quantification_Config'!$R$14)),'Quantification_Config'!$U$2),""),"")</x:f>
        <x:v>50</x:v>
      </x:c>
      <x:c r="AW121" t="n">
        <x:v>0</x:v>
      </x:c>
      <x:c r="AX121"/>
      <x:c r="AY121"/>
      <x:c r="AZ121">
        <x:f>IF(('Quantification_Results'!AW121&lt;&gt;1),"",IF(('Quantification_Results'!AY121=""),IF(ISNUMBER('Quantification_Results'!AX121),IF(('Quantification_Results'!AX121&lt;'Quantification_Config'!$S$19),"",IF(('Quantification_Results'!AX121&gt;'Quantification_Config'!$T$19),"",'Quantification_Results'!AX121)),""),IF(ISNUMBER('Quantification_Results'!AY121),IF(('Quantification_Results'!AY121&lt;'Quantification_Config'!$S$19),"",IF(('Quantification_Results'!AY121&gt;'Quantification_Config'!$T$19),"",'Quantification_Results'!AY121)),"")))</x:f>
      </x:c>
      <x:c r="BA121">
        <x:f>IF(ISNUMBER('Quantification_Results'!AZ121),IFERROR(ROUND(((('Quantification_Results'!AZ121-'Quantification_Config'!$S$19)/('Quantification_Config'!$T$19-'Quantification_Config'!$S$19))*100),'Quantification_Config'!$U$2),""),"")</x:f>
      </x:c>
      <x:c r="BB121" t="inlineStr">
        <x:is>
          <x:t xml:space="preserve"/>
        </x:is>
      </x:c>
      <x:c r="BC121" t="inlineStr">
        <x:is>
          <x:t xml:space="preserve"/>
        </x:is>
      </x:c>
      <x:c r="BD121" t="inlineStr">
        <x:is>
          <x:t xml:space="preserve"/>
        </x:is>
      </x:c>
      <x:c r="BE121" t="inlineStr">
        <x:is>
          <x:t xml:space="preserve"/>
        </x:is>
      </x:c>
      <x:c r="BF121" t="inlineStr">
        <x:is>
          <x:t xml:space="preserve">EMPTY</x:t>
        </x:is>
      </x:c>
      <x:c r="BG121">
        <x:f>IF((COUNT('Quantification_Results'!BA121)=1),IFERROR(ROUND((SUM(('Quantification_Results'!BA121*'Quantification_Config'!$R$19))/SUM('Quantification_Config'!$R$19)),'Quantification_Config'!$U$2),""),"")</x:f>
      </x:c>
      <x:c r="BH121">
        <x:f>IF((COUNT('Quantification_Results'!BG121)=1),IFERROR(ROUND((SUM(('Quantification_Results'!BG121*'Quantification_Config'!$R$18))/SUM('Quantification_Config'!$R$18)),'Quantification_Config'!$U$2),""),"")</x:f>
      </x:c>
      <x:c r="BI121">
        <x:f>IF((COUNT('Quantification_Results'!L121,'Quantification_Results'!X121,'Quantification_Results'!AJ121,'Quantification_Results'!AV121,'Quantification_Results'!BH121)=5),IFERROR(ROUND((SUM(('Quantification_Results'!L121*'Quantification_Config'!$R$4),('Quantification_Results'!X121*'Quantification_Config'!$R$7),('Quantification_Results'!AJ121*'Quantification_Config'!$R$10),('Quantification_Results'!AV121*'Quantification_Config'!$R$13),('Quantification_Results'!BH121*'Quantification_Config'!$R$16))/SUM('Quantification_Config'!$R$4,'Quantification_Config'!$R$7,'Quantification_Config'!$R$10,'Quantification_Config'!$R$13,'Quantification_Config'!$R$16)),'Quantification_Config'!$U$2),""),"")</x:f>
      </x:c>
    </x:row>
    <x:row r="122">
      <x:c r="A122" t="n">
        <x:v>1</x:v>
      </x:c>
      <x:c r="B122" t="n">
        <x:v>5</x:v>
      </x:c>
      <x:c r="C122"/>
      <x:c r="D122" t="n">
        <x:f>IF(('Quantification_Results'!A122&lt;&gt;1),"",IF(('Quantification_Results'!C122=""),IF(ISNUMBER('Quantification_Results'!B122),IF(('Quantification_Results'!B122&lt;'Quantification_Config'!$S$6),"",IF(('Quantification_Results'!B122&gt;'Quantification_Config'!$T$6),"",'Quantification_Results'!B122)),""),IF(ISNUMBER('Quantification_Results'!C122),IF(('Quantification_Results'!C122&lt;'Quantification_Config'!$S$6),"",IF(('Quantification_Results'!C122&gt;'Quantification_Config'!$T$6),"",'Quantification_Results'!C122)),"")))</x:f>
        <x:v>5</x:v>
      </x:c>
      <x:c r="E122" t="n">
        <x:f>IF(ISNUMBER('Quantification_Results'!D122),IFERROR(ROUND(((('Quantification_Results'!D122-'Quantification_Config'!$S$6)/('Quantification_Config'!$T$6-'Quantification_Config'!$S$6))*100),'Quantification_Config'!$U$2),""),"")</x:f>
        <x:v>50</x:v>
      </x:c>
      <x:c r="F122" t="inlineStr">
        <x:is>
          <x:t xml:space="preserve">SYSTEM-TEST-ONLY-NO-NETWORK-NOT-AN-EDUCATIONAL-EVALUATION</x:t>
        </x:is>
      </x:c>
      <x:c r="G122" t="inlineStr">
        <x:is>
          <x:t xml:space="preserve"/>
        </x:is>
      </x:c>
      <x:c r="H122" t="inlineStr">
        <x:is>
          <x:t xml:space="preserve">NONE</x:t>
        </x:is>
      </x:c>
      <x:c r="I122" t="inlineStr">
        <x:is>
          <x:t xml:space="preserve"/>
        </x:is>
      </x:c>
      <x:c r="J122" t="inlineStr">
        <x:is>
          <x:t xml:space="preserve">SUCCESS</x:t>
        </x:is>
      </x:c>
      <x:c r="K122" t="n">
        <x:f>IF((COUNT('Quantification_Results'!E122)=1),IFERROR(ROUND((SUM(('Quantification_Results'!E122*'Quantification_Config'!$R$6))/SUM('Quantification_Config'!$R$6)),'Quantification_Config'!$U$2),""),"")</x:f>
        <x:v>50</x:v>
      </x:c>
      <x:c r="L122" t="n">
        <x:f>IF((COUNT('Quantification_Results'!K122)=1),IFERROR(ROUND((SUM(('Quantification_Results'!K122*'Quantification_Config'!$R$5))/SUM('Quantification_Config'!$R$5)),'Quantification_Config'!$U$2),""),"")</x:f>
        <x:v>50</x:v>
      </x:c>
      <x:c r="M122" t="n">
        <x:v>1</x:v>
      </x:c>
      <x:c r="N122" t="n">
        <x:v>5</x:v>
      </x:c>
      <x:c r="O122"/>
      <x:c r="P122" t="n">
        <x:f>IF(('Quantification_Results'!M122&lt;&gt;1),"",IF(('Quantification_Results'!O122=""),IF(ISNUMBER('Quantification_Results'!N122),IF(('Quantification_Results'!N122&lt;'Quantification_Config'!$S$9),"",IF(('Quantification_Results'!N122&gt;'Quantification_Config'!$T$9),"",'Quantification_Results'!N122)),""),IF(ISNUMBER('Quantification_Results'!O122),IF(('Quantification_Results'!O122&lt;'Quantification_Config'!$S$9),"",IF(('Quantification_Results'!O122&gt;'Quantification_Config'!$T$9),"",'Quantification_Results'!O122)),"")))</x:f>
        <x:v>5</x:v>
      </x:c>
      <x:c r="Q122" t="n">
        <x:f>IF(ISNUMBER('Quantification_Results'!P122),IFERROR(ROUND(((('Quantification_Results'!P122-'Quantification_Config'!$S$9)/('Quantification_Config'!$T$9-'Quantification_Config'!$S$9))*100),'Quantification_Config'!$U$2),""),"")</x:f>
        <x:v>50</x:v>
      </x:c>
      <x:c r="R122" t="inlineStr">
        <x:is>
          <x:t xml:space="preserve">SYSTEM-TEST-ONLY-NO-NETWORK-NOT-AN-EDUCATIONAL-EVALUATION</x:t>
        </x:is>
      </x:c>
      <x:c r="S122" t="inlineStr">
        <x:is>
          <x:t xml:space="preserve"/>
        </x:is>
      </x:c>
      <x:c r="T122" t="inlineStr">
        <x:is>
          <x:t xml:space="preserve">NONE</x:t>
        </x:is>
      </x:c>
      <x:c r="U122" t="inlineStr">
        <x:is>
          <x:t xml:space="preserve"/>
        </x:is>
      </x:c>
      <x:c r="V122" t="inlineStr">
        <x:is>
          <x:t xml:space="preserve">SUCCESS</x:t>
        </x:is>
      </x:c>
      <x:c r="W122" t="n">
        <x:f>IF((COUNT('Quantification_Results'!Q122)=1),IFERROR(ROUND((SUM(('Quantification_Results'!Q122*'Quantification_Config'!$R$9))/SUM('Quantification_Config'!$R$9)),'Quantification_Config'!$U$2),""),"")</x:f>
        <x:v>50</x:v>
      </x:c>
      <x:c r="X122" t="n">
        <x:f>IF((COUNT('Quantification_Results'!W122)=1),IFERROR(ROUND((SUM(('Quantification_Results'!W122*'Quantification_Config'!$R$8))/SUM('Quantification_Config'!$R$8)),'Quantification_Config'!$U$2),""),"")</x:f>
        <x:v>50</x:v>
      </x:c>
      <x:c r="Y122" t="n">
        <x:v>0</x:v>
      </x:c>
      <x:c r="Z122"/>
      <x:c r="AA122"/>
      <x:c r="AB122">
        <x:f>IF(('Quantification_Results'!Y122&lt;&gt;1),"",IF(('Quantification_Results'!AA122=""),IF(ISNUMBER('Quantification_Results'!Z122),IF(('Quantification_Results'!Z122&lt;'Quantification_Config'!$S$12),"",IF(('Quantification_Results'!Z122&gt;'Quantification_Config'!$T$12),"",'Quantification_Results'!Z122)),""),IF(ISNUMBER('Quantification_Results'!AA122),IF(('Quantification_Results'!AA122&lt;'Quantification_Config'!$S$12),"",IF(('Quantification_Results'!AA122&gt;'Quantification_Config'!$T$12),"",'Quantification_Results'!AA122)),"")))</x:f>
      </x:c>
      <x:c r="AC122">
        <x:f>IF(ISNUMBER('Quantification_Results'!AB122),IFERROR(ROUND(((('Quantification_Results'!AB122-'Quantification_Config'!$S$12)/('Quantification_Config'!$T$12-'Quantification_Config'!$S$12))*100),'Quantification_Config'!$U$2),""),"")</x:f>
      </x:c>
      <x:c r="AD122" t="inlineStr">
        <x:is>
          <x:t xml:space="preserve"/>
        </x:is>
      </x:c>
      <x:c r="AE122" t="inlineStr">
        <x:is>
          <x:t xml:space="preserve"/>
        </x:is>
      </x:c>
      <x:c r="AF122" t="inlineStr">
        <x:is>
          <x:t xml:space="preserve"/>
        </x:is>
      </x:c>
      <x:c r="AG122" t="inlineStr">
        <x:is>
          <x:t xml:space="preserve"/>
        </x:is>
      </x:c>
      <x:c r="AH122" t="inlineStr">
        <x:is>
          <x:t xml:space="preserve">EMPTY</x:t>
        </x:is>
      </x:c>
      <x:c r="AI122">
        <x:f>IF((COUNT('Quantification_Results'!AC122)=1),IFERROR(ROUND((SUM(('Quantification_Results'!AC122*'Quantification_Config'!$R$12))/SUM('Quantification_Config'!$R$12)),'Quantification_Config'!$U$2),""),"")</x:f>
      </x:c>
      <x:c r="AJ122">
        <x:f>IF((COUNT('Quantification_Results'!AI122)=1),IFERROR(ROUND((SUM(('Quantification_Results'!AI122*'Quantification_Config'!$R$11))/SUM('Quantification_Config'!$R$11)),'Quantification_Config'!$U$2),""),"")</x:f>
      </x:c>
      <x:c r="AK122" t="n">
        <x:v>1</x:v>
      </x:c>
      <x:c r="AL122" t="n">
        <x:v>5</x:v>
      </x:c>
      <x:c r="AM122"/>
      <x:c r="AN122" t="n">
        <x:f>IF(('Quantification_Results'!AK122&lt;&gt;1),"",IF(('Quantification_Results'!AM122=""),IF(ISNUMBER('Quantification_Results'!AL122),IF(('Quantification_Results'!AL122&lt;'Quantification_Config'!$S$15),"",IF(('Quantification_Results'!AL122&gt;'Quantification_Config'!$T$15),"",'Quantification_Results'!AL122)),""),IF(ISNUMBER('Quantification_Results'!AM122),IF(('Quantification_Results'!AM122&lt;'Quantification_Config'!$S$15),"",IF(('Quantification_Results'!AM122&gt;'Quantification_Config'!$T$15),"",'Quantification_Results'!AM122)),"")))</x:f>
        <x:v>5</x:v>
      </x:c>
      <x:c r="AO122" t="n">
        <x:f>IF(ISNUMBER('Quantification_Results'!AN122),IFERROR(ROUND(((('Quantification_Results'!AN122-'Quantification_Config'!$S$15)/('Quantification_Config'!$T$15-'Quantification_Config'!$S$15))*100),'Quantification_Config'!$U$2),""),"")</x:f>
        <x:v>50</x:v>
      </x:c>
      <x:c r="AP122" t="inlineStr">
        <x:is>
          <x:t xml:space="preserve">SYSTEM-TEST-ONLY-NO-NETWORK-NOT-AN-EDUCATIONAL-EVALUATION</x:t>
        </x:is>
      </x:c>
      <x:c r="AQ122" t="inlineStr">
        <x:is>
          <x:t xml:space="preserve"/>
        </x:is>
      </x:c>
      <x:c r="AR122" t="inlineStr">
        <x:is>
          <x:t xml:space="preserve">NONE</x:t>
        </x:is>
      </x:c>
      <x:c r="AS122" t="inlineStr">
        <x:is>
          <x:t xml:space="preserve"/>
        </x:is>
      </x:c>
      <x:c r="AT122" t="inlineStr">
        <x:is>
          <x:t xml:space="preserve">SUCCESS</x:t>
        </x:is>
      </x:c>
      <x:c r="AU122" t="n">
        <x:f>IF((COUNT('Quantification_Results'!AO122)=1),IFERROR(ROUND((SUM(('Quantification_Results'!AO122*'Quantification_Config'!$R$15))/SUM('Quantification_Config'!$R$15)),'Quantification_Config'!$U$2),""),"")</x:f>
        <x:v>50</x:v>
      </x:c>
      <x:c r="AV122" t="n">
        <x:f>IF((COUNT('Quantification_Results'!AU122)=1),IFERROR(ROUND((SUM(('Quantification_Results'!AU122*'Quantification_Config'!$R$14))/SUM('Quantification_Config'!$R$14)),'Quantification_Config'!$U$2),""),"")</x:f>
        <x:v>50</x:v>
      </x:c>
      <x:c r="AW122" t="n">
        <x:v>1</x:v>
      </x:c>
      <x:c r="AX122" t="n">
        <x:v>5</x:v>
      </x:c>
      <x:c r="AY122"/>
      <x:c r="AZ122" t="n">
        <x:f>IF(('Quantification_Results'!AW122&lt;&gt;1),"",IF(('Quantification_Results'!AY122=""),IF(ISNUMBER('Quantification_Results'!AX122),IF(('Quantification_Results'!AX122&lt;'Quantification_Config'!$S$19),"",IF(('Quantification_Results'!AX122&gt;'Quantification_Config'!$T$19),"",'Quantification_Results'!AX122)),""),IF(ISNUMBER('Quantification_Results'!AY122),IF(('Quantification_Results'!AY122&lt;'Quantification_Config'!$S$19),"",IF(('Quantification_Results'!AY122&gt;'Quantification_Config'!$T$19),"",'Quantification_Results'!AY122)),"")))</x:f>
        <x:v>5</x:v>
      </x:c>
      <x:c r="BA122" t="n">
        <x:f>IF(ISNUMBER('Quantification_Results'!AZ122),IFERROR(ROUND(((('Quantification_Results'!AZ122-'Quantification_Config'!$S$19)/('Quantification_Config'!$T$19-'Quantification_Config'!$S$19))*100),'Quantification_Config'!$U$2),""),"")</x:f>
        <x:v>50</x:v>
      </x:c>
      <x:c r="BB122" t="inlineStr">
        <x:is>
          <x:t xml:space="preserve">SYSTEM-TEST-ONLY-NO-NETWORK-NOT-AN-EDUCATIONAL-EVALUATION</x:t>
        </x:is>
      </x:c>
      <x:c r="BC122" t="inlineStr">
        <x:is>
          <x:t xml:space="preserve"/>
        </x:is>
      </x:c>
      <x:c r="BD122" t="inlineStr">
        <x:is>
          <x:t xml:space="preserve">NONE</x:t>
        </x:is>
      </x:c>
      <x:c r="BE122" t="inlineStr">
        <x:is>
          <x:t xml:space="preserve"/>
        </x:is>
      </x:c>
      <x:c r="BF122" t="inlineStr">
        <x:is>
          <x:t xml:space="preserve">SUCCESS</x:t>
        </x:is>
      </x:c>
      <x:c r="BG122" t="n">
        <x:f>IF((COUNT('Quantification_Results'!BA122)=1),IFERROR(ROUND((SUM(('Quantification_Results'!BA122*'Quantification_Config'!$R$19))/SUM('Quantification_Config'!$R$19)),'Quantification_Config'!$U$2),""),"")</x:f>
        <x:v>50</x:v>
      </x:c>
      <x:c r="BH122" t="n">
        <x:f>IF((COUNT('Quantification_Results'!BG122)=1),IFERROR(ROUND((SUM(('Quantification_Results'!BG122*'Quantification_Config'!$R$18))/SUM('Quantification_Config'!$R$18)),'Quantification_Config'!$U$2),""),"")</x:f>
        <x:v>50</x:v>
      </x:c>
      <x:c r="BI122">
        <x:f>IF((COUNT('Quantification_Results'!L122,'Quantification_Results'!X122,'Quantification_Results'!AJ122,'Quantification_Results'!AV122,'Quantification_Results'!BH122)=5),IFERROR(ROUND((SUM(('Quantification_Results'!L122*'Quantification_Config'!$R$4),('Quantification_Results'!X122*'Quantification_Config'!$R$7),('Quantification_Results'!AJ122*'Quantification_Config'!$R$10),('Quantification_Results'!AV122*'Quantification_Config'!$R$13),('Quantification_Results'!BH122*'Quantification_Config'!$R$16))/SUM('Quantification_Config'!$R$4,'Quantification_Config'!$R$7,'Quantification_Config'!$R$10,'Quantification_Config'!$R$13,'Quantification_Config'!$R$16)),'Quantification_Config'!$U$2),""),"")</x:f>
      </x:c>
    </x:row>
    <x:row r="123">
      <x:c r="A123" t="n">
        <x:v>1</x:v>
      </x:c>
      <x:c r="B123" t="n">
        <x:v>5</x:v>
      </x:c>
      <x:c r="C123"/>
      <x:c r="D123" t="n">
        <x:f>IF(('Quantification_Results'!A123&lt;&gt;1),"",IF(('Quantification_Results'!C123=""),IF(ISNUMBER('Quantification_Results'!B123),IF(('Quantification_Results'!B123&lt;'Quantification_Config'!$S$6),"",IF(('Quantification_Results'!B123&gt;'Quantification_Config'!$T$6),"",'Quantification_Results'!B123)),""),IF(ISNUMBER('Quantification_Results'!C123),IF(('Quantification_Results'!C123&lt;'Quantification_Config'!$S$6),"",IF(('Quantification_Results'!C123&gt;'Quantification_Config'!$T$6),"",'Quantification_Results'!C123)),"")))</x:f>
        <x:v>5</x:v>
      </x:c>
      <x:c r="E123" t="n">
        <x:f>IF(ISNUMBER('Quantification_Results'!D123),IFERROR(ROUND(((('Quantification_Results'!D123-'Quantification_Config'!$S$6)/('Quantification_Config'!$T$6-'Quantification_Config'!$S$6))*100),'Quantification_Config'!$U$2),""),"")</x:f>
        <x:v>50</x:v>
      </x:c>
      <x:c r="F123" t="inlineStr">
        <x:is>
          <x:t xml:space="preserve">SYSTEM-TEST-ONLY-NO-NETWORK-NOT-AN-EDUCATIONAL-EVALUATION</x:t>
        </x:is>
      </x:c>
      <x:c r="G123" t="inlineStr">
        <x:is>
          <x:t xml:space="preserve"/>
        </x:is>
      </x:c>
      <x:c r="H123" t="inlineStr">
        <x:is>
          <x:t xml:space="preserve">NONE</x:t>
        </x:is>
      </x:c>
      <x:c r="I123" t="inlineStr">
        <x:is>
          <x:t xml:space="preserve"/>
        </x:is>
      </x:c>
      <x:c r="J123" t="inlineStr">
        <x:is>
          <x:t xml:space="preserve">SUCCESS</x:t>
        </x:is>
      </x:c>
      <x:c r="K123" t="n">
        <x:f>IF((COUNT('Quantification_Results'!E123)=1),IFERROR(ROUND((SUM(('Quantification_Results'!E123*'Quantification_Config'!$R$6))/SUM('Quantification_Config'!$R$6)),'Quantification_Config'!$U$2),""),"")</x:f>
        <x:v>50</x:v>
      </x:c>
      <x:c r="L123" t="n">
        <x:f>IF((COUNT('Quantification_Results'!K123)=1),IFERROR(ROUND((SUM(('Quantification_Results'!K123*'Quantification_Config'!$R$5))/SUM('Quantification_Config'!$R$5)),'Quantification_Config'!$U$2),""),"")</x:f>
        <x:v>50</x:v>
      </x:c>
      <x:c r="M123" t="n">
        <x:v>1</x:v>
      </x:c>
      <x:c r="N123" t="n">
        <x:v>5</x:v>
      </x:c>
      <x:c r="O123"/>
      <x:c r="P123" t="n">
        <x:f>IF(('Quantification_Results'!M123&lt;&gt;1),"",IF(('Quantification_Results'!O123=""),IF(ISNUMBER('Quantification_Results'!N123),IF(('Quantification_Results'!N123&lt;'Quantification_Config'!$S$9),"",IF(('Quantification_Results'!N123&gt;'Quantification_Config'!$T$9),"",'Quantification_Results'!N123)),""),IF(ISNUMBER('Quantification_Results'!O123),IF(('Quantification_Results'!O123&lt;'Quantification_Config'!$S$9),"",IF(('Quantification_Results'!O123&gt;'Quantification_Config'!$T$9),"",'Quantification_Results'!O123)),"")))</x:f>
        <x:v>5</x:v>
      </x:c>
      <x:c r="Q123" t="n">
        <x:f>IF(ISNUMBER('Quantification_Results'!P123),IFERROR(ROUND(((('Quantification_Results'!P123-'Quantification_Config'!$S$9)/('Quantification_Config'!$T$9-'Quantification_Config'!$S$9))*100),'Quantification_Config'!$U$2),""),"")</x:f>
        <x:v>50</x:v>
      </x:c>
      <x:c r="R123" t="inlineStr">
        <x:is>
          <x:t xml:space="preserve">SYSTEM-TEST-ONLY-NO-NETWORK-NOT-AN-EDUCATIONAL-EVALUATION</x:t>
        </x:is>
      </x:c>
      <x:c r="S123" t="inlineStr">
        <x:is>
          <x:t xml:space="preserve"/>
        </x:is>
      </x:c>
      <x:c r="T123" t="inlineStr">
        <x:is>
          <x:t xml:space="preserve">NONE</x:t>
        </x:is>
      </x:c>
      <x:c r="U123" t="inlineStr">
        <x:is>
          <x:t xml:space="preserve"/>
        </x:is>
      </x:c>
      <x:c r="V123" t="inlineStr">
        <x:is>
          <x:t xml:space="preserve">SUCCESS</x:t>
        </x:is>
      </x:c>
      <x:c r="W123" t="n">
        <x:f>IF((COUNT('Quantification_Results'!Q123)=1),IFERROR(ROUND((SUM(('Quantification_Results'!Q123*'Quantification_Config'!$R$9))/SUM('Quantification_Config'!$R$9)),'Quantification_Config'!$U$2),""),"")</x:f>
        <x:v>50</x:v>
      </x:c>
      <x:c r="X123" t="n">
        <x:f>IF((COUNT('Quantification_Results'!W123)=1),IFERROR(ROUND((SUM(('Quantification_Results'!W123*'Quantification_Config'!$R$8))/SUM('Quantification_Config'!$R$8)),'Quantification_Config'!$U$2),""),"")</x:f>
        <x:v>50</x:v>
      </x:c>
      <x:c r="Y123" t="n">
        <x:v>0</x:v>
      </x:c>
      <x:c r="Z123"/>
      <x:c r="AA123"/>
      <x:c r="AB123">
        <x:f>IF(('Quantification_Results'!Y123&lt;&gt;1),"",IF(('Quantification_Results'!AA123=""),IF(ISNUMBER('Quantification_Results'!Z123),IF(('Quantification_Results'!Z123&lt;'Quantification_Config'!$S$12),"",IF(('Quantification_Results'!Z123&gt;'Quantification_Config'!$T$12),"",'Quantification_Results'!Z123)),""),IF(ISNUMBER('Quantification_Results'!AA123),IF(('Quantification_Results'!AA123&lt;'Quantification_Config'!$S$12),"",IF(('Quantification_Results'!AA123&gt;'Quantification_Config'!$T$12),"",'Quantification_Results'!AA123)),"")))</x:f>
      </x:c>
      <x:c r="AC123">
        <x:f>IF(ISNUMBER('Quantification_Results'!AB123),IFERROR(ROUND(((('Quantification_Results'!AB123-'Quantification_Config'!$S$12)/('Quantification_Config'!$T$12-'Quantification_Config'!$S$12))*100),'Quantification_Config'!$U$2),""),"")</x:f>
      </x:c>
      <x:c r="AD123" t="inlineStr">
        <x:is>
          <x:t xml:space="preserve"/>
        </x:is>
      </x:c>
      <x:c r="AE123" t="inlineStr">
        <x:is>
          <x:t xml:space="preserve"/>
        </x:is>
      </x:c>
      <x:c r="AF123" t="inlineStr">
        <x:is>
          <x:t xml:space="preserve"/>
        </x:is>
      </x:c>
      <x:c r="AG123" t="inlineStr">
        <x:is>
          <x:t xml:space="preserve"/>
        </x:is>
      </x:c>
      <x:c r="AH123" t="inlineStr">
        <x:is>
          <x:t xml:space="preserve">EMPTY</x:t>
        </x:is>
      </x:c>
      <x:c r="AI123">
        <x:f>IF((COUNT('Quantification_Results'!AC123)=1),IFERROR(ROUND((SUM(('Quantification_Results'!AC123*'Quantification_Config'!$R$12))/SUM('Quantification_Config'!$R$12)),'Quantification_Config'!$U$2),""),"")</x:f>
      </x:c>
      <x:c r="AJ123">
        <x:f>IF((COUNT('Quantification_Results'!AI123)=1),IFERROR(ROUND((SUM(('Quantification_Results'!AI123*'Quantification_Config'!$R$11))/SUM('Quantification_Config'!$R$11)),'Quantification_Config'!$U$2),""),"")</x:f>
      </x:c>
      <x:c r="AK123" t="n">
        <x:v>1</x:v>
      </x:c>
      <x:c r="AL123" t="n">
        <x:v>5</x:v>
      </x:c>
      <x:c r="AM123"/>
      <x:c r="AN123" t="n">
        <x:f>IF(('Quantification_Results'!AK123&lt;&gt;1),"",IF(('Quantification_Results'!AM123=""),IF(ISNUMBER('Quantification_Results'!AL123),IF(('Quantification_Results'!AL123&lt;'Quantification_Config'!$S$15),"",IF(('Quantification_Results'!AL123&gt;'Quantification_Config'!$T$15),"",'Quantification_Results'!AL123)),""),IF(ISNUMBER('Quantification_Results'!AM123),IF(('Quantification_Results'!AM123&lt;'Quantification_Config'!$S$15),"",IF(('Quantification_Results'!AM123&gt;'Quantification_Config'!$T$15),"",'Quantification_Results'!AM123)),"")))</x:f>
        <x:v>5</x:v>
      </x:c>
      <x:c r="AO123" t="n">
        <x:f>IF(ISNUMBER('Quantification_Results'!AN123),IFERROR(ROUND(((('Quantification_Results'!AN123-'Quantification_Config'!$S$15)/('Quantification_Config'!$T$15-'Quantification_Config'!$S$15))*100),'Quantification_Config'!$U$2),""),"")</x:f>
        <x:v>50</x:v>
      </x:c>
      <x:c r="AP123" t="inlineStr">
        <x:is>
          <x:t xml:space="preserve">SYSTEM-TEST-ONLY-NO-NETWORK-NOT-AN-EDUCATIONAL-EVALUATION</x:t>
        </x:is>
      </x:c>
      <x:c r="AQ123" t="inlineStr">
        <x:is>
          <x:t xml:space="preserve"/>
        </x:is>
      </x:c>
      <x:c r="AR123" t="inlineStr">
        <x:is>
          <x:t xml:space="preserve">NONE</x:t>
        </x:is>
      </x:c>
      <x:c r="AS123" t="inlineStr">
        <x:is>
          <x:t xml:space="preserve"/>
        </x:is>
      </x:c>
      <x:c r="AT123" t="inlineStr">
        <x:is>
          <x:t xml:space="preserve">SUCCESS</x:t>
        </x:is>
      </x:c>
      <x:c r="AU123" t="n">
        <x:f>IF((COUNT('Quantification_Results'!AO123)=1),IFERROR(ROUND((SUM(('Quantification_Results'!AO123*'Quantification_Config'!$R$15))/SUM('Quantification_Config'!$R$15)),'Quantification_Config'!$U$2),""),"")</x:f>
        <x:v>50</x:v>
      </x:c>
      <x:c r="AV123" t="n">
        <x:f>IF((COUNT('Quantification_Results'!AU123)=1),IFERROR(ROUND((SUM(('Quantification_Results'!AU123*'Quantification_Config'!$R$14))/SUM('Quantification_Config'!$R$14)),'Quantification_Config'!$U$2),""),"")</x:f>
        <x:v>50</x:v>
      </x:c>
      <x:c r="AW123" t="n">
        <x:v>1</x:v>
      </x:c>
      <x:c r="AX123" t="n">
        <x:v>5</x:v>
      </x:c>
      <x:c r="AY123"/>
      <x:c r="AZ123" t="n">
        <x:f>IF(('Quantification_Results'!AW123&lt;&gt;1),"",IF(('Quantification_Results'!AY123=""),IF(ISNUMBER('Quantification_Results'!AX123),IF(('Quantification_Results'!AX123&lt;'Quantification_Config'!$S$19),"",IF(('Quantification_Results'!AX123&gt;'Quantification_Config'!$T$19),"",'Quantification_Results'!AX123)),""),IF(ISNUMBER('Quantification_Results'!AY123),IF(('Quantification_Results'!AY123&lt;'Quantification_Config'!$S$19),"",IF(('Quantification_Results'!AY123&gt;'Quantification_Config'!$T$19),"",'Quantification_Results'!AY123)),"")))</x:f>
        <x:v>5</x:v>
      </x:c>
      <x:c r="BA123" t="n">
        <x:f>IF(ISNUMBER('Quantification_Results'!AZ123),IFERROR(ROUND(((('Quantification_Results'!AZ123-'Quantification_Config'!$S$19)/('Quantification_Config'!$T$19-'Quantification_Config'!$S$19))*100),'Quantification_Config'!$U$2),""),"")</x:f>
        <x:v>50</x:v>
      </x:c>
      <x:c r="BB123" t="inlineStr">
        <x:is>
          <x:t xml:space="preserve">SYSTEM-TEST-ONLY-NO-NETWORK-NOT-AN-EDUCATIONAL-EVALUATION</x:t>
        </x:is>
      </x:c>
      <x:c r="BC123" t="inlineStr">
        <x:is>
          <x:t xml:space="preserve"/>
        </x:is>
      </x:c>
      <x:c r="BD123" t="inlineStr">
        <x:is>
          <x:t xml:space="preserve">NONE</x:t>
        </x:is>
      </x:c>
      <x:c r="BE123" t="inlineStr">
        <x:is>
          <x:t xml:space="preserve"/>
        </x:is>
      </x:c>
      <x:c r="BF123" t="inlineStr">
        <x:is>
          <x:t xml:space="preserve">SUCCESS</x:t>
        </x:is>
      </x:c>
      <x:c r="BG123" t="n">
        <x:f>IF((COUNT('Quantification_Results'!BA123)=1),IFERROR(ROUND((SUM(('Quantification_Results'!BA123*'Quantification_Config'!$R$19))/SUM('Quantification_Config'!$R$19)),'Quantification_Config'!$U$2),""),"")</x:f>
        <x:v>50</x:v>
      </x:c>
      <x:c r="BH123" t="n">
        <x:f>IF((COUNT('Quantification_Results'!BG123)=1),IFERROR(ROUND((SUM(('Quantification_Results'!BG123*'Quantification_Config'!$R$18))/SUM('Quantification_Config'!$R$18)),'Quantification_Config'!$U$2),""),"")</x:f>
        <x:v>50</x:v>
      </x:c>
      <x:c r="BI123">
        <x:f>IF((COUNT('Quantification_Results'!L123,'Quantification_Results'!X123,'Quantification_Results'!AJ123,'Quantification_Results'!AV123,'Quantification_Results'!BH123)=5),IFERROR(ROUND((SUM(('Quantification_Results'!L123*'Quantification_Config'!$R$4),('Quantification_Results'!X123*'Quantification_Config'!$R$7),('Quantification_Results'!AJ123*'Quantification_Config'!$R$10),('Quantification_Results'!AV123*'Quantification_Config'!$R$13),('Quantification_Results'!BH123*'Quantification_Config'!$R$16))/SUM('Quantification_Config'!$R$4,'Quantification_Config'!$R$7,'Quantification_Config'!$R$10,'Quantification_Config'!$R$13,'Quantification_Config'!$R$16)),'Quantification_Config'!$U$2),""),"")</x:f>
      </x:c>
    </x:row>
    <x:row r="124">
      <x:c r="A124" t="n">
        <x:v>1</x:v>
      </x:c>
      <x:c r="B124" t="n">
        <x:v>5</x:v>
      </x:c>
      <x:c r="C124"/>
      <x:c r="D124" t="n">
        <x:f>IF(('Quantification_Results'!A124&lt;&gt;1),"",IF(('Quantification_Results'!C124=""),IF(ISNUMBER('Quantification_Results'!B124),IF(('Quantification_Results'!B124&lt;'Quantification_Config'!$S$6),"",IF(('Quantification_Results'!B124&gt;'Quantification_Config'!$T$6),"",'Quantification_Results'!B124)),""),IF(ISNUMBER('Quantification_Results'!C124),IF(('Quantification_Results'!C124&lt;'Quantification_Config'!$S$6),"",IF(('Quantification_Results'!C124&gt;'Quantification_Config'!$T$6),"",'Quantification_Results'!C124)),"")))</x:f>
        <x:v>5</x:v>
      </x:c>
      <x:c r="E124" t="n">
        <x:f>IF(ISNUMBER('Quantification_Results'!D124),IFERROR(ROUND(((('Quantification_Results'!D124-'Quantification_Config'!$S$6)/('Quantification_Config'!$T$6-'Quantification_Config'!$S$6))*100),'Quantification_Config'!$U$2),""),"")</x:f>
        <x:v>50</x:v>
      </x:c>
      <x:c r="F124" t="inlineStr">
        <x:is>
          <x:t xml:space="preserve">SYSTEM-TEST-ONLY-NO-NETWORK-NOT-AN-EDUCATIONAL-EVALUATION</x:t>
        </x:is>
      </x:c>
      <x:c r="G124" t="inlineStr">
        <x:is>
          <x:t xml:space="preserve"/>
        </x:is>
      </x:c>
      <x:c r="H124" t="inlineStr">
        <x:is>
          <x:t xml:space="preserve">NONE</x:t>
        </x:is>
      </x:c>
      <x:c r="I124" t="inlineStr">
        <x:is>
          <x:t xml:space="preserve"/>
        </x:is>
      </x:c>
      <x:c r="J124" t="inlineStr">
        <x:is>
          <x:t xml:space="preserve">SUCCESS</x:t>
        </x:is>
      </x:c>
      <x:c r="K124" t="n">
        <x:f>IF((COUNT('Quantification_Results'!E124)=1),IFERROR(ROUND((SUM(('Quantification_Results'!E124*'Quantification_Config'!$R$6))/SUM('Quantification_Config'!$R$6)),'Quantification_Config'!$U$2),""),"")</x:f>
        <x:v>50</x:v>
      </x:c>
      <x:c r="L124" t="n">
        <x:f>IF((COUNT('Quantification_Results'!K124)=1),IFERROR(ROUND((SUM(('Quantification_Results'!K124*'Quantification_Config'!$R$5))/SUM('Quantification_Config'!$R$5)),'Quantification_Config'!$U$2),""),"")</x:f>
        <x:v>50</x:v>
      </x:c>
      <x:c r="M124" t="n">
        <x:v>1</x:v>
      </x:c>
      <x:c r="N124" t="n">
        <x:v>5</x:v>
      </x:c>
      <x:c r="O124"/>
      <x:c r="P124" t="n">
        <x:f>IF(('Quantification_Results'!M124&lt;&gt;1),"",IF(('Quantification_Results'!O124=""),IF(ISNUMBER('Quantification_Results'!N124),IF(('Quantification_Results'!N124&lt;'Quantification_Config'!$S$9),"",IF(('Quantification_Results'!N124&gt;'Quantification_Config'!$T$9),"",'Quantification_Results'!N124)),""),IF(ISNUMBER('Quantification_Results'!O124),IF(('Quantification_Results'!O124&lt;'Quantification_Config'!$S$9),"",IF(('Quantification_Results'!O124&gt;'Quantification_Config'!$T$9),"",'Quantification_Results'!O124)),"")))</x:f>
        <x:v>5</x:v>
      </x:c>
      <x:c r="Q124" t="n">
        <x:f>IF(ISNUMBER('Quantification_Results'!P124),IFERROR(ROUND(((('Quantification_Results'!P124-'Quantification_Config'!$S$9)/('Quantification_Config'!$T$9-'Quantification_Config'!$S$9))*100),'Quantification_Config'!$U$2),""),"")</x:f>
        <x:v>50</x:v>
      </x:c>
      <x:c r="R124" t="inlineStr">
        <x:is>
          <x:t xml:space="preserve">SYSTEM-TEST-ONLY-NO-NETWORK-NOT-AN-EDUCATIONAL-EVALUATION</x:t>
        </x:is>
      </x:c>
      <x:c r="S124" t="inlineStr">
        <x:is>
          <x:t xml:space="preserve"/>
        </x:is>
      </x:c>
      <x:c r="T124" t="inlineStr">
        <x:is>
          <x:t xml:space="preserve">NONE</x:t>
        </x:is>
      </x:c>
      <x:c r="U124" t="inlineStr">
        <x:is>
          <x:t xml:space="preserve"/>
        </x:is>
      </x:c>
      <x:c r="V124" t="inlineStr">
        <x:is>
          <x:t xml:space="preserve">SUCCESS</x:t>
        </x:is>
      </x:c>
      <x:c r="W124" t="n">
        <x:f>IF((COUNT('Quantification_Results'!Q124)=1),IFERROR(ROUND((SUM(('Quantification_Results'!Q124*'Quantification_Config'!$R$9))/SUM('Quantification_Config'!$R$9)),'Quantification_Config'!$U$2),""),"")</x:f>
        <x:v>50</x:v>
      </x:c>
      <x:c r="X124" t="n">
        <x:f>IF((COUNT('Quantification_Results'!W124)=1),IFERROR(ROUND((SUM(('Quantification_Results'!W124*'Quantification_Config'!$R$8))/SUM('Quantification_Config'!$R$8)),'Quantification_Config'!$U$2),""),"")</x:f>
        <x:v>50</x:v>
      </x:c>
      <x:c r="Y124" t="n">
        <x:v>0</x:v>
      </x:c>
      <x:c r="Z124"/>
      <x:c r="AA124"/>
      <x:c r="AB124">
        <x:f>IF(('Quantification_Results'!Y124&lt;&gt;1),"",IF(('Quantification_Results'!AA124=""),IF(ISNUMBER('Quantification_Results'!Z124),IF(('Quantification_Results'!Z124&lt;'Quantification_Config'!$S$12),"",IF(('Quantification_Results'!Z124&gt;'Quantification_Config'!$T$12),"",'Quantification_Results'!Z124)),""),IF(ISNUMBER('Quantification_Results'!AA124),IF(('Quantification_Results'!AA124&lt;'Quantification_Config'!$S$12),"",IF(('Quantification_Results'!AA124&gt;'Quantification_Config'!$T$12),"",'Quantification_Results'!AA124)),"")))</x:f>
      </x:c>
      <x:c r="AC124">
        <x:f>IF(ISNUMBER('Quantification_Results'!AB124),IFERROR(ROUND(((('Quantification_Results'!AB124-'Quantification_Config'!$S$12)/('Quantification_Config'!$T$12-'Quantification_Config'!$S$12))*100),'Quantification_Config'!$U$2),""),"")</x:f>
      </x:c>
      <x:c r="AD124" t="inlineStr">
        <x:is>
          <x:t xml:space="preserve"/>
        </x:is>
      </x:c>
      <x:c r="AE124" t="inlineStr">
        <x:is>
          <x:t xml:space="preserve"/>
        </x:is>
      </x:c>
      <x:c r="AF124" t="inlineStr">
        <x:is>
          <x:t xml:space="preserve"/>
        </x:is>
      </x:c>
      <x:c r="AG124" t="inlineStr">
        <x:is>
          <x:t xml:space="preserve"/>
        </x:is>
      </x:c>
      <x:c r="AH124" t="inlineStr">
        <x:is>
          <x:t xml:space="preserve">EMPTY</x:t>
        </x:is>
      </x:c>
      <x:c r="AI124">
        <x:f>IF((COUNT('Quantification_Results'!AC124)=1),IFERROR(ROUND((SUM(('Quantification_Results'!AC124*'Quantification_Config'!$R$12))/SUM('Quantification_Config'!$R$12)),'Quantification_Config'!$U$2),""),"")</x:f>
      </x:c>
      <x:c r="AJ124">
        <x:f>IF((COUNT('Quantification_Results'!AI124)=1),IFERROR(ROUND((SUM(('Quantification_Results'!AI124*'Quantification_Config'!$R$11))/SUM('Quantification_Config'!$R$11)),'Quantification_Config'!$U$2),""),"")</x:f>
      </x:c>
      <x:c r="AK124" t="n">
        <x:v>1</x:v>
      </x:c>
      <x:c r="AL124" t="n">
        <x:v>5</x:v>
      </x:c>
      <x:c r="AM124"/>
      <x:c r="AN124" t="n">
        <x:f>IF(('Quantification_Results'!AK124&lt;&gt;1),"",IF(('Quantification_Results'!AM124=""),IF(ISNUMBER('Quantification_Results'!AL124),IF(('Quantification_Results'!AL124&lt;'Quantification_Config'!$S$15),"",IF(('Quantification_Results'!AL124&gt;'Quantification_Config'!$T$15),"",'Quantification_Results'!AL124)),""),IF(ISNUMBER('Quantification_Results'!AM124),IF(('Quantification_Results'!AM124&lt;'Quantification_Config'!$S$15),"",IF(('Quantification_Results'!AM124&gt;'Quantification_Config'!$T$15),"",'Quantification_Results'!AM124)),"")))</x:f>
        <x:v>5</x:v>
      </x:c>
      <x:c r="AO124" t="n">
        <x:f>IF(ISNUMBER('Quantification_Results'!AN124),IFERROR(ROUND(((('Quantification_Results'!AN124-'Quantification_Config'!$S$15)/('Quantification_Config'!$T$15-'Quantification_Config'!$S$15))*100),'Quantification_Config'!$U$2),""),"")</x:f>
        <x:v>50</x:v>
      </x:c>
      <x:c r="AP124" t="inlineStr">
        <x:is>
          <x:t xml:space="preserve">SYSTEM-TEST-ONLY-NO-NETWORK-NOT-AN-EDUCATIONAL-EVALUATION</x:t>
        </x:is>
      </x:c>
      <x:c r="AQ124" t="inlineStr">
        <x:is>
          <x:t xml:space="preserve"/>
        </x:is>
      </x:c>
      <x:c r="AR124" t="inlineStr">
        <x:is>
          <x:t xml:space="preserve">NONE</x:t>
        </x:is>
      </x:c>
      <x:c r="AS124" t="inlineStr">
        <x:is>
          <x:t xml:space="preserve"/>
        </x:is>
      </x:c>
      <x:c r="AT124" t="inlineStr">
        <x:is>
          <x:t xml:space="preserve">SUCCESS</x:t>
        </x:is>
      </x:c>
      <x:c r="AU124" t="n">
        <x:f>IF((COUNT('Quantification_Results'!AO124)=1),IFERROR(ROUND((SUM(('Quantification_Results'!AO124*'Quantification_Config'!$R$15))/SUM('Quantification_Config'!$R$15)),'Quantification_Config'!$U$2),""),"")</x:f>
        <x:v>50</x:v>
      </x:c>
      <x:c r="AV124" t="n">
        <x:f>IF((COUNT('Quantification_Results'!AU124)=1),IFERROR(ROUND((SUM(('Quantification_Results'!AU124*'Quantification_Config'!$R$14))/SUM('Quantification_Config'!$R$14)),'Quantification_Config'!$U$2),""),"")</x:f>
        <x:v>50</x:v>
      </x:c>
      <x:c r="AW124" t="n">
        <x:v>1</x:v>
      </x:c>
      <x:c r="AX124" t="n">
        <x:v>5</x:v>
      </x:c>
      <x:c r="AY124"/>
      <x:c r="AZ124" t="n">
        <x:f>IF(('Quantification_Results'!AW124&lt;&gt;1),"",IF(('Quantification_Results'!AY124=""),IF(ISNUMBER('Quantification_Results'!AX124),IF(('Quantification_Results'!AX124&lt;'Quantification_Config'!$S$19),"",IF(('Quantification_Results'!AX124&gt;'Quantification_Config'!$T$19),"",'Quantification_Results'!AX124)),""),IF(ISNUMBER('Quantification_Results'!AY124),IF(('Quantification_Results'!AY124&lt;'Quantification_Config'!$S$19),"",IF(('Quantification_Results'!AY124&gt;'Quantification_Config'!$T$19),"",'Quantification_Results'!AY124)),"")))</x:f>
        <x:v>5</x:v>
      </x:c>
      <x:c r="BA124" t="n">
        <x:f>IF(ISNUMBER('Quantification_Results'!AZ124),IFERROR(ROUND(((('Quantification_Results'!AZ124-'Quantification_Config'!$S$19)/('Quantification_Config'!$T$19-'Quantification_Config'!$S$19))*100),'Quantification_Config'!$U$2),""),"")</x:f>
        <x:v>50</x:v>
      </x:c>
      <x:c r="BB124" t="inlineStr">
        <x:is>
          <x:t xml:space="preserve">SYSTEM-TEST-ONLY-NO-NETWORK-NOT-AN-EDUCATIONAL-EVALUATION</x:t>
        </x:is>
      </x:c>
      <x:c r="BC124" t="inlineStr">
        <x:is>
          <x:t xml:space="preserve"/>
        </x:is>
      </x:c>
      <x:c r="BD124" t="inlineStr">
        <x:is>
          <x:t xml:space="preserve">NONE</x:t>
        </x:is>
      </x:c>
      <x:c r="BE124" t="inlineStr">
        <x:is>
          <x:t xml:space="preserve"/>
        </x:is>
      </x:c>
      <x:c r="BF124" t="inlineStr">
        <x:is>
          <x:t xml:space="preserve">SUCCESS</x:t>
        </x:is>
      </x:c>
      <x:c r="BG124" t="n">
        <x:f>IF((COUNT('Quantification_Results'!BA124)=1),IFERROR(ROUND((SUM(('Quantification_Results'!BA124*'Quantification_Config'!$R$19))/SUM('Quantification_Config'!$R$19)),'Quantification_Config'!$U$2),""),"")</x:f>
        <x:v>50</x:v>
      </x:c>
      <x:c r="BH124" t="n">
        <x:f>IF((COUNT('Quantification_Results'!BG124)=1),IFERROR(ROUND((SUM(('Quantification_Results'!BG124*'Quantification_Config'!$R$18))/SUM('Quantification_Config'!$R$18)),'Quantification_Config'!$U$2),""),"")</x:f>
        <x:v>50</x:v>
      </x:c>
      <x:c r="BI124">
        <x:f>IF((COUNT('Quantification_Results'!L124,'Quantification_Results'!X124,'Quantification_Results'!AJ124,'Quantification_Results'!AV124,'Quantification_Results'!BH124)=5),IFERROR(ROUND((SUM(('Quantification_Results'!L124*'Quantification_Config'!$R$4),('Quantification_Results'!X124*'Quantification_Config'!$R$7),('Quantification_Results'!AJ124*'Quantification_Config'!$R$10),('Quantification_Results'!AV124*'Quantification_Config'!$R$13),('Quantification_Results'!BH124*'Quantification_Config'!$R$16))/SUM('Quantification_Config'!$R$4,'Quantification_Config'!$R$7,'Quantification_Config'!$R$10,'Quantification_Config'!$R$13,'Quantification_Config'!$R$16)),'Quantification_Config'!$U$2),""),"")</x:f>
      </x:c>
    </x:row>
    <x:row r="125">
      <x:c r="A125" t="n">
        <x:v>1</x:v>
      </x:c>
      <x:c r="B125" t="n">
        <x:v>5</x:v>
      </x:c>
      <x:c r="C125"/>
      <x:c r="D125" t="n">
        <x:f>IF(('Quantification_Results'!A125&lt;&gt;1),"",IF(('Quantification_Results'!C125=""),IF(ISNUMBER('Quantification_Results'!B125),IF(('Quantification_Results'!B125&lt;'Quantification_Config'!$S$6),"",IF(('Quantification_Results'!B125&gt;'Quantification_Config'!$T$6),"",'Quantification_Results'!B125)),""),IF(ISNUMBER('Quantification_Results'!C125),IF(('Quantification_Results'!C125&lt;'Quantification_Config'!$S$6),"",IF(('Quantification_Results'!C125&gt;'Quantification_Config'!$T$6),"",'Quantification_Results'!C125)),"")))</x:f>
        <x:v>5</x:v>
      </x:c>
      <x:c r="E125" t="n">
        <x:f>IF(ISNUMBER('Quantification_Results'!D125),IFERROR(ROUND(((('Quantification_Results'!D125-'Quantification_Config'!$S$6)/('Quantification_Config'!$T$6-'Quantification_Config'!$S$6))*100),'Quantification_Config'!$U$2),""),"")</x:f>
        <x:v>50</x:v>
      </x:c>
      <x:c r="F125" t="inlineStr">
        <x:is>
          <x:t xml:space="preserve">SYSTEM-TEST-ONLY-NO-NETWORK-NOT-AN-EDUCATIONAL-EVALUATION</x:t>
        </x:is>
      </x:c>
      <x:c r="G125" t="inlineStr">
        <x:is>
          <x:t xml:space="preserve"/>
        </x:is>
      </x:c>
      <x:c r="H125" t="inlineStr">
        <x:is>
          <x:t xml:space="preserve">NONE</x:t>
        </x:is>
      </x:c>
      <x:c r="I125" t="inlineStr">
        <x:is>
          <x:t xml:space="preserve"/>
        </x:is>
      </x:c>
      <x:c r="J125" t="inlineStr">
        <x:is>
          <x:t xml:space="preserve">SUCCESS</x:t>
        </x:is>
      </x:c>
      <x:c r="K125" t="n">
        <x:f>IF((COUNT('Quantification_Results'!E125)=1),IFERROR(ROUND((SUM(('Quantification_Results'!E125*'Quantification_Config'!$R$6))/SUM('Quantification_Config'!$R$6)),'Quantification_Config'!$U$2),""),"")</x:f>
        <x:v>50</x:v>
      </x:c>
      <x:c r="L125" t="n">
        <x:f>IF((COUNT('Quantification_Results'!K125)=1),IFERROR(ROUND((SUM(('Quantification_Results'!K125*'Quantification_Config'!$R$5))/SUM('Quantification_Config'!$R$5)),'Quantification_Config'!$U$2),""),"")</x:f>
        <x:v>50</x:v>
      </x:c>
      <x:c r="M125" t="n">
        <x:v>1</x:v>
      </x:c>
      <x:c r="N125" t="n">
        <x:v>5</x:v>
      </x:c>
      <x:c r="O125"/>
      <x:c r="P125" t="n">
        <x:f>IF(('Quantification_Results'!M125&lt;&gt;1),"",IF(('Quantification_Results'!O125=""),IF(ISNUMBER('Quantification_Results'!N125),IF(('Quantification_Results'!N125&lt;'Quantification_Config'!$S$9),"",IF(('Quantification_Results'!N125&gt;'Quantification_Config'!$T$9),"",'Quantification_Results'!N125)),""),IF(ISNUMBER('Quantification_Results'!O125),IF(('Quantification_Results'!O125&lt;'Quantification_Config'!$S$9),"",IF(('Quantification_Results'!O125&gt;'Quantification_Config'!$T$9),"",'Quantification_Results'!O125)),"")))</x:f>
        <x:v>5</x:v>
      </x:c>
      <x:c r="Q125" t="n">
        <x:f>IF(ISNUMBER('Quantification_Results'!P125),IFERROR(ROUND(((('Quantification_Results'!P125-'Quantification_Config'!$S$9)/('Quantification_Config'!$T$9-'Quantification_Config'!$S$9))*100),'Quantification_Config'!$U$2),""),"")</x:f>
        <x:v>50</x:v>
      </x:c>
      <x:c r="R125" t="inlineStr">
        <x:is>
          <x:t xml:space="preserve">SYSTEM-TEST-ONLY-NO-NETWORK-NOT-AN-EDUCATIONAL-EVALUATION</x:t>
        </x:is>
      </x:c>
      <x:c r="S125" t="inlineStr">
        <x:is>
          <x:t xml:space="preserve"/>
        </x:is>
      </x:c>
      <x:c r="T125" t="inlineStr">
        <x:is>
          <x:t xml:space="preserve">NONE</x:t>
        </x:is>
      </x:c>
      <x:c r="U125" t="inlineStr">
        <x:is>
          <x:t xml:space="preserve"/>
        </x:is>
      </x:c>
      <x:c r="V125" t="inlineStr">
        <x:is>
          <x:t xml:space="preserve">SUCCESS</x:t>
        </x:is>
      </x:c>
      <x:c r="W125" t="n">
        <x:f>IF((COUNT('Quantification_Results'!Q125)=1),IFERROR(ROUND((SUM(('Quantification_Results'!Q125*'Quantification_Config'!$R$9))/SUM('Quantification_Config'!$R$9)),'Quantification_Config'!$U$2),""),"")</x:f>
        <x:v>50</x:v>
      </x:c>
      <x:c r="X125" t="n">
        <x:f>IF((COUNT('Quantification_Results'!W125)=1),IFERROR(ROUND((SUM(('Quantification_Results'!W125*'Quantification_Config'!$R$8))/SUM('Quantification_Config'!$R$8)),'Quantification_Config'!$U$2),""),"")</x:f>
        <x:v>50</x:v>
      </x:c>
      <x:c r="Y125" t="n">
        <x:v>1</x:v>
      </x:c>
      <x:c r="Z125" t="n">
        <x:v>5</x:v>
      </x:c>
      <x:c r="AA125"/>
      <x:c r="AB125" t="n">
        <x:f>IF(('Quantification_Results'!Y125&lt;&gt;1),"",IF(('Quantification_Results'!AA125=""),IF(ISNUMBER('Quantification_Results'!Z125),IF(('Quantification_Results'!Z125&lt;'Quantification_Config'!$S$12),"",IF(('Quantification_Results'!Z125&gt;'Quantification_Config'!$T$12),"",'Quantification_Results'!Z125)),""),IF(ISNUMBER('Quantification_Results'!AA125),IF(('Quantification_Results'!AA125&lt;'Quantification_Config'!$S$12),"",IF(('Quantification_Results'!AA125&gt;'Quantification_Config'!$T$12),"",'Quantification_Results'!AA125)),"")))</x:f>
        <x:v>5</x:v>
      </x:c>
      <x:c r="AC125" t="n">
        <x:f>IF(ISNUMBER('Quantification_Results'!AB125),IFERROR(ROUND(((('Quantification_Results'!AB125-'Quantification_Config'!$S$12)/('Quantification_Config'!$T$12-'Quantification_Config'!$S$12))*100),'Quantification_Config'!$U$2),""),"")</x:f>
        <x:v>50</x:v>
      </x:c>
      <x:c r="AD125" t="inlineStr">
        <x:is>
          <x:t xml:space="preserve">SYSTEM-TEST-ONLY-NO-NETWORK-NOT-AN-EDUCATIONAL-EVALUATION</x:t>
        </x:is>
      </x:c>
      <x:c r="AE125" t="inlineStr">
        <x:is>
          <x:t xml:space="preserve"/>
        </x:is>
      </x:c>
      <x:c r="AF125" t="inlineStr">
        <x:is>
          <x:t xml:space="preserve">NONE</x:t>
        </x:is>
      </x:c>
      <x:c r="AG125" t="inlineStr">
        <x:is>
          <x:t xml:space="preserve"/>
        </x:is>
      </x:c>
      <x:c r="AH125" t="inlineStr">
        <x:is>
          <x:t xml:space="preserve">SUCCESS</x:t>
        </x:is>
      </x:c>
      <x:c r="AI125" t="n">
        <x:f>IF((COUNT('Quantification_Results'!AC125)=1),IFERROR(ROUND((SUM(('Quantification_Results'!AC125*'Quantification_Config'!$R$12))/SUM('Quantification_Config'!$R$12)),'Quantification_Config'!$U$2),""),"")</x:f>
        <x:v>50</x:v>
      </x:c>
      <x:c r="AJ125" t="n">
        <x:f>IF((COUNT('Quantification_Results'!AI125)=1),IFERROR(ROUND((SUM(('Quantification_Results'!AI125*'Quantification_Config'!$R$11))/SUM('Quantification_Config'!$R$11)),'Quantification_Config'!$U$2),""),"")</x:f>
        <x:v>50</x:v>
      </x:c>
      <x:c r="AK125" t="n">
        <x:v>1</x:v>
      </x:c>
      <x:c r="AL125" t="n">
        <x:v>5</x:v>
      </x:c>
      <x:c r="AM125"/>
      <x:c r="AN125" t="n">
        <x:f>IF(('Quantification_Results'!AK125&lt;&gt;1),"",IF(('Quantification_Results'!AM125=""),IF(ISNUMBER('Quantification_Results'!AL125),IF(('Quantification_Results'!AL125&lt;'Quantification_Config'!$S$15),"",IF(('Quantification_Results'!AL125&gt;'Quantification_Config'!$T$15),"",'Quantification_Results'!AL125)),""),IF(ISNUMBER('Quantification_Results'!AM125),IF(('Quantification_Results'!AM125&lt;'Quantification_Config'!$S$15),"",IF(('Quantification_Results'!AM125&gt;'Quantification_Config'!$T$15),"",'Quantification_Results'!AM125)),"")))</x:f>
        <x:v>5</x:v>
      </x:c>
      <x:c r="AO125" t="n">
        <x:f>IF(ISNUMBER('Quantification_Results'!AN125),IFERROR(ROUND(((('Quantification_Results'!AN125-'Quantification_Config'!$S$15)/('Quantification_Config'!$T$15-'Quantification_Config'!$S$15))*100),'Quantification_Config'!$U$2),""),"")</x:f>
        <x:v>50</x:v>
      </x:c>
      <x:c r="AP125" t="inlineStr">
        <x:is>
          <x:t xml:space="preserve">SYSTEM-TEST-ONLY-NO-NETWORK-NOT-AN-EDUCATIONAL-EVALUATION</x:t>
        </x:is>
      </x:c>
      <x:c r="AQ125" t="inlineStr">
        <x:is>
          <x:t xml:space="preserve"/>
        </x:is>
      </x:c>
      <x:c r="AR125" t="inlineStr">
        <x:is>
          <x:t xml:space="preserve">NONE</x:t>
        </x:is>
      </x:c>
      <x:c r="AS125" t="inlineStr">
        <x:is>
          <x:t xml:space="preserve"/>
        </x:is>
      </x:c>
      <x:c r="AT125" t="inlineStr">
        <x:is>
          <x:t xml:space="preserve">SUCCESS</x:t>
        </x:is>
      </x:c>
      <x:c r="AU125" t="n">
        <x:f>IF((COUNT('Quantification_Results'!AO125)=1),IFERROR(ROUND((SUM(('Quantification_Results'!AO125*'Quantification_Config'!$R$15))/SUM('Quantification_Config'!$R$15)),'Quantification_Config'!$U$2),""),"")</x:f>
        <x:v>50</x:v>
      </x:c>
      <x:c r="AV125" t="n">
        <x:f>IF((COUNT('Quantification_Results'!AU125)=1),IFERROR(ROUND((SUM(('Quantification_Results'!AU125*'Quantification_Config'!$R$14))/SUM('Quantification_Config'!$R$14)),'Quantification_Config'!$U$2),""),"")</x:f>
        <x:v>50</x:v>
      </x:c>
      <x:c r="AW125" t="n">
        <x:v>1</x:v>
      </x:c>
      <x:c r="AX125" t="n">
        <x:v>5</x:v>
      </x:c>
      <x:c r="AY125"/>
      <x:c r="AZ125" t="n">
        <x:f>IF(('Quantification_Results'!AW125&lt;&gt;1),"",IF(('Quantification_Results'!AY125=""),IF(ISNUMBER('Quantification_Results'!AX125),IF(('Quantification_Results'!AX125&lt;'Quantification_Config'!$S$19),"",IF(('Quantification_Results'!AX125&gt;'Quantification_Config'!$T$19),"",'Quantification_Results'!AX125)),""),IF(ISNUMBER('Quantification_Results'!AY125),IF(('Quantification_Results'!AY125&lt;'Quantification_Config'!$S$19),"",IF(('Quantification_Results'!AY125&gt;'Quantification_Config'!$T$19),"",'Quantification_Results'!AY125)),"")))</x:f>
        <x:v>5</x:v>
      </x:c>
      <x:c r="BA125" t="n">
        <x:f>IF(ISNUMBER('Quantification_Results'!AZ125),IFERROR(ROUND(((('Quantification_Results'!AZ125-'Quantification_Config'!$S$19)/('Quantification_Config'!$T$19-'Quantification_Config'!$S$19))*100),'Quantification_Config'!$U$2),""),"")</x:f>
        <x:v>50</x:v>
      </x:c>
      <x:c r="BB125" t="inlineStr">
        <x:is>
          <x:t xml:space="preserve">SYSTEM-TEST-ONLY-NO-NETWORK-NOT-AN-EDUCATIONAL-EVALUATION</x:t>
        </x:is>
      </x:c>
      <x:c r="BC125" t="inlineStr">
        <x:is>
          <x:t xml:space="preserve"/>
        </x:is>
      </x:c>
      <x:c r="BD125" t="inlineStr">
        <x:is>
          <x:t xml:space="preserve">NONE</x:t>
        </x:is>
      </x:c>
      <x:c r="BE125" t="inlineStr">
        <x:is>
          <x:t xml:space="preserve"/>
        </x:is>
      </x:c>
      <x:c r="BF125" t="inlineStr">
        <x:is>
          <x:t xml:space="preserve">SUCCESS</x:t>
        </x:is>
      </x:c>
      <x:c r="BG125" t="n">
        <x:f>IF((COUNT('Quantification_Results'!BA125)=1),IFERROR(ROUND((SUM(('Quantification_Results'!BA125*'Quantification_Config'!$R$19))/SUM('Quantification_Config'!$R$19)),'Quantification_Config'!$U$2),""),"")</x:f>
        <x:v>50</x:v>
      </x:c>
      <x:c r="BH125" t="n">
        <x:f>IF((COUNT('Quantification_Results'!BG125)=1),IFERROR(ROUND((SUM(('Quantification_Results'!BG125*'Quantification_Config'!$R$18))/SUM('Quantification_Config'!$R$18)),'Quantification_Config'!$U$2),""),"")</x:f>
        <x:v>50</x:v>
      </x:c>
      <x:c r="BI125" t="n">
        <x:f>IF((COUNT('Quantification_Results'!L125,'Quantification_Results'!X125,'Quantification_Results'!AJ125,'Quantification_Results'!AV125,'Quantification_Results'!BH125)=5),IFERROR(ROUND((SUM(('Quantification_Results'!L125*'Quantification_Config'!$R$4),('Quantification_Results'!X125*'Quantification_Config'!$R$7),('Quantification_Results'!AJ125*'Quantification_Config'!$R$10),('Quantification_Results'!AV125*'Quantification_Config'!$R$13),('Quantification_Results'!BH125*'Quantification_Config'!$R$16))/SUM('Quantification_Config'!$R$4,'Quantification_Config'!$R$7,'Quantification_Config'!$R$10,'Quantification_Config'!$R$13,'Quantification_Config'!$R$16)),'Quantification_Config'!$U$2),""),"")</x:f>
        <x:v>50</x:v>
      </x:c>
    </x:row>
    <x:row r="126">
      <x:c r="A126" t="n">
        <x:v>1</x:v>
      </x:c>
      <x:c r="B126" t="n">
        <x:v>5</x:v>
      </x:c>
      <x:c r="C126"/>
      <x:c r="D126" t="n">
        <x:f>IF(('Quantification_Results'!A126&lt;&gt;1),"",IF(('Quantification_Results'!C126=""),IF(ISNUMBER('Quantification_Results'!B126),IF(('Quantification_Results'!B126&lt;'Quantification_Config'!$S$6),"",IF(('Quantification_Results'!B126&gt;'Quantification_Config'!$T$6),"",'Quantification_Results'!B126)),""),IF(ISNUMBER('Quantification_Results'!C126),IF(('Quantification_Results'!C126&lt;'Quantification_Config'!$S$6),"",IF(('Quantification_Results'!C126&gt;'Quantification_Config'!$T$6),"",'Quantification_Results'!C126)),"")))</x:f>
        <x:v>5</x:v>
      </x:c>
      <x:c r="E126" t="n">
        <x:f>IF(ISNUMBER('Quantification_Results'!D126),IFERROR(ROUND(((('Quantification_Results'!D126-'Quantification_Config'!$S$6)/('Quantification_Config'!$T$6-'Quantification_Config'!$S$6))*100),'Quantification_Config'!$U$2),""),"")</x:f>
        <x:v>50</x:v>
      </x:c>
      <x:c r="F126" t="inlineStr">
        <x:is>
          <x:t xml:space="preserve">SYSTEM-TEST-ONLY-NO-NETWORK-NOT-AN-EDUCATIONAL-EVALUATION</x:t>
        </x:is>
      </x:c>
      <x:c r="G126" t="inlineStr">
        <x:is>
          <x:t xml:space="preserve"/>
        </x:is>
      </x:c>
      <x:c r="H126" t="inlineStr">
        <x:is>
          <x:t xml:space="preserve">NONE</x:t>
        </x:is>
      </x:c>
      <x:c r="I126" t="inlineStr">
        <x:is>
          <x:t xml:space="preserve"/>
        </x:is>
      </x:c>
      <x:c r="J126" t="inlineStr">
        <x:is>
          <x:t xml:space="preserve">SUCCESS</x:t>
        </x:is>
      </x:c>
      <x:c r="K126" t="n">
        <x:f>IF((COUNT('Quantification_Results'!E126)=1),IFERROR(ROUND((SUM(('Quantification_Results'!E126*'Quantification_Config'!$R$6))/SUM('Quantification_Config'!$R$6)),'Quantification_Config'!$U$2),""),"")</x:f>
        <x:v>50</x:v>
      </x:c>
      <x:c r="L126" t="n">
        <x:f>IF((COUNT('Quantification_Results'!K126)=1),IFERROR(ROUND((SUM(('Quantification_Results'!K126*'Quantification_Config'!$R$5))/SUM('Quantification_Config'!$R$5)),'Quantification_Config'!$U$2),""),"")</x:f>
        <x:v>50</x:v>
      </x:c>
      <x:c r="M126" t="n">
        <x:v>1</x:v>
      </x:c>
      <x:c r="N126" t="n">
        <x:v>5</x:v>
      </x:c>
      <x:c r="O126"/>
      <x:c r="P126" t="n">
        <x:f>IF(('Quantification_Results'!M126&lt;&gt;1),"",IF(('Quantification_Results'!O126=""),IF(ISNUMBER('Quantification_Results'!N126),IF(('Quantification_Results'!N126&lt;'Quantification_Config'!$S$9),"",IF(('Quantification_Results'!N126&gt;'Quantification_Config'!$T$9),"",'Quantification_Results'!N126)),""),IF(ISNUMBER('Quantification_Results'!O126),IF(('Quantification_Results'!O126&lt;'Quantification_Config'!$S$9),"",IF(('Quantification_Results'!O126&gt;'Quantification_Config'!$T$9),"",'Quantification_Results'!O126)),"")))</x:f>
        <x:v>5</x:v>
      </x:c>
      <x:c r="Q126" t="n">
        <x:f>IF(ISNUMBER('Quantification_Results'!P126),IFERROR(ROUND(((('Quantification_Results'!P126-'Quantification_Config'!$S$9)/('Quantification_Config'!$T$9-'Quantification_Config'!$S$9))*100),'Quantification_Config'!$U$2),""),"")</x:f>
        <x:v>50</x:v>
      </x:c>
      <x:c r="R126" t="inlineStr">
        <x:is>
          <x:t xml:space="preserve">SYSTEM-TEST-ONLY-NO-NETWORK-NOT-AN-EDUCATIONAL-EVALUATION</x:t>
        </x:is>
      </x:c>
      <x:c r="S126" t="inlineStr">
        <x:is>
          <x:t xml:space="preserve"/>
        </x:is>
      </x:c>
      <x:c r="T126" t="inlineStr">
        <x:is>
          <x:t xml:space="preserve">NONE</x:t>
        </x:is>
      </x:c>
      <x:c r="U126" t="inlineStr">
        <x:is>
          <x:t xml:space="preserve"/>
        </x:is>
      </x:c>
      <x:c r="V126" t="inlineStr">
        <x:is>
          <x:t xml:space="preserve">SUCCESS</x:t>
        </x:is>
      </x:c>
      <x:c r="W126" t="n">
        <x:f>IF((COUNT('Quantification_Results'!Q126)=1),IFERROR(ROUND((SUM(('Quantification_Results'!Q126*'Quantification_Config'!$R$9))/SUM('Quantification_Config'!$R$9)),'Quantification_Config'!$U$2),""),"")</x:f>
        <x:v>50</x:v>
      </x:c>
      <x:c r="X126" t="n">
        <x:f>IF((COUNT('Quantification_Results'!W126)=1),IFERROR(ROUND((SUM(('Quantification_Results'!W126*'Quantification_Config'!$R$8))/SUM('Quantification_Config'!$R$8)),'Quantification_Config'!$U$2),""),"")</x:f>
        <x:v>50</x:v>
      </x:c>
      <x:c r="Y126" t="n">
        <x:v>0</x:v>
      </x:c>
      <x:c r="Z126"/>
      <x:c r="AA126"/>
      <x:c r="AB126">
        <x:f>IF(('Quantification_Results'!Y126&lt;&gt;1),"",IF(('Quantification_Results'!AA126=""),IF(ISNUMBER('Quantification_Results'!Z126),IF(('Quantification_Results'!Z126&lt;'Quantification_Config'!$S$12),"",IF(('Quantification_Results'!Z126&gt;'Quantification_Config'!$T$12),"",'Quantification_Results'!Z126)),""),IF(ISNUMBER('Quantification_Results'!AA126),IF(('Quantification_Results'!AA126&lt;'Quantification_Config'!$S$12),"",IF(('Quantification_Results'!AA126&gt;'Quantification_Config'!$T$12),"",'Quantification_Results'!AA126)),"")))</x:f>
      </x:c>
      <x:c r="AC126">
        <x:f>IF(ISNUMBER('Quantification_Results'!AB126),IFERROR(ROUND(((('Quantification_Results'!AB126-'Quantification_Config'!$S$12)/('Quantification_Config'!$T$12-'Quantification_Config'!$S$12))*100),'Quantification_Config'!$U$2),""),"")</x:f>
      </x:c>
      <x:c r="AD126" t="inlineStr">
        <x:is>
          <x:t xml:space="preserve"/>
        </x:is>
      </x:c>
      <x:c r="AE126" t="inlineStr">
        <x:is>
          <x:t xml:space="preserve"/>
        </x:is>
      </x:c>
      <x:c r="AF126" t="inlineStr">
        <x:is>
          <x:t xml:space="preserve"/>
        </x:is>
      </x:c>
      <x:c r="AG126" t="inlineStr">
        <x:is>
          <x:t xml:space="preserve"/>
        </x:is>
      </x:c>
      <x:c r="AH126" t="inlineStr">
        <x:is>
          <x:t xml:space="preserve">EMPTY</x:t>
        </x:is>
      </x:c>
      <x:c r="AI126">
        <x:f>IF((COUNT('Quantification_Results'!AC126)=1),IFERROR(ROUND((SUM(('Quantification_Results'!AC126*'Quantification_Config'!$R$12))/SUM('Quantification_Config'!$R$12)),'Quantification_Config'!$U$2),""),"")</x:f>
      </x:c>
      <x:c r="AJ126">
        <x:f>IF((COUNT('Quantification_Results'!AI126)=1),IFERROR(ROUND((SUM(('Quantification_Results'!AI126*'Quantification_Config'!$R$11))/SUM('Quantification_Config'!$R$11)),'Quantification_Config'!$U$2),""),"")</x:f>
      </x:c>
      <x:c r="AK126" t="n">
        <x:v>1</x:v>
      </x:c>
      <x:c r="AL126" t="n">
        <x:v>5</x:v>
      </x:c>
      <x:c r="AM126"/>
      <x:c r="AN126" t="n">
        <x:f>IF(('Quantification_Results'!AK126&lt;&gt;1),"",IF(('Quantification_Results'!AM126=""),IF(ISNUMBER('Quantification_Results'!AL126),IF(('Quantification_Results'!AL126&lt;'Quantification_Config'!$S$15),"",IF(('Quantification_Results'!AL126&gt;'Quantification_Config'!$T$15),"",'Quantification_Results'!AL126)),""),IF(ISNUMBER('Quantification_Results'!AM126),IF(('Quantification_Results'!AM126&lt;'Quantification_Config'!$S$15),"",IF(('Quantification_Results'!AM126&gt;'Quantification_Config'!$T$15),"",'Quantification_Results'!AM126)),"")))</x:f>
        <x:v>5</x:v>
      </x:c>
      <x:c r="AO126" t="n">
        <x:f>IF(ISNUMBER('Quantification_Results'!AN126),IFERROR(ROUND(((('Quantification_Results'!AN126-'Quantification_Config'!$S$15)/('Quantification_Config'!$T$15-'Quantification_Config'!$S$15))*100),'Quantification_Config'!$U$2),""),"")</x:f>
        <x:v>50</x:v>
      </x:c>
      <x:c r="AP126" t="inlineStr">
        <x:is>
          <x:t xml:space="preserve">SYSTEM-TEST-ONLY-NO-NETWORK-NOT-AN-EDUCATIONAL-EVALUATION</x:t>
        </x:is>
      </x:c>
      <x:c r="AQ126" t="inlineStr">
        <x:is>
          <x:t xml:space="preserve"/>
        </x:is>
      </x:c>
      <x:c r="AR126" t="inlineStr">
        <x:is>
          <x:t xml:space="preserve">NONE</x:t>
        </x:is>
      </x:c>
      <x:c r="AS126" t="inlineStr">
        <x:is>
          <x:t xml:space="preserve"/>
        </x:is>
      </x:c>
      <x:c r="AT126" t="inlineStr">
        <x:is>
          <x:t xml:space="preserve">SUCCESS</x:t>
        </x:is>
      </x:c>
      <x:c r="AU126" t="n">
        <x:f>IF((COUNT('Quantification_Results'!AO126)=1),IFERROR(ROUND((SUM(('Quantification_Results'!AO126*'Quantification_Config'!$R$15))/SUM('Quantification_Config'!$R$15)),'Quantification_Config'!$U$2),""),"")</x:f>
        <x:v>50</x:v>
      </x:c>
      <x:c r="AV126" t="n">
        <x:f>IF((COUNT('Quantification_Results'!AU126)=1),IFERROR(ROUND((SUM(('Quantification_Results'!AU126*'Quantification_Config'!$R$14))/SUM('Quantification_Config'!$R$14)),'Quantification_Config'!$U$2),""),"")</x:f>
        <x:v>50</x:v>
      </x:c>
      <x:c r="AW126" t="n">
        <x:v>1</x:v>
      </x:c>
      <x:c r="AX126" t="n">
        <x:v>5</x:v>
      </x:c>
      <x:c r="AY126"/>
      <x:c r="AZ126" t="n">
        <x:f>IF(('Quantification_Results'!AW126&lt;&gt;1),"",IF(('Quantification_Results'!AY126=""),IF(ISNUMBER('Quantification_Results'!AX126),IF(('Quantification_Results'!AX126&lt;'Quantification_Config'!$S$19),"",IF(('Quantification_Results'!AX126&gt;'Quantification_Config'!$T$19),"",'Quantification_Results'!AX126)),""),IF(ISNUMBER('Quantification_Results'!AY126),IF(('Quantification_Results'!AY126&lt;'Quantification_Config'!$S$19),"",IF(('Quantification_Results'!AY126&gt;'Quantification_Config'!$T$19),"",'Quantification_Results'!AY126)),"")))</x:f>
        <x:v>5</x:v>
      </x:c>
      <x:c r="BA126" t="n">
        <x:f>IF(ISNUMBER('Quantification_Results'!AZ126),IFERROR(ROUND(((('Quantification_Results'!AZ126-'Quantification_Config'!$S$19)/('Quantification_Config'!$T$19-'Quantification_Config'!$S$19))*100),'Quantification_Config'!$U$2),""),"")</x:f>
        <x:v>50</x:v>
      </x:c>
      <x:c r="BB126" t="inlineStr">
        <x:is>
          <x:t xml:space="preserve">SYSTEM-TEST-ONLY-NO-NETWORK-NOT-AN-EDUCATIONAL-EVALUATION</x:t>
        </x:is>
      </x:c>
      <x:c r="BC126" t="inlineStr">
        <x:is>
          <x:t xml:space="preserve"/>
        </x:is>
      </x:c>
      <x:c r="BD126" t="inlineStr">
        <x:is>
          <x:t xml:space="preserve">NONE</x:t>
        </x:is>
      </x:c>
      <x:c r="BE126" t="inlineStr">
        <x:is>
          <x:t xml:space="preserve"/>
        </x:is>
      </x:c>
      <x:c r="BF126" t="inlineStr">
        <x:is>
          <x:t xml:space="preserve">SUCCESS</x:t>
        </x:is>
      </x:c>
      <x:c r="BG126" t="n">
        <x:f>IF((COUNT('Quantification_Results'!BA126)=1),IFERROR(ROUND((SUM(('Quantification_Results'!BA126*'Quantification_Config'!$R$19))/SUM('Quantification_Config'!$R$19)),'Quantification_Config'!$U$2),""),"")</x:f>
        <x:v>50</x:v>
      </x:c>
      <x:c r="BH126" t="n">
        <x:f>IF((COUNT('Quantification_Results'!BG126)=1),IFERROR(ROUND((SUM(('Quantification_Results'!BG126*'Quantification_Config'!$R$18))/SUM('Quantification_Config'!$R$18)),'Quantification_Config'!$U$2),""),"")</x:f>
        <x:v>50</x:v>
      </x:c>
      <x:c r="BI126">
        <x:f>IF((COUNT('Quantification_Results'!L126,'Quantification_Results'!X126,'Quantification_Results'!AJ126,'Quantification_Results'!AV126,'Quantification_Results'!BH126)=5),IFERROR(ROUND((SUM(('Quantification_Results'!L126*'Quantification_Config'!$R$4),('Quantification_Results'!X126*'Quantification_Config'!$R$7),('Quantification_Results'!AJ126*'Quantification_Config'!$R$10),('Quantification_Results'!AV126*'Quantification_Config'!$R$13),('Quantification_Results'!BH126*'Quantification_Config'!$R$16))/SUM('Quantification_Config'!$R$4,'Quantification_Config'!$R$7,'Quantification_Config'!$R$10,'Quantification_Config'!$R$13,'Quantification_Config'!$R$16)),'Quantification_Config'!$U$2),""),"")</x:f>
      </x:c>
    </x:row>
    <x:row r="127">
      <x:c r="A127" t="n">
        <x:v>1</x:v>
      </x:c>
      <x:c r="B127" t="n">
        <x:v>5</x:v>
      </x:c>
      <x:c r="C127"/>
      <x:c r="D127" t="n">
        <x:f>IF(('Quantification_Results'!A127&lt;&gt;1),"",IF(('Quantification_Results'!C127=""),IF(ISNUMBER('Quantification_Results'!B127),IF(('Quantification_Results'!B127&lt;'Quantification_Config'!$S$6),"",IF(('Quantification_Results'!B127&gt;'Quantification_Config'!$T$6),"",'Quantification_Results'!B127)),""),IF(ISNUMBER('Quantification_Results'!C127),IF(('Quantification_Results'!C127&lt;'Quantification_Config'!$S$6),"",IF(('Quantification_Results'!C127&gt;'Quantification_Config'!$T$6),"",'Quantification_Results'!C127)),"")))</x:f>
        <x:v>5</x:v>
      </x:c>
      <x:c r="E127" t="n">
        <x:f>IF(ISNUMBER('Quantification_Results'!D127),IFERROR(ROUND(((('Quantification_Results'!D127-'Quantification_Config'!$S$6)/('Quantification_Config'!$T$6-'Quantification_Config'!$S$6))*100),'Quantification_Config'!$U$2),""),"")</x:f>
        <x:v>50</x:v>
      </x:c>
      <x:c r="F127" t="inlineStr">
        <x:is>
          <x:t xml:space="preserve">SYSTEM-TEST-ONLY-NO-NETWORK-NOT-AN-EDUCATIONAL-EVALUATION</x:t>
        </x:is>
      </x:c>
      <x:c r="G127" t="inlineStr">
        <x:is>
          <x:t xml:space="preserve"/>
        </x:is>
      </x:c>
      <x:c r="H127" t="inlineStr">
        <x:is>
          <x:t xml:space="preserve">NONE</x:t>
        </x:is>
      </x:c>
      <x:c r="I127" t="inlineStr">
        <x:is>
          <x:t xml:space="preserve"/>
        </x:is>
      </x:c>
      <x:c r="J127" t="inlineStr">
        <x:is>
          <x:t xml:space="preserve">SUCCESS</x:t>
        </x:is>
      </x:c>
      <x:c r="K127" t="n">
        <x:f>IF((COUNT('Quantification_Results'!E127)=1),IFERROR(ROUND((SUM(('Quantification_Results'!E127*'Quantification_Config'!$R$6))/SUM('Quantification_Config'!$R$6)),'Quantification_Config'!$U$2),""),"")</x:f>
        <x:v>50</x:v>
      </x:c>
      <x:c r="L127" t="n">
        <x:f>IF((COUNT('Quantification_Results'!K127)=1),IFERROR(ROUND((SUM(('Quantification_Results'!K127*'Quantification_Config'!$R$5))/SUM('Quantification_Config'!$R$5)),'Quantification_Config'!$U$2),""),"")</x:f>
        <x:v>50</x:v>
      </x:c>
      <x:c r="M127" t="n">
        <x:v>1</x:v>
      </x:c>
      <x:c r="N127" t="n">
        <x:v>5</x:v>
      </x:c>
      <x:c r="O127"/>
      <x:c r="P127" t="n">
        <x:f>IF(('Quantification_Results'!M127&lt;&gt;1),"",IF(('Quantification_Results'!O127=""),IF(ISNUMBER('Quantification_Results'!N127),IF(('Quantification_Results'!N127&lt;'Quantification_Config'!$S$9),"",IF(('Quantification_Results'!N127&gt;'Quantification_Config'!$T$9),"",'Quantification_Results'!N127)),""),IF(ISNUMBER('Quantification_Results'!O127),IF(('Quantification_Results'!O127&lt;'Quantification_Config'!$S$9),"",IF(('Quantification_Results'!O127&gt;'Quantification_Config'!$T$9),"",'Quantification_Results'!O127)),"")))</x:f>
        <x:v>5</x:v>
      </x:c>
      <x:c r="Q127" t="n">
        <x:f>IF(ISNUMBER('Quantification_Results'!P127),IFERROR(ROUND(((('Quantification_Results'!P127-'Quantification_Config'!$S$9)/('Quantification_Config'!$T$9-'Quantification_Config'!$S$9))*100),'Quantification_Config'!$U$2),""),"")</x:f>
        <x:v>50</x:v>
      </x:c>
      <x:c r="R127" t="inlineStr">
        <x:is>
          <x:t xml:space="preserve">SYSTEM-TEST-ONLY-NO-NETWORK-NOT-AN-EDUCATIONAL-EVALUATION</x:t>
        </x:is>
      </x:c>
      <x:c r="S127" t="inlineStr">
        <x:is>
          <x:t xml:space="preserve"/>
        </x:is>
      </x:c>
      <x:c r="T127" t="inlineStr">
        <x:is>
          <x:t xml:space="preserve">NONE</x:t>
        </x:is>
      </x:c>
      <x:c r="U127" t="inlineStr">
        <x:is>
          <x:t xml:space="preserve"/>
        </x:is>
      </x:c>
      <x:c r="V127" t="inlineStr">
        <x:is>
          <x:t xml:space="preserve">SUCCESS</x:t>
        </x:is>
      </x:c>
      <x:c r="W127" t="n">
        <x:f>IF((COUNT('Quantification_Results'!Q127)=1),IFERROR(ROUND((SUM(('Quantification_Results'!Q127*'Quantification_Config'!$R$9))/SUM('Quantification_Config'!$R$9)),'Quantification_Config'!$U$2),""),"")</x:f>
        <x:v>50</x:v>
      </x:c>
      <x:c r="X127" t="n">
        <x:f>IF((COUNT('Quantification_Results'!W127)=1),IFERROR(ROUND((SUM(('Quantification_Results'!W127*'Quantification_Config'!$R$8))/SUM('Quantification_Config'!$R$8)),'Quantification_Config'!$U$2),""),"")</x:f>
        <x:v>50</x:v>
      </x:c>
      <x:c r="Y127" t="n">
        <x:v>0</x:v>
      </x:c>
      <x:c r="Z127"/>
      <x:c r="AA127"/>
      <x:c r="AB127">
        <x:f>IF(('Quantification_Results'!Y127&lt;&gt;1),"",IF(('Quantification_Results'!AA127=""),IF(ISNUMBER('Quantification_Results'!Z127),IF(('Quantification_Results'!Z127&lt;'Quantification_Config'!$S$12),"",IF(('Quantification_Results'!Z127&gt;'Quantification_Config'!$T$12),"",'Quantification_Results'!Z127)),""),IF(ISNUMBER('Quantification_Results'!AA127),IF(('Quantification_Results'!AA127&lt;'Quantification_Config'!$S$12),"",IF(('Quantification_Results'!AA127&gt;'Quantification_Config'!$T$12),"",'Quantification_Results'!AA127)),"")))</x:f>
      </x:c>
      <x:c r="AC127">
        <x:f>IF(ISNUMBER('Quantification_Results'!AB127),IFERROR(ROUND(((('Quantification_Results'!AB127-'Quantification_Config'!$S$12)/('Quantification_Config'!$T$12-'Quantification_Config'!$S$12))*100),'Quantification_Config'!$U$2),""),"")</x:f>
      </x:c>
      <x:c r="AD127" t="inlineStr">
        <x:is>
          <x:t xml:space="preserve"/>
        </x:is>
      </x:c>
      <x:c r="AE127" t="inlineStr">
        <x:is>
          <x:t xml:space="preserve"/>
        </x:is>
      </x:c>
      <x:c r="AF127" t="inlineStr">
        <x:is>
          <x:t xml:space="preserve"/>
        </x:is>
      </x:c>
      <x:c r="AG127" t="inlineStr">
        <x:is>
          <x:t xml:space="preserve"/>
        </x:is>
      </x:c>
      <x:c r="AH127" t="inlineStr">
        <x:is>
          <x:t xml:space="preserve">EMPTY</x:t>
        </x:is>
      </x:c>
      <x:c r="AI127">
        <x:f>IF((COUNT('Quantification_Results'!AC127)=1),IFERROR(ROUND((SUM(('Quantification_Results'!AC127*'Quantification_Config'!$R$12))/SUM('Quantification_Config'!$R$12)),'Quantification_Config'!$U$2),""),"")</x:f>
      </x:c>
      <x:c r="AJ127">
        <x:f>IF((COUNT('Quantification_Results'!AI127)=1),IFERROR(ROUND((SUM(('Quantification_Results'!AI127*'Quantification_Config'!$R$11))/SUM('Quantification_Config'!$R$11)),'Quantification_Config'!$U$2),""),"")</x:f>
      </x:c>
      <x:c r="AK127" t="n">
        <x:v>1</x:v>
      </x:c>
      <x:c r="AL127" t="n">
        <x:v>5</x:v>
      </x:c>
      <x:c r="AM127"/>
      <x:c r="AN127" t="n">
        <x:f>IF(('Quantification_Results'!AK127&lt;&gt;1),"",IF(('Quantification_Results'!AM127=""),IF(ISNUMBER('Quantification_Results'!AL127),IF(('Quantification_Results'!AL127&lt;'Quantification_Config'!$S$15),"",IF(('Quantification_Results'!AL127&gt;'Quantification_Config'!$T$15),"",'Quantification_Results'!AL127)),""),IF(ISNUMBER('Quantification_Results'!AM127),IF(('Quantification_Results'!AM127&lt;'Quantification_Config'!$S$15),"",IF(('Quantification_Results'!AM127&gt;'Quantification_Config'!$T$15),"",'Quantification_Results'!AM127)),"")))</x:f>
        <x:v>5</x:v>
      </x:c>
      <x:c r="AO127" t="n">
        <x:f>IF(ISNUMBER('Quantification_Results'!AN127),IFERROR(ROUND(((('Quantification_Results'!AN127-'Quantification_Config'!$S$15)/('Quantification_Config'!$T$15-'Quantification_Config'!$S$15))*100),'Quantification_Config'!$U$2),""),"")</x:f>
        <x:v>50</x:v>
      </x:c>
      <x:c r="AP127" t="inlineStr">
        <x:is>
          <x:t xml:space="preserve">SYSTEM-TEST-ONLY-NO-NETWORK-NOT-AN-EDUCATIONAL-EVALUATION</x:t>
        </x:is>
      </x:c>
      <x:c r="AQ127" t="inlineStr">
        <x:is>
          <x:t xml:space="preserve"/>
        </x:is>
      </x:c>
      <x:c r="AR127" t="inlineStr">
        <x:is>
          <x:t xml:space="preserve">NONE</x:t>
        </x:is>
      </x:c>
      <x:c r="AS127" t="inlineStr">
        <x:is>
          <x:t xml:space="preserve"/>
        </x:is>
      </x:c>
      <x:c r="AT127" t="inlineStr">
        <x:is>
          <x:t xml:space="preserve">SUCCESS</x:t>
        </x:is>
      </x:c>
      <x:c r="AU127" t="n">
        <x:f>IF((COUNT('Quantification_Results'!AO127)=1),IFERROR(ROUND((SUM(('Quantification_Results'!AO127*'Quantification_Config'!$R$15))/SUM('Quantification_Config'!$R$15)),'Quantification_Config'!$U$2),""),"")</x:f>
        <x:v>50</x:v>
      </x:c>
      <x:c r="AV127" t="n">
        <x:f>IF((COUNT('Quantification_Results'!AU127)=1),IFERROR(ROUND((SUM(('Quantification_Results'!AU127*'Quantification_Config'!$R$14))/SUM('Quantification_Config'!$R$14)),'Quantification_Config'!$U$2),""),"")</x:f>
        <x:v>50</x:v>
      </x:c>
      <x:c r="AW127" t="n">
        <x:v>1</x:v>
      </x:c>
      <x:c r="AX127" t="n">
        <x:v>5</x:v>
      </x:c>
      <x:c r="AY127"/>
      <x:c r="AZ127" t="n">
        <x:f>IF(('Quantification_Results'!AW127&lt;&gt;1),"",IF(('Quantification_Results'!AY127=""),IF(ISNUMBER('Quantification_Results'!AX127),IF(('Quantification_Results'!AX127&lt;'Quantification_Config'!$S$19),"",IF(('Quantification_Results'!AX127&gt;'Quantification_Config'!$T$19),"",'Quantification_Results'!AX127)),""),IF(ISNUMBER('Quantification_Results'!AY127),IF(('Quantification_Results'!AY127&lt;'Quantification_Config'!$S$19),"",IF(('Quantification_Results'!AY127&gt;'Quantification_Config'!$T$19),"",'Quantification_Results'!AY127)),"")))</x:f>
        <x:v>5</x:v>
      </x:c>
      <x:c r="BA127" t="n">
        <x:f>IF(ISNUMBER('Quantification_Results'!AZ127),IFERROR(ROUND(((('Quantification_Results'!AZ127-'Quantification_Config'!$S$19)/('Quantification_Config'!$T$19-'Quantification_Config'!$S$19))*100),'Quantification_Config'!$U$2),""),"")</x:f>
        <x:v>50</x:v>
      </x:c>
      <x:c r="BB127" t="inlineStr">
        <x:is>
          <x:t xml:space="preserve">SYSTEM-TEST-ONLY-NO-NETWORK-NOT-AN-EDUCATIONAL-EVALUATION</x:t>
        </x:is>
      </x:c>
      <x:c r="BC127" t="inlineStr">
        <x:is>
          <x:t xml:space="preserve"/>
        </x:is>
      </x:c>
      <x:c r="BD127" t="inlineStr">
        <x:is>
          <x:t xml:space="preserve">NONE</x:t>
        </x:is>
      </x:c>
      <x:c r="BE127" t="inlineStr">
        <x:is>
          <x:t xml:space="preserve"/>
        </x:is>
      </x:c>
      <x:c r="BF127" t="inlineStr">
        <x:is>
          <x:t xml:space="preserve">SUCCESS</x:t>
        </x:is>
      </x:c>
      <x:c r="BG127" t="n">
        <x:f>IF((COUNT('Quantification_Results'!BA127)=1),IFERROR(ROUND((SUM(('Quantification_Results'!BA127*'Quantification_Config'!$R$19))/SUM('Quantification_Config'!$R$19)),'Quantification_Config'!$U$2),""),"")</x:f>
        <x:v>50</x:v>
      </x:c>
      <x:c r="BH127" t="n">
        <x:f>IF((COUNT('Quantification_Results'!BG127)=1),IFERROR(ROUND((SUM(('Quantification_Results'!BG127*'Quantification_Config'!$R$18))/SUM('Quantification_Config'!$R$18)),'Quantification_Config'!$U$2),""),"")</x:f>
        <x:v>50</x:v>
      </x:c>
      <x:c r="BI127">
        <x:f>IF((COUNT('Quantification_Results'!L127,'Quantification_Results'!X127,'Quantification_Results'!AJ127,'Quantification_Results'!AV127,'Quantification_Results'!BH127)=5),IFERROR(ROUND((SUM(('Quantification_Results'!L127*'Quantification_Config'!$R$4),('Quantification_Results'!X127*'Quantification_Config'!$R$7),('Quantification_Results'!AJ127*'Quantification_Config'!$R$10),('Quantification_Results'!AV127*'Quantification_Config'!$R$13),('Quantification_Results'!BH127*'Quantification_Config'!$R$16))/SUM('Quantification_Config'!$R$4,'Quantification_Config'!$R$7,'Quantification_Config'!$R$10,'Quantification_Config'!$R$13,'Quantification_Config'!$R$16)),'Quantification_Config'!$U$2),""),"")</x:f>
      </x:c>
    </x:row>
    <x:row r="128">
      <x:c r="A128" t="n">
        <x:v>1</x:v>
      </x:c>
      <x:c r="B128" t="n">
        <x:v>5</x:v>
      </x:c>
      <x:c r="C128"/>
      <x:c r="D128" t="n">
        <x:f>IF(('Quantification_Results'!A128&lt;&gt;1),"",IF(('Quantification_Results'!C128=""),IF(ISNUMBER('Quantification_Results'!B128),IF(('Quantification_Results'!B128&lt;'Quantification_Config'!$S$6),"",IF(('Quantification_Results'!B128&gt;'Quantification_Config'!$T$6),"",'Quantification_Results'!B128)),""),IF(ISNUMBER('Quantification_Results'!C128),IF(('Quantification_Results'!C128&lt;'Quantification_Config'!$S$6),"",IF(('Quantification_Results'!C128&gt;'Quantification_Config'!$T$6),"",'Quantification_Results'!C128)),"")))</x:f>
        <x:v>5</x:v>
      </x:c>
      <x:c r="E128" t="n">
        <x:f>IF(ISNUMBER('Quantification_Results'!D128),IFERROR(ROUND(((('Quantification_Results'!D128-'Quantification_Config'!$S$6)/('Quantification_Config'!$T$6-'Quantification_Config'!$S$6))*100),'Quantification_Config'!$U$2),""),"")</x:f>
        <x:v>50</x:v>
      </x:c>
      <x:c r="F128" t="inlineStr">
        <x:is>
          <x:t xml:space="preserve">SYSTEM-TEST-ONLY-NO-NETWORK-NOT-AN-EDUCATIONAL-EVALUATION</x:t>
        </x:is>
      </x:c>
      <x:c r="G128" t="inlineStr">
        <x:is>
          <x:t xml:space="preserve"/>
        </x:is>
      </x:c>
      <x:c r="H128" t="inlineStr">
        <x:is>
          <x:t xml:space="preserve">NONE</x:t>
        </x:is>
      </x:c>
      <x:c r="I128" t="inlineStr">
        <x:is>
          <x:t xml:space="preserve"/>
        </x:is>
      </x:c>
      <x:c r="J128" t="inlineStr">
        <x:is>
          <x:t xml:space="preserve">SUCCESS</x:t>
        </x:is>
      </x:c>
      <x:c r="K128" t="n">
        <x:f>IF((COUNT('Quantification_Results'!E128)=1),IFERROR(ROUND((SUM(('Quantification_Results'!E128*'Quantification_Config'!$R$6))/SUM('Quantification_Config'!$R$6)),'Quantification_Config'!$U$2),""),"")</x:f>
        <x:v>50</x:v>
      </x:c>
      <x:c r="L128" t="n">
        <x:f>IF((COUNT('Quantification_Results'!K128)=1),IFERROR(ROUND((SUM(('Quantification_Results'!K128*'Quantification_Config'!$R$5))/SUM('Quantification_Config'!$R$5)),'Quantification_Config'!$U$2),""),"")</x:f>
        <x:v>50</x:v>
      </x:c>
      <x:c r="M128" t="n">
        <x:v>1</x:v>
      </x:c>
      <x:c r="N128" t="n">
        <x:v>5</x:v>
      </x:c>
      <x:c r="O128"/>
      <x:c r="P128" t="n">
        <x:f>IF(('Quantification_Results'!M128&lt;&gt;1),"",IF(('Quantification_Results'!O128=""),IF(ISNUMBER('Quantification_Results'!N128),IF(('Quantification_Results'!N128&lt;'Quantification_Config'!$S$9),"",IF(('Quantification_Results'!N128&gt;'Quantification_Config'!$T$9),"",'Quantification_Results'!N128)),""),IF(ISNUMBER('Quantification_Results'!O128),IF(('Quantification_Results'!O128&lt;'Quantification_Config'!$S$9),"",IF(('Quantification_Results'!O128&gt;'Quantification_Config'!$T$9),"",'Quantification_Results'!O128)),"")))</x:f>
        <x:v>5</x:v>
      </x:c>
      <x:c r="Q128" t="n">
        <x:f>IF(ISNUMBER('Quantification_Results'!P128),IFERROR(ROUND(((('Quantification_Results'!P128-'Quantification_Config'!$S$9)/('Quantification_Config'!$T$9-'Quantification_Config'!$S$9))*100),'Quantification_Config'!$U$2),""),"")</x:f>
        <x:v>50</x:v>
      </x:c>
      <x:c r="R128" t="inlineStr">
        <x:is>
          <x:t xml:space="preserve">SYSTEM-TEST-ONLY-NO-NETWORK-NOT-AN-EDUCATIONAL-EVALUATION</x:t>
        </x:is>
      </x:c>
      <x:c r="S128" t="inlineStr">
        <x:is>
          <x:t xml:space="preserve"/>
        </x:is>
      </x:c>
      <x:c r="T128" t="inlineStr">
        <x:is>
          <x:t xml:space="preserve">NONE</x:t>
        </x:is>
      </x:c>
      <x:c r="U128" t="inlineStr">
        <x:is>
          <x:t xml:space="preserve"/>
        </x:is>
      </x:c>
      <x:c r="V128" t="inlineStr">
        <x:is>
          <x:t xml:space="preserve">SUCCESS</x:t>
        </x:is>
      </x:c>
      <x:c r="W128" t="n">
        <x:f>IF((COUNT('Quantification_Results'!Q128)=1),IFERROR(ROUND((SUM(('Quantification_Results'!Q128*'Quantification_Config'!$R$9))/SUM('Quantification_Config'!$R$9)),'Quantification_Config'!$U$2),""),"")</x:f>
        <x:v>50</x:v>
      </x:c>
      <x:c r="X128" t="n">
        <x:f>IF((COUNT('Quantification_Results'!W128)=1),IFERROR(ROUND((SUM(('Quantification_Results'!W128*'Quantification_Config'!$R$8))/SUM('Quantification_Config'!$R$8)),'Quantification_Config'!$U$2),""),"")</x:f>
        <x:v>50</x:v>
      </x:c>
      <x:c r="Y128" t="n">
        <x:v>0</x:v>
      </x:c>
      <x:c r="Z128"/>
      <x:c r="AA128"/>
      <x:c r="AB128">
        <x:f>IF(('Quantification_Results'!Y128&lt;&gt;1),"",IF(('Quantification_Results'!AA128=""),IF(ISNUMBER('Quantification_Results'!Z128),IF(('Quantification_Results'!Z128&lt;'Quantification_Config'!$S$12),"",IF(('Quantification_Results'!Z128&gt;'Quantification_Config'!$T$12),"",'Quantification_Results'!Z128)),""),IF(ISNUMBER('Quantification_Results'!AA128),IF(('Quantification_Results'!AA128&lt;'Quantification_Config'!$S$12),"",IF(('Quantification_Results'!AA128&gt;'Quantification_Config'!$T$12),"",'Quantification_Results'!AA128)),"")))</x:f>
      </x:c>
      <x:c r="AC128">
        <x:f>IF(ISNUMBER('Quantification_Results'!AB128),IFERROR(ROUND(((('Quantification_Results'!AB128-'Quantification_Config'!$S$12)/('Quantification_Config'!$T$12-'Quantification_Config'!$S$12))*100),'Quantification_Config'!$U$2),""),"")</x:f>
      </x:c>
      <x:c r="AD128" t="inlineStr">
        <x:is>
          <x:t xml:space="preserve"/>
        </x:is>
      </x:c>
      <x:c r="AE128" t="inlineStr">
        <x:is>
          <x:t xml:space="preserve"/>
        </x:is>
      </x:c>
      <x:c r="AF128" t="inlineStr">
        <x:is>
          <x:t xml:space="preserve"/>
        </x:is>
      </x:c>
      <x:c r="AG128" t="inlineStr">
        <x:is>
          <x:t xml:space="preserve"/>
        </x:is>
      </x:c>
      <x:c r="AH128" t="inlineStr">
        <x:is>
          <x:t xml:space="preserve">EMPTY</x:t>
        </x:is>
      </x:c>
      <x:c r="AI128">
        <x:f>IF((COUNT('Quantification_Results'!AC128)=1),IFERROR(ROUND((SUM(('Quantification_Results'!AC128*'Quantification_Config'!$R$12))/SUM('Quantification_Config'!$R$12)),'Quantification_Config'!$U$2),""),"")</x:f>
      </x:c>
      <x:c r="AJ128">
        <x:f>IF((COUNT('Quantification_Results'!AI128)=1),IFERROR(ROUND((SUM(('Quantification_Results'!AI128*'Quantification_Config'!$R$11))/SUM('Quantification_Config'!$R$11)),'Quantification_Config'!$U$2),""),"")</x:f>
      </x:c>
      <x:c r="AK128" t="n">
        <x:v>1</x:v>
      </x:c>
      <x:c r="AL128" t="n">
        <x:v>5</x:v>
      </x:c>
      <x:c r="AM128"/>
      <x:c r="AN128" t="n">
        <x:f>IF(('Quantification_Results'!AK128&lt;&gt;1),"",IF(('Quantification_Results'!AM128=""),IF(ISNUMBER('Quantification_Results'!AL128),IF(('Quantification_Results'!AL128&lt;'Quantification_Config'!$S$15),"",IF(('Quantification_Results'!AL128&gt;'Quantification_Config'!$T$15),"",'Quantification_Results'!AL128)),""),IF(ISNUMBER('Quantification_Results'!AM128),IF(('Quantification_Results'!AM128&lt;'Quantification_Config'!$S$15),"",IF(('Quantification_Results'!AM128&gt;'Quantification_Config'!$T$15),"",'Quantification_Results'!AM128)),"")))</x:f>
        <x:v>5</x:v>
      </x:c>
      <x:c r="AO128" t="n">
        <x:f>IF(ISNUMBER('Quantification_Results'!AN128),IFERROR(ROUND(((('Quantification_Results'!AN128-'Quantification_Config'!$S$15)/('Quantification_Config'!$T$15-'Quantification_Config'!$S$15))*100),'Quantification_Config'!$U$2),""),"")</x:f>
        <x:v>50</x:v>
      </x:c>
      <x:c r="AP128" t="inlineStr">
        <x:is>
          <x:t xml:space="preserve">SYSTEM-TEST-ONLY-NO-NETWORK-NOT-AN-EDUCATIONAL-EVALUATION</x:t>
        </x:is>
      </x:c>
      <x:c r="AQ128" t="inlineStr">
        <x:is>
          <x:t xml:space="preserve"/>
        </x:is>
      </x:c>
      <x:c r="AR128" t="inlineStr">
        <x:is>
          <x:t xml:space="preserve">NONE</x:t>
        </x:is>
      </x:c>
      <x:c r="AS128" t="inlineStr">
        <x:is>
          <x:t xml:space="preserve"/>
        </x:is>
      </x:c>
      <x:c r="AT128" t="inlineStr">
        <x:is>
          <x:t xml:space="preserve">SUCCESS</x:t>
        </x:is>
      </x:c>
      <x:c r="AU128" t="n">
        <x:f>IF((COUNT('Quantification_Results'!AO128)=1),IFERROR(ROUND((SUM(('Quantification_Results'!AO128*'Quantification_Config'!$R$15))/SUM('Quantification_Config'!$R$15)),'Quantification_Config'!$U$2),""),"")</x:f>
        <x:v>50</x:v>
      </x:c>
      <x:c r="AV128" t="n">
        <x:f>IF((COUNT('Quantification_Results'!AU128)=1),IFERROR(ROUND((SUM(('Quantification_Results'!AU128*'Quantification_Config'!$R$14))/SUM('Quantification_Config'!$R$14)),'Quantification_Config'!$U$2),""),"")</x:f>
        <x:v>50</x:v>
      </x:c>
      <x:c r="AW128" t="n">
        <x:v>1</x:v>
      </x:c>
      <x:c r="AX128" t="n">
        <x:v>5</x:v>
      </x:c>
      <x:c r="AY128"/>
      <x:c r="AZ128" t="n">
        <x:f>IF(('Quantification_Results'!AW128&lt;&gt;1),"",IF(('Quantification_Results'!AY128=""),IF(ISNUMBER('Quantification_Results'!AX128),IF(('Quantification_Results'!AX128&lt;'Quantification_Config'!$S$19),"",IF(('Quantification_Results'!AX128&gt;'Quantification_Config'!$T$19),"",'Quantification_Results'!AX128)),""),IF(ISNUMBER('Quantification_Results'!AY128),IF(('Quantification_Results'!AY128&lt;'Quantification_Config'!$S$19),"",IF(('Quantification_Results'!AY128&gt;'Quantification_Config'!$T$19),"",'Quantification_Results'!AY128)),"")))</x:f>
        <x:v>5</x:v>
      </x:c>
      <x:c r="BA128" t="n">
        <x:f>IF(ISNUMBER('Quantification_Results'!AZ128),IFERROR(ROUND(((('Quantification_Results'!AZ128-'Quantification_Config'!$S$19)/('Quantification_Config'!$T$19-'Quantification_Config'!$S$19))*100),'Quantification_Config'!$U$2),""),"")</x:f>
        <x:v>50</x:v>
      </x:c>
      <x:c r="BB128" t="inlineStr">
        <x:is>
          <x:t xml:space="preserve">SYSTEM-TEST-ONLY-NO-NETWORK-NOT-AN-EDUCATIONAL-EVALUATION</x:t>
        </x:is>
      </x:c>
      <x:c r="BC128" t="inlineStr">
        <x:is>
          <x:t xml:space="preserve"/>
        </x:is>
      </x:c>
      <x:c r="BD128" t="inlineStr">
        <x:is>
          <x:t xml:space="preserve">NONE</x:t>
        </x:is>
      </x:c>
      <x:c r="BE128" t="inlineStr">
        <x:is>
          <x:t xml:space="preserve"/>
        </x:is>
      </x:c>
      <x:c r="BF128" t="inlineStr">
        <x:is>
          <x:t xml:space="preserve">SUCCESS</x:t>
        </x:is>
      </x:c>
      <x:c r="BG128" t="n">
        <x:f>IF((COUNT('Quantification_Results'!BA128)=1),IFERROR(ROUND((SUM(('Quantification_Results'!BA128*'Quantification_Config'!$R$19))/SUM('Quantification_Config'!$R$19)),'Quantification_Config'!$U$2),""),"")</x:f>
        <x:v>50</x:v>
      </x:c>
      <x:c r="BH128" t="n">
        <x:f>IF((COUNT('Quantification_Results'!BG128)=1),IFERROR(ROUND((SUM(('Quantification_Results'!BG128*'Quantification_Config'!$R$18))/SUM('Quantification_Config'!$R$18)),'Quantification_Config'!$U$2),""),"")</x:f>
        <x:v>50</x:v>
      </x:c>
      <x:c r="BI128">
        <x:f>IF((COUNT('Quantification_Results'!L128,'Quantification_Results'!X128,'Quantification_Results'!AJ128,'Quantification_Results'!AV128,'Quantification_Results'!BH128)=5),IFERROR(ROUND((SUM(('Quantification_Results'!L128*'Quantification_Config'!$R$4),('Quantification_Results'!X128*'Quantification_Config'!$R$7),('Quantification_Results'!AJ128*'Quantification_Config'!$R$10),('Quantification_Results'!AV128*'Quantification_Config'!$R$13),('Quantification_Results'!BH128*'Quantification_Config'!$R$16))/SUM('Quantification_Config'!$R$4,'Quantification_Config'!$R$7,'Quantification_Config'!$R$10,'Quantification_Config'!$R$13,'Quantification_Config'!$R$16)),'Quantification_Config'!$U$2),""),"")</x:f>
      </x:c>
    </x:row>
    <x:row r="129">
      <x:c r="A129" t="n">
        <x:v>1</x:v>
      </x:c>
      <x:c r="B129" t="n">
        <x:v>5</x:v>
      </x:c>
      <x:c r="C129"/>
      <x:c r="D129" t="n">
        <x:f>IF(('Quantification_Results'!A129&lt;&gt;1),"",IF(('Quantification_Results'!C129=""),IF(ISNUMBER('Quantification_Results'!B129),IF(('Quantification_Results'!B129&lt;'Quantification_Config'!$S$6),"",IF(('Quantification_Results'!B129&gt;'Quantification_Config'!$T$6),"",'Quantification_Results'!B129)),""),IF(ISNUMBER('Quantification_Results'!C129),IF(('Quantification_Results'!C129&lt;'Quantification_Config'!$S$6),"",IF(('Quantification_Results'!C129&gt;'Quantification_Config'!$T$6),"",'Quantification_Results'!C129)),"")))</x:f>
        <x:v>5</x:v>
      </x:c>
      <x:c r="E129" t="n">
        <x:f>IF(ISNUMBER('Quantification_Results'!D129),IFERROR(ROUND(((('Quantification_Results'!D129-'Quantification_Config'!$S$6)/('Quantification_Config'!$T$6-'Quantification_Config'!$S$6))*100),'Quantification_Config'!$U$2),""),"")</x:f>
        <x:v>50</x:v>
      </x:c>
      <x:c r="F129" t="inlineStr">
        <x:is>
          <x:t xml:space="preserve">SYSTEM-TEST-ONLY-NO-NETWORK-NOT-AN-EDUCATIONAL-EVALUATION</x:t>
        </x:is>
      </x:c>
      <x:c r="G129" t="inlineStr">
        <x:is>
          <x:t xml:space="preserve"/>
        </x:is>
      </x:c>
      <x:c r="H129" t="inlineStr">
        <x:is>
          <x:t xml:space="preserve">NONE</x:t>
        </x:is>
      </x:c>
      <x:c r="I129" t="inlineStr">
        <x:is>
          <x:t xml:space="preserve"/>
        </x:is>
      </x:c>
      <x:c r="J129" t="inlineStr">
        <x:is>
          <x:t xml:space="preserve">SUCCESS</x:t>
        </x:is>
      </x:c>
      <x:c r="K129" t="n">
        <x:f>IF((COUNT('Quantification_Results'!E129)=1),IFERROR(ROUND((SUM(('Quantification_Results'!E129*'Quantification_Config'!$R$6))/SUM('Quantification_Config'!$R$6)),'Quantification_Config'!$U$2),""),"")</x:f>
        <x:v>50</x:v>
      </x:c>
      <x:c r="L129" t="n">
        <x:f>IF((COUNT('Quantification_Results'!K129)=1),IFERROR(ROUND((SUM(('Quantification_Results'!K129*'Quantification_Config'!$R$5))/SUM('Quantification_Config'!$R$5)),'Quantification_Config'!$U$2),""),"")</x:f>
        <x:v>50</x:v>
      </x:c>
      <x:c r="M129" t="n">
        <x:v>1</x:v>
      </x:c>
      <x:c r="N129" t="n">
        <x:v>5</x:v>
      </x:c>
      <x:c r="O129"/>
      <x:c r="P129" t="n">
        <x:f>IF(('Quantification_Results'!M129&lt;&gt;1),"",IF(('Quantification_Results'!O129=""),IF(ISNUMBER('Quantification_Results'!N129),IF(('Quantification_Results'!N129&lt;'Quantification_Config'!$S$9),"",IF(('Quantification_Results'!N129&gt;'Quantification_Config'!$T$9),"",'Quantification_Results'!N129)),""),IF(ISNUMBER('Quantification_Results'!O129),IF(('Quantification_Results'!O129&lt;'Quantification_Config'!$S$9),"",IF(('Quantification_Results'!O129&gt;'Quantification_Config'!$T$9),"",'Quantification_Results'!O129)),"")))</x:f>
        <x:v>5</x:v>
      </x:c>
      <x:c r="Q129" t="n">
        <x:f>IF(ISNUMBER('Quantification_Results'!P129),IFERROR(ROUND(((('Quantification_Results'!P129-'Quantification_Config'!$S$9)/('Quantification_Config'!$T$9-'Quantification_Config'!$S$9))*100),'Quantification_Config'!$U$2),""),"")</x:f>
        <x:v>50</x:v>
      </x:c>
      <x:c r="R129" t="inlineStr">
        <x:is>
          <x:t xml:space="preserve">SYSTEM-TEST-ONLY-NO-NETWORK-NOT-AN-EDUCATIONAL-EVALUATION</x:t>
        </x:is>
      </x:c>
      <x:c r="S129" t="inlineStr">
        <x:is>
          <x:t xml:space="preserve"/>
        </x:is>
      </x:c>
      <x:c r="T129" t="inlineStr">
        <x:is>
          <x:t xml:space="preserve">NONE</x:t>
        </x:is>
      </x:c>
      <x:c r="U129" t="inlineStr">
        <x:is>
          <x:t xml:space="preserve"/>
        </x:is>
      </x:c>
      <x:c r="V129" t="inlineStr">
        <x:is>
          <x:t xml:space="preserve">SUCCESS</x:t>
        </x:is>
      </x:c>
      <x:c r="W129" t="n">
        <x:f>IF((COUNT('Quantification_Results'!Q129)=1),IFERROR(ROUND((SUM(('Quantification_Results'!Q129*'Quantification_Config'!$R$9))/SUM('Quantification_Config'!$R$9)),'Quantification_Config'!$U$2),""),"")</x:f>
        <x:v>50</x:v>
      </x:c>
      <x:c r="X129" t="n">
        <x:f>IF((COUNT('Quantification_Results'!W129)=1),IFERROR(ROUND((SUM(('Quantification_Results'!W129*'Quantification_Config'!$R$8))/SUM('Quantification_Config'!$R$8)),'Quantification_Config'!$U$2),""),"")</x:f>
        <x:v>50</x:v>
      </x:c>
      <x:c r="Y129" t="n">
        <x:v>0</x:v>
      </x:c>
      <x:c r="Z129"/>
      <x:c r="AA129"/>
      <x:c r="AB129">
        <x:f>IF(('Quantification_Results'!Y129&lt;&gt;1),"",IF(('Quantification_Results'!AA129=""),IF(ISNUMBER('Quantification_Results'!Z129),IF(('Quantification_Results'!Z129&lt;'Quantification_Config'!$S$12),"",IF(('Quantification_Results'!Z129&gt;'Quantification_Config'!$T$12),"",'Quantification_Results'!Z129)),""),IF(ISNUMBER('Quantification_Results'!AA129),IF(('Quantification_Results'!AA129&lt;'Quantification_Config'!$S$12),"",IF(('Quantification_Results'!AA129&gt;'Quantification_Config'!$T$12),"",'Quantification_Results'!AA129)),"")))</x:f>
      </x:c>
      <x:c r="AC129">
        <x:f>IF(ISNUMBER('Quantification_Results'!AB129),IFERROR(ROUND(((('Quantification_Results'!AB129-'Quantification_Config'!$S$12)/('Quantification_Config'!$T$12-'Quantification_Config'!$S$12))*100),'Quantification_Config'!$U$2),""),"")</x:f>
      </x:c>
      <x:c r="AD129" t="inlineStr">
        <x:is>
          <x:t xml:space="preserve"/>
        </x:is>
      </x:c>
      <x:c r="AE129" t="inlineStr">
        <x:is>
          <x:t xml:space="preserve"/>
        </x:is>
      </x:c>
      <x:c r="AF129" t="inlineStr">
        <x:is>
          <x:t xml:space="preserve"/>
        </x:is>
      </x:c>
      <x:c r="AG129" t="inlineStr">
        <x:is>
          <x:t xml:space="preserve"/>
        </x:is>
      </x:c>
      <x:c r="AH129" t="inlineStr">
        <x:is>
          <x:t xml:space="preserve">EMPTY</x:t>
        </x:is>
      </x:c>
      <x:c r="AI129">
        <x:f>IF((COUNT('Quantification_Results'!AC129)=1),IFERROR(ROUND((SUM(('Quantification_Results'!AC129*'Quantification_Config'!$R$12))/SUM('Quantification_Config'!$R$12)),'Quantification_Config'!$U$2),""),"")</x:f>
      </x:c>
      <x:c r="AJ129">
        <x:f>IF((COUNT('Quantification_Results'!AI129)=1),IFERROR(ROUND((SUM(('Quantification_Results'!AI129*'Quantification_Config'!$R$11))/SUM('Quantification_Config'!$R$11)),'Quantification_Config'!$U$2),""),"")</x:f>
      </x:c>
      <x:c r="AK129" t="n">
        <x:v>1</x:v>
      </x:c>
      <x:c r="AL129" t="n">
        <x:v>5</x:v>
      </x:c>
      <x:c r="AM129"/>
      <x:c r="AN129" t="n">
        <x:f>IF(('Quantification_Results'!AK129&lt;&gt;1),"",IF(('Quantification_Results'!AM129=""),IF(ISNUMBER('Quantification_Results'!AL129),IF(('Quantification_Results'!AL129&lt;'Quantification_Config'!$S$15),"",IF(('Quantification_Results'!AL129&gt;'Quantification_Config'!$T$15),"",'Quantification_Results'!AL129)),""),IF(ISNUMBER('Quantification_Results'!AM129),IF(('Quantification_Results'!AM129&lt;'Quantification_Config'!$S$15),"",IF(('Quantification_Results'!AM129&gt;'Quantification_Config'!$T$15),"",'Quantification_Results'!AM129)),"")))</x:f>
        <x:v>5</x:v>
      </x:c>
      <x:c r="AO129" t="n">
        <x:f>IF(ISNUMBER('Quantification_Results'!AN129),IFERROR(ROUND(((('Quantification_Results'!AN129-'Quantification_Config'!$S$15)/('Quantification_Config'!$T$15-'Quantification_Config'!$S$15))*100),'Quantification_Config'!$U$2),""),"")</x:f>
        <x:v>50</x:v>
      </x:c>
      <x:c r="AP129" t="inlineStr">
        <x:is>
          <x:t xml:space="preserve">SYSTEM-TEST-ONLY-NO-NETWORK-NOT-AN-EDUCATIONAL-EVALUATION</x:t>
        </x:is>
      </x:c>
      <x:c r="AQ129" t="inlineStr">
        <x:is>
          <x:t xml:space="preserve"/>
        </x:is>
      </x:c>
      <x:c r="AR129" t="inlineStr">
        <x:is>
          <x:t xml:space="preserve">NONE</x:t>
        </x:is>
      </x:c>
      <x:c r="AS129" t="inlineStr">
        <x:is>
          <x:t xml:space="preserve"/>
        </x:is>
      </x:c>
      <x:c r="AT129" t="inlineStr">
        <x:is>
          <x:t xml:space="preserve">SUCCESS</x:t>
        </x:is>
      </x:c>
      <x:c r="AU129" t="n">
        <x:f>IF((COUNT('Quantification_Results'!AO129)=1),IFERROR(ROUND((SUM(('Quantification_Results'!AO129*'Quantification_Config'!$R$15))/SUM('Quantification_Config'!$R$15)),'Quantification_Config'!$U$2),""),"")</x:f>
        <x:v>50</x:v>
      </x:c>
      <x:c r="AV129" t="n">
        <x:f>IF((COUNT('Quantification_Results'!AU129)=1),IFERROR(ROUND((SUM(('Quantification_Results'!AU129*'Quantification_Config'!$R$14))/SUM('Quantification_Config'!$R$14)),'Quantification_Config'!$U$2),""),"")</x:f>
        <x:v>50</x:v>
      </x:c>
      <x:c r="AW129" t="n">
        <x:v>0</x:v>
      </x:c>
      <x:c r="AX129"/>
      <x:c r="AY129"/>
      <x:c r="AZ129">
        <x:f>IF(('Quantification_Results'!AW129&lt;&gt;1),"",IF(('Quantification_Results'!AY129=""),IF(ISNUMBER('Quantification_Results'!AX129),IF(('Quantification_Results'!AX129&lt;'Quantification_Config'!$S$19),"",IF(('Quantification_Results'!AX129&gt;'Quantification_Config'!$T$19),"",'Quantification_Results'!AX129)),""),IF(ISNUMBER('Quantification_Results'!AY129),IF(('Quantification_Results'!AY129&lt;'Quantification_Config'!$S$19),"",IF(('Quantification_Results'!AY129&gt;'Quantification_Config'!$T$19),"",'Quantification_Results'!AY129)),"")))</x:f>
      </x:c>
      <x:c r="BA129">
        <x:f>IF(ISNUMBER('Quantification_Results'!AZ129),IFERROR(ROUND(((('Quantification_Results'!AZ129-'Quantification_Config'!$S$19)/('Quantification_Config'!$T$19-'Quantification_Config'!$S$19))*100),'Quantification_Config'!$U$2),""),"")</x:f>
      </x:c>
      <x:c r="BB129" t="inlineStr">
        <x:is>
          <x:t xml:space="preserve"/>
        </x:is>
      </x:c>
      <x:c r="BC129" t="inlineStr">
        <x:is>
          <x:t xml:space="preserve"/>
        </x:is>
      </x:c>
      <x:c r="BD129" t="inlineStr">
        <x:is>
          <x:t xml:space="preserve"/>
        </x:is>
      </x:c>
      <x:c r="BE129" t="inlineStr">
        <x:is>
          <x:t xml:space="preserve"/>
        </x:is>
      </x:c>
      <x:c r="BF129" t="inlineStr">
        <x:is>
          <x:t xml:space="preserve">EMPTY</x:t>
        </x:is>
      </x:c>
      <x:c r="BG129">
        <x:f>IF((COUNT('Quantification_Results'!BA129)=1),IFERROR(ROUND((SUM(('Quantification_Results'!BA129*'Quantification_Config'!$R$19))/SUM('Quantification_Config'!$R$19)),'Quantification_Config'!$U$2),""),"")</x:f>
      </x:c>
      <x:c r="BH129">
        <x:f>IF((COUNT('Quantification_Results'!BG129)=1),IFERROR(ROUND((SUM(('Quantification_Results'!BG129*'Quantification_Config'!$R$18))/SUM('Quantification_Config'!$R$18)),'Quantification_Config'!$U$2),""),"")</x:f>
      </x:c>
      <x:c r="BI129">
        <x:f>IF((COUNT('Quantification_Results'!L129,'Quantification_Results'!X129,'Quantification_Results'!AJ129,'Quantification_Results'!AV129,'Quantification_Results'!BH129)=5),IFERROR(ROUND((SUM(('Quantification_Results'!L129*'Quantification_Config'!$R$4),('Quantification_Results'!X129*'Quantification_Config'!$R$7),('Quantification_Results'!AJ129*'Quantification_Config'!$R$10),('Quantification_Results'!AV129*'Quantification_Config'!$R$13),('Quantification_Results'!BH129*'Quantification_Config'!$R$16))/SUM('Quantification_Config'!$R$4,'Quantification_Config'!$R$7,'Quantification_Config'!$R$10,'Quantification_Config'!$R$13,'Quantification_Config'!$R$16)),'Quantification_Config'!$U$2),""),"")</x:f>
      </x:c>
    </x:row>
    <x:row r="130">
      <x:c r="A130" t="n">
        <x:v>1</x:v>
      </x:c>
      <x:c r="B130" t="n">
        <x:v>5</x:v>
      </x:c>
      <x:c r="C130"/>
      <x:c r="D130" t="n">
        <x:f>IF(('Quantification_Results'!A130&lt;&gt;1),"",IF(('Quantification_Results'!C130=""),IF(ISNUMBER('Quantification_Results'!B130),IF(('Quantification_Results'!B130&lt;'Quantification_Config'!$S$6),"",IF(('Quantification_Results'!B130&gt;'Quantification_Config'!$T$6),"",'Quantification_Results'!B130)),""),IF(ISNUMBER('Quantification_Results'!C130),IF(('Quantification_Results'!C130&lt;'Quantification_Config'!$S$6),"",IF(('Quantification_Results'!C130&gt;'Quantification_Config'!$T$6),"",'Quantification_Results'!C130)),"")))</x:f>
        <x:v>5</x:v>
      </x:c>
      <x:c r="E130" t="n">
        <x:f>IF(ISNUMBER('Quantification_Results'!D130),IFERROR(ROUND(((('Quantification_Results'!D130-'Quantification_Config'!$S$6)/('Quantification_Config'!$T$6-'Quantification_Config'!$S$6))*100),'Quantification_Config'!$U$2),""),"")</x:f>
        <x:v>50</x:v>
      </x:c>
      <x:c r="F130" t="inlineStr">
        <x:is>
          <x:t xml:space="preserve">SYSTEM-TEST-ONLY-NO-NETWORK-NOT-AN-EDUCATIONAL-EVALUATION</x:t>
        </x:is>
      </x:c>
      <x:c r="G130" t="inlineStr">
        <x:is>
          <x:t xml:space="preserve"/>
        </x:is>
      </x:c>
      <x:c r="H130" t="inlineStr">
        <x:is>
          <x:t xml:space="preserve">NONE</x:t>
        </x:is>
      </x:c>
      <x:c r="I130" t="inlineStr">
        <x:is>
          <x:t xml:space="preserve"/>
        </x:is>
      </x:c>
      <x:c r="J130" t="inlineStr">
        <x:is>
          <x:t xml:space="preserve">SUCCESS</x:t>
        </x:is>
      </x:c>
      <x:c r="K130" t="n">
        <x:f>IF((COUNT('Quantification_Results'!E130)=1),IFERROR(ROUND((SUM(('Quantification_Results'!E130*'Quantification_Config'!$R$6))/SUM('Quantification_Config'!$R$6)),'Quantification_Config'!$U$2),""),"")</x:f>
        <x:v>50</x:v>
      </x:c>
      <x:c r="L130" t="n">
        <x:f>IF((COUNT('Quantification_Results'!K130)=1),IFERROR(ROUND((SUM(('Quantification_Results'!K130*'Quantification_Config'!$R$5))/SUM('Quantification_Config'!$R$5)),'Quantification_Config'!$U$2),""),"")</x:f>
        <x:v>50</x:v>
      </x:c>
      <x:c r="M130" t="n">
        <x:v>1</x:v>
      </x:c>
      <x:c r="N130" t="n">
        <x:v>5</x:v>
      </x:c>
      <x:c r="O130"/>
      <x:c r="P130" t="n">
        <x:f>IF(('Quantification_Results'!M130&lt;&gt;1),"",IF(('Quantification_Results'!O130=""),IF(ISNUMBER('Quantification_Results'!N130),IF(('Quantification_Results'!N130&lt;'Quantification_Config'!$S$9),"",IF(('Quantification_Results'!N130&gt;'Quantification_Config'!$T$9),"",'Quantification_Results'!N130)),""),IF(ISNUMBER('Quantification_Results'!O130),IF(('Quantification_Results'!O130&lt;'Quantification_Config'!$S$9),"",IF(('Quantification_Results'!O130&gt;'Quantification_Config'!$T$9),"",'Quantification_Results'!O130)),"")))</x:f>
        <x:v>5</x:v>
      </x:c>
      <x:c r="Q130" t="n">
        <x:f>IF(ISNUMBER('Quantification_Results'!P130),IFERROR(ROUND(((('Quantification_Results'!P130-'Quantification_Config'!$S$9)/('Quantification_Config'!$T$9-'Quantification_Config'!$S$9))*100),'Quantification_Config'!$U$2),""),"")</x:f>
        <x:v>50</x:v>
      </x:c>
      <x:c r="R130" t="inlineStr">
        <x:is>
          <x:t xml:space="preserve">SYSTEM-TEST-ONLY-NO-NETWORK-NOT-AN-EDUCATIONAL-EVALUATION</x:t>
        </x:is>
      </x:c>
      <x:c r="S130" t="inlineStr">
        <x:is>
          <x:t xml:space="preserve"/>
        </x:is>
      </x:c>
      <x:c r="T130" t="inlineStr">
        <x:is>
          <x:t xml:space="preserve">NONE</x:t>
        </x:is>
      </x:c>
      <x:c r="U130" t="inlineStr">
        <x:is>
          <x:t xml:space="preserve"/>
        </x:is>
      </x:c>
      <x:c r="V130" t="inlineStr">
        <x:is>
          <x:t xml:space="preserve">SUCCESS</x:t>
        </x:is>
      </x:c>
      <x:c r="W130" t="n">
        <x:f>IF((COUNT('Quantification_Results'!Q130)=1),IFERROR(ROUND((SUM(('Quantification_Results'!Q130*'Quantification_Config'!$R$9))/SUM('Quantification_Config'!$R$9)),'Quantification_Config'!$U$2),""),"")</x:f>
        <x:v>50</x:v>
      </x:c>
      <x:c r="X130" t="n">
        <x:f>IF((COUNT('Quantification_Results'!W130)=1),IFERROR(ROUND((SUM(('Quantification_Results'!W130*'Quantification_Config'!$R$8))/SUM('Quantification_Config'!$R$8)),'Quantification_Config'!$U$2),""),"")</x:f>
        <x:v>50</x:v>
      </x:c>
      <x:c r="Y130" t="n">
        <x:v>1</x:v>
      </x:c>
      <x:c r="Z130" t="n">
        <x:v>5</x:v>
      </x:c>
      <x:c r="AA130"/>
      <x:c r="AB130" t="n">
        <x:f>IF(('Quantification_Results'!Y130&lt;&gt;1),"",IF(('Quantification_Results'!AA130=""),IF(ISNUMBER('Quantification_Results'!Z130),IF(('Quantification_Results'!Z130&lt;'Quantification_Config'!$S$12),"",IF(('Quantification_Results'!Z130&gt;'Quantification_Config'!$T$12),"",'Quantification_Results'!Z130)),""),IF(ISNUMBER('Quantification_Results'!AA130),IF(('Quantification_Results'!AA130&lt;'Quantification_Config'!$S$12),"",IF(('Quantification_Results'!AA130&gt;'Quantification_Config'!$T$12),"",'Quantification_Results'!AA130)),"")))</x:f>
        <x:v>5</x:v>
      </x:c>
      <x:c r="AC130" t="n">
        <x:f>IF(ISNUMBER('Quantification_Results'!AB130),IFERROR(ROUND(((('Quantification_Results'!AB130-'Quantification_Config'!$S$12)/('Quantification_Config'!$T$12-'Quantification_Config'!$S$12))*100),'Quantification_Config'!$U$2),""),"")</x:f>
        <x:v>50</x:v>
      </x:c>
      <x:c r="AD130" t="inlineStr">
        <x:is>
          <x:t xml:space="preserve">SYSTEM-TEST-ONLY-NO-NETWORK-NOT-AN-EDUCATIONAL-EVALUATION</x:t>
        </x:is>
      </x:c>
      <x:c r="AE130" t="inlineStr">
        <x:is>
          <x:t xml:space="preserve"/>
        </x:is>
      </x:c>
      <x:c r="AF130" t="inlineStr">
        <x:is>
          <x:t xml:space="preserve">NONE</x:t>
        </x:is>
      </x:c>
      <x:c r="AG130" t="inlineStr">
        <x:is>
          <x:t xml:space="preserve"/>
        </x:is>
      </x:c>
      <x:c r="AH130" t="inlineStr">
        <x:is>
          <x:t xml:space="preserve">SUCCESS</x:t>
        </x:is>
      </x:c>
      <x:c r="AI130" t="n">
        <x:f>IF((COUNT('Quantification_Results'!AC130)=1),IFERROR(ROUND((SUM(('Quantification_Results'!AC130*'Quantification_Config'!$R$12))/SUM('Quantification_Config'!$R$12)),'Quantification_Config'!$U$2),""),"")</x:f>
        <x:v>50</x:v>
      </x:c>
      <x:c r="AJ130" t="n">
        <x:f>IF((COUNT('Quantification_Results'!AI130)=1),IFERROR(ROUND((SUM(('Quantification_Results'!AI130*'Quantification_Config'!$R$11))/SUM('Quantification_Config'!$R$11)),'Quantification_Config'!$U$2),""),"")</x:f>
        <x:v>50</x:v>
      </x:c>
      <x:c r="AK130" t="n">
        <x:v>1</x:v>
      </x:c>
      <x:c r="AL130" t="n">
        <x:v>5</x:v>
      </x:c>
      <x:c r="AM130"/>
      <x:c r="AN130" t="n">
        <x:f>IF(('Quantification_Results'!AK130&lt;&gt;1),"",IF(('Quantification_Results'!AM130=""),IF(ISNUMBER('Quantification_Results'!AL130),IF(('Quantification_Results'!AL130&lt;'Quantification_Config'!$S$15),"",IF(('Quantification_Results'!AL130&gt;'Quantification_Config'!$T$15),"",'Quantification_Results'!AL130)),""),IF(ISNUMBER('Quantification_Results'!AM130),IF(('Quantification_Results'!AM130&lt;'Quantification_Config'!$S$15),"",IF(('Quantification_Results'!AM130&gt;'Quantification_Config'!$T$15),"",'Quantification_Results'!AM130)),"")))</x:f>
        <x:v>5</x:v>
      </x:c>
      <x:c r="AO130" t="n">
        <x:f>IF(ISNUMBER('Quantification_Results'!AN130),IFERROR(ROUND(((('Quantification_Results'!AN130-'Quantification_Config'!$S$15)/('Quantification_Config'!$T$15-'Quantification_Config'!$S$15))*100),'Quantification_Config'!$U$2),""),"")</x:f>
        <x:v>50</x:v>
      </x:c>
      <x:c r="AP130" t="inlineStr">
        <x:is>
          <x:t xml:space="preserve">SYSTEM-TEST-ONLY-NO-NETWORK-NOT-AN-EDUCATIONAL-EVALUATION</x:t>
        </x:is>
      </x:c>
      <x:c r="AQ130" t="inlineStr">
        <x:is>
          <x:t xml:space="preserve"/>
        </x:is>
      </x:c>
      <x:c r="AR130" t="inlineStr">
        <x:is>
          <x:t xml:space="preserve">NONE</x:t>
        </x:is>
      </x:c>
      <x:c r="AS130" t="inlineStr">
        <x:is>
          <x:t xml:space="preserve"/>
        </x:is>
      </x:c>
      <x:c r="AT130" t="inlineStr">
        <x:is>
          <x:t xml:space="preserve">SUCCESS</x:t>
        </x:is>
      </x:c>
      <x:c r="AU130" t="n">
        <x:f>IF((COUNT('Quantification_Results'!AO130)=1),IFERROR(ROUND((SUM(('Quantification_Results'!AO130*'Quantification_Config'!$R$15))/SUM('Quantification_Config'!$R$15)),'Quantification_Config'!$U$2),""),"")</x:f>
        <x:v>50</x:v>
      </x:c>
      <x:c r="AV130" t="n">
        <x:f>IF((COUNT('Quantification_Results'!AU130)=1),IFERROR(ROUND((SUM(('Quantification_Results'!AU130*'Quantification_Config'!$R$14))/SUM('Quantification_Config'!$R$14)),'Quantification_Config'!$U$2),""),"")</x:f>
        <x:v>50</x:v>
      </x:c>
      <x:c r="AW130" t="n">
        <x:v>0</x:v>
      </x:c>
      <x:c r="AX130"/>
      <x:c r="AY130"/>
      <x:c r="AZ130">
        <x:f>IF(('Quantification_Results'!AW130&lt;&gt;1),"",IF(('Quantification_Results'!AY130=""),IF(ISNUMBER('Quantification_Results'!AX130),IF(('Quantification_Results'!AX130&lt;'Quantification_Config'!$S$19),"",IF(('Quantification_Results'!AX130&gt;'Quantification_Config'!$T$19),"",'Quantification_Results'!AX130)),""),IF(ISNUMBER('Quantification_Results'!AY130),IF(('Quantification_Results'!AY130&lt;'Quantification_Config'!$S$19),"",IF(('Quantification_Results'!AY130&gt;'Quantification_Config'!$T$19),"",'Quantification_Results'!AY130)),"")))</x:f>
      </x:c>
      <x:c r="BA130">
        <x:f>IF(ISNUMBER('Quantification_Results'!AZ130),IFERROR(ROUND(((('Quantification_Results'!AZ130-'Quantification_Config'!$S$19)/('Quantification_Config'!$T$19-'Quantification_Config'!$S$19))*100),'Quantification_Config'!$U$2),""),"")</x:f>
      </x:c>
      <x:c r="BB130" t="inlineStr">
        <x:is>
          <x:t xml:space="preserve"/>
        </x:is>
      </x:c>
      <x:c r="BC130" t="inlineStr">
        <x:is>
          <x:t xml:space="preserve"/>
        </x:is>
      </x:c>
      <x:c r="BD130" t="inlineStr">
        <x:is>
          <x:t xml:space="preserve"/>
        </x:is>
      </x:c>
      <x:c r="BE130" t="inlineStr">
        <x:is>
          <x:t xml:space="preserve"/>
        </x:is>
      </x:c>
      <x:c r="BF130" t="inlineStr">
        <x:is>
          <x:t xml:space="preserve">EMPTY</x:t>
        </x:is>
      </x:c>
      <x:c r="BG130">
        <x:f>IF((COUNT('Quantification_Results'!BA130)=1),IFERROR(ROUND((SUM(('Quantification_Results'!BA130*'Quantification_Config'!$R$19))/SUM('Quantification_Config'!$R$19)),'Quantification_Config'!$U$2),""),"")</x:f>
      </x:c>
      <x:c r="BH130">
        <x:f>IF((COUNT('Quantification_Results'!BG130)=1),IFERROR(ROUND((SUM(('Quantification_Results'!BG130*'Quantification_Config'!$R$18))/SUM('Quantification_Config'!$R$18)),'Quantification_Config'!$U$2),""),"")</x:f>
      </x:c>
      <x:c r="BI130">
        <x:f>IF((COUNT('Quantification_Results'!L130,'Quantification_Results'!X130,'Quantification_Results'!AJ130,'Quantification_Results'!AV130,'Quantification_Results'!BH130)=5),IFERROR(ROUND((SUM(('Quantification_Results'!L130*'Quantification_Config'!$R$4),('Quantification_Results'!X130*'Quantification_Config'!$R$7),('Quantification_Results'!AJ130*'Quantification_Config'!$R$10),('Quantification_Results'!AV130*'Quantification_Config'!$R$13),('Quantification_Results'!BH130*'Quantification_Config'!$R$16))/SUM('Quantification_Config'!$R$4,'Quantification_Config'!$R$7,'Quantification_Config'!$R$10,'Quantification_Config'!$R$13,'Quantification_Config'!$R$16)),'Quantification_Config'!$U$2),""),"")</x:f>
      </x:c>
    </x:row>
    <x:row r="131">
      <x:c r="A131" t="n">
        <x:v>1</x:v>
      </x:c>
      <x:c r="B131" t="n">
        <x:v>5</x:v>
      </x:c>
      <x:c r="C131"/>
      <x:c r="D131" t="n">
        <x:f>IF(('Quantification_Results'!A131&lt;&gt;1),"",IF(('Quantification_Results'!C131=""),IF(ISNUMBER('Quantification_Results'!B131),IF(('Quantification_Results'!B131&lt;'Quantification_Config'!$S$6),"",IF(('Quantification_Results'!B131&gt;'Quantification_Config'!$T$6),"",'Quantification_Results'!B131)),""),IF(ISNUMBER('Quantification_Results'!C131),IF(('Quantification_Results'!C131&lt;'Quantification_Config'!$S$6),"",IF(('Quantification_Results'!C131&gt;'Quantification_Config'!$T$6),"",'Quantification_Results'!C131)),"")))</x:f>
        <x:v>5</x:v>
      </x:c>
      <x:c r="E131" t="n">
        <x:f>IF(ISNUMBER('Quantification_Results'!D131),IFERROR(ROUND(((('Quantification_Results'!D131-'Quantification_Config'!$S$6)/('Quantification_Config'!$T$6-'Quantification_Config'!$S$6))*100),'Quantification_Config'!$U$2),""),"")</x:f>
        <x:v>50</x:v>
      </x:c>
      <x:c r="F131" t="inlineStr">
        <x:is>
          <x:t xml:space="preserve">SYSTEM-TEST-ONLY-NO-NETWORK-NOT-AN-EDUCATIONAL-EVALUATION</x:t>
        </x:is>
      </x:c>
      <x:c r="G131" t="inlineStr">
        <x:is>
          <x:t xml:space="preserve"/>
        </x:is>
      </x:c>
      <x:c r="H131" t="inlineStr">
        <x:is>
          <x:t xml:space="preserve">NONE</x:t>
        </x:is>
      </x:c>
      <x:c r="I131" t="inlineStr">
        <x:is>
          <x:t xml:space="preserve"/>
        </x:is>
      </x:c>
      <x:c r="J131" t="inlineStr">
        <x:is>
          <x:t xml:space="preserve">SUCCESS</x:t>
        </x:is>
      </x:c>
      <x:c r="K131" t="n">
        <x:f>IF((COUNT('Quantification_Results'!E131)=1),IFERROR(ROUND((SUM(('Quantification_Results'!E131*'Quantification_Config'!$R$6))/SUM('Quantification_Config'!$R$6)),'Quantification_Config'!$U$2),""),"")</x:f>
        <x:v>50</x:v>
      </x:c>
      <x:c r="L131" t="n">
        <x:f>IF((COUNT('Quantification_Results'!K131)=1),IFERROR(ROUND((SUM(('Quantification_Results'!K131*'Quantification_Config'!$R$5))/SUM('Quantification_Config'!$R$5)),'Quantification_Config'!$U$2),""),"")</x:f>
        <x:v>50</x:v>
      </x:c>
      <x:c r="M131" t="n">
        <x:v>1</x:v>
      </x:c>
      <x:c r="N131" t="n">
        <x:v>5</x:v>
      </x:c>
      <x:c r="O131"/>
      <x:c r="P131" t="n">
        <x:f>IF(('Quantification_Results'!M131&lt;&gt;1),"",IF(('Quantification_Results'!O131=""),IF(ISNUMBER('Quantification_Results'!N131),IF(('Quantification_Results'!N131&lt;'Quantification_Config'!$S$9),"",IF(('Quantification_Results'!N131&gt;'Quantification_Config'!$T$9),"",'Quantification_Results'!N131)),""),IF(ISNUMBER('Quantification_Results'!O131),IF(('Quantification_Results'!O131&lt;'Quantification_Config'!$S$9),"",IF(('Quantification_Results'!O131&gt;'Quantification_Config'!$T$9),"",'Quantification_Results'!O131)),"")))</x:f>
        <x:v>5</x:v>
      </x:c>
      <x:c r="Q131" t="n">
        <x:f>IF(ISNUMBER('Quantification_Results'!P131),IFERROR(ROUND(((('Quantification_Results'!P131-'Quantification_Config'!$S$9)/('Quantification_Config'!$T$9-'Quantification_Config'!$S$9))*100),'Quantification_Config'!$U$2),""),"")</x:f>
        <x:v>50</x:v>
      </x:c>
      <x:c r="R131" t="inlineStr">
        <x:is>
          <x:t xml:space="preserve">SYSTEM-TEST-ONLY-NO-NETWORK-NOT-AN-EDUCATIONAL-EVALUATION</x:t>
        </x:is>
      </x:c>
      <x:c r="S131" t="inlineStr">
        <x:is>
          <x:t xml:space="preserve"/>
        </x:is>
      </x:c>
      <x:c r="T131" t="inlineStr">
        <x:is>
          <x:t xml:space="preserve">NONE</x:t>
        </x:is>
      </x:c>
      <x:c r="U131" t="inlineStr">
        <x:is>
          <x:t xml:space="preserve"/>
        </x:is>
      </x:c>
      <x:c r="V131" t="inlineStr">
        <x:is>
          <x:t xml:space="preserve">SUCCESS</x:t>
        </x:is>
      </x:c>
      <x:c r="W131" t="n">
        <x:f>IF((COUNT('Quantification_Results'!Q131)=1),IFERROR(ROUND((SUM(('Quantification_Results'!Q131*'Quantification_Config'!$R$9))/SUM('Quantification_Config'!$R$9)),'Quantification_Config'!$U$2),""),"")</x:f>
        <x:v>50</x:v>
      </x:c>
      <x:c r="X131" t="n">
        <x:f>IF((COUNT('Quantification_Results'!W131)=1),IFERROR(ROUND((SUM(('Quantification_Results'!W131*'Quantification_Config'!$R$8))/SUM('Quantification_Config'!$R$8)),'Quantification_Config'!$U$2),""),"")</x:f>
        <x:v>50</x:v>
      </x:c>
      <x:c r="Y131" t="n">
        <x:v>1</x:v>
      </x:c>
      <x:c r="Z131" t="n">
        <x:v>5</x:v>
      </x:c>
      <x:c r="AA131"/>
      <x:c r="AB131" t="n">
        <x:f>IF(('Quantification_Results'!Y131&lt;&gt;1),"",IF(('Quantification_Results'!AA131=""),IF(ISNUMBER('Quantification_Results'!Z131),IF(('Quantification_Results'!Z131&lt;'Quantification_Config'!$S$12),"",IF(('Quantification_Results'!Z131&gt;'Quantification_Config'!$T$12),"",'Quantification_Results'!Z131)),""),IF(ISNUMBER('Quantification_Results'!AA131),IF(('Quantification_Results'!AA131&lt;'Quantification_Config'!$S$12),"",IF(('Quantification_Results'!AA131&gt;'Quantification_Config'!$T$12),"",'Quantification_Results'!AA131)),"")))</x:f>
        <x:v>5</x:v>
      </x:c>
      <x:c r="AC131" t="n">
        <x:f>IF(ISNUMBER('Quantification_Results'!AB131),IFERROR(ROUND(((('Quantification_Results'!AB131-'Quantification_Config'!$S$12)/('Quantification_Config'!$T$12-'Quantification_Config'!$S$12))*100),'Quantification_Config'!$U$2),""),"")</x:f>
        <x:v>50</x:v>
      </x:c>
      <x:c r="AD131" t="inlineStr">
        <x:is>
          <x:t xml:space="preserve">SYSTEM-TEST-ONLY-NO-NETWORK-NOT-AN-EDUCATIONAL-EVALUATION</x:t>
        </x:is>
      </x:c>
      <x:c r="AE131" t="inlineStr">
        <x:is>
          <x:t xml:space="preserve"/>
        </x:is>
      </x:c>
      <x:c r="AF131" t="inlineStr">
        <x:is>
          <x:t xml:space="preserve">NONE</x:t>
        </x:is>
      </x:c>
      <x:c r="AG131" t="inlineStr">
        <x:is>
          <x:t xml:space="preserve"/>
        </x:is>
      </x:c>
      <x:c r="AH131" t="inlineStr">
        <x:is>
          <x:t xml:space="preserve">SUCCESS</x:t>
        </x:is>
      </x:c>
      <x:c r="AI131" t="n">
        <x:f>IF((COUNT('Quantification_Results'!AC131)=1),IFERROR(ROUND((SUM(('Quantification_Results'!AC131*'Quantification_Config'!$R$12))/SUM('Quantification_Config'!$R$12)),'Quantification_Config'!$U$2),""),"")</x:f>
        <x:v>50</x:v>
      </x:c>
      <x:c r="AJ131" t="n">
        <x:f>IF((COUNT('Quantification_Results'!AI131)=1),IFERROR(ROUND((SUM(('Quantification_Results'!AI131*'Quantification_Config'!$R$11))/SUM('Quantification_Config'!$R$11)),'Quantification_Config'!$U$2),""),"")</x:f>
        <x:v>50</x:v>
      </x:c>
      <x:c r="AK131" t="n">
        <x:v>1</x:v>
      </x:c>
      <x:c r="AL131" t="n">
        <x:v>5</x:v>
      </x:c>
      <x:c r="AM131"/>
      <x:c r="AN131" t="n">
        <x:f>IF(('Quantification_Results'!AK131&lt;&gt;1),"",IF(('Quantification_Results'!AM131=""),IF(ISNUMBER('Quantification_Results'!AL131),IF(('Quantification_Results'!AL131&lt;'Quantification_Config'!$S$15),"",IF(('Quantification_Results'!AL131&gt;'Quantification_Config'!$T$15),"",'Quantification_Results'!AL131)),""),IF(ISNUMBER('Quantification_Results'!AM131),IF(('Quantification_Results'!AM131&lt;'Quantification_Config'!$S$15),"",IF(('Quantification_Results'!AM131&gt;'Quantification_Config'!$T$15),"",'Quantification_Results'!AM131)),"")))</x:f>
        <x:v>5</x:v>
      </x:c>
      <x:c r="AO131" t="n">
        <x:f>IF(ISNUMBER('Quantification_Results'!AN131),IFERROR(ROUND(((('Quantification_Results'!AN131-'Quantification_Config'!$S$15)/('Quantification_Config'!$T$15-'Quantification_Config'!$S$15))*100),'Quantification_Config'!$U$2),""),"")</x:f>
        <x:v>50</x:v>
      </x:c>
      <x:c r="AP131" t="inlineStr">
        <x:is>
          <x:t xml:space="preserve">SYSTEM-TEST-ONLY-NO-NETWORK-NOT-AN-EDUCATIONAL-EVALUATION</x:t>
        </x:is>
      </x:c>
      <x:c r="AQ131" t="inlineStr">
        <x:is>
          <x:t xml:space="preserve"/>
        </x:is>
      </x:c>
      <x:c r="AR131" t="inlineStr">
        <x:is>
          <x:t xml:space="preserve">NONE</x:t>
        </x:is>
      </x:c>
      <x:c r="AS131" t="inlineStr">
        <x:is>
          <x:t xml:space="preserve"/>
        </x:is>
      </x:c>
      <x:c r="AT131" t="inlineStr">
        <x:is>
          <x:t xml:space="preserve">SUCCESS</x:t>
        </x:is>
      </x:c>
      <x:c r="AU131" t="n">
        <x:f>IF((COUNT('Quantification_Results'!AO131)=1),IFERROR(ROUND((SUM(('Quantification_Results'!AO131*'Quantification_Config'!$R$15))/SUM('Quantification_Config'!$R$15)),'Quantification_Config'!$U$2),""),"")</x:f>
        <x:v>50</x:v>
      </x:c>
      <x:c r="AV131" t="n">
        <x:f>IF((COUNT('Quantification_Results'!AU131)=1),IFERROR(ROUND((SUM(('Quantification_Results'!AU131*'Quantification_Config'!$R$14))/SUM('Quantification_Config'!$R$14)),'Quantification_Config'!$U$2),""),"")</x:f>
        <x:v>50</x:v>
      </x:c>
      <x:c r="AW131" t="n">
        <x:v>1</x:v>
      </x:c>
      <x:c r="AX131" t="n">
        <x:v>5</x:v>
      </x:c>
      <x:c r="AY131"/>
      <x:c r="AZ131" t="n">
        <x:f>IF(('Quantification_Results'!AW131&lt;&gt;1),"",IF(('Quantification_Results'!AY131=""),IF(ISNUMBER('Quantification_Results'!AX131),IF(('Quantification_Results'!AX131&lt;'Quantification_Config'!$S$19),"",IF(('Quantification_Results'!AX131&gt;'Quantification_Config'!$T$19),"",'Quantification_Results'!AX131)),""),IF(ISNUMBER('Quantification_Results'!AY131),IF(('Quantification_Results'!AY131&lt;'Quantification_Config'!$S$19),"",IF(('Quantification_Results'!AY131&gt;'Quantification_Config'!$T$19),"",'Quantification_Results'!AY131)),"")))</x:f>
        <x:v>5</x:v>
      </x:c>
      <x:c r="BA131" t="n">
        <x:f>IF(ISNUMBER('Quantification_Results'!AZ131),IFERROR(ROUND(((('Quantification_Results'!AZ131-'Quantification_Config'!$S$19)/('Quantification_Config'!$T$19-'Quantification_Config'!$S$19))*100),'Quantification_Config'!$U$2),""),"")</x:f>
        <x:v>50</x:v>
      </x:c>
      <x:c r="BB131" t="inlineStr">
        <x:is>
          <x:t xml:space="preserve">SYSTEM-TEST-ONLY-NO-NETWORK-NOT-AN-EDUCATIONAL-EVALUATION</x:t>
        </x:is>
      </x:c>
      <x:c r="BC131" t="inlineStr">
        <x:is>
          <x:t xml:space="preserve"/>
        </x:is>
      </x:c>
      <x:c r="BD131" t="inlineStr">
        <x:is>
          <x:t xml:space="preserve">NONE</x:t>
        </x:is>
      </x:c>
      <x:c r="BE131" t="inlineStr">
        <x:is>
          <x:t xml:space="preserve"/>
        </x:is>
      </x:c>
      <x:c r="BF131" t="inlineStr">
        <x:is>
          <x:t xml:space="preserve">SUCCESS</x:t>
        </x:is>
      </x:c>
      <x:c r="BG131" t="n">
        <x:f>IF((COUNT('Quantification_Results'!BA131)=1),IFERROR(ROUND((SUM(('Quantification_Results'!BA131*'Quantification_Config'!$R$19))/SUM('Quantification_Config'!$R$19)),'Quantification_Config'!$U$2),""),"")</x:f>
        <x:v>50</x:v>
      </x:c>
      <x:c r="BH131" t="n">
        <x:f>IF((COUNT('Quantification_Results'!BG131)=1),IFERROR(ROUND((SUM(('Quantification_Results'!BG131*'Quantification_Config'!$R$18))/SUM('Quantification_Config'!$R$18)),'Quantification_Config'!$U$2),""),"")</x:f>
        <x:v>50</x:v>
      </x:c>
      <x:c r="BI131" t="n">
        <x:f>IF((COUNT('Quantification_Results'!L131,'Quantification_Results'!X131,'Quantification_Results'!AJ131,'Quantification_Results'!AV131,'Quantification_Results'!BH131)=5),IFERROR(ROUND((SUM(('Quantification_Results'!L131*'Quantification_Config'!$R$4),('Quantification_Results'!X131*'Quantification_Config'!$R$7),('Quantification_Results'!AJ131*'Quantification_Config'!$R$10),('Quantification_Results'!AV131*'Quantification_Config'!$R$13),('Quantification_Results'!BH131*'Quantification_Config'!$R$16))/SUM('Quantification_Config'!$R$4,'Quantification_Config'!$R$7,'Quantification_Config'!$R$10,'Quantification_Config'!$R$13,'Quantification_Config'!$R$16)),'Quantification_Config'!$U$2),""),"")</x:f>
        <x:v>50</x:v>
      </x:c>
    </x:row>
    <x:row r="132">
      <x:c r="A132" t="n">
        <x:v>1</x:v>
      </x:c>
      <x:c r="B132" t="n">
        <x:v>5</x:v>
      </x:c>
      <x:c r="C132"/>
      <x:c r="D132" t="n">
        <x:f>IF(('Quantification_Results'!A132&lt;&gt;1),"",IF(('Quantification_Results'!C132=""),IF(ISNUMBER('Quantification_Results'!B132),IF(('Quantification_Results'!B132&lt;'Quantification_Config'!$S$6),"",IF(('Quantification_Results'!B132&gt;'Quantification_Config'!$T$6),"",'Quantification_Results'!B132)),""),IF(ISNUMBER('Quantification_Results'!C132),IF(('Quantification_Results'!C132&lt;'Quantification_Config'!$S$6),"",IF(('Quantification_Results'!C132&gt;'Quantification_Config'!$T$6),"",'Quantification_Results'!C132)),"")))</x:f>
        <x:v>5</x:v>
      </x:c>
      <x:c r="E132" t="n">
        <x:f>IF(ISNUMBER('Quantification_Results'!D132),IFERROR(ROUND(((('Quantification_Results'!D132-'Quantification_Config'!$S$6)/('Quantification_Config'!$T$6-'Quantification_Config'!$S$6))*100),'Quantification_Config'!$U$2),""),"")</x:f>
        <x:v>50</x:v>
      </x:c>
      <x:c r="F132" t="inlineStr">
        <x:is>
          <x:t xml:space="preserve">SYSTEM-TEST-ONLY-NO-NETWORK-NOT-AN-EDUCATIONAL-EVALUATION</x:t>
        </x:is>
      </x:c>
      <x:c r="G132" t="inlineStr">
        <x:is>
          <x:t xml:space="preserve"/>
        </x:is>
      </x:c>
      <x:c r="H132" t="inlineStr">
        <x:is>
          <x:t xml:space="preserve">NONE</x:t>
        </x:is>
      </x:c>
      <x:c r="I132" t="inlineStr">
        <x:is>
          <x:t xml:space="preserve"/>
        </x:is>
      </x:c>
      <x:c r="J132" t="inlineStr">
        <x:is>
          <x:t xml:space="preserve">SUCCESS</x:t>
        </x:is>
      </x:c>
      <x:c r="K132" t="n">
        <x:f>IF((COUNT('Quantification_Results'!E132)=1),IFERROR(ROUND((SUM(('Quantification_Results'!E132*'Quantification_Config'!$R$6))/SUM('Quantification_Config'!$R$6)),'Quantification_Config'!$U$2),""),"")</x:f>
        <x:v>50</x:v>
      </x:c>
      <x:c r="L132" t="n">
        <x:f>IF((COUNT('Quantification_Results'!K132)=1),IFERROR(ROUND((SUM(('Quantification_Results'!K132*'Quantification_Config'!$R$5))/SUM('Quantification_Config'!$R$5)),'Quantification_Config'!$U$2),""),"")</x:f>
        <x:v>50</x:v>
      </x:c>
      <x:c r="M132" t="n">
        <x:v>0</x:v>
      </x:c>
      <x:c r="N132"/>
      <x:c r="O132"/>
      <x:c r="P132">
        <x:f>IF(('Quantification_Results'!M132&lt;&gt;1),"",IF(('Quantification_Results'!O132=""),IF(ISNUMBER('Quantification_Results'!N132),IF(('Quantification_Results'!N132&lt;'Quantification_Config'!$S$9),"",IF(('Quantification_Results'!N132&gt;'Quantification_Config'!$T$9),"",'Quantification_Results'!N132)),""),IF(ISNUMBER('Quantification_Results'!O132),IF(('Quantification_Results'!O132&lt;'Quantification_Config'!$S$9),"",IF(('Quantification_Results'!O132&gt;'Quantification_Config'!$T$9),"",'Quantification_Results'!O132)),"")))</x:f>
      </x:c>
      <x:c r="Q132">
        <x:f>IF(ISNUMBER('Quantification_Results'!P132),IFERROR(ROUND(((('Quantification_Results'!P132-'Quantification_Config'!$S$9)/('Quantification_Config'!$T$9-'Quantification_Config'!$S$9))*100),'Quantification_Config'!$U$2),""),"")</x:f>
      </x:c>
      <x:c r="R132" t="inlineStr">
        <x:is>
          <x:t xml:space="preserve"/>
        </x:is>
      </x:c>
      <x:c r="S132" t="inlineStr">
        <x:is>
          <x:t xml:space="preserve"/>
        </x:is>
      </x:c>
      <x:c r="T132" t="inlineStr">
        <x:is>
          <x:t xml:space="preserve"/>
        </x:is>
      </x:c>
      <x:c r="U132" t="inlineStr">
        <x:is>
          <x:t xml:space="preserve"/>
        </x:is>
      </x:c>
      <x:c r="V132" t="inlineStr">
        <x:is>
          <x:t xml:space="preserve">EMPTY</x:t>
        </x:is>
      </x:c>
      <x:c r="W132">
        <x:f>IF((COUNT('Quantification_Results'!Q132)=1),IFERROR(ROUND((SUM(('Quantification_Results'!Q132*'Quantification_Config'!$R$9))/SUM('Quantification_Config'!$R$9)),'Quantification_Config'!$U$2),""),"")</x:f>
      </x:c>
      <x:c r="X132">
        <x:f>IF((COUNT('Quantification_Results'!W132)=1),IFERROR(ROUND((SUM(('Quantification_Results'!W132*'Quantification_Config'!$R$8))/SUM('Quantification_Config'!$R$8)),'Quantification_Config'!$U$2),""),"")</x:f>
      </x:c>
      <x:c r="Y132" t="n">
        <x:v>0</x:v>
      </x:c>
      <x:c r="Z132"/>
      <x:c r="AA132"/>
      <x:c r="AB132">
        <x:f>IF(('Quantification_Results'!Y132&lt;&gt;1),"",IF(('Quantification_Results'!AA132=""),IF(ISNUMBER('Quantification_Results'!Z132),IF(('Quantification_Results'!Z132&lt;'Quantification_Config'!$S$12),"",IF(('Quantification_Results'!Z132&gt;'Quantification_Config'!$T$12),"",'Quantification_Results'!Z132)),""),IF(ISNUMBER('Quantification_Results'!AA132),IF(('Quantification_Results'!AA132&lt;'Quantification_Config'!$S$12),"",IF(('Quantification_Results'!AA132&gt;'Quantification_Config'!$T$12),"",'Quantification_Results'!AA132)),"")))</x:f>
      </x:c>
      <x:c r="AC132">
        <x:f>IF(ISNUMBER('Quantification_Results'!AB132),IFERROR(ROUND(((('Quantification_Results'!AB132-'Quantification_Config'!$S$12)/('Quantification_Config'!$T$12-'Quantification_Config'!$S$12))*100),'Quantification_Config'!$U$2),""),"")</x:f>
      </x:c>
      <x:c r="AD132" t="inlineStr">
        <x:is>
          <x:t xml:space="preserve"/>
        </x:is>
      </x:c>
      <x:c r="AE132" t="inlineStr">
        <x:is>
          <x:t xml:space="preserve"/>
        </x:is>
      </x:c>
      <x:c r="AF132" t="inlineStr">
        <x:is>
          <x:t xml:space="preserve"/>
        </x:is>
      </x:c>
      <x:c r="AG132" t="inlineStr">
        <x:is>
          <x:t xml:space="preserve"/>
        </x:is>
      </x:c>
      <x:c r="AH132" t="inlineStr">
        <x:is>
          <x:t xml:space="preserve">EMPTY</x:t>
        </x:is>
      </x:c>
      <x:c r="AI132">
        <x:f>IF((COUNT('Quantification_Results'!AC132)=1),IFERROR(ROUND((SUM(('Quantification_Results'!AC132*'Quantification_Config'!$R$12))/SUM('Quantification_Config'!$R$12)),'Quantification_Config'!$U$2),""),"")</x:f>
      </x:c>
      <x:c r="AJ132">
        <x:f>IF((COUNT('Quantification_Results'!AI132)=1),IFERROR(ROUND((SUM(('Quantification_Results'!AI132*'Quantification_Config'!$R$11))/SUM('Quantification_Config'!$R$11)),'Quantification_Config'!$U$2),""),"")</x:f>
      </x:c>
      <x:c r="AK132" t="n">
        <x:v>1</x:v>
      </x:c>
      <x:c r="AL132" t="n">
        <x:v>5</x:v>
      </x:c>
      <x:c r="AM132"/>
      <x:c r="AN132" t="n">
        <x:f>IF(('Quantification_Results'!AK132&lt;&gt;1),"",IF(('Quantification_Results'!AM132=""),IF(ISNUMBER('Quantification_Results'!AL132),IF(('Quantification_Results'!AL132&lt;'Quantification_Config'!$S$15),"",IF(('Quantification_Results'!AL132&gt;'Quantification_Config'!$T$15),"",'Quantification_Results'!AL132)),""),IF(ISNUMBER('Quantification_Results'!AM132),IF(('Quantification_Results'!AM132&lt;'Quantification_Config'!$S$15),"",IF(('Quantification_Results'!AM132&gt;'Quantification_Config'!$T$15),"",'Quantification_Results'!AM132)),"")))</x:f>
        <x:v>5</x:v>
      </x:c>
      <x:c r="AO132" t="n">
        <x:f>IF(ISNUMBER('Quantification_Results'!AN132),IFERROR(ROUND(((('Quantification_Results'!AN132-'Quantification_Config'!$S$15)/('Quantification_Config'!$T$15-'Quantification_Config'!$S$15))*100),'Quantification_Config'!$U$2),""),"")</x:f>
        <x:v>50</x:v>
      </x:c>
      <x:c r="AP132" t="inlineStr">
        <x:is>
          <x:t xml:space="preserve">SYSTEM-TEST-ONLY-NO-NETWORK-NOT-AN-EDUCATIONAL-EVALUATION</x:t>
        </x:is>
      </x:c>
      <x:c r="AQ132" t="inlineStr">
        <x:is>
          <x:t xml:space="preserve"/>
        </x:is>
      </x:c>
      <x:c r="AR132" t="inlineStr">
        <x:is>
          <x:t xml:space="preserve">NONE</x:t>
        </x:is>
      </x:c>
      <x:c r="AS132" t="inlineStr">
        <x:is>
          <x:t xml:space="preserve"/>
        </x:is>
      </x:c>
      <x:c r="AT132" t="inlineStr">
        <x:is>
          <x:t xml:space="preserve">SUCCESS</x:t>
        </x:is>
      </x:c>
      <x:c r="AU132" t="n">
        <x:f>IF((COUNT('Quantification_Results'!AO132)=1),IFERROR(ROUND((SUM(('Quantification_Results'!AO132*'Quantification_Config'!$R$15))/SUM('Quantification_Config'!$R$15)),'Quantification_Config'!$U$2),""),"")</x:f>
        <x:v>50</x:v>
      </x:c>
      <x:c r="AV132" t="n">
        <x:f>IF((COUNT('Quantification_Results'!AU132)=1),IFERROR(ROUND((SUM(('Quantification_Results'!AU132*'Quantification_Config'!$R$14))/SUM('Quantification_Config'!$R$14)),'Quantification_Config'!$U$2),""),"")</x:f>
        <x:v>50</x:v>
      </x:c>
      <x:c r="AW132" t="n">
        <x:v>0</x:v>
      </x:c>
      <x:c r="AX132"/>
      <x:c r="AY132"/>
      <x:c r="AZ132">
        <x:f>IF(('Quantification_Results'!AW132&lt;&gt;1),"",IF(('Quantification_Results'!AY132=""),IF(ISNUMBER('Quantification_Results'!AX132),IF(('Quantification_Results'!AX132&lt;'Quantification_Config'!$S$19),"",IF(('Quantification_Results'!AX132&gt;'Quantification_Config'!$T$19),"",'Quantification_Results'!AX132)),""),IF(ISNUMBER('Quantification_Results'!AY132),IF(('Quantification_Results'!AY132&lt;'Quantification_Config'!$S$19),"",IF(('Quantification_Results'!AY132&gt;'Quantification_Config'!$T$19),"",'Quantification_Results'!AY132)),"")))</x:f>
      </x:c>
      <x:c r="BA132">
        <x:f>IF(ISNUMBER('Quantification_Results'!AZ132),IFERROR(ROUND(((('Quantification_Results'!AZ132-'Quantification_Config'!$S$19)/('Quantification_Config'!$T$19-'Quantification_Config'!$S$19))*100),'Quantification_Config'!$U$2),""),"")</x:f>
      </x:c>
      <x:c r="BB132" t="inlineStr">
        <x:is>
          <x:t xml:space="preserve"/>
        </x:is>
      </x:c>
      <x:c r="BC132" t="inlineStr">
        <x:is>
          <x:t xml:space="preserve"/>
        </x:is>
      </x:c>
      <x:c r="BD132" t="inlineStr">
        <x:is>
          <x:t xml:space="preserve"/>
        </x:is>
      </x:c>
      <x:c r="BE132" t="inlineStr">
        <x:is>
          <x:t xml:space="preserve"/>
        </x:is>
      </x:c>
      <x:c r="BF132" t="inlineStr">
        <x:is>
          <x:t xml:space="preserve">EMPTY</x:t>
        </x:is>
      </x:c>
      <x:c r="BG132">
        <x:f>IF((COUNT('Quantification_Results'!BA132)=1),IFERROR(ROUND((SUM(('Quantification_Results'!BA132*'Quantification_Config'!$R$19))/SUM('Quantification_Config'!$R$19)),'Quantification_Config'!$U$2),""),"")</x:f>
      </x:c>
      <x:c r="BH132">
        <x:f>IF((COUNT('Quantification_Results'!BG132)=1),IFERROR(ROUND((SUM(('Quantification_Results'!BG132*'Quantification_Config'!$R$18))/SUM('Quantification_Config'!$R$18)),'Quantification_Config'!$U$2),""),"")</x:f>
      </x:c>
      <x:c r="BI132">
        <x:f>IF((COUNT('Quantification_Results'!L132,'Quantification_Results'!X132,'Quantification_Results'!AJ132,'Quantification_Results'!AV132,'Quantification_Results'!BH132)=5),IFERROR(ROUND((SUM(('Quantification_Results'!L132*'Quantification_Config'!$R$4),('Quantification_Results'!X132*'Quantification_Config'!$R$7),('Quantification_Results'!AJ132*'Quantification_Config'!$R$10),('Quantification_Results'!AV132*'Quantification_Config'!$R$13),('Quantification_Results'!BH132*'Quantification_Config'!$R$16))/SUM('Quantification_Config'!$R$4,'Quantification_Config'!$R$7,'Quantification_Config'!$R$10,'Quantification_Config'!$R$13,'Quantification_Config'!$R$16)),'Quantification_Config'!$U$2),""),"")</x:f>
      </x:c>
    </x:row>
    <x:row r="133">
      <x:c r="A133" t="n">
        <x:v>1</x:v>
      </x:c>
      <x:c r="B133" t="n">
        <x:v>5</x:v>
      </x:c>
      <x:c r="C133"/>
      <x:c r="D133" t="n">
        <x:f>IF(('Quantification_Results'!A133&lt;&gt;1),"",IF(('Quantification_Results'!C133=""),IF(ISNUMBER('Quantification_Results'!B133),IF(('Quantification_Results'!B133&lt;'Quantification_Config'!$S$6),"",IF(('Quantification_Results'!B133&gt;'Quantification_Config'!$T$6),"",'Quantification_Results'!B133)),""),IF(ISNUMBER('Quantification_Results'!C133),IF(('Quantification_Results'!C133&lt;'Quantification_Config'!$S$6),"",IF(('Quantification_Results'!C133&gt;'Quantification_Config'!$T$6),"",'Quantification_Results'!C133)),"")))</x:f>
        <x:v>5</x:v>
      </x:c>
      <x:c r="E133" t="n">
        <x:f>IF(ISNUMBER('Quantification_Results'!D133),IFERROR(ROUND(((('Quantification_Results'!D133-'Quantification_Config'!$S$6)/('Quantification_Config'!$T$6-'Quantification_Config'!$S$6))*100),'Quantification_Config'!$U$2),""),"")</x:f>
        <x:v>50</x:v>
      </x:c>
      <x:c r="F133" t="inlineStr">
        <x:is>
          <x:t xml:space="preserve">SYSTEM-TEST-ONLY-NO-NETWORK-NOT-AN-EDUCATIONAL-EVALUATION</x:t>
        </x:is>
      </x:c>
      <x:c r="G133" t="inlineStr">
        <x:is>
          <x:t xml:space="preserve"/>
        </x:is>
      </x:c>
      <x:c r="H133" t="inlineStr">
        <x:is>
          <x:t xml:space="preserve">NONE</x:t>
        </x:is>
      </x:c>
      <x:c r="I133" t="inlineStr">
        <x:is>
          <x:t xml:space="preserve"/>
        </x:is>
      </x:c>
      <x:c r="J133" t="inlineStr">
        <x:is>
          <x:t xml:space="preserve">SUCCESS</x:t>
        </x:is>
      </x:c>
      <x:c r="K133" t="n">
        <x:f>IF((COUNT('Quantification_Results'!E133)=1),IFERROR(ROUND((SUM(('Quantification_Results'!E133*'Quantification_Config'!$R$6))/SUM('Quantification_Config'!$R$6)),'Quantification_Config'!$U$2),""),"")</x:f>
        <x:v>50</x:v>
      </x:c>
      <x:c r="L133" t="n">
        <x:f>IF((COUNT('Quantification_Results'!K133)=1),IFERROR(ROUND((SUM(('Quantification_Results'!K133*'Quantification_Config'!$R$5))/SUM('Quantification_Config'!$R$5)),'Quantification_Config'!$U$2),""),"")</x:f>
        <x:v>50</x:v>
      </x:c>
      <x:c r="M133" t="n">
        <x:v>1</x:v>
      </x:c>
      <x:c r="N133" t="n">
        <x:v>5</x:v>
      </x:c>
      <x:c r="O133"/>
      <x:c r="P133" t="n">
        <x:f>IF(('Quantification_Results'!M133&lt;&gt;1),"",IF(('Quantification_Results'!O133=""),IF(ISNUMBER('Quantification_Results'!N133),IF(('Quantification_Results'!N133&lt;'Quantification_Config'!$S$9),"",IF(('Quantification_Results'!N133&gt;'Quantification_Config'!$T$9),"",'Quantification_Results'!N133)),""),IF(ISNUMBER('Quantification_Results'!O133),IF(('Quantification_Results'!O133&lt;'Quantification_Config'!$S$9),"",IF(('Quantification_Results'!O133&gt;'Quantification_Config'!$T$9),"",'Quantification_Results'!O133)),"")))</x:f>
        <x:v>5</x:v>
      </x:c>
      <x:c r="Q133" t="n">
        <x:f>IF(ISNUMBER('Quantification_Results'!P133),IFERROR(ROUND(((('Quantification_Results'!P133-'Quantification_Config'!$S$9)/('Quantification_Config'!$T$9-'Quantification_Config'!$S$9))*100),'Quantification_Config'!$U$2),""),"")</x:f>
        <x:v>50</x:v>
      </x:c>
      <x:c r="R133" t="inlineStr">
        <x:is>
          <x:t xml:space="preserve">SYSTEM-TEST-ONLY-NO-NETWORK-NOT-AN-EDUCATIONAL-EVALUATION</x:t>
        </x:is>
      </x:c>
      <x:c r="S133" t="inlineStr">
        <x:is>
          <x:t xml:space="preserve"/>
        </x:is>
      </x:c>
      <x:c r="T133" t="inlineStr">
        <x:is>
          <x:t xml:space="preserve">NONE</x:t>
        </x:is>
      </x:c>
      <x:c r="U133" t="inlineStr">
        <x:is>
          <x:t xml:space="preserve"/>
        </x:is>
      </x:c>
      <x:c r="V133" t="inlineStr">
        <x:is>
          <x:t xml:space="preserve">SUCCESS</x:t>
        </x:is>
      </x:c>
      <x:c r="W133" t="n">
        <x:f>IF((COUNT('Quantification_Results'!Q133)=1),IFERROR(ROUND((SUM(('Quantification_Results'!Q133*'Quantification_Config'!$R$9))/SUM('Quantification_Config'!$R$9)),'Quantification_Config'!$U$2),""),"")</x:f>
        <x:v>50</x:v>
      </x:c>
      <x:c r="X133" t="n">
        <x:f>IF((COUNT('Quantification_Results'!W133)=1),IFERROR(ROUND((SUM(('Quantification_Results'!W133*'Quantification_Config'!$R$8))/SUM('Quantification_Config'!$R$8)),'Quantification_Config'!$U$2),""),"")</x:f>
        <x:v>50</x:v>
      </x:c>
      <x:c r="Y133" t="n">
        <x:v>0</x:v>
      </x:c>
      <x:c r="Z133"/>
      <x:c r="AA133"/>
      <x:c r="AB133">
        <x:f>IF(('Quantification_Results'!Y133&lt;&gt;1),"",IF(('Quantification_Results'!AA133=""),IF(ISNUMBER('Quantification_Results'!Z133),IF(('Quantification_Results'!Z133&lt;'Quantification_Config'!$S$12),"",IF(('Quantification_Results'!Z133&gt;'Quantification_Config'!$T$12),"",'Quantification_Results'!Z133)),""),IF(ISNUMBER('Quantification_Results'!AA133),IF(('Quantification_Results'!AA133&lt;'Quantification_Config'!$S$12),"",IF(('Quantification_Results'!AA133&gt;'Quantification_Config'!$T$12),"",'Quantification_Results'!AA133)),"")))</x:f>
      </x:c>
      <x:c r="AC133">
        <x:f>IF(ISNUMBER('Quantification_Results'!AB133),IFERROR(ROUND(((('Quantification_Results'!AB133-'Quantification_Config'!$S$12)/('Quantification_Config'!$T$12-'Quantification_Config'!$S$12))*100),'Quantification_Config'!$U$2),""),"")</x:f>
      </x:c>
      <x:c r="AD133" t="inlineStr">
        <x:is>
          <x:t xml:space="preserve"/>
        </x:is>
      </x:c>
      <x:c r="AE133" t="inlineStr">
        <x:is>
          <x:t xml:space="preserve"/>
        </x:is>
      </x:c>
      <x:c r="AF133" t="inlineStr">
        <x:is>
          <x:t xml:space="preserve"/>
        </x:is>
      </x:c>
      <x:c r="AG133" t="inlineStr">
        <x:is>
          <x:t xml:space="preserve"/>
        </x:is>
      </x:c>
      <x:c r="AH133" t="inlineStr">
        <x:is>
          <x:t xml:space="preserve">EMPTY</x:t>
        </x:is>
      </x:c>
      <x:c r="AI133">
        <x:f>IF((COUNT('Quantification_Results'!AC133)=1),IFERROR(ROUND((SUM(('Quantification_Results'!AC133*'Quantification_Config'!$R$12))/SUM('Quantification_Config'!$R$12)),'Quantification_Config'!$U$2),""),"")</x:f>
      </x:c>
      <x:c r="AJ133">
        <x:f>IF((COUNT('Quantification_Results'!AI133)=1),IFERROR(ROUND((SUM(('Quantification_Results'!AI133*'Quantification_Config'!$R$11))/SUM('Quantification_Config'!$R$11)),'Quantification_Config'!$U$2),""),"")</x:f>
      </x:c>
      <x:c r="AK133" t="n">
        <x:v>1</x:v>
      </x:c>
      <x:c r="AL133" t="n">
        <x:v>5</x:v>
      </x:c>
      <x:c r="AM133"/>
      <x:c r="AN133" t="n">
        <x:f>IF(('Quantification_Results'!AK133&lt;&gt;1),"",IF(('Quantification_Results'!AM133=""),IF(ISNUMBER('Quantification_Results'!AL133),IF(('Quantification_Results'!AL133&lt;'Quantification_Config'!$S$15),"",IF(('Quantification_Results'!AL133&gt;'Quantification_Config'!$T$15),"",'Quantification_Results'!AL133)),""),IF(ISNUMBER('Quantification_Results'!AM133),IF(('Quantification_Results'!AM133&lt;'Quantification_Config'!$S$15),"",IF(('Quantification_Results'!AM133&gt;'Quantification_Config'!$T$15),"",'Quantification_Results'!AM133)),"")))</x:f>
        <x:v>5</x:v>
      </x:c>
      <x:c r="AO133" t="n">
        <x:f>IF(ISNUMBER('Quantification_Results'!AN133),IFERROR(ROUND(((('Quantification_Results'!AN133-'Quantification_Config'!$S$15)/('Quantification_Config'!$T$15-'Quantification_Config'!$S$15))*100),'Quantification_Config'!$U$2),""),"")</x:f>
        <x:v>50</x:v>
      </x:c>
      <x:c r="AP133" t="inlineStr">
        <x:is>
          <x:t xml:space="preserve">SYSTEM-TEST-ONLY-NO-NETWORK-NOT-AN-EDUCATIONAL-EVALUATION</x:t>
        </x:is>
      </x:c>
      <x:c r="AQ133" t="inlineStr">
        <x:is>
          <x:t xml:space="preserve"/>
        </x:is>
      </x:c>
      <x:c r="AR133" t="inlineStr">
        <x:is>
          <x:t xml:space="preserve">NONE</x:t>
        </x:is>
      </x:c>
      <x:c r="AS133" t="inlineStr">
        <x:is>
          <x:t xml:space="preserve"/>
        </x:is>
      </x:c>
      <x:c r="AT133" t="inlineStr">
        <x:is>
          <x:t xml:space="preserve">SUCCESS</x:t>
        </x:is>
      </x:c>
      <x:c r="AU133" t="n">
        <x:f>IF((COUNT('Quantification_Results'!AO133)=1),IFERROR(ROUND((SUM(('Quantification_Results'!AO133*'Quantification_Config'!$R$15))/SUM('Quantification_Config'!$R$15)),'Quantification_Config'!$U$2),""),"")</x:f>
        <x:v>50</x:v>
      </x:c>
      <x:c r="AV133" t="n">
        <x:f>IF((COUNT('Quantification_Results'!AU133)=1),IFERROR(ROUND((SUM(('Quantification_Results'!AU133*'Quantification_Config'!$R$14))/SUM('Quantification_Config'!$R$14)),'Quantification_Config'!$U$2),""),"")</x:f>
        <x:v>50</x:v>
      </x:c>
      <x:c r="AW133" t="n">
        <x:v>1</x:v>
      </x:c>
      <x:c r="AX133" t="n">
        <x:v>5</x:v>
      </x:c>
      <x:c r="AY133"/>
      <x:c r="AZ133" t="n">
        <x:f>IF(('Quantification_Results'!AW133&lt;&gt;1),"",IF(('Quantification_Results'!AY133=""),IF(ISNUMBER('Quantification_Results'!AX133),IF(('Quantification_Results'!AX133&lt;'Quantification_Config'!$S$19),"",IF(('Quantification_Results'!AX133&gt;'Quantification_Config'!$T$19),"",'Quantification_Results'!AX133)),""),IF(ISNUMBER('Quantification_Results'!AY133),IF(('Quantification_Results'!AY133&lt;'Quantification_Config'!$S$19),"",IF(('Quantification_Results'!AY133&gt;'Quantification_Config'!$T$19),"",'Quantification_Results'!AY133)),"")))</x:f>
        <x:v>5</x:v>
      </x:c>
      <x:c r="BA133" t="n">
        <x:f>IF(ISNUMBER('Quantification_Results'!AZ133),IFERROR(ROUND(((('Quantification_Results'!AZ133-'Quantification_Config'!$S$19)/('Quantification_Config'!$T$19-'Quantification_Config'!$S$19))*100),'Quantification_Config'!$U$2),""),"")</x:f>
        <x:v>50</x:v>
      </x:c>
      <x:c r="BB133" t="inlineStr">
        <x:is>
          <x:t xml:space="preserve">SYSTEM-TEST-ONLY-NO-NETWORK-NOT-AN-EDUCATIONAL-EVALUATION</x:t>
        </x:is>
      </x:c>
      <x:c r="BC133" t="inlineStr">
        <x:is>
          <x:t xml:space="preserve"/>
        </x:is>
      </x:c>
      <x:c r="BD133" t="inlineStr">
        <x:is>
          <x:t xml:space="preserve">NONE</x:t>
        </x:is>
      </x:c>
      <x:c r="BE133" t="inlineStr">
        <x:is>
          <x:t xml:space="preserve"/>
        </x:is>
      </x:c>
      <x:c r="BF133" t="inlineStr">
        <x:is>
          <x:t xml:space="preserve">SUCCESS</x:t>
        </x:is>
      </x:c>
      <x:c r="BG133" t="n">
        <x:f>IF((COUNT('Quantification_Results'!BA133)=1),IFERROR(ROUND((SUM(('Quantification_Results'!BA133*'Quantification_Config'!$R$19))/SUM('Quantification_Config'!$R$19)),'Quantification_Config'!$U$2),""),"")</x:f>
        <x:v>50</x:v>
      </x:c>
      <x:c r="BH133" t="n">
        <x:f>IF((COUNT('Quantification_Results'!BG133)=1),IFERROR(ROUND((SUM(('Quantification_Results'!BG133*'Quantification_Config'!$R$18))/SUM('Quantification_Config'!$R$18)),'Quantification_Config'!$U$2),""),"")</x:f>
        <x:v>50</x:v>
      </x:c>
      <x:c r="BI133">
        <x:f>IF((COUNT('Quantification_Results'!L133,'Quantification_Results'!X133,'Quantification_Results'!AJ133,'Quantification_Results'!AV133,'Quantification_Results'!BH133)=5),IFERROR(ROUND((SUM(('Quantification_Results'!L133*'Quantification_Config'!$R$4),('Quantification_Results'!X133*'Quantification_Config'!$R$7),('Quantification_Results'!AJ133*'Quantification_Config'!$R$10),('Quantification_Results'!AV133*'Quantification_Config'!$R$13),('Quantification_Results'!BH133*'Quantification_Config'!$R$16))/SUM('Quantification_Config'!$R$4,'Quantification_Config'!$R$7,'Quantification_Config'!$R$10,'Quantification_Config'!$R$13,'Quantification_Config'!$R$16)),'Quantification_Config'!$U$2),""),"")</x:f>
      </x:c>
    </x:row>
    <x:row r="134">
      <x:c r="A134" t="n">
        <x:v>1</x:v>
      </x:c>
      <x:c r="B134" t="n">
        <x:v>5</x:v>
      </x:c>
      <x:c r="C134"/>
      <x:c r="D134" t="n">
        <x:f>IF(('Quantification_Results'!A134&lt;&gt;1),"",IF(('Quantification_Results'!C134=""),IF(ISNUMBER('Quantification_Results'!B134),IF(('Quantification_Results'!B134&lt;'Quantification_Config'!$S$6),"",IF(('Quantification_Results'!B134&gt;'Quantification_Config'!$T$6),"",'Quantification_Results'!B134)),""),IF(ISNUMBER('Quantification_Results'!C134),IF(('Quantification_Results'!C134&lt;'Quantification_Config'!$S$6),"",IF(('Quantification_Results'!C134&gt;'Quantification_Config'!$T$6),"",'Quantification_Results'!C134)),"")))</x:f>
        <x:v>5</x:v>
      </x:c>
      <x:c r="E134" t="n">
        <x:f>IF(ISNUMBER('Quantification_Results'!D134),IFERROR(ROUND(((('Quantification_Results'!D134-'Quantification_Config'!$S$6)/('Quantification_Config'!$T$6-'Quantification_Config'!$S$6))*100),'Quantification_Config'!$U$2),""),"")</x:f>
        <x:v>50</x:v>
      </x:c>
      <x:c r="F134" t="inlineStr">
        <x:is>
          <x:t xml:space="preserve">SYSTEM-TEST-ONLY-NO-NETWORK-NOT-AN-EDUCATIONAL-EVALUATION</x:t>
        </x:is>
      </x:c>
      <x:c r="G134" t="inlineStr">
        <x:is>
          <x:t xml:space="preserve"/>
        </x:is>
      </x:c>
      <x:c r="H134" t="inlineStr">
        <x:is>
          <x:t xml:space="preserve">NONE</x:t>
        </x:is>
      </x:c>
      <x:c r="I134" t="inlineStr">
        <x:is>
          <x:t xml:space="preserve"/>
        </x:is>
      </x:c>
      <x:c r="J134" t="inlineStr">
        <x:is>
          <x:t xml:space="preserve">SUCCESS</x:t>
        </x:is>
      </x:c>
      <x:c r="K134" t="n">
        <x:f>IF((COUNT('Quantification_Results'!E134)=1),IFERROR(ROUND((SUM(('Quantification_Results'!E134*'Quantification_Config'!$R$6))/SUM('Quantification_Config'!$R$6)),'Quantification_Config'!$U$2),""),"")</x:f>
        <x:v>50</x:v>
      </x:c>
      <x:c r="L134" t="n">
        <x:f>IF((COUNT('Quantification_Results'!K134)=1),IFERROR(ROUND((SUM(('Quantification_Results'!K134*'Quantification_Config'!$R$5))/SUM('Quantification_Config'!$R$5)),'Quantification_Config'!$U$2),""),"")</x:f>
        <x:v>50</x:v>
      </x:c>
      <x:c r="M134" t="n">
        <x:v>1</x:v>
      </x:c>
      <x:c r="N134" t="n">
        <x:v>5</x:v>
      </x:c>
      <x:c r="O134"/>
      <x:c r="P134" t="n">
        <x:f>IF(('Quantification_Results'!M134&lt;&gt;1),"",IF(('Quantification_Results'!O134=""),IF(ISNUMBER('Quantification_Results'!N134),IF(('Quantification_Results'!N134&lt;'Quantification_Config'!$S$9),"",IF(('Quantification_Results'!N134&gt;'Quantification_Config'!$T$9),"",'Quantification_Results'!N134)),""),IF(ISNUMBER('Quantification_Results'!O134),IF(('Quantification_Results'!O134&lt;'Quantification_Config'!$S$9),"",IF(('Quantification_Results'!O134&gt;'Quantification_Config'!$T$9),"",'Quantification_Results'!O134)),"")))</x:f>
        <x:v>5</x:v>
      </x:c>
      <x:c r="Q134" t="n">
        <x:f>IF(ISNUMBER('Quantification_Results'!P134),IFERROR(ROUND(((('Quantification_Results'!P134-'Quantification_Config'!$S$9)/('Quantification_Config'!$T$9-'Quantification_Config'!$S$9))*100),'Quantification_Config'!$U$2),""),"")</x:f>
        <x:v>50</x:v>
      </x:c>
      <x:c r="R134" t="inlineStr">
        <x:is>
          <x:t xml:space="preserve">SYSTEM-TEST-ONLY-NO-NETWORK-NOT-AN-EDUCATIONAL-EVALUATION</x:t>
        </x:is>
      </x:c>
      <x:c r="S134" t="inlineStr">
        <x:is>
          <x:t xml:space="preserve"/>
        </x:is>
      </x:c>
      <x:c r="T134" t="inlineStr">
        <x:is>
          <x:t xml:space="preserve">NONE</x:t>
        </x:is>
      </x:c>
      <x:c r="U134" t="inlineStr">
        <x:is>
          <x:t xml:space="preserve"/>
        </x:is>
      </x:c>
      <x:c r="V134" t="inlineStr">
        <x:is>
          <x:t xml:space="preserve">SUCCESS</x:t>
        </x:is>
      </x:c>
      <x:c r="W134" t="n">
        <x:f>IF((COUNT('Quantification_Results'!Q134)=1),IFERROR(ROUND((SUM(('Quantification_Results'!Q134*'Quantification_Config'!$R$9))/SUM('Quantification_Config'!$R$9)),'Quantification_Config'!$U$2),""),"")</x:f>
        <x:v>50</x:v>
      </x:c>
      <x:c r="X134" t="n">
        <x:f>IF((COUNT('Quantification_Results'!W134)=1),IFERROR(ROUND((SUM(('Quantification_Results'!W134*'Quantification_Config'!$R$8))/SUM('Quantification_Config'!$R$8)),'Quantification_Config'!$U$2),""),"")</x:f>
        <x:v>50</x:v>
      </x:c>
      <x:c r="Y134" t="n">
        <x:v>0</x:v>
      </x:c>
      <x:c r="Z134"/>
      <x:c r="AA134"/>
      <x:c r="AB134">
        <x:f>IF(('Quantification_Results'!Y134&lt;&gt;1),"",IF(('Quantification_Results'!AA134=""),IF(ISNUMBER('Quantification_Results'!Z134),IF(('Quantification_Results'!Z134&lt;'Quantification_Config'!$S$12),"",IF(('Quantification_Results'!Z134&gt;'Quantification_Config'!$T$12),"",'Quantification_Results'!Z134)),""),IF(ISNUMBER('Quantification_Results'!AA134),IF(('Quantification_Results'!AA134&lt;'Quantification_Config'!$S$12),"",IF(('Quantification_Results'!AA134&gt;'Quantification_Config'!$T$12),"",'Quantification_Results'!AA134)),"")))</x:f>
      </x:c>
      <x:c r="AC134">
        <x:f>IF(ISNUMBER('Quantification_Results'!AB134),IFERROR(ROUND(((('Quantification_Results'!AB134-'Quantification_Config'!$S$12)/('Quantification_Config'!$T$12-'Quantification_Config'!$S$12))*100),'Quantification_Config'!$U$2),""),"")</x:f>
      </x:c>
      <x:c r="AD134" t="inlineStr">
        <x:is>
          <x:t xml:space="preserve"/>
        </x:is>
      </x:c>
      <x:c r="AE134" t="inlineStr">
        <x:is>
          <x:t xml:space="preserve"/>
        </x:is>
      </x:c>
      <x:c r="AF134" t="inlineStr">
        <x:is>
          <x:t xml:space="preserve"/>
        </x:is>
      </x:c>
      <x:c r="AG134" t="inlineStr">
        <x:is>
          <x:t xml:space="preserve"/>
        </x:is>
      </x:c>
      <x:c r="AH134" t="inlineStr">
        <x:is>
          <x:t xml:space="preserve">EMPTY</x:t>
        </x:is>
      </x:c>
      <x:c r="AI134">
        <x:f>IF((COUNT('Quantification_Results'!AC134)=1),IFERROR(ROUND((SUM(('Quantification_Results'!AC134*'Quantification_Config'!$R$12))/SUM('Quantification_Config'!$R$12)),'Quantification_Config'!$U$2),""),"")</x:f>
      </x:c>
      <x:c r="AJ134">
        <x:f>IF((COUNT('Quantification_Results'!AI134)=1),IFERROR(ROUND((SUM(('Quantification_Results'!AI134*'Quantification_Config'!$R$11))/SUM('Quantification_Config'!$R$11)),'Quantification_Config'!$U$2),""),"")</x:f>
      </x:c>
      <x:c r="AK134" t="n">
        <x:v>1</x:v>
      </x:c>
      <x:c r="AL134" t="n">
        <x:v>5</x:v>
      </x:c>
      <x:c r="AM134"/>
      <x:c r="AN134" t="n">
        <x:f>IF(('Quantification_Results'!AK134&lt;&gt;1),"",IF(('Quantification_Results'!AM134=""),IF(ISNUMBER('Quantification_Results'!AL134),IF(('Quantification_Results'!AL134&lt;'Quantification_Config'!$S$15),"",IF(('Quantification_Results'!AL134&gt;'Quantification_Config'!$T$15),"",'Quantification_Results'!AL134)),""),IF(ISNUMBER('Quantification_Results'!AM134),IF(('Quantification_Results'!AM134&lt;'Quantification_Config'!$S$15),"",IF(('Quantification_Results'!AM134&gt;'Quantification_Config'!$T$15),"",'Quantification_Results'!AM134)),"")))</x:f>
        <x:v>5</x:v>
      </x:c>
      <x:c r="AO134" t="n">
        <x:f>IF(ISNUMBER('Quantification_Results'!AN134),IFERROR(ROUND(((('Quantification_Results'!AN134-'Quantification_Config'!$S$15)/('Quantification_Config'!$T$15-'Quantification_Config'!$S$15))*100),'Quantification_Config'!$U$2),""),"")</x:f>
        <x:v>50</x:v>
      </x:c>
      <x:c r="AP134" t="inlineStr">
        <x:is>
          <x:t xml:space="preserve">SYSTEM-TEST-ONLY-NO-NETWORK-NOT-AN-EDUCATIONAL-EVALUATION</x:t>
        </x:is>
      </x:c>
      <x:c r="AQ134" t="inlineStr">
        <x:is>
          <x:t xml:space="preserve"/>
        </x:is>
      </x:c>
      <x:c r="AR134" t="inlineStr">
        <x:is>
          <x:t xml:space="preserve">NONE</x:t>
        </x:is>
      </x:c>
      <x:c r="AS134" t="inlineStr">
        <x:is>
          <x:t xml:space="preserve"/>
        </x:is>
      </x:c>
      <x:c r="AT134" t="inlineStr">
        <x:is>
          <x:t xml:space="preserve">SUCCESS</x:t>
        </x:is>
      </x:c>
      <x:c r="AU134" t="n">
        <x:f>IF((COUNT('Quantification_Results'!AO134)=1),IFERROR(ROUND((SUM(('Quantification_Results'!AO134*'Quantification_Config'!$R$15))/SUM('Quantification_Config'!$R$15)),'Quantification_Config'!$U$2),""),"")</x:f>
        <x:v>50</x:v>
      </x:c>
      <x:c r="AV134" t="n">
        <x:f>IF((COUNT('Quantification_Results'!AU134)=1),IFERROR(ROUND((SUM(('Quantification_Results'!AU134*'Quantification_Config'!$R$14))/SUM('Quantification_Config'!$R$14)),'Quantification_Config'!$U$2),""),"")</x:f>
        <x:v>50</x:v>
      </x:c>
      <x:c r="AW134" t="n">
        <x:v>1</x:v>
      </x:c>
      <x:c r="AX134" t="n">
        <x:v>5</x:v>
      </x:c>
      <x:c r="AY134"/>
      <x:c r="AZ134" t="n">
        <x:f>IF(('Quantification_Results'!AW134&lt;&gt;1),"",IF(('Quantification_Results'!AY134=""),IF(ISNUMBER('Quantification_Results'!AX134),IF(('Quantification_Results'!AX134&lt;'Quantification_Config'!$S$19),"",IF(('Quantification_Results'!AX134&gt;'Quantification_Config'!$T$19),"",'Quantification_Results'!AX134)),""),IF(ISNUMBER('Quantification_Results'!AY134),IF(('Quantification_Results'!AY134&lt;'Quantification_Config'!$S$19),"",IF(('Quantification_Results'!AY134&gt;'Quantification_Config'!$T$19),"",'Quantification_Results'!AY134)),"")))</x:f>
        <x:v>5</x:v>
      </x:c>
      <x:c r="BA134" t="n">
        <x:f>IF(ISNUMBER('Quantification_Results'!AZ134),IFERROR(ROUND(((('Quantification_Results'!AZ134-'Quantification_Config'!$S$19)/('Quantification_Config'!$T$19-'Quantification_Config'!$S$19))*100),'Quantification_Config'!$U$2),""),"")</x:f>
        <x:v>50</x:v>
      </x:c>
      <x:c r="BB134" t="inlineStr">
        <x:is>
          <x:t xml:space="preserve">SYSTEM-TEST-ONLY-NO-NETWORK-NOT-AN-EDUCATIONAL-EVALUATION</x:t>
        </x:is>
      </x:c>
      <x:c r="BC134" t="inlineStr">
        <x:is>
          <x:t xml:space="preserve"/>
        </x:is>
      </x:c>
      <x:c r="BD134" t="inlineStr">
        <x:is>
          <x:t xml:space="preserve">NONE</x:t>
        </x:is>
      </x:c>
      <x:c r="BE134" t="inlineStr">
        <x:is>
          <x:t xml:space="preserve"/>
        </x:is>
      </x:c>
      <x:c r="BF134" t="inlineStr">
        <x:is>
          <x:t xml:space="preserve">SUCCESS</x:t>
        </x:is>
      </x:c>
      <x:c r="BG134" t="n">
        <x:f>IF((COUNT('Quantification_Results'!BA134)=1),IFERROR(ROUND((SUM(('Quantification_Results'!BA134*'Quantification_Config'!$R$19))/SUM('Quantification_Config'!$R$19)),'Quantification_Config'!$U$2),""),"")</x:f>
        <x:v>50</x:v>
      </x:c>
      <x:c r="BH134" t="n">
        <x:f>IF((COUNT('Quantification_Results'!BG134)=1),IFERROR(ROUND((SUM(('Quantification_Results'!BG134*'Quantification_Config'!$R$18))/SUM('Quantification_Config'!$R$18)),'Quantification_Config'!$U$2),""),"")</x:f>
        <x:v>50</x:v>
      </x:c>
      <x:c r="BI134">
        <x:f>IF((COUNT('Quantification_Results'!L134,'Quantification_Results'!X134,'Quantification_Results'!AJ134,'Quantification_Results'!AV134,'Quantification_Results'!BH134)=5),IFERROR(ROUND((SUM(('Quantification_Results'!L134*'Quantification_Config'!$R$4),('Quantification_Results'!X134*'Quantification_Config'!$R$7),('Quantification_Results'!AJ134*'Quantification_Config'!$R$10),('Quantification_Results'!AV134*'Quantification_Config'!$R$13),('Quantification_Results'!BH134*'Quantification_Config'!$R$16))/SUM('Quantification_Config'!$R$4,'Quantification_Config'!$R$7,'Quantification_Config'!$R$10,'Quantification_Config'!$R$13,'Quantification_Config'!$R$16)),'Quantification_Config'!$U$2),""),"")</x:f>
      </x:c>
    </x:row>
    <x:row r="135">
      <x:c r="A135" t="n">
        <x:v>1</x:v>
      </x:c>
      <x:c r="B135" t="n">
        <x:v>5</x:v>
      </x:c>
      <x:c r="C135"/>
      <x:c r="D135" t="n">
        <x:f>IF(('Quantification_Results'!A135&lt;&gt;1),"",IF(('Quantification_Results'!C135=""),IF(ISNUMBER('Quantification_Results'!B135),IF(('Quantification_Results'!B135&lt;'Quantification_Config'!$S$6),"",IF(('Quantification_Results'!B135&gt;'Quantification_Config'!$T$6),"",'Quantification_Results'!B135)),""),IF(ISNUMBER('Quantification_Results'!C135),IF(('Quantification_Results'!C135&lt;'Quantification_Config'!$S$6),"",IF(('Quantification_Results'!C135&gt;'Quantification_Config'!$T$6),"",'Quantification_Results'!C135)),"")))</x:f>
        <x:v>5</x:v>
      </x:c>
      <x:c r="E135" t="n">
        <x:f>IF(ISNUMBER('Quantification_Results'!D135),IFERROR(ROUND(((('Quantification_Results'!D135-'Quantification_Config'!$S$6)/('Quantification_Config'!$T$6-'Quantification_Config'!$S$6))*100),'Quantification_Config'!$U$2),""),"")</x:f>
        <x:v>50</x:v>
      </x:c>
      <x:c r="F135" t="inlineStr">
        <x:is>
          <x:t xml:space="preserve">SYSTEM-TEST-ONLY-NO-NETWORK-NOT-AN-EDUCATIONAL-EVALUATION</x:t>
        </x:is>
      </x:c>
      <x:c r="G135" t="inlineStr">
        <x:is>
          <x:t xml:space="preserve"/>
        </x:is>
      </x:c>
      <x:c r="H135" t="inlineStr">
        <x:is>
          <x:t xml:space="preserve">NONE</x:t>
        </x:is>
      </x:c>
      <x:c r="I135" t="inlineStr">
        <x:is>
          <x:t xml:space="preserve"/>
        </x:is>
      </x:c>
      <x:c r="J135" t="inlineStr">
        <x:is>
          <x:t xml:space="preserve">SUCCESS</x:t>
        </x:is>
      </x:c>
      <x:c r="K135" t="n">
        <x:f>IF((COUNT('Quantification_Results'!E135)=1),IFERROR(ROUND((SUM(('Quantification_Results'!E135*'Quantification_Config'!$R$6))/SUM('Quantification_Config'!$R$6)),'Quantification_Config'!$U$2),""),"")</x:f>
        <x:v>50</x:v>
      </x:c>
      <x:c r="L135" t="n">
        <x:f>IF((COUNT('Quantification_Results'!K135)=1),IFERROR(ROUND((SUM(('Quantification_Results'!K135*'Quantification_Config'!$R$5))/SUM('Quantification_Config'!$R$5)),'Quantification_Config'!$U$2),""),"")</x:f>
        <x:v>50</x:v>
      </x:c>
      <x:c r="M135" t="n">
        <x:v>1</x:v>
      </x:c>
      <x:c r="N135" t="n">
        <x:v>5</x:v>
      </x:c>
      <x:c r="O135"/>
      <x:c r="P135" t="n">
        <x:f>IF(('Quantification_Results'!M135&lt;&gt;1),"",IF(('Quantification_Results'!O135=""),IF(ISNUMBER('Quantification_Results'!N135),IF(('Quantification_Results'!N135&lt;'Quantification_Config'!$S$9),"",IF(('Quantification_Results'!N135&gt;'Quantification_Config'!$T$9),"",'Quantification_Results'!N135)),""),IF(ISNUMBER('Quantification_Results'!O135),IF(('Quantification_Results'!O135&lt;'Quantification_Config'!$S$9),"",IF(('Quantification_Results'!O135&gt;'Quantification_Config'!$T$9),"",'Quantification_Results'!O135)),"")))</x:f>
        <x:v>5</x:v>
      </x:c>
      <x:c r="Q135" t="n">
        <x:f>IF(ISNUMBER('Quantification_Results'!P135),IFERROR(ROUND(((('Quantification_Results'!P135-'Quantification_Config'!$S$9)/('Quantification_Config'!$T$9-'Quantification_Config'!$S$9))*100),'Quantification_Config'!$U$2),""),"")</x:f>
        <x:v>50</x:v>
      </x:c>
      <x:c r="R135" t="inlineStr">
        <x:is>
          <x:t xml:space="preserve">SYSTEM-TEST-ONLY-NO-NETWORK-NOT-AN-EDUCATIONAL-EVALUATION</x:t>
        </x:is>
      </x:c>
      <x:c r="S135" t="inlineStr">
        <x:is>
          <x:t xml:space="preserve"/>
        </x:is>
      </x:c>
      <x:c r="T135" t="inlineStr">
        <x:is>
          <x:t xml:space="preserve">NONE</x:t>
        </x:is>
      </x:c>
      <x:c r="U135" t="inlineStr">
        <x:is>
          <x:t xml:space="preserve"/>
        </x:is>
      </x:c>
      <x:c r="V135" t="inlineStr">
        <x:is>
          <x:t xml:space="preserve">SUCCESS</x:t>
        </x:is>
      </x:c>
      <x:c r="W135" t="n">
        <x:f>IF((COUNT('Quantification_Results'!Q135)=1),IFERROR(ROUND((SUM(('Quantification_Results'!Q135*'Quantification_Config'!$R$9))/SUM('Quantification_Config'!$R$9)),'Quantification_Config'!$U$2),""),"")</x:f>
        <x:v>50</x:v>
      </x:c>
      <x:c r="X135" t="n">
        <x:f>IF((COUNT('Quantification_Results'!W135)=1),IFERROR(ROUND((SUM(('Quantification_Results'!W135*'Quantification_Config'!$R$8))/SUM('Quantification_Config'!$R$8)),'Quantification_Config'!$U$2),""),"")</x:f>
        <x:v>50</x:v>
      </x:c>
      <x:c r="Y135" t="n">
        <x:v>1</x:v>
      </x:c>
      <x:c r="Z135" t="n">
        <x:v>5</x:v>
      </x:c>
      <x:c r="AA135"/>
      <x:c r="AB135" t="n">
        <x:f>IF(('Quantification_Results'!Y135&lt;&gt;1),"",IF(('Quantification_Results'!AA135=""),IF(ISNUMBER('Quantification_Results'!Z135),IF(('Quantification_Results'!Z135&lt;'Quantification_Config'!$S$12),"",IF(('Quantification_Results'!Z135&gt;'Quantification_Config'!$T$12),"",'Quantification_Results'!Z135)),""),IF(ISNUMBER('Quantification_Results'!AA135),IF(('Quantification_Results'!AA135&lt;'Quantification_Config'!$S$12),"",IF(('Quantification_Results'!AA135&gt;'Quantification_Config'!$T$12),"",'Quantification_Results'!AA135)),"")))</x:f>
        <x:v>5</x:v>
      </x:c>
      <x:c r="AC135" t="n">
        <x:f>IF(ISNUMBER('Quantification_Results'!AB135),IFERROR(ROUND(((('Quantification_Results'!AB135-'Quantification_Config'!$S$12)/('Quantification_Config'!$T$12-'Quantification_Config'!$S$12))*100),'Quantification_Config'!$U$2),""),"")</x:f>
        <x:v>50</x:v>
      </x:c>
      <x:c r="AD135" t="inlineStr">
        <x:is>
          <x:t xml:space="preserve">SYSTEM-TEST-ONLY-NO-NETWORK-NOT-AN-EDUCATIONAL-EVALUATION</x:t>
        </x:is>
      </x:c>
      <x:c r="AE135" t="inlineStr">
        <x:is>
          <x:t xml:space="preserve"/>
        </x:is>
      </x:c>
      <x:c r="AF135" t="inlineStr">
        <x:is>
          <x:t xml:space="preserve">NONE</x:t>
        </x:is>
      </x:c>
      <x:c r="AG135" t="inlineStr">
        <x:is>
          <x:t xml:space="preserve"/>
        </x:is>
      </x:c>
      <x:c r="AH135" t="inlineStr">
        <x:is>
          <x:t xml:space="preserve">SUCCESS</x:t>
        </x:is>
      </x:c>
      <x:c r="AI135" t="n">
        <x:f>IF((COUNT('Quantification_Results'!AC135)=1),IFERROR(ROUND((SUM(('Quantification_Results'!AC135*'Quantification_Config'!$R$12))/SUM('Quantification_Config'!$R$12)),'Quantification_Config'!$U$2),""),"")</x:f>
        <x:v>50</x:v>
      </x:c>
      <x:c r="AJ135" t="n">
        <x:f>IF((COUNT('Quantification_Results'!AI135)=1),IFERROR(ROUND((SUM(('Quantification_Results'!AI135*'Quantification_Config'!$R$11))/SUM('Quantification_Config'!$R$11)),'Quantification_Config'!$U$2),""),"")</x:f>
        <x:v>50</x:v>
      </x:c>
      <x:c r="AK135" t="n">
        <x:v>1</x:v>
      </x:c>
      <x:c r="AL135" t="n">
        <x:v>5</x:v>
      </x:c>
      <x:c r="AM135"/>
      <x:c r="AN135" t="n">
        <x:f>IF(('Quantification_Results'!AK135&lt;&gt;1),"",IF(('Quantification_Results'!AM135=""),IF(ISNUMBER('Quantification_Results'!AL135),IF(('Quantification_Results'!AL135&lt;'Quantification_Config'!$S$15),"",IF(('Quantification_Results'!AL135&gt;'Quantification_Config'!$T$15),"",'Quantification_Results'!AL135)),""),IF(ISNUMBER('Quantification_Results'!AM135),IF(('Quantification_Results'!AM135&lt;'Quantification_Config'!$S$15),"",IF(('Quantification_Results'!AM135&gt;'Quantification_Config'!$T$15),"",'Quantification_Results'!AM135)),"")))</x:f>
        <x:v>5</x:v>
      </x:c>
      <x:c r="AO135" t="n">
        <x:f>IF(ISNUMBER('Quantification_Results'!AN135),IFERROR(ROUND(((('Quantification_Results'!AN135-'Quantification_Config'!$S$15)/('Quantification_Config'!$T$15-'Quantification_Config'!$S$15))*100),'Quantification_Config'!$U$2),""),"")</x:f>
        <x:v>50</x:v>
      </x:c>
      <x:c r="AP135" t="inlineStr">
        <x:is>
          <x:t xml:space="preserve">SYSTEM-TEST-ONLY-NO-NETWORK-NOT-AN-EDUCATIONAL-EVALUATION</x:t>
        </x:is>
      </x:c>
      <x:c r="AQ135" t="inlineStr">
        <x:is>
          <x:t xml:space="preserve"/>
        </x:is>
      </x:c>
      <x:c r="AR135" t="inlineStr">
        <x:is>
          <x:t xml:space="preserve">NONE</x:t>
        </x:is>
      </x:c>
      <x:c r="AS135" t="inlineStr">
        <x:is>
          <x:t xml:space="preserve"/>
        </x:is>
      </x:c>
      <x:c r="AT135" t="inlineStr">
        <x:is>
          <x:t xml:space="preserve">SUCCESS</x:t>
        </x:is>
      </x:c>
      <x:c r="AU135" t="n">
        <x:f>IF((COUNT('Quantification_Results'!AO135)=1),IFERROR(ROUND((SUM(('Quantification_Results'!AO135*'Quantification_Config'!$R$15))/SUM('Quantification_Config'!$R$15)),'Quantification_Config'!$U$2),""),"")</x:f>
        <x:v>50</x:v>
      </x:c>
      <x:c r="AV135" t="n">
        <x:f>IF((COUNT('Quantification_Results'!AU135)=1),IFERROR(ROUND((SUM(('Quantification_Results'!AU135*'Quantification_Config'!$R$14))/SUM('Quantification_Config'!$R$14)),'Quantification_Config'!$U$2),""),"")</x:f>
        <x:v>50</x:v>
      </x:c>
      <x:c r="AW135" t="n">
        <x:v>1</x:v>
      </x:c>
      <x:c r="AX135" t="n">
        <x:v>5</x:v>
      </x:c>
      <x:c r="AY135"/>
      <x:c r="AZ135" t="n">
        <x:f>IF(('Quantification_Results'!AW135&lt;&gt;1),"",IF(('Quantification_Results'!AY135=""),IF(ISNUMBER('Quantification_Results'!AX135),IF(('Quantification_Results'!AX135&lt;'Quantification_Config'!$S$19),"",IF(('Quantification_Results'!AX135&gt;'Quantification_Config'!$T$19),"",'Quantification_Results'!AX135)),""),IF(ISNUMBER('Quantification_Results'!AY135),IF(('Quantification_Results'!AY135&lt;'Quantification_Config'!$S$19),"",IF(('Quantification_Results'!AY135&gt;'Quantification_Config'!$T$19),"",'Quantification_Results'!AY135)),"")))</x:f>
        <x:v>5</x:v>
      </x:c>
      <x:c r="BA135" t="n">
        <x:f>IF(ISNUMBER('Quantification_Results'!AZ135),IFERROR(ROUND(((('Quantification_Results'!AZ135-'Quantification_Config'!$S$19)/('Quantification_Config'!$T$19-'Quantification_Config'!$S$19))*100),'Quantification_Config'!$U$2),""),"")</x:f>
        <x:v>50</x:v>
      </x:c>
      <x:c r="BB135" t="inlineStr">
        <x:is>
          <x:t xml:space="preserve">SYSTEM-TEST-ONLY-NO-NETWORK-NOT-AN-EDUCATIONAL-EVALUATION</x:t>
        </x:is>
      </x:c>
      <x:c r="BC135" t="inlineStr">
        <x:is>
          <x:t xml:space="preserve"/>
        </x:is>
      </x:c>
      <x:c r="BD135" t="inlineStr">
        <x:is>
          <x:t xml:space="preserve">NONE</x:t>
        </x:is>
      </x:c>
      <x:c r="BE135" t="inlineStr">
        <x:is>
          <x:t xml:space="preserve"/>
        </x:is>
      </x:c>
      <x:c r="BF135" t="inlineStr">
        <x:is>
          <x:t xml:space="preserve">SUCCESS</x:t>
        </x:is>
      </x:c>
      <x:c r="BG135" t="n">
        <x:f>IF((COUNT('Quantification_Results'!BA135)=1),IFERROR(ROUND((SUM(('Quantification_Results'!BA135*'Quantification_Config'!$R$19))/SUM('Quantification_Config'!$R$19)),'Quantification_Config'!$U$2),""),"")</x:f>
        <x:v>50</x:v>
      </x:c>
      <x:c r="BH135" t="n">
        <x:f>IF((COUNT('Quantification_Results'!BG135)=1),IFERROR(ROUND((SUM(('Quantification_Results'!BG135*'Quantification_Config'!$R$18))/SUM('Quantification_Config'!$R$18)),'Quantification_Config'!$U$2),""),"")</x:f>
        <x:v>50</x:v>
      </x:c>
      <x:c r="BI135" t="n">
        <x:f>IF((COUNT('Quantification_Results'!L135,'Quantification_Results'!X135,'Quantification_Results'!AJ135,'Quantification_Results'!AV135,'Quantification_Results'!BH135)=5),IFERROR(ROUND((SUM(('Quantification_Results'!L135*'Quantification_Config'!$R$4),('Quantification_Results'!X135*'Quantification_Config'!$R$7),('Quantification_Results'!AJ135*'Quantification_Config'!$R$10),('Quantification_Results'!AV135*'Quantification_Config'!$R$13),('Quantification_Results'!BH135*'Quantification_Config'!$R$16))/SUM('Quantification_Config'!$R$4,'Quantification_Config'!$R$7,'Quantification_Config'!$R$10,'Quantification_Config'!$R$13,'Quantification_Config'!$R$16)),'Quantification_Config'!$U$2),""),"")</x:f>
        <x:v>50</x:v>
      </x:c>
    </x:row>
    <x:row r="136">
      <x:c r="A136" t="n">
        <x:v>1</x:v>
      </x:c>
      <x:c r="B136" t="n">
        <x:v>5</x:v>
      </x:c>
      <x:c r="C136"/>
      <x:c r="D136" t="n">
        <x:f>IF(('Quantification_Results'!A136&lt;&gt;1),"",IF(('Quantification_Results'!C136=""),IF(ISNUMBER('Quantification_Results'!B136),IF(('Quantification_Results'!B136&lt;'Quantification_Config'!$S$6),"",IF(('Quantification_Results'!B136&gt;'Quantification_Config'!$T$6),"",'Quantification_Results'!B136)),""),IF(ISNUMBER('Quantification_Results'!C136),IF(('Quantification_Results'!C136&lt;'Quantification_Config'!$S$6),"",IF(('Quantification_Results'!C136&gt;'Quantification_Config'!$T$6),"",'Quantification_Results'!C136)),"")))</x:f>
        <x:v>5</x:v>
      </x:c>
      <x:c r="E136" t="n">
        <x:f>IF(ISNUMBER('Quantification_Results'!D136),IFERROR(ROUND(((('Quantification_Results'!D136-'Quantification_Config'!$S$6)/('Quantification_Config'!$T$6-'Quantification_Config'!$S$6))*100),'Quantification_Config'!$U$2),""),"")</x:f>
        <x:v>50</x:v>
      </x:c>
      <x:c r="F136" t="inlineStr">
        <x:is>
          <x:t xml:space="preserve">SYSTEM-TEST-ONLY-NO-NETWORK-NOT-AN-EDUCATIONAL-EVALUATION</x:t>
        </x:is>
      </x:c>
      <x:c r="G136" t="inlineStr">
        <x:is>
          <x:t xml:space="preserve"/>
        </x:is>
      </x:c>
      <x:c r="H136" t="inlineStr">
        <x:is>
          <x:t xml:space="preserve">NONE</x:t>
        </x:is>
      </x:c>
      <x:c r="I136" t="inlineStr">
        <x:is>
          <x:t xml:space="preserve"/>
        </x:is>
      </x:c>
      <x:c r="J136" t="inlineStr">
        <x:is>
          <x:t xml:space="preserve">SUCCESS</x:t>
        </x:is>
      </x:c>
      <x:c r="K136" t="n">
        <x:f>IF((COUNT('Quantification_Results'!E136)=1),IFERROR(ROUND((SUM(('Quantification_Results'!E136*'Quantification_Config'!$R$6))/SUM('Quantification_Config'!$R$6)),'Quantification_Config'!$U$2),""),"")</x:f>
        <x:v>50</x:v>
      </x:c>
      <x:c r="L136" t="n">
        <x:f>IF((COUNT('Quantification_Results'!K136)=1),IFERROR(ROUND((SUM(('Quantification_Results'!K136*'Quantification_Config'!$R$5))/SUM('Quantification_Config'!$R$5)),'Quantification_Config'!$U$2),""),"")</x:f>
        <x:v>50</x:v>
      </x:c>
      <x:c r="M136" t="n">
        <x:v>1</x:v>
      </x:c>
      <x:c r="N136" t="n">
        <x:v>5</x:v>
      </x:c>
      <x:c r="O136"/>
      <x:c r="P136" t="n">
        <x:f>IF(('Quantification_Results'!M136&lt;&gt;1),"",IF(('Quantification_Results'!O136=""),IF(ISNUMBER('Quantification_Results'!N136),IF(('Quantification_Results'!N136&lt;'Quantification_Config'!$S$9),"",IF(('Quantification_Results'!N136&gt;'Quantification_Config'!$T$9),"",'Quantification_Results'!N136)),""),IF(ISNUMBER('Quantification_Results'!O136),IF(('Quantification_Results'!O136&lt;'Quantification_Config'!$S$9),"",IF(('Quantification_Results'!O136&gt;'Quantification_Config'!$T$9),"",'Quantification_Results'!O136)),"")))</x:f>
        <x:v>5</x:v>
      </x:c>
      <x:c r="Q136" t="n">
        <x:f>IF(ISNUMBER('Quantification_Results'!P136),IFERROR(ROUND(((('Quantification_Results'!P136-'Quantification_Config'!$S$9)/('Quantification_Config'!$T$9-'Quantification_Config'!$S$9))*100),'Quantification_Config'!$U$2),""),"")</x:f>
        <x:v>50</x:v>
      </x:c>
      <x:c r="R136" t="inlineStr">
        <x:is>
          <x:t xml:space="preserve">SYSTEM-TEST-ONLY-NO-NETWORK-NOT-AN-EDUCATIONAL-EVALUATION</x:t>
        </x:is>
      </x:c>
      <x:c r="S136" t="inlineStr">
        <x:is>
          <x:t xml:space="preserve"/>
        </x:is>
      </x:c>
      <x:c r="T136" t="inlineStr">
        <x:is>
          <x:t xml:space="preserve">NONE</x:t>
        </x:is>
      </x:c>
      <x:c r="U136" t="inlineStr">
        <x:is>
          <x:t xml:space="preserve"/>
        </x:is>
      </x:c>
      <x:c r="V136" t="inlineStr">
        <x:is>
          <x:t xml:space="preserve">SUCCESS</x:t>
        </x:is>
      </x:c>
      <x:c r="W136" t="n">
        <x:f>IF((COUNT('Quantification_Results'!Q136)=1),IFERROR(ROUND((SUM(('Quantification_Results'!Q136*'Quantification_Config'!$R$9))/SUM('Quantification_Config'!$R$9)),'Quantification_Config'!$U$2),""),"")</x:f>
        <x:v>50</x:v>
      </x:c>
      <x:c r="X136" t="n">
        <x:f>IF((COUNT('Quantification_Results'!W136)=1),IFERROR(ROUND((SUM(('Quantification_Results'!W136*'Quantification_Config'!$R$8))/SUM('Quantification_Config'!$R$8)),'Quantification_Config'!$U$2),""),"")</x:f>
        <x:v>50</x:v>
      </x:c>
      <x:c r="Y136" t="n">
        <x:v>0</x:v>
      </x:c>
      <x:c r="Z136"/>
      <x:c r="AA136"/>
      <x:c r="AB136">
        <x:f>IF(('Quantification_Results'!Y136&lt;&gt;1),"",IF(('Quantification_Results'!AA136=""),IF(ISNUMBER('Quantification_Results'!Z136),IF(('Quantification_Results'!Z136&lt;'Quantification_Config'!$S$12),"",IF(('Quantification_Results'!Z136&gt;'Quantification_Config'!$T$12),"",'Quantification_Results'!Z136)),""),IF(ISNUMBER('Quantification_Results'!AA136),IF(('Quantification_Results'!AA136&lt;'Quantification_Config'!$S$12),"",IF(('Quantification_Results'!AA136&gt;'Quantification_Config'!$T$12),"",'Quantification_Results'!AA136)),"")))</x:f>
      </x:c>
      <x:c r="AC136">
        <x:f>IF(ISNUMBER('Quantification_Results'!AB136),IFERROR(ROUND(((('Quantification_Results'!AB136-'Quantification_Config'!$S$12)/('Quantification_Config'!$T$12-'Quantification_Config'!$S$12))*100),'Quantification_Config'!$U$2),""),"")</x:f>
      </x:c>
      <x:c r="AD136" t="inlineStr">
        <x:is>
          <x:t xml:space="preserve"/>
        </x:is>
      </x:c>
      <x:c r="AE136" t="inlineStr">
        <x:is>
          <x:t xml:space="preserve"/>
        </x:is>
      </x:c>
      <x:c r="AF136" t="inlineStr">
        <x:is>
          <x:t xml:space="preserve"/>
        </x:is>
      </x:c>
      <x:c r="AG136" t="inlineStr">
        <x:is>
          <x:t xml:space="preserve"/>
        </x:is>
      </x:c>
      <x:c r="AH136" t="inlineStr">
        <x:is>
          <x:t xml:space="preserve">EMPTY</x:t>
        </x:is>
      </x:c>
      <x:c r="AI136">
        <x:f>IF((COUNT('Quantification_Results'!AC136)=1),IFERROR(ROUND((SUM(('Quantification_Results'!AC136*'Quantification_Config'!$R$12))/SUM('Quantification_Config'!$R$12)),'Quantification_Config'!$U$2),""),"")</x:f>
      </x:c>
      <x:c r="AJ136">
        <x:f>IF((COUNT('Quantification_Results'!AI136)=1),IFERROR(ROUND((SUM(('Quantification_Results'!AI136*'Quantification_Config'!$R$11))/SUM('Quantification_Config'!$R$11)),'Quantification_Config'!$U$2),""),"")</x:f>
      </x:c>
      <x:c r="AK136" t="n">
        <x:v>1</x:v>
      </x:c>
      <x:c r="AL136" t="n">
        <x:v>5</x:v>
      </x:c>
      <x:c r="AM136"/>
      <x:c r="AN136" t="n">
        <x:f>IF(('Quantification_Results'!AK136&lt;&gt;1),"",IF(('Quantification_Results'!AM136=""),IF(ISNUMBER('Quantification_Results'!AL136),IF(('Quantification_Results'!AL136&lt;'Quantification_Config'!$S$15),"",IF(('Quantification_Results'!AL136&gt;'Quantification_Config'!$T$15),"",'Quantification_Results'!AL136)),""),IF(ISNUMBER('Quantification_Results'!AM136),IF(('Quantification_Results'!AM136&lt;'Quantification_Config'!$S$15),"",IF(('Quantification_Results'!AM136&gt;'Quantification_Config'!$T$15),"",'Quantification_Results'!AM136)),"")))</x:f>
        <x:v>5</x:v>
      </x:c>
      <x:c r="AO136" t="n">
        <x:f>IF(ISNUMBER('Quantification_Results'!AN136),IFERROR(ROUND(((('Quantification_Results'!AN136-'Quantification_Config'!$S$15)/('Quantification_Config'!$T$15-'Quantification_Config'!$S$15))*100),'Quantification_Config'!$U$2),""),"")</x:f>
        <x:v>50</x:v>
      </x:c>
      <x:c r="AP136" t="inlineStr">
        <x:is>
          <x:t xml:space="preserve">SYSTEM-TEST-ONLY-NO-NETWORK-NOT-AN-EDUCATIONAL-EVALUATION</x:t>
        </x:is>
      </x:c>
      <x:c r="AQ136" t="inlineStr">
        <x:is>
          <x:t xml:space="preserve"/>
        </x:is>
      </x:c>
      <x:c r="AR136" t="inlineStr">
        <x:is>
          <x:t xml:space="preserve">NONE</x:t>
        </x:is>
      </x:c>
      <x:c r="AS136" t="inlineStr">
        <x:is>
          <x:t xml:space="preserve"/>
        </x:is>
      </x:c>
      <x:c r="AT136" t="inlineStr">
        <x:is>
          <x:t xml:space="preserve">SUCCESS</x:t>
        </x:is>
      </x:c>
      <x:c r="AU136" t="n">
        <x:f>IF((COUNT('Quantification_Results'!AO136)=1),IFERROR(ROUND((SUM(('Quantification_Results'!AO136*'Quantification_Config'!$R$15))/SUM('Quantification_Config'!$R$15)),'Quantification_Config'!$U$2),""),"")</x:f>
        <x:v>50</x:v>
      </x:c>
      <x:c r="AV136" t="n">
        <x:f>IF((COUNT('Quantification_Results'!AU136)=1),IFERROR(ROUND((SUM(('Quantification_Results'!AU136*'Quantification_Config'!$R$14))/SUM('Quantification_Config'!$R$14)),'Quantification_Config'!$U$2),""),"")</x:f>
        <x:v>50</x:v>
      </x:c>
      <x:c r="AW136" t="n">
        <x:v>1</x:v>
      </x:c>
      <x:c r="AX136" t="n">
        <x:v>5</x:v>
      </x:c>
      <x:c r="AY136"/>
      <x:c r="AZ136" t="n">
        <x:f>IF(('Quantification_Results'!AW136&lt;&gt;1),"",IF(('Quantification_Results'!AY136=""),IF(ISNUMBER('Quantification_Results'!AX136),IF(('Quantification_Results'!AX136&lt;'Quantification_Config'!$S$19),"",IF(('Quantification_Results'!AX136&gt;'Quantification_Config'!$T$19),"",'Quantification_Results'!AX136)),""),IF(ISNUMBER('Quantification_Results'!AY136),IF(('Quantification_Results'!AY136&lt;'Quantification_Config'!$S$19),"",IF(('Quantification_Results'!AY136&gt;'Quantification_Config'!$T$19),"",'Quantification_Results'!AY136)),"")))</x:f>
        <x:v>5</x:v>
      </x:c>
      <x:c r="BA136" t="n">
        <x:f>IF(ISNUMBER('Quantification_Results'!AZ136),IFERROR(ROUND(((('Quantification_Results'!AZ136-'Quantification_Config'!$S$19)/('Quantification_Config'!$T$19-'Quantification_Config'!$S$19))*100),'Quantification_Config'!$U$2),""),"")</x:f>
        <x:v>50</x:v>
      </x:c>
      <x:c r="BB136" t="inlineStr">
        <x:is>
          <x:t xml:space="preserve">SYSTEM-TEST-ONLY-NO-NETWORK-NOT-AN-EDUCATIONAL-EVALUATION</x:t>
        </x:is>
      </x:c>
      <x:c r="BC136" t="inlineStr">
        <x:is>
          <x:t xml:space="preserve"/>
        </x:is>
      </x:c>
      <x:c r="BD136" t="inlineStr">
        <x:is>
          <x:t xml:space="preserve">NONE</x:t>
        </x:is>
      </x:c>
      <x:c r="BE136" t="inlineStr">
        <x:is>
          <x:t xml:space="preserve"/>
        </x:is>
      </x:c>
      <x:c r="BF136" t="inlineStr">
        <x:is>
          <x:t xml:space="preserve">SUCCESS</x:t>
        </x:is>
      </x:c>
      <x:c r="BG136" t="n">
        <x:f>IF((COUNT('Quantification_Results'!BA136)=1),IFERROR(ROUND((SUM(('Quantification_Results'!BA136*'Quantification_Config'!$R$19))/SUM('Quantification_Config'!$R$19)),'Quantification_Config'!$U$2),""),"")</x:f>
        <x:v>50</x:v>
      </x:c>
      <x:c r="BH136" t="n">
        <x:f>IF((COUNT('Quantification_Results'!BG136)=1),IFERROR(ROUND((SUM(('Quantification_Results'!BG136*'Quantification_Config'!$R$18))/SUM('Quantification_Config'!$R$18)),'Quantification_Config'!$U$2),""),"")</x:f>
        <x:v>50</x:v>
      </x:c>
      <x:c r="BI136">
        <x:f>IF((COUNT('Quantification_Results'!L136,'Quantification_Results'!X136,'Quantification_Results'!AJ136,'Quantification_Results'!AV136,'Quantification_Results'!BH136)=5),IFERROR(ROUND((SUM(('Quantification_Results'!L136*'Quantification_Config'!$R$4),('Quantification_Results'!X136*'Quantification_Config'!$R$7),('Quantification_Results'!AJ136*'Quantification_Config'!$R$10),('Quantification_Results'!AV136*'Quantification_Config'!$R$13),('Quantification_Results'!BH136*'Quantification_Config'!$R$16))/SUM('Quantification_Config'!$R$4,'Quantification_Config'!$R$7,'Quantification_Config'!$R$10,'Quantification_Config'!$R$13,'Quantification_Config'!$R$16)),'Quantification_Config'!$U$2),""),"")</x:f>
      </x:c>
    </x:row>
    <x:row r="137">
      <x:c r="A137" t="n">
        <x:v>1</x:v>
      </x:c>
      <x:c r="B137" t="n">
        <x:v>5</x:v>
      </x:c>
      <x:c r="C137"/>
      <x:c r="D137" t="n">
        <x:f>IF(('Quantification_Results'!A137&lt;&gt;1),"",IF(('Quantification_Results'!C137=""),IF(ISNUMBER('Quantification_Results'!B137),IF(('Quantification_Results'!B137&lt;'Quantification_Config'!$S$6),"",IF(('Quantification_Results'!B137&gt;'Quantification_Config'!$T$6),"",'Quantification_Results'!B137)),""),IF(ISNUMBER('Quantification_Results'!C137),IF(('Quantification_Results'!C137&lt;'Quantification_Config'!$S$6),"",IF(('Quantification_Results'!C137&gt;'Quantification_Config'!$T$6),"",'Quantification_Results'!C137)),"")))</x:f>
        <x:v>5</x:v>
      </x:c>
      <x:c r="E137" t="n">
        <x:f>IF(ISNUMBER('Quantification_Results'!D137),IFERROR(ROUND(((('Quantification_Results'!D137-'Quantification_Config'!$S$6)/('Quantification_Config'!$T$6-'Quantification_Config'!$S$6))*100),'Quantification_Config'!$U$2),""),"")</x:f>
        <x:v>50</x:v>
      </x:c>
      <x:c r="F137" t="inlineStr">
        <x:is>
          <x:t xml:space="preserve">SYSTEM-TEST-ONLY-NO-NETWORK-NOT-AN-EDUCATIONAL-EVALUATION</x:t>
        </x:is>
      </x:c>
      <x:c r="G137" t="inlineStr">
        <x:is>
          <x:t xml:space="preserve"/>
        </x:is>
      </x:c>
      <x:c r="H137" t="inlineStr">
        <x:is>
          <x:t xml:space="preserve">NONE</x:t>
        </x:is>
      </x:c>
      <x:c r="I137" t="inlineStr">
        <x:is>
          <x:t xml:space="preserve"/>
        </x:is>
      </x:c>
      <x:c r="J137" t="inlineStr">
        <x:is>
          <x:t xml:space="preserve">SUCCESS</x:t>
        </x:is>
      </x:c>
      <x:c r="K137" t="n">
        <x:f>IF((COUNT('Quantification_Results'!E137)=1),IFERROR(ROUND((SUM(('Quantification_Results'!E137*'Quantification_Config'!$R$6))/SUM('Quantification_Config'!$R$6)),'Quantification_Config'!$U$2),""),"")</x:f>
        <x:v>50</x:v>
      </x:c>
      <x:c r="L137" t="n">
        <x:f>IF((COUNT('Quantification_Results'!K137)=1),IFERROR(ROUND((SUM(('Quantification_Results'!K137*'Quantification_Config'!$R$5))/SUM('Quantification_Config'!$R$5)),'Quantification_Config'!$U$2),""),"")</x:f>
        <x:v>50</x:v>
      </x:c>
      <x:c r="M137" t="n">
        <x:v>1</x:v>
      </x:c>
      <x:c r="N137" t="n">
        <x:v>5</x:v>
      </x:c>
      <x:c r="O137"/>
      <x:c r="P137" t="n">
        <x:f>IF(('Quantification_Results'!M137&lt;&gt;1),"",IF(('Quantification_Results'!O137=""),IF(ISNUMBER('Quantification_Results'!N137),IF(('Quantification_Results'!N137&lt;'Quantification_Config'!$S$9),"",IF(('Quantification_Results'!N137&gt;'Quantification_Config'!$T$9),"",'Quantification_Results'!N137)),""),IF(ISNUMBER('Quantification_Results'!O137),IF(('Quantification_Results'!O137&lt;'Quantification_Config'!$S$9),"",IF(('Quantification_Results'!O137&gt;'Quantification_Config'!$T$9),"",'Quantification_Results'!O137)),"")))</x:f>
        <x:v>5</x:v>
      </x:c>
      <x:c r="Q137" t="n">
        <x:f>IF(ISNUMBER('Quantification_Results'!P137),IFERROR(ROUND(((('Quantification_Results'!P137-'Quantification_Config'!$S$9)/('Quantification_Config'!$T$9-'Quantification_Config'!$S$9))*100),'Quantification_Config'!$U$2),""),"")</x:f>
        <x:v>50</x:v>
      </x:c>
      <x:c r="R137" t="inlineStr">
        <x:is>
          <x:t xml:space="preserve">SYSTEM-TEST-ONLY-NO-NETWORK-NOT-AN-EDUCATIONAL-EVALUATION</x:t>
        </x:is>
      </x:c>
      <x:c r="S137" t="inlineStr">
        <x:is>
          <x:t xml:space="preserve"/>
        </x:is>
      </x:c>
      <x:c r="T137" t="inlineStr">
        <x:is>
          <x:t xml:space="preserve">NONE</x:t>
        </x:is>
      </x:c>
      <x:c r="U137" t="inlineStr">
        <x:is>
          <x:t xml:space="preserve"/>
        </x:is>
      </x:c>
      <x:c r="V137" t="inlineStr">
        <x:is>
          <x:t xml:space="preserve">SUCCESS</x:t>
        </x:is>
      </x:c>
      <x:c r="W137" t="n">
        <x:f>IF((COUNT('Quantification_Results'!Q137)=1),IFERROR(ROUND((SUM(('Quantification_Results'!Q137*'Quantification_Config'!$R$9))/SUM('Quantification_Config'!$R$9)),'Quantification_Config'!$U$2),""),"")</x:f>
        <x:v>50</x:v>
      </x:c>
      <x:c r="X137" t="n">
        <x:f>IF((COUNT('Quantification_Results'!W137)=1),IFERROR(ROUND((SUM(('Quantification_Results'!W137*'Quantification_Config'!$R$8))/SUM('Quantification_Config'!$R$8)),'Quantification_Config'!$U$2),""),"")</x:f>
        <x:v>50</x:v>
      </x:c>
      <x:c r="Y137" t="n">
        <x:v>0</x:v>
      </x:c>
      <x:c r="Z137"/>
      <x:c r="AA137"/>
      <x:c r="AB137">
        <x:f>IF(('Quantification_Results'!Y137&lt;&gt;1),"",IF(('Quantification_Results'!AA137=""),IF(ISNUMBER('Quantification_Results'!Z137),IF(('Quantification_Results'!Z137&lt;'Quantification_Config'!$S$12),"",IF(('Quantification_Results'!Z137&gt;'Quantification_Config'!$T$12),"",'Quantification_Results'!Z137)),""),IF(ISNUMBER('Quantification_Results'!AA137),IF(('Quantification_Results'!AA137&lt;'Quantification_Config'!$S$12),"",IF(('Quantification_Results'!AA137&gt;'Quantification_Config'!$T$12),"",'Quantification_Results'!AA137)),"")))</x:f>
      </x:c>
      <x:c r="AC137">
        <x:f>IF(ISNUMBER('Quantification_Results'!AB137),IFERROR(ROUND(((('Quantification_Results'!AB137-'Quantification_Config'!$S$12)/('Quantification_Config'!$T$12-'Quantification_Config'!$S$12))*100),'Quantification_Config'!$U$2),""),"")</x:f>
      </x:c>
      <x:c r="AD137" t="inlineStr">
        <x:is>
          <x:t xml:space="preserve"/>
        </x:is>
      </x:c>
      <x:c r="AE137" t="inlineStr">
        <x:is>
          <x:t xml:space="preserve"/>
        </x:is>
      </x:c>
      <x:c r="AF137" t="inlineStr">
        <x:is>
          <x:t xml:space="preserve"/>
        </x:is>
      </x:c>
      <x:c r="AG137" t="inlineStr">
        <x:is>
          <x:t xml:space="preserve"/>
        </x:is>
      </x:c>
      <x:c r="AH137" t="inlineStr">
        <x:is>
          <x:t xml:space="preserve">EMPTY</x:t>
        </x:is>
      </x:c>
      <x:c r="AI137">
        <x:f>IF((COUNT('Quantification_Results'!AC137)=1),IFERROR(ROUND((SUM(('Quantification_Results'!AC137*'Quantification_Config'!$R$12))/SUM('Quantification_Config'!$R$12)),'Quantification_Config'!$U$2),""),"")</x:f>
      </x:c>
      <x:c r="AJ137">
        <x:f>IF((COUNT('Quantification_Results'!AI137)=1),IFERROR(ROUND((SUM(('Quantification_Results'!AI137*'Quantification_Config'!$R$11))/SUM('Quantification_Config'!$R$11)),'Quantification_Config'!$U$2),""),"")</x:f>
      </x:c>
      <x:c r="AK137" t="n">
        <x:v>1</x:v>
      </x:c>
      <x:c r="AL137" t="n">
        <x:v>5</x:v>
      </x:c>
      <x:c r="AM137"/>
      <x:c r="AN137" t="n">
        <x:f>IF(('Quantification_Results'!AK137&lt;&gt;1),"",IF(('Quantification_Results'!AM137=""),IF(ISNUMBER('Quantification_Results'!AL137),IF(('Quantification_Results'!AL137&lt;'Quantification_Config'!$S$15),"",IF(('Quantification_Results'!AL137&gt;'Quantification_Config'!$T$15),"",'Quantification_Results'!AL137)),""),IF(ISNUMBER('Quantification_Results'!AM137),IF(('Quantification_Results'!AM137&lt;'Quantification_Config'!$S$15),"",IF(('Quantification_Results'!AM137&gt;'Quantification_Config'!$T$15),"",'Quantification_Results'!AM137)),"")))</x:f>
        <x:v>5</x:v>
      </x:c>
      <x:c r="AO137" t="n">
        <x:f>IF(ISNUMBER('Quantification_Results'!AN137),IFERROR(ROUND(((('Quantification_Results'!AN137-'Quantification_Config'!$S$15)/('Quantification_Config'!$T$15-'Quantification_Config'!$S$15))*100),'Quantification_Config'!$U$2),""),"")</x:f>
        <x:v>50</x:v>
      </x:c>
      <x:c r="AP137" t="inlineStr">
        <x:is>
          <x:t xml:space="preserve">SYSTEM-TEST-ONLY-NO-NETWORK-NOT-AN-EDUCATIONAL-EVALUATION</x:t>
        </x:is>
      </x:c>
      <x:c r="AQ137" t="inlineStr">
        <x:is>
          <x:t xml:space="preserve"/>
        </x:is>
      </x:c>
      <x:c r="AR137" t="inlineStr">
        <x:is>
          <x:t xml:space="preserve">NONE</x:t>
        </x:is>
      </x:c>
      <x:c r="AS137" t="inlineStr">
        <x:is>
          <x:t xml:space="preserve"/>
        </x:is>
      </x:c>
      <x:c r="AT137" t="inlineStr">
        <x:is>
          <x:t xml:space="preserve">SUCCESS</x:t>
        </x:is>
      </x:c>
      <x:c r="AU137" t="n">
        <x:f>IF((COUNT('Quantification_Results'!AO137)=1),IFERROR(ROUND((SUM(('Quantification_Results'!AO137*'Quantification_Config'!$R$15))/SUM('Quantification_Config'!$R$15)),'Quantification_Config'!$U$2),""),"")</x:f>
        <x:v>50</x:v>
      </x:c>
      <x:c r="AV137" t="n">
        <x:f>IF((COUNT('Quantification_Results'!AU137)=1),IFERROR(ROUND((SUM(('Quantification_Results'!AU137*'Quantification_Config'!$R$14))/SUM('Quantification_Config'!$R$14)),'Quantification_Config'!$U$2),""),"")</x:f>
        <x:v>50</x:v>
      </x:c>
      <x:c r="AW137" t="n">
        <x:v>1</x:v>
      </x:c>
      <x:c r="AX137" t="n">
        <x:v>5</x:v>
      </x:c>
      <x:c r="AY137"/>
      <x:c r="AZ137" t="n">
        <x:f>IF(('Quantification_Results'!AW137&lt;&gt;1),"",IF(('Quantification_Results'!AY137=""),IF(ISNUMBER('Quantification_Results'!AX137),IF(('Quantification_Results'!AX137&lt;'Quantification_Config'!$S$19),"",IF(('Quantification_Results'!AX137&gt;'Quantification_Config'!$T$19),"",'Quantification_Results'!AX137)),""),IF(ISNUMBER('Quantification_Results'!AY137),IF(('Quantification_Results'!AY137&lt;'Quantification_Config'!$S$19),"",IF(('Quantification_Results'!AY137&gt;'Quantification_Config'!$T$19),"",'Quantification_Results'!AY137)),"")))</x:f>
        <x:v>5</x:v>
      </x:c>
      <x:c r="BA137" t="n">
        <x:f>IF(ISNUMBER('Quantification_Results'!AZ137),IFERROR(ROUND(((('Quantification_Results'!AZ137-'Quantification_Config'!$S$19)/('Quantification_Config'!$T$19-'Quantification_Config'!$S$19))*100),'Quantification_Config'!$U$2),""),"")</x:f>
        <x:v>50</x:v>
      </x:c>
      <x:c r="BB137" t="inlineStr">
        <x:is>
          <x:t xml:space="preserve">SYSTEM-TEST-ONLY-NO-NETWORK-NOT-AN-EDUCATIONAL-EVALUATION</x:t>
        </x:is>
      </x:c>
      <x:c r="BC137" t="inlineStr">
        <x:is>
          <x:t xml:space="preserve"/>
        </x:is>
      </x:c>
      <x:c r="BD137" t="inlineStr">
        <x:is>
          <x:t xml:space="preserve">NONE</x:t>
        </x:is>
      </x:c>
      <x:c r="BE137" t="inlineStr">
        <x:is>
          <x:t xml:space="preserve"/>
        </x:is>
      </x:c>
      <x:c r="BF137" t="inlineStr">
        <x:is>
          <x:t xml:space="preserve">SUCCESS</x:t>
        </x:is>
      </x:c>
      <x:c r="BG137" t="n">
        <x:f>IF((COUNT('Quantification_Results'!BA137)=1),IFERROR(ROUND((SUM(('Quantification_Results'!BA137*'Quantification_Config'!$R$19))/SUM('Quantification_Config'!$R$19)),'Quantification_Config'!$U$2),""),"")</x:f>
        <x:v>50</x:v>
      </x:c>
      <x:c r="BH137" t="n">
        <x:f>IF((COUNT('Quantification_Results'!BG137)=1),IFERROR(ROUND((SUM(('Quantification_Results'!BG137*'Quantification_Config'!$R$18))/SUM('Quantification_Config'!$R$18)),'Quantification_Config'!$U$2),""),"")</x:f>
        <x:v>50</x:v>
      </x:c>
      <x:c r="BI137">
        <x:f>IF((COUNT('Quantification_Results'!L137,'Quantification_Results'!X137,'Quantification_Results'!AJ137,'Quantification_Results'!AV137,'Quantification_Results'!BH137)=5),IFERROR(ROUND((SUM(('Quantification_Results'!L137*'Quantification_Config'!$R$4),('Quantification_Results'!X137*'Quantification_Config'!$R$7),('Quantification_Results'!AJ137*'Quantification_Config'!$R$10),('Quantification_Results'!AV137*'Quantification_Config'!$R$13),('Quantification_Results'!BH137*'Quantification_Config'!$R$16))/SUM('Quantification_Config'!$R$4,'Quantification_Config'!$R$7,'Quantification_Config'!$R$10,'Quantification_Config'!$R$13,'Quantification_Config'!$R$16)),'Quantification_Config'!$U$2),""),"")</x:f>
      </x:c>
    </x:row>
    <x:row r="138">
      <x:c r="A138" t="n">
        <x:v>1</x:v>
      </x:c>
      <x:c r="B138" t="n">
        <x:v>5</x:v>
      </x:c>
      <x:c r="C138"/>
      <x:c r="D138" t="n">
        <x:f>IF(('Quantification_Results'!A138&lt;&gt;1),"",IF(('Quantification_Results'!C138=""),IF(ISNUMBER('Quantification_Results'!B138),IF(('Quantification_Results'!B138&lt;'Quantification_Config'!$S$6),"",IF(('Quantification_Results'!B138&gt;'Quantification_Config'!$T$6),"",'Quantification_Results'!B138)),""),IF(ISNUMBER('Quantification_Results'!C138),IF(('Quantification_Results'!C138&lt;'Quantification_Config'!$S$6),"",IF(('Quantification_Results'!C138&gt;'Quantification_Config'!$T$6),"",'Quantification_Results'!C138)),"")))</x:f>
        <x:v>5</x:v>
      </x:c>
      <x:c r="E138" t="n">
        <x:f>IF(ISNUMBER('Quantification_Results'!D138),IFERROR(ROUND(((('Quantification_Results'!D138-'Quantification_Config'!$S$6)/('Quantification_Config'!$T$6-'Quantification_Config'!$S$6))*100),'Quantification_Config'!$U$2),""),"")</x:f>
        <x:v>50</x:v>
      </x:c>
      <x:c r="F138" t="inlineStr">
        <x:is>
          <x:t xml:space="preserve">SYSTEM-TEST-ONLY-NO-NETWORK-NOT-AN-EDUCATIONAL-EVALUATION</x:t>
        </x:is>
      </x:c>
      <x:c r="G138" t="inlineStr">
        <x:is>
          <x:t xml:space="preserve"/>
        </x:is>
      </x:c>
      <x:c r="H138" t="inlineStr">
        <x:is>
          <x:t xml:space="preserve">NONE</x:t>
        </x:is>
      </x:c>
      <x:c r="I138" t="inlineStr">
        <x:is>
          <x:t xml:space="preserve"/>
        </x:is>
      </x:c>
      <x:c r="J138" t="inlineStr">
        <x:is>
          <x:t xml:space="preserve">SUCCESS</x:t>
        </x:is>
      </x:c>
      <x:c r="K138" t="n">
        <x:f>IF((COUNT('Quantification_Results'!E138)=1),IFERROR(ROUND((SUM(('Quantification_Results'!E138*'Quantification_Config'!$R$6))/SUM('Quantification_Config'!$R$6)),'Quantification_Config'!$U$2),""),"")</x:f>
        <x:v>50</x:v>
      </x:c>
      <x:c r="L138" t="n">
        <x:f>IF((COUNT('Quantification_Results'!K138)=1),IFERROR(ROUND((SUM(('Quantification_Results'!K138*'Quantification_Config'!$R$5))/SUM('Quantification_Config'!$R$5)),'Quantification_Config'!$U$2),""),"")</x:f>
        <x:v>50</x:v>
      </x:c>
      <x:c r="M138" t="n">
        <x:v>0</x:v>
      </x:c>
      <x:c r="N138"/>
      <x:c r="O138"/>
      <x:c r="P138">
        <x:f>IF(('Quantification_Results'!M138&lt;&gt;1),"",IF(('Quantification_Results'!O138=""),IF(ISNUMBER('Quantification_Results'!N138),IF(('Quantification_Results'!N138&lt;'Quantification_Config'!$S$9),"",IF(('Quantification_Results'!N138&gt;'Quantification_Config'!$T$9),"",'Quantification_Results'!N138)),""),IF(ISNUMBER('Quantification_Results'!O138),IF(('Quantification_Results'!O138&lt;'Quantification_Config'!$S$9),"",IF(('Quantification_Results'!O138&gt;'Quantification_Config'!$T$9),"",'Quantification_Results'!O138)),"")))</x:f>
      </x:c>
      <x:c r="Q138">
        <x:f>IF(ISNUMBER('Quantification_Results'!P138),IFERROR(ROUND(((('Quantification_Results'!P138-'Quantification_Config'!$S$9)/('Quantification_Config'!$T$9-'Quantification_Config'!$S$9))*100),'Quantification_Config'!$U$2),""),"")</x:f>
      </x:c>
      <x:c r="R138" t="inlineStr">
        <x:is>
          <x:t xml:space="preserve"/>
        </x:is>
      </x:c>
      <x:c r="S138" t="inlineStr">
        <x:is>
          <x:t xml:space="preserve"/>
        </x:is>
      </x:c>
      <x:c r="T138" t="inlineStr">
        <x:is>
          <x:t xml:space="preserve"/>
        </x:is>
      </x:c>
      <x:c r="U138" t="inlineStr">
        <x:is>
          <x:t xml:space="preserve"/>
        </x:is>
      </x:c>
      <x:c r="V138" t="inlineStr">
        <x:is>
          <x:t xml:space="preserve">EMPTY</x:t>
        </x:is>
      </x:c>
      <x:c r="W138">
        <x:f>IF((COUNT('Quantification_Results'!Q138)=1),IFERROR(ROUND((SUM(('Quantification_Results'!Q138*'Quantification_Config'!$R$9))/SUM('Quantification_Config'!$R$9)),'Quantification_Config'!$U$2),""),"")</x:f>
      </x:c>
      <x:c r="X138">
        <x:f>IF((COUNT('Quantification_Results'!W138)=1),IFERROR(ROUND((SUM(('Quantification_Results'!W138*'Quantification_Config'!$R$8))/SUM('Quantification_Config'!$R$8)),'Quantification_Config'!$U$2),""),"")</x:f>
      </x:c>
      <x:c r="Y138" t="n">
        <x:v>0</x:v>
      </x:c>
      <x:c r="Z138"/>
      <x:c r="AA138"/>
      <x:c r="AB138">
        <x:f>IF(('Quantification_Results'!Y138&lt;&gt;1),"",IF(('Quantification_Results'!AA138=""),IF(ISNUMBER('Quantification_Results'!Z138),IF(('Quantification_Results'!Z138&lt;'Quantification_Config'!$S$12),"",IF(('Quantification_Results'!Z138&gt;'Quantification_Config'!$T$12),"",'Quantification_Results'!Z138)),""),IF(ISNUMBER('Quantification_Results'!AA138),IF(('Quantification_Results'!AA138&lt;'Quantification_Config'!$S$12),"",IF(('Quantification_Results'!AA138&gt;'Quantification_Config'!$T$12),"",'Quantification_Results'!AA138)),"")))</x:f>
      </x:c>
      <x:c r="AC138">
        <x:f>IF(ISNUMBER('Quantification_Results'!AB138),IFERROR(ROUND(((('Quantification_Results'!AB138-'Quantification_Config'!$S$12)/('Quantification_Config'!$T$12-'Quantification_Config'!$S$12))*100),'Quantification_Config'!$U$2),""),"")</x:f>
      </x:c>
      <x:c r="AD138" t="inlineStr">
        <x:is>
          <x:t xml:space="preserve"/>
        </x:is>
      </x:c>
      <x:c r="AE138" t="inlineStr">
        <x:is>
          <x:t xml:space="preserve"/>
        </x:is>
      </x:c>
      <x:c r="AF138" t="inlineStr">
        <x:is>
          <x:t xml:space="preserve"/>
        </x:is>
      </x:c>
      <x:c r="AG138" t="inlineStr">
        <x:is>
          <x:t xml:space="preserve"/>
        </x:is>
      </x:c>
      <x:c r="AH138" t="inlineStr">
        <x:is>
          <x:t xml:space="preserve">EMPTY</x:t>
        </x:is>
      </x:c>
      <x:c r="AI138">
        <x:f>IF((COUNT('Quantification_Results'!AC138)=1),IFERROR(ROUND((SUM(('Quantification_Results'!AC138*'Quantification_Config'!$R$12))/SUM('Quantification_Config'!$R$12)),'Quantification_Config'!$U$2),""),"")</x:f>
      </x:c>
      <x:c r="AJ138">
        <x:f>IF((COUNT('Quantification_Results'!AI138)=1),IFERROR(ROUND((SUM(('Quantification_Results'!AI138*'Quantification_Config'!$R$11))/SUM('Quantification_Config'!$R$11)),'Quantification_Config'!$U$2),""),"")</x:f>
      </x:c>
      <x:c r="AK138" t="n">
        <x:v>1</x:v>
      </x:c>
      <x:c r="AL138" t="n">
        <x:v>5</x:v>
      </x:c>
      <x:c r="AM138"/>
      <x:c r="AN138" t="n">
        <x:f>IF(('Quantification_Results'!AK138&lt;&gt;1),"",IF(('Quantification_Results'!AM138=""),IF(ISNUMBER('Quantification_Results'!AL138),IF(('Quantification_Results'!AL138&lt;'Quantification_Config'!$S$15),"",IF(('Quantification_Results'!AL138&gt;'Quantification_Config'!$T$15),"",'Quantification_Results'!AL138)),""),IF(ISNUMBER('Quantification_Results'!AM138),IF(('Quantification_Results'!AM138&lt;'Quantification_Config'!$S$15),"",IF(('Quantification_Results'!AM138&gt;'Quantification_Config'!$T$15),"",'Quantification_Results'!AM138)),"")))</x:f>
        <x:v>5</x:v>
      </x:c>
      <x:c r="AO138" t="n">
        <x:f>IF(ISNUMBER('Quantification_Results'!AN138),IFERROR(ROUND(((('Quantification_Results'!AN138-'Quantification_Config'!$S$15)/('Quantification_Config'!$T$15-'Quantification_Config'!$S$15))*100),'Quantification_Config'!$U$2),""),"")</x:f>
        <x:v>50</x:v>
      </x:c>
      <x:c r="AP138" t="inlineStr">
        <x:is>
          <x:t xml:space="preserve">SYSTEM-TEST-ONLY-NO-NETWORK-NOT-AN-EDUCATIONAL-EVALUATION</x:t>
        </x:is>
      </x:c>
      <x:c r="AQ138" t="inlineStr">
        <x:is>
          <x:t xml:space="preserve"/>
        </x:is>
      </x:c>
      <x:c r="AR138" t="inlineStr">
        <x:is>
          <x:t xml:space="preserve">NONE</x:t>
        </x:is>
      </x:c>
      <x:c r="AS138" t="inlineStr">
        <x:is>
          <x:t xml:space="preserve"/>
        </x:is>
      </x:c>
      <x:c r="AT138" t="inlineStr">
        <x:is>
          <x:t xml:space="preserve">SUCCESS</x:t>
        </x:is>
      </x:c>
      <x:c r="AU138" t="n">
        <x:f>IF((COUNT('Quantification_Results'!AO138)=1),IFERROR(ROUND((SUM(('Quantification_Results'!AO138*'Quantification_Config'!$R$15))/SUM('Quantification_Config'!$R$15)),'Quantification_Config'!$U$2),""),"")</x:f>
        <x:v>50</x:v>
      </x:c>
      <x:c r="AV138" t="n">
        <x:f>IF((COUNT('Quantification_Results'!AU138)=1),IFERROR(ROUND((SUM(('Quantification_Results'!AU138*'Quantification_Config'!$R$14))/SUM('Quantification_Config'!$R$14)),'Quantification_Config'!$U$2),""),"")</x:f>
        <x:v>50</x:v>
      </x:c>
      <x:c r="AW138" t="n">
        <x:v>0</x:v>
      </x:c>
      <x:c r="AX138"/>
      <x:c r="AY138"/>
      <x:c r="AZ138">
        <x:f>IF(('Quantification_Results'!AW138&lt;&gt;1),"",IF(('Quantification_Results'!AY138=""),IF(ISNUMBER('Quantification_Results'!AX138),IF(('Quantification_Results'!AX138&lt;'Quantification_Config'!$S$19),"",IF(('Quantification_Results'!AX138&gt;'Quantification_Config'!$T$19),"",'Quantification_Results'!AX138)),""),IF(ISNUMBER('Quantification_Results'!AY138),IF(('Quantification_Results'!AY138&lt;'Quantification_Config'!$S$19),"",IF(('Quantification_Results'!AY138&gt;'Quantification_Config'!$T$19),"",'Quantification_Results'!AY138)),"")))</x:f>
      </x:c>
      <x:c r="BA138">
        <x:f>IF(ISNUMBER('Quantification_Results'!AZ138),IFERROR(ROUND(((('Quantification_Results'!AZ138-'Quantification_Config'!$S$19)/('Quantification_Config'!$T$19-'Quantification_Config'!$S$19))*100),'Quantification_Config'!$U$2),""),"")</x:f>
      </x:c>
      <x:c r="BB138" t="inlineStr">
        <x:is>
          <x:t xml:space="preserve"/>
        </x:is>
      </x:c>
      <x:c r="BC138" t="inlineStr">
        <x:is>
          <x:t xml:space="preserve"/>
        </x:is>
      </x:c>
      <x:c r="BD138" t="inlineStr">
        <x:is>
          <x:t xml:space="preserve"/>
        </x:is>
      </x:c>
      <x:c r="BE138" t="inlineStr">
        <x:is>
          <x:t xml:space="preserve"/>
        </x:is>
      </x:c>
      <x:c r="BF138" t="inlineStr">
        <x:is>
          <x:t xml:space="preserve">EMPTY</x:t>
        </x:is>
      </x:c>
      <x:c r="BG138">
        <x:f>IF((COUNT('Quantification_Results'!BA138)=1),IFERROR(ROUND((SUM(('Quantification_Results'!BA138*'Quantification_Config'!$R$19))/SUM('Quantification_Config'!$R$19)),'Quantification_Config'!$U$2),""),"")</x:f>
      </x:c>
      <x:c r="BH138">
        <x:f>IF((COUNT('Quantification_Results'!BG138)=1),IFERROR(ROUND((SUM(('Quantification_Results'!BG138*'Quantification_Config'!$R$18))/SUM('Quantification_Config'!$R$18)),'Quantification_Config'!$U$2),""),"")</x:f>
      </x:c>
      <x:c r="BI138">
        <x:f>IF((COUNT('Quantification_Results'!L138,'Quantification_Results'!X138,'Quantification_Results'!AJ138,'Quantification_Results'!AV138,'Quantification_Results'!BH138)=5),IFERROR(ROUND((SUM(('Quantification_Results'!L138*'Quantification_Config'!$R$4),('Quantification_Results'!X138*'Quantification_Config'!$R$7),('Quantification_Results'!AJ138*'Quantification_Config'!$R$10),('Quantification_Results'!AV138*'Quantification_Config'!$R$13),('Quantification_Results'!BH138*'Quantification_Config'!$R$16))/SUM('Quantification_Config'!$R$4,'Quantification_Config'!$R$7,'Quantification_Config'!$R$10,'Quantification_Config'!$R$13,'Quantification_Config'!$R$16)),'Quantification_Config'!$U$2),""),"")</x:f>
      </x:c>
    </x:row>
    <x:row r="139">
      <x:c r="A139" t="n">
        <x:v>1</x:v>
      </x:c>
      <x:c r="B139" t="n">
        <x:v>5</x:v>
      </x:c>
      <x:c r="C139"/>
      <x:c r="D139" t="n">
        <x:f>IF(('Quantification_Results'!A139&lt;&gt;1),"",IF(('Quantification_Results'!C139=""),IF(ISNUMBER('Quantification_Results'!B139),IF(('Quantification_Results'!B139&lt;'Quantification_Config'!$S$6),"",IF(('Quantification_Results'!B139&gt;'Quantification_Config'!$T$6),"",'Quantification_Results'!B139)),""),IF(ISNUMBER('Quantification_Results'!C139),IF(('Quantification_Results'!C139&lt;'Quantification_Config'!$S$6),"",IF(('Quantification_Results'!C139&gt;'Quantification_Config'!$T$6),"",'Quantification_Results'!C139)),"")))</x:f>
        <x:v>5</x:v>
      </x:c>
      <x:c r="E139" t="n">
        <x:f>IF(ISNUMBER('Quantification_Results'!D139),IFERROR(ROUND(((('Quantification_Results'!D139-'Quantification_Config'!$S$6)/('Quantification_Config'!$T$6-'Quantification_Config'!$S$6))*100),'Quantification_Config'!$U$2),""),"")</x:f>
        <x:v>50</x:v>
      </x:c>
      <x:c r="F139" t="inlineStr">
        <x:is>
          <x:t xml:space="preserve">SYSTEM-TEST-ONLY-NO-NETWORK-NOT-AN-EDUCATIONAL-EVALUATION</x:t>
        </x:is>
      </x:c>
      <x:c r="G139" t="inlineStr">
        <x:is>
          <x:t xml:space="preserve"/>
        </x:is>
      </x:c>
      <x:c r="H139" t="inlineStr">
        <x:is>
          <x:t xml:space="preserve">NONE</x:t>
        </x:is>
      </x:c>
      <x:c r="I139" t="inlineStr">
        <x:is>
          <x:t xml:space="preserve"/>
        </x:is>
      </x:c>
      <x:c r="J139" t="inlineStr">
        <x:is>
          <x:t xml:space="preserve">SUCCESS</x:t>
        </x:is>
      </x:c>
      <x:c r="K139" t="n">
        <x:f>IF((COUNT('Quantification_Results'!E139)=1),IFERROR(ROUND((SUM(('Quantification_Results'!E139*'Quantification_Config'!$R$6))/SUM('Quantification_Config'!$R$6)),'Quantification_Config'!$U$2),""),"")</x:f>
        <x:v>50</x:v>
      </x:c>
      <x:c r="L139" t="n">
        <x:f>IF((COUNT('Quantification_Results'!K139)=1),IFERROR(ROUND((SUM(('Quantification_Results'!K139*'Quantification_Config'!$R$5))/SUM('Quantification_Config'!$R$5)),'Quantification_Config'!$U$2),""),"")</x:f>
        <x:v>50</x:v>
      </x:c>
      <x:c r="M139" t="n">
        <x:v>1</x:v>
      </x:c>
      <x:c r="N139" t="n">
        <x:v>5</x:v>
      </x:c>
      <x:c r="O139"/>
      <x:c r="P139" t="n">
        <x:f>IF(('Quantification_Results'!M139&lt;&gt;1),"",IF(('Quantification_Results'!O139=""),IF(ISNUMBER('Quantification_Results'!N139),IF(('Quantification_Results'!N139&lt;'Quantification_Config'!$S$9),"",IF(('Quantification_Results'!N139&gt;'Quantification_Config'!$T$9),"",'Quantification_Results'!N139)),""),IF(ISNUMBER('Quantification_Results'!O139),IF(('Quantification_Results'!O139&lt;'Quantification_Config'!$S$9),"",IF(('Quantification_Results'!O139&gt;'Quantification_Config'!$T$9),"",'Quantification_Results'!O139)),"")))</x:f>
        <x:v>5</x:v>
      </x:c>
      <x:c r="Q139" t="n">
        <x:f>IF(ISNUMBER('Quantification_Results'!P139),IFERROR(ROUND(((('Quantification_Results'!P139-'Quantification_Config'!$S$9)/('Quantification_Config'!$T$9-'Quantification_Config'!$S$9))*100),'Quantification_Config'!$U$2),""),"")</x:f>
        <x:v>50</x:v>
      </x:c>
      <x:c r="R139" t="inlineStr">
        <x:is>
          <x:t xml:space="preserve">SYSTEM-TEST-ONLY-NO-NETWORK-NOT-AN-EDUCATIONAL-EVALUATION</x:t>
        </x:is>
      </x:c>
      <x:c r="S139" t="inlineStr">
        <x:is>
          <x:t xml:space="preserve"/>
        </x:is>
      </x:c>
      <x:c r="T139" t="inlineStr">
        <x:is>
          <x:t xml:space="preserve">NONE</x:t>
        </x:is>
      </x:c>
      <x:c r="U139" t="inlineStr">
        <x:is>
          <x:t xml:space="preserve"/>
        </x:is>
      </x:c>
      <x:c r="V139" t="inlineStr">
        <x:is>
          <x:t xml:space="preserve">SUCCESS</x:t>
        </x:is>
      </x:c>
      <x:c r="W139" t="n">
        <x:f>IF((COUNT('Quantification_Results'!Q139)=1),IFERROR(ROUND((SUM(('Quantification_Results'!Q139*'Quantification_Config'!$R$9))/SUM('Quantification_Config'!$R$9)),'Quantification_Config'!$U$2),""),"")</x:f>
        <x:v>50</x:v>
      </x:c>
      <x:c r="X139" t="n">
        <x:f>IF((COUNT('Quantification_Results'!W139)=1),IFERROR(ROUND((SUM(('Quantification_Results'!W139*'Quantification_Config'!$R$8))/SUM('Quantification_Config'!$R$8)),'Quantification_Config'!$U$2),""),"")</x:f>
        <x:v>50</x:v>
      </x:c>
      <x:c r="Y139" t="n">
        <x:v>0</x:v>
      </x:c>
      <x:c r="Z139"/>
      <x:c r="AA139"/>
      <x:c r="AB139">
        <x:f>IF(('Quantification_Results'!Y139&lt;&gt;1),"",IF(('Quantification_Results'!AA139=""),IF(ISNUMBER('Quantification_Results'!Z139),IF(('Quantification_Results'!Z139&lt;'Quantification_Config'!$S$12),"",IF(('Quantification_Results'!Z139&gt;'Quantification_Config'!$T$12),"",'Quantification_Results'!Z139)),""),IF(ISNUMBER('Quantification_Results'!AA139),IF(('Quantification_Results'!AA139&lt;'Quantification_Config'!$S$12),"",IF(('Quantification_Results'!AA139&gt;'Quantification_Config'!$T$12),"",'Quantification_Results'!AA139)),"")))</x:f>
      </x:c>
      <x:c r="AC139">
        <x:f>IF(ISNUMBER('Quantification_Results'!AB139),IFERROR(ROUND(((('Quantification_Results'!AB139-'Quantification_Config'!$S$12)/('Quantification_Config'!$T$12-'Quantification_Config'!$S$12))*100),'Quantification_Config'!$U$2),""),"")</x:f>
      </x:c>
      <x:c r="AD139" t="inlineStr">
        <x:is>
          <x:t xml:space="preserve"/>
        </x:is>
      </x:c>
      <x:c r="AE139" t="inlineStr">
        <x:is>
          <x:t xml:space="preserve"/>
        </x:is>
      </x:c>
      <x:c r="AF139" t="inlineStr">
        <x:is>
          <x:t xml:space="preserve"/>
        </x:is>
      </x:c>
      <x:c r="AG139" t="inlineStr">
        <x:is>
          <x:t xml:space="preserve"/>
        </x:is>
      </x:c>
      <x:c r="AH139" t="inlineStr">
        <x:is>
          <x:t xml:space="preserve">EMPTY</x:t>
        </x:is>
      </x:c>
      <x:c r="AI139">
        <x:f>IF((COUNT('Quantification_Results'!AC139)=1),IFERROR(ROUND((SUM(('Quantification_Results'!AC139*'Quantification_Config'!$R$12))/SUM('Quantification_Config'!$R$12)),'Quantification_Config'!$U$2),""),"")</x:f>
      </x:c>
      <x:c r="AJ139">
        <x:f>IF((COUNT('Quantification_Results'!AI139)=1),IFERROR(ROUND((SUM(('Quantification_Results'!AI139*'Quantification_Config'!$R$11))/SUM('Quantification_Config'!$R$11)),'Quantification_Config'!$U$2),""),"")</x:f>
      </x:c>
      <x:c r="AK139" t="n">
        <x:v>1</x:v>
      </x:c>
      <x:c r="AL139" t="n">
        <x:v>5</x:v>
      </x:c>
      <x:c r="AM139"/>
      <x:c r="AN139" t="n">
        <x:f>IF(('Quantification_Results'!AK139&lt;&gt;1),"",IF(('Quantification_Results'!AM139=""),IF(ISNUMBER('Quantification_Results'!AL139),IF(('Quantification_Results'!AL139&lt;'Quantification_Config'!$S$15),"",IF(('Quantification_Results'!AL139&gt;'Quantification_Config'!$T$15),"",'Quantification_Results'!AL139)),""),IF(ISNUMBER('Quantification_Results'!AM139),IF(('Quantification_Results'!AM139&lt;'Quantification_Config'!$S$15),"",IF(('Quantification_Results'!AM139&gt;'Quantification_Config'!$T$15),"",'Quantification_Results'!AM139)),"")))</x:f>
        <x:v>5</x:v>
      </x:c>
      <x:c r="AO139" t="n">
        <x:f>IF(ISNUMBER('Quantification_Results'!AN139),IFERROR(ROUND(((('Quantification_Results'!AN139-'Quantification_Config'!$S$15)/('Quantification_Config'!$T$15-'Quantification_Config'!$S$15))*100),'Quantification_Config'!$U$2),""),"")</x:f>
        <x:v>50</x:v>
      </x:c>
      <x:c r="AP139" t="inlineStr">
        <x:is>
          <x:t xml:space="preserve">SYSTEM-TEST-ONLY-NO-NETWORK-NOT-AN-EDUCATIONAL-EVALUATION</x:t>
        </x:is>
      </x:c>
      <x:c r="AQ139" t="inlineStr">
        <x:is>
          <x:t xml:space="preserve"/>
        </x:is>
      </x:c>
      <x:c r="AR139" t="inlineStr">
        <x:is>
          <x:t xml:space="preserve">NONE</x:t>
        </x:is>
      </x:c>
      <x:c r="AS139" t="inlineStr">
        <x:is>
          <x:t xml:space="preserve"/>
        </x:is>
      </x:c>
      <x:c r="AT139" t="inlineStr">
        <x:is>
          <x:t xml:space="preserve">SUCCESS</x:t>
        </x:is>
      </x:c>
      <x:c r="AU139" t="n">
        <x:f>IF((COUNT('Quantification_Results'!AO139)=1),IFERROR(ROUND((SUM(('Quantification_Results'!AO139*'Quantification_Config'!$R$15))/SUM('Quantification_Config'!$R$15)),'Quantification_Config'!$U$2),""),"")</x:f>
        <x:v>50</x:v>
      </x:c>
      <x:c r="AV139" t="n">
        <x:f>IF((COUNT('Quantification_Results'!AU139)=1),IFERROR(ROUND((SUM(('Quantification_Results'!AU139*'Quantification_Config'!$R$14))/SUM('Quantification_Config'!$R$14)),'Quantification_Config'!$U$2),""),"")</x:f>
        <x:v>50</x:v>
      </x:c>
      <x:c r="AW139" t="n">
        <x:v>1</x:v>
      </x:c>
      <x:c r="AX139" t="n">
        <x:v>5</x:v>
      </x:c>
      <x:c r="AY139"/>
      <x:c r="AZ139" t="n">
        <x:f>IF(('Quantification_Results'!AW139&lt;&gt;1),"",IF(('Quantification_Results'!AY139=""),IF(ISNUMBER('Quantification_Results'!AX139),IF(('Quantification_Results'!AX139&lt;'Quantification_Config'!$S$19),"",IF(('Quantification_Results'!AX139&gt;'Quantification_Config'!$T$19),"",'Quantification_Results'!AX139)),""),IF(ISNUMBER('Quantification_Results'!AY139),IF(('Quantification_Results'!AY139&lt;'Quantification_Config'!$S$19),"",IF(('Quantification_Results'!AY139&gt;'Quantification_Config'!$T$19),"",'Quantification_Results'!AY139)),"")))</x:f>
        <x:v>5</x:v>
      </x:c>
      <x:c r="BA139" t="n">
        <x:f>IF(ISNUMBER('Quantification_Results'!AZ139),IFERROR(ROUND(((('Quantification_Results'!AZ139-'Quantification_Config'!$S$19)/('Quantification_Config'!$T$19-'Quantification_Config'!$S$19))*100),'Quantification_Config'!$U$2),""),"")</x:f>
        <x:v>50</x:v>
      </x:c>
      <x:c r="BB139" t="inlineStr">
        <x:is>
          <x:t xml:space="preserve">SYSTEM-TEST-ONLY-NO-NETWORK-NOT-AN-EDUCATIONAL-EVALUATION</x:t>
        </x:is>
      </x:c>
      <x:c r="BC139" t="inlineStr">
        <x:is>
          <x:t xml:space="preserve"/>
        </x:is>
      </x:c>
      <x:c r="BD139" t="inlineStr">
        <x:is>
          <x:t xml:space="preserve">NONE</x:t>
        </x:is>
      </x:c>
      <x:c r="BE139" t="inlineStr">
        <x:is>
          <x:t xml:space="preserve"/>
        </x:is>
      </x:c>
      <x:c r="BF139" t="inlineStr">
        <x:is>
          <x:t xml:space="preserve">SUCCESS</x:t>
        </x:is>
      </x:c>
      <x:c r="BG139" t="n">
        <x:f>IF((COUNT('Quantification_Results'!BA139)=1),IFERROR(ROUND((SUM(('Quantification_Results'!BA139*'Quantification_Config'!$R$19))/SUM('Quantification_Config'!$R$19)),'Quantification_Config'!$U$2),""),"")</x:f>
        <x:v>50</x:v>
      </x:c>
      <x:c r="BH139" t="n">
        <x:f>IF((COUNT('Quantification_Results'!BG139)=1),IFERROR(ROUND((SUM(('Quantification_Results'!BG139*'Quantification_Config'!$R$18))/SUM('Quantification_Config'!$R$18)),'Quantification_Config'!$U$2),""),"")</x:f>
        <x:v>50</x:v>
      </x:c>
      <x:c r="BI139">
        <x:f>IF((COUNT('Quantification_Results'!L139,'Quantification_Results'!X139,'Quantification_Results'!AJ139,'Quantification_Results'!AV139,'Quantification_Results'!BH139)=5),IFERROR(ROUND((SUM(('Quantification_Results'!L139*'Quantification_Config'!$R$4),('Quantification_Results'!X139*'Quantification_Config'!$R$7),('Quantification_Results'!AJ139*'Quantification_Config'!$R$10),('Quantification_Results'!AV139*'Quantification_Config'!$R$13),('Quantification_Results'!BH139*'Quantification_Config'!$R$16))/SUM('Quantification_Config'!$R$4,'Quantification_Config'!$R$7,'Quantification_Config'!$R$10,'Quantification_Config'!$R$13,'Quantification_Config'!$R$16)),'Quantification_Config'!$U$2),""),"")</x:f>
      </x:c>
    </x:row>
    <x:row r="140">
      <x:c r="A140" t="n">
        <x:v>1</x:v>
      </x:c>
      <x:c r="B140" t="n">
        <x:v>5</x:v>
      </x:c>
      <x:c r="C140"/>
      <x:c r="D140" t="n">
        <x:f>IF(('Quantification_Results'!A140&lt;&gt;1),"",IF(('Quantification_Results'!C140=""),IF(ISNUMBER('Quantification_Results'!B140),IF(('Quantification_Results'!B140&lt;'Quantification_Config'!$S$6),"",IF(('Quantification_Results'!B140&gt;'Quantification_Config'!$T$6),"",'Quantification_Results'!B140)),""),IF(ISNUMBER('Quantification_Results'!C140),IF(('Quantification_Results'!C140&lt;'Quantification_Config'!$S$6),"",IF(('Quantification_Results'!C140&gt;'Quantification_Config'!$T$6),"",'Quantification_Results'!C140)),"")))</x:f>
        <x:v>5</x:v>
      </x:c>
      <x:c r="E140" t="n">
        <x:f>IF(ISNUMBER('Quantification_Results'!D140),IFERROR(ROUND(((('Quantification_Results'!D140-'Quantification_Config'!$S$6)/('Quantification_Config'!$T$6-'Quantification_Config'!$S$6))*100),'Quantification_Config'!$U$2),""),"")</x:f>
        <x:v>50</x:v>
      </x:c>
      <x:c r="F140" t="inlineStr">
        <x:is>
          <x:t xml:space="preserve">SYSTEM-TEST-ONLY-NO-NETWORK-NOT-AN-EDUCATIONAL-EVALUATION</x:t>
        </x:is>
      </x:c>
      <x:c r="G140" t="inlineStr">
        <x:is>
          <x:t xml:space="preserve"/>
        </x:is>
      </x:c>
      <x:c r="H140" t="inlineStr">
        <x:is>
          <x:t xml:space="preserve">NONE</x:t>
        </x:is>
      </x:c>
      <x:c r="I140" t="inlineStr">
        <x:is>
          <x:t xml:space="preserve"/>
        </x:is>
      </x:c>
      <x:c r="J140" t="inlineStr">
        <x:is>
          <x:t xml:space="preserve">SUCCESS</x:t>
        </x:is>
      </x:c>
      <x:c r="K140" t="n">
        <x:f>IF((COUNT('Quantification_Results'!E140)=1),IFERROR(ROUND((SUM(('Quantification_Results'!E140*'Quantification_Config'!$R$6))/SUM('Quantification_Config'!$R$6)),'Quantification_Config'!$U$2),""),"")</x:f>
        <x:v>50</x:v>
      </x:c>
      <x:c r="L140" t="n">
        <x:f>IF((COUNT('Quantification_Results'!K140)=1),IFERROR(ROUND((SUM(('Quantification_Results'!K140*'Quantification_Config'!$R$5))/SUM('Quantification_Config'!$R$5)),'Quantification_Config'!$U$2),""),"")</x:f>
        <x:v>50</x:v>
      </x:c>
      <x:c r="M140" t="n">
        <x:v>1</x:v>
      </x:c>
      <x:c r="N140" t="n">
        <x:v>5</x:v>
      </x:c>
      <x:c r="O140"/>
      <x:c r="P140" t="n">
        <x:f>IF(('Quantification_Results'!M140&lt;&gt;1),"",IF(('Quantification_Results'!O140=""),IF(ISNUMBER('Quantification_Results'!N140),IF(('Quantification_Results'!N140&lt;'Quantification_Config'!$S$9),"",IF(('Quantification_Results'!N140&gt;'Quantification_Config'!$T$9),"",'Quantification_Results'!N140)),""),IF(ISNUMBER('Quantification_Results'!O140),IF(('Quantification_Results'!O140&lt;'Quantification_Config'!$S$9),"",IF(('Quantification_Results'!O140&gt;'Quantification_Config'!$T$9),"",'Quantification_Results'!O140)),"")))</x:f>
        <x:v>5</x:v>
      </x:c>
      <x:c r="Q140" t="n">
        <x:f>IF(ISNUMBER('Quantification_Results'!P140),IFERROR(ROUND(((('Quantification_Results'!P140-'Quantification_Config'!$S$9)/('Quantification_Config'!$T$9-'Quantification_Config'!$S$9))*100),'Quantification_Config'!$U$2),""),"")</x:f>
        <x:v>50</x:v>
      </x:c>
      <x:c r="R140" t="inlineStr">
        <x:is>
          <x:t xml:space="preserve">SYSTEM-TEST-ONLY-NO-NETWORK-NOT-AN-EDUCATIONAL-EVALUATION</x:t>
        </x:is>
      </x:c>
      <x:c r="S140" t="inlineStr">
        <x:is>
          <x:t xml:space="preserve"/>
        </x:is>
      </x:c>
      <x:c r="T140" t="inlineStr">
        <x:is>
          <x:t xml:space="preserve">NONE</x:t>
        </x:is>
      </x:c>
      <x:c r="U140" t="inlineStr">
        <x:is>
          <x:t xml:space="preserve"/>
        </x:is>
      </x:c>
      <x:c r="V140" t="inlineStr">
        <x:is>
          <x:t xml:space="preserve">SUCCESS</x:t>
        </x:is>
      </x:c>
      <x:c r="W140" t="n">
        <x:f>IF((COUNT('Quantification_Results'!Q140)=1),IFERROR(ROUND((SUM(('Quantification_Results'!Q140*'Quantification_Config'!$R$9))/SUM('Quantification_Config'!$R$9)),'Quantification_Config'!$U$2),""),"")</x:f>
        <x:v>50</x:v>
      </x:c>
      <x:c r="X140" t="n">
        <x:f>IF((COUNT('Quantification_Results'!W140)=1),IFERROR(ROUND((SUM(('Quantification_Results'!W140*'Quantification_Config'!$R$8))/SUM('Quantification_Config'!$R$8)),'Quantification_Config'!$U$2),""),"")</x:f>
        <x:v>50</x:v>
      </x:c>
      <x:c r="Y140" t="n">
        <x:v>0</x:v>
      </x:c>
      <x:c r="Z140"/>
      <x:c r="AA140"/>
      <x:c r="AB140">
        <x:f>IF(('Quantification_Results'!Y140&lt;&gt;1),"",IF(('Quantification_Results'!AA140=""),IF(ISNUMBER('Quantification_Results'!Z140),IF(('Quantification_Results'!Z140&lt;'Quantification_Config'!$S$12),"",IF(('Quantification_Results'!Z140&gt;'Quantification_Config'!$T$12),"",'Quantification_Results'!Z140)),""),IF(ISNUMBER('Quantification_Results'!AA140),IF(('Quantification_Results'!AA140&lt;'Quantification_Config'!$S$12),"",IF(('Quantification_Results'!AA140&gt;'Quantification_Config'!$T$12),"",'Quantification_Results'!AA140)),"")))</x:f>
      </x:c>
      <x:c r="AC140">
        <x:f>IF(ISNUMBER('Quantification_Results'!AB140),IFERROR(ROUND(((('Quantification_Results'!AB140-'Quantification_Config'!$S$12)/('Quantification_Config'!$T$12-'Quantification_Config'!$S$12))*100),'Quantification_Config'!$U$2),""),"")</x:f>
      </x:c>
      <x:c r="AD140" t="inlineStr">
        <x:is>
          <x:t xml:space="preserve"/>
        </x:is>
      </x:c>
      <x:c r="AE140" t="inlineStr">
        <x:is>
          <x:t xml:space="preserve"/>
        </x:is>
      </x:c>
      <x:c r="AF140" t="inlineStr">
        <x:is>
          <x:t xml:space="preserve"/>
        </x:is>
      </x:c>
      <x:c r="AG140" t="inlineStr">
        <x:is>
          <x:t xml:space="preserve"/>
        </x:is>
      </x:c>
      <x:c r="AH140" t="inlineStr">
        <x:is>
          <x:t xml:space="preserve">EMPTY</x:t>
        </x:is>
      </x:c>
      <x:c r="AI140">
        <x:f>IF((COUNT('Quantification_Results'!AC140)=1),IFERROR(ROUND((SUM(('Quantification_Results'!AC140*'Quantification_Config'!$R$12))/SUM('Quantification_Config'!$R$12)),'Quantification_Config'!$U$2),""),"")</x:f>
      </x:c>
      <x:c r="AJ140">
        <x:f>IF((COUNT('Quantification_Results'!AI140)=1),IFERROR(ROUND((SUM(('Quantification_Results'!AI140*'Quantification_Config'!$R$11))/SUM('Quantification_Config'!$R$11)),'Quantification_Config'!$U$2),""),"")</x:f>
      </x:c>
      <x:c r="AK140" t="n">
        <x:v>1</x:v>
      </x:c>
      <x:c r="AL140" t="n">
        <x:v>5</x:v>
      </x:c>
      <x:c r="AM140"/>
      <x:c r="AN140" t="n">
        <x:f>IF(('Quantification_Results'!AK140&lt;&gt;1),"",IF(('Quantification_Results'!AM140=""),IF(ISNUMBER('Quantification_Results'!AL140),IF(('Quantification_Results'!AL140&lt;'Quantification_Config'!$S$15),"",IF(('Quantification_Results'!AL140&gt;'Quantification_Config'!$T$15),"",'Quantification_Results'!AL140)),""),IF(ISNUMBER('Quantification_Results'!AM140),IF(('Quantification_Results'!AM140&lt;'Quantification_Config'!$S$15),"",IF(('Quantification_Results'!AM140&gt;'Quantification_Config'!$T$15),"",'Quantification_Results'!AM140)),"")))</x:f>
        <x:v>5</x:v>
      </x:c>
      <x:c r="AO140" t="n">
        <x:f>IF(ISNUMBER('Quantification_Results'!AN140),IFERROR(ROUND(((('Quantification_Results'!AN140-'Quantification_Config'!$S$15)/('Quantification_Config'!$T$15-'Quantification_Config'!$S$15))*100),'Quantification_Config'!$U$2),""),"")</x:f>
        <x:v>50</x:v>
      </x:c>
      <x:c r="AP140" t="inlineStr">
        <x:is>
          <x:t xml:space="preserve">SYSTEM-TEST-ONLY-NO-NETWORK-NOT-AN-EDUCATIONAL-EVALUATION</x:t>
        </x:is>
      </x:c>
      <x:c r="AQ140" t="inlineStr">
        <x:is>
          <x:t xml:space="preserve"/>
        </x:is>
      </x:c>
      <x:c r="AR140" t="inlineStr">
        <x:is>
          <x:t xml:space="preserve">NONE</x:t>
        </x:is>
      </x:c>
      <x:c r="AS140" t="inlineStr">
        <x:is>
          <x:t xml:space="preserve"/>
        </x:is>
      </x:c>
      <x:c r="AT140" t="inlineStr">
        <x:is>
          <x:t xml:space="preserve">SUCCESS</x:t>
        </x:is>
      </x:c>
      <x:c r="AU140" t="n">
        <x:f>IF((COUNT('Quantification_Results'!AO140)=1),IFERROR(ROUND((SUM(('Quantification_Results'!AO140*'Quantification_Config'!$R$15))/SUM('Quantification_Config'!$R$15)),'Quantification_Config'!$U$2),""),"")</x:f>
        <x:v>50</x:v>
      </x:c>
      <x:c r="AV140" t="n">
        <x:f>IF((COUNT('Quantification_Results'!AU140)=1),IFERROR(ROUND((SUM(('Quantification_Results'!AU140*'Quantification_Config'!$R$14))/SUM('Quantification_Config'!$R$14)),'Quantification_Config'!$U$2),""),"")</x:f>
        <x:v>50</x:v>
      </x:c>
      <x:c r="AW140" t="n">
        <x:v>1</x:v>
      </x:c>
      <x:c r="AX140" t="n">
        <x:v>5</x:v>
      </x:c>
      <x:c r="AY140"/>
      <x:c r="AZ140" t="n">
        <x:f>IF(('Quantification_Results'!AW140&lt;&gt;1),"",IF(('Quantification_Results'!AY140=""),IF(ISNUMBER('Quantification_Results'!AX140),IF(('Quantification_Results'!AX140&lt;'Quantification_Config'!$S$19),"",IF(('Quantification_Results'!AX140&gt;'Quantification_Config'!$T$19),"",'Quantification_Results'!AX140)),""),IF(ISNUMBER('Quantification_Results'!AY140),IF(('Quantification_Results'!AY140&lt;'Quantification_Config'!$S$19),"",IF(('Quantification_Results'!AY140&gt;'Quantification_Config'!$T$19),"",'Quantification_Results'!AY140)),"")))</x:f>
        <x:v>5</x:v>
      </x:c>
      <x:c r="BA140" t="n">
        <x:f>IF(ISNUMBER('Quantification_Results'!AZ140),IFERROR(ROUND(((('Quantification_Results'!AZ140-'Quantification_Config'!$S$19)/('Quantification_Config'!$T$19-'Quantification_Config'!$S$19))*100),'Quantification_Config'!$U$2),""),"")</x:f>
        <x:v>50</x:v>
      </x:c>
      <x:c r="BB140" t="inlineStr">
        <x:is>
          <x:t xml:space="preserve">SYSTEM-TEST-ONLY-NO-NETWORK-NOT-AN-EDUCATIONAL-EVALUATION</x:t>
        </x:is>
      </x:c>
      <x:c r="BC140" t="inlineStr">
        <x:is>
          <x:t xml:space="preserve"/>
        </x:is>
      </x:c>
      <x:c r="BD140" t="inlineStr">
        <x:is>
          <x:t xml:space="preserve">NONE</x:t>
        </x:is>
      </x:c>
      <x:c r="BE140" t="inlineStr">
        <x:is>
          <x:t xml:space="preserve"/>
        </x:is>
      </x:c>
      <x:c r="BF140" t="inlineStr">
        <x:is>
          <x:t xml:space="preserve">SUCCESS</x:t>
        </x:is>
      </x:c>
      <x:c r="BG140" t="n">
        <x:f>IF((COUNT('Quantification_Results'!BA140)=1),IFERROR(ROUND((SUM(('Quantification_Results'!BA140*'Quantification_Config'!$R$19))/SUM('Quantification_Config'!$R$19)),'Quantification_Config'!$U$2),""),"")</x:f>
        <x:v>50</x:v>
      </x:c>
      <x:c r="BH140" t="n">
        <x:f>IF((COUNT('Quantification_Results'!BG140)=1),IFERROR(ROUND((SUM(('Quantification_Results'!BG140*'Quantification_Config'!$R$18))/SUM('Quantification_Config'!$R$18)),'Quantification_Config'!$U$2),""),"")</x:f>
        <x:v>50</x:v>
      </x:c>
      <x:c r="BI140">
        <x:f>IF((COUNT('Quantification_Results'!L140,'Quantification_Results'!X140,'Quantification_Results'!AJ140,'Quantification_Results'!AV140,'Quantification_Results'!BH140)=5),IFERROR(ROUND((SUM(('Quantification_Results'!L140*'Quantification_Config'!$R$4),('Quantification_Results'!X140*'Quantification_Config'!$R$7),('Quantification_Results'!AJ140*'Quantification_Config'!$R$10),('Quantification_Results'!AV140*'Quantification_Config'!$R$13),('Quantification_Results'!BH140*'Quantification_Config'!$R$16))/SUM('Quantification_Config'!$R$4,'Quantification_Config'!$R$7,'Quantification_Config'!$R$10,'Quantification_Config'!$R$13,'Quantification_Config'!$R$16)),'Quantification_Config'!$U$2),""),"")</x:f>
      </x:c>
    </x:row>
    <x:row r="141">
      <x:c r="A141" t="n">
        <x:v>1</x:v>
      </x:c>
      <x:c r="B141" t="n">
        <x:v>5</x:v>
      </x:c>
      <x:c r="C141"/>
      <x:c r="D141" t="n">
        <x:f>IF(('Quantification_Results'!A141&lt;&gt;1),"",IF(('Quantification_Results'!C141=""),IF(ISNUMBER('Quantification_Results'!B141),IF(('Quantification_Results'!B141&lt;'Quantification_Config'!$S$6),"",IF(('Quantification_Results'!B141&gt;'Quantification_Config'!$T$6),"",'Quantification_Results'!B141)),""),IF(ISNUMBER('Quantification_Results'!C141),IF(('Quantification_Results'!C141&lt;'Quantification_Config'!$S$6),"",IF(('Quantification_Results'!C141&gt;'Quantification_Config'!$T$6),"",'Quantification_Results'!C141)),"")))</x:f>
        <x:v>5</x:v>
      </x:c>
      <x:c r="E141" t="n">
        <x:f>IF(ISNUMBER('Quantification_Results'!D141),IFERROR(ROUND(((('Quantification_Results'!D141-'Quantification_Config'!$S$6)/('Quantification_Config'!$T$6-'Quantification_Config'!$S$6))*100),'Quantification_Config'!$U$2),""),"")</x:f>
        <x:v>50</x:v>
      </x:c>
      <x:c r="F141" t="inlineStr">
        <x:is>
          <x:t xml:space="preserve">SYSTEM-TEST-ONLY-NO-NETWORK-NOT-AN-EDUCATIONAL-EVALUATION</x:t>
        </x:is>
      </x:c>
      <x:c r="G141" t="inlineStr">
        <x:is>
          <x:t xml:space="preserve"/>
        </x:is>
      </x:c>
      <x:c r="H141" t="inlineStr">
        <x:is>
          <x:t xml:space="preserve">NONE</x:t>
        </x:is>
      </x:c>
      <x:c r="I141" t="inlineStr">
        <x:is>
          <x:t xml:space="preserve"/>
        </x:is>
      </x:c>
      <x:c r="J141" t="inlineStr">
        <x:is>
          <x:t xml:space="preserve">SUCCESS</x:t>
        </x:is>
      </x:c>
      <x:c r="K141" t="n">
        <x:f>IF((COUNT('Quantification_Results'!E141)=1),IFERROR(ROUND((SUM(('Quantification_Results'!E141*'Quantification_Config'!$R$6))/SUM('Quantification_Config'!$R$6)),'Quantification_Config'!$U$2),""),"")</x:f>
        <x:v>50</x:v>
      </x:c>
      <x:c r="L141" t="n">
        <x:f>IF((COUNT('Quantification_Results'!K141)=1),IFERROR(ROUND((SUM(('Quantification_Results'!K141*'Quantification_Config'!$R$5))/SUM('Quantification_Config'!$R$5)),'Quantification_Config'!$U$2),""),"")</x:f>
        <x:v>50</x:v>
      </x:c>
      <x:c r="M141" t="n">
        <x:v>1</x:v>
      </x:c>
      <x:c r="N141" t="n">
        <x:v>5</x:v>
      </x:c>
      <x:c r="O141"/>
      <x:c r="P141" t="n">
        <x:f>IF(('Quantification_Results'!M141&lt;&gt;1),"",IF(('Quantification_Results'!O141=""),IF(ISNUMBER('Quantification_Results'!N141),IF(('Quantification_Results'!N141&lt;'Quantification_Config'!$S$9),"",IF(('Quantification_Results'!N141&gt;'Quantification_Config'!$T$9),"",'Quantification_Results'!N141)),""),IF(ISNUMBER('Quantification_Results'!O141),IF(('Quantification_Results'!O141&lt;'Quantification_Config'!$S$9),"",IF(('Quantification_Results'!O141&gt;'Quantification_Config'!$T$9),"",'Quantification_Results'!O141)),"")))</x:f>
        <x:v>5</x:v>
      </x:c>
      <x:c r="Q141" t="n">
        <x:f>IF(ISNUMBER('Quantification_Results'!P141),IFERROR(ROUND(((('Quantification_Results'!P141-'Quantification_Config'!$S$9)/('Quantification_Config'!$T$9-'Quantification_Config'!$S$9))*100),'Quantification_Config'!$U$2),""),"")</x:f>
        <x:v>50</x:v>
      </x:c>
      <x:c r="R141" t="inlineStr">
        <x:is>
          <x:t xml:space="preserve">SYSTEM-TEST-ONLY-NO-NETWORK-NOT-AN-EDUCATIONAL-EVALUATION</x:t>
        </x:is>
      </x:c>
      <x:c r="S141" t="inlineStr">
        <x:is>
          <x:t xml:space="preserve"/>
        </x:is>
      </x:c>
      <x:c r="T141" t="inlineStr">
        <x:is>
          <x:t xml:space="preserve">NONE</x:t>
        </x:is>
      </x:c>
      <x:c r="U141" t="inlineStr">
        <x:is>
          <x:t xml:space="preserve"/>
        </x:is>
      </x:c>
      <x:c r="V141" t="inlineStr">
        <x:is>
          <x:t xml:space="preserve">SUCCESS</x:t>
        </x:is>
      </x:c>
      <x:c r="W141" t="n">
        <x:f>IF((COUNT('Quantification_Results'!Q141)=1),IFERROR(ROUND((SUM(('Quantification_Results'!Q141*'Quantification_Config'!$R$9))/SUM('Quantification_Config'!$R$9)),'Quantification_Config'!$U$2),""),"")</x:f>
        <x:v>50</x:v>
      </x:c>
      <x:c r="X141" t="n">
        <x:f>IF((COUNT('Quantification_Results'!W141)=1),IFERROR(ROUND((SUM(('Quantification_Results'!W141*'Quantification_Config'!$R$8))/SUM('Quantification_Config'!$R$8)),'Quantification_Config'!$U$2),""),"")</x:f>
        <x:v>50</x:v>
      </x:c>
      <x:c r="Y141" t="n">
        <x:v>1</x:v>
      </x:c>
      <x:c r="Z141" t="n">
        <x:v>5</x:v>
      </x:c>
      <x:c r="AA141"/>
      <x:c r="AB141" t="n">
        <x:f>IF(('Quantification_Results'!Y141&lt;&gt;1),"",IF(('Quantification_Results'!AA141=""),IF(ISNUMBER('Quantification_Results'!Z141),IF(('Quantification_Results'!Z141&lt;'Quantification_Config'!$S$12),"",IF(('Quantification_Results'!Z141&gt;'Quantification_Config'!$T$12),"",'Quantification_Results'!Z141)),""),IF(ISNUMBER('Quantification_Results'!AA141),IF(('Quantification_Results'!AA141&lt;'Quantification_Config'!$S$12),"",IF(('Quantification_Results'!AA141&gt;'Quantification_Config'!$T$12),"",'Quantification_Results'!AA141)),"")))</x:f>
        <x:v>5</x:v>
      </x:c>
      <x:c r="AC141" t="n">
        <x:f>IF(ISNUMBER('Quantification_Results'!AB141),IFERROR(ROUND(((('Quantification_Results'!AB141-'Quantification_Config'!$S$12)/('Quantification_Config'!$T$12-'Quantification_Config'!$S$12))*100),'Quantification_Config'!$U$2),""),"")</x:f>
        <x:v>50</x:v>
      </x:c>
      <x:c r="AD141" t="inlineStr">
        <x:is>
          <x:t xml:space="preserve">SYSTEM-TEST-ONLY-NO-NETWORK-NOT-AN-EDUCATIONAL-EVALUATION</x:t>
        </x:is>
      </x:c>
      <x:c r="AE141" t="inlineStr">
        <x:is>
          <x:t xml:space="preserve"/>
        </x:is>
      </x:c>
      <x:c r="AF141" t="inlineStr">
        <x:is>
          <x:t xml:space="preserve">NONE</x:t>
        </x:is>
      </x:c>
      <x:c r="AG141" t="inlineStr">
        <x:is>
          <x:t xml:space="preserve"/>
        </x:is>
      </x:c>
      <x:c r="AH141" t="inlineStr">
        <x:is>
          <x:t xml:space="preserve">SUCCESS</x:t>
        </x:is>
      </x:c>
      <x:c r="AI141" t="n">
        <x:f>IF((COUNT('Quantification_Results'!AC141)=1),IFERROR(ROUND((SUM(('Quantification_Results'!AC141*'Quantification_Config'!$R$12))/SUM('Quantification_Config'!$R$12)),'Quantification_Config'!$U$2),""),"")</x:f>
        <x:v>50</x:v>
      </x:c>
      <x:c r="AJ141" t="n">
        <x:f>IF((COUNT('Quantification_Results'!AI141)=1),IFERROR(ROUND((SUM(('Quantification_Results'!AI141*'Quantification_Config'!$R$11))/SUM('Quantification_Config'!$R$11)),'Quantification_Config'!$U$2),""),"")</x:f>
        <x:v>50</x:v>
      </x:c>
      <x:c r="AK141" t="n">
        <x:v>1</x:v>
      </x:c>
      <x:c r="AL141" t="n">
        <x:v>5</x:v>
      </x:c>
      <x:c r="AM141"/>
      <x:c r="AN141" t="n">
        <x:f>IF(('Quantification_Results'!AK141&lt;&gt;1),"",IF(('Quantification_Results'!AM141=""),IF(ISNUMBER('Quantification_Results'!AL141),IF(('Quantification_Results'!AL141&lt;'Quantification_Config'!$S$15),"",IF(('Quantification_Results'!AL141&gt;'Quantification_Config'!$T$15),"",'Quantification_Results'!AL141)),""),IF(ISNUMBER('Quantification_Results'!AM141),IF(('Quantification_Results'!AM141&lt;'Quantification_Config'!$S$15),"",IF(('Quantification_Results'!AM141&gt;'Quantification_Config'!$T$15),"",'Quantification_Results'!AM141)),"")))</x:f>
        <x:v>5</x:v>
      </x:c>
      <x:c r="AO141" t="n">
        <x:f>IF(ISNUMBER('Quantification_Results'!AN141),IFERROR(ROUND(((('Quantification_Results'!AN141-'Quantification_Config'!$S$15)/('Quantification_Config'!$T$15-'Quantification_Config'!$S$15))*100),'Quantification_Config'!$U$2),""),"")</x:f>
        <x:v>50</x:v>
      </x:c>
      <x:c r="AP141" t="inlineStr">
        <x:is>
          <x:t xml:space="preserve">SYSTEM-TEST-ONLY-NO-NETWORK-NOT-AN-EDUCATIONAL-EVALUATION</x:t>
        </x:is>
      </x:c>
      <x:c r="AQ141" t="inlineStr">
        <x:is>
          <x:t xml:space="preserve"/>
        </x:is>
      </x:c>
      <x:c r="AR141" t="inlineStr">
        <x:is>
          <x:t xml:space="preserve">NONE</x:t>
        </x:is>
      </x:c>
      <x:c r="AS141" t="inlineStr">
        <x:is>
          <x:t xml:space="preserve"/>
        </x:is>
      </x:c>
      <x:c r="AT141" t="inlineStr">
        <x:is>
          <x:t xml:space="preserve">SUCCESS</x:t>
        </x:is>
      </x:c>
      <x:c r="AU141" t="n">
        <x:f>IF((COUNT('Quantification_Results'!AO141)=1),IFERROR(ROUND((SUM(('Quantification_Results'!AO141*'Quantification_Config'!$R$15))/SUM('Quantification_Config'!$R$15)),'Quantification_Config'!$U$2),""),"")</x:f>
        <x:v>50</x:v>
      </x:c>
      <x:c r="AV141" t="n">
        <x:f>IF((COUNT('Quantification_Results'!AU141)=1),IFERROR(ROUND((SUM(('Quantification_Results'!AU141*'Quantification_Config'!$R$14))/SUM('Quantification_Config'!$R$14)),'Quantification_Config'!$U$2),""),"")</x:f>
        <x:v>50</x:v>
      </x:c>
      <x:c r="AW141" t="n">
        <x:v>1</x:v>
      </x:c>
      <x:c r="AX141" t="n">
        <x:v>5</x:v>
      </x:c>
      <x:c r="AY141"/>
      <x:c r="AZ141" t="n">
        <x:f>IF(('Quantification_Results'!AW141&lt;&gt;1),"",IF(('Quantification_Results'!AY141=""),IF(ISNUMBER('Quantification_Results'!AX141),IF(('Quantification_Results'!AX141&lt;'Quantification_Config'!$S$19),"",IF(('Quantification_Results'!AX141&gt;'Quantification_Config'!$T$19),"",'Quantification_Results'!AX141)),""),IF(ISNUMBER('Quantification_Results'!AY141),IF(('Quantification_Results'!AY141&lt;'Quantification_Config'!$S$19),"",IF(('Quantification_Results'!AY141&gt;'Quantification_Config'!$T$19),"",'Quantification_Results'!AY141)),"")))</x:f>
        <x:v>5</x:v>
      </x:c>
      <x:c r="BA141" t="n">
        <x:f>IF(ISNUMBER('Quantification_Results'!AZ141),IFERROR(ROUND(((('Quantification_Results'!AZ141-'Quantification_Config'!$S$19)/('Quantification_Config'!$T$19-'Quantification_Config'!$S$19))*100),'Quantification_Config'!$U$2),""),"")</x:f>
        <x:v>50</x:v>
      </x:c>
      <x:c r="BB141" t="inlineStr">
        <x:is>
          <x:t xml:space="preserve">SYSTEM-TEST-ONLY-NO-NETWORK-NOT-AN-EDUCATIONAL-EVALUATION</x:t>
        </x:is>
      </x:c>
      <x:c r="BC141" t="inlineStr">
        <x:is>
          <x:t xml:space="preserve"/>
        </x:is>
      </x:c>
      <x:c r="BD141" t="inlineStr">
        <x:is>
          <x:t xml:space="preserve">NONE</x:t>
        </x:is>
      </x:c>
      <x:c r="BE141" t="inlineStr">
        <x:is>
          <x:t xml:space="preserve"/>
        </x:is>
      </x:c>
      <x:c r="BF141" t="inlineStr">
        <x:is>
          <x:t xml:space="preserve">SUCCESS</x:t>
        </x:is>
      </x:c>
      <x:c r="BG141" t="n">
        <x:f>IF((COUNT('Quantification_Results'!BA141)=1),IFERROR(ROUND((SUM(('Quantification_Results'!BA141*'Quantification_Config'!$R$19))/SUM('Quantification_Config'!$R$19)),'Quantification_Config'!$U$2),""),"")</x:f>
        <x:v>50</x:v>
      </x:c>
      <x:c r="BH141" t="n">
        <x:f>IF((COUNT('Quantification_Results'!BG141)=1),IFERROR(ROUND((SUM(('Quantification_Results'!BG141*'Quantification_Config'!$R$18))/SUM('Quantification_Config'!$R$18)),'Quantification_Config'!$U$2),""),"")</x:f>
        <x:v>50</x:v>
      </x:c>
      <x:c r="BI141" t="n">
        <x:f>IF((COUNT('Quantification_Results'!L141,'Quantification_Results'!X141,'Quantification_Results'!AJ141,'Quantification_Results'!AV141,'Quantification_Results'!BH141)=5),IFERROR(ROUND((SUM(('Quantification_Results'!L141*'Quantification_Config'!$R$4),('Quantification_Results'!X141*'Quantification_Config'!$R$7),('Quantification_Results'!AJ141*'Quantification_Config'!$R$10),('Quantification_Results'!AV141*'Quantification_Config'!$R$13),('Quantification_Results'!BH141*'Quantification_Config'!$R$16))/SUM('Quantification_Config'!$R$4,'Quantification_Config'!$R$7,'Quantification_Config'!$R$10,'Quantification_Config'!$R$13,'Quantification_Config'!$R$16)),'Quantification_Config'!$U$2),""),"")</x:f>
        <x:v>50</x:v>
      </x:c>
    </x:row>
    <x:row r="142">
      <x:c r="A142" t="n">
        <x:v>1</x:v>
      </x:c>
      <x:c r="B142" t="n">
        <x:v>5</x:v>
      </x:c>
      <x:c r="C142"/>
      <x:c r="D142" t="n">
        <x:f>IF(('Quantification_Results'!A142&lt;&gt;1),"",IF(('Quantification_Results'!C142=""),IF(ISNUMBER('Quantification_Results'!B142),IF(('Quantification_Results'!B142&lt;'Quantification_Config'!$S$6),"",IF(('Quantification_Results'!B142&gt;'Quantification_Config'!$T$6),"",'Quantification_Results'!B142)),""),IF(ISNUMBER('Quantification_Results'!C142),IF(('Quantification_Results'!C142&lt;'Quantification_Config'!$S$6),"",IF(('Quantification_Results'!C142&gt;'Quantification_Config'!$T$6),"",'Quantification_Results'!C142)),"")))</x:f>
        <x:v>5</x:v>
      </x:c>
      <x:c r="E142" t="n">
        <x:f>IF(ISNUMBER('Quantification_Results'!D142),IFERROR(ROUND(((('Quantification_Results'!D142-'Quantification_Config'!$S$6)/('Quantification_Config'!$T$6-'Quantification_Config'!$S$6))*100),'Quantification_Config'!$U$2),""),"")</x:f>
        <x:v>50</x:v>
      </x:c>
      <x:c r="F142" t="inlineStr">
        <x:is>
          <x:t xml:space="preserve">SYSTEM-TEST-ONLY-NO-NETWORK-NOT-AN-EDUCATIONAL-EVALUATION</x:t>
        </x:is>
      </x:c>
      <x:c r="G142" t="inlineStr">
        <x:is>
          <x:t xml:space="preserve"/>
        </x:is>
      </x:c>
      <x:c r="H142" t="inlineStr">
        <x:is>
          <x:t xml:space="preserve">NONE</x:t>
        </x:is>
      </x:c>
      <x:c r="I142" t="inlineStr">
        <x:is>
          <x:t xml:space="preserve"/>
        </x:is>
      </x:c>
      <x:c r="J142" t="inlineStr">
        <x:is>
          <x:t xml:space="preserve">SUCCESS</x:t>
        </x:is>
      </x:c>
      <x:c r="K142" t="n">
        <x:f>IF((COUNT('Quantification_Results'!E142)=1),IFERROR(ROUND((SUM(('Quantification_Results'!E142*'Quantification_Config'!$R$6))/SUM('Quantification_Config'!$R$6)),'Quantification_Config'!$U$2),""),"")</x:f>
        <x:v>50</x:v>
      </x:c>
      <x:c r="L142" t="n">
        <x:f>IF((COUNT('Quantification_Results'!K142)=1),IFERROR(ROUND((SUM(('Quantification_Results'!K142*'Quantification_Config'!$R$5))/SUM('Quantification_Config'!$R$5)),'Quantification_Config'!$U$2),""),"")</x:f>
        <x:v>50</x:v>
      </x:c>
      <x:c r="M142" t="n">
        <x:v>1</x:v>
      </x:c>
      <x:c r="N142" t="n">
        <x:v>5</x:v>
      </x:c>
      <x:c r="O142"/>
      <x:c r="P142" t="n">
        <x:f>IF(('Quantification_Results'!M142&lt;&gt;1),"",IF(('Quantification_Results'!O142=""),IF(ISNUMBER('Quantification_Results'!N142),IF(('Quantification_Results'!N142&lt;'Quantification_Config'!$S$9),"",IF(('Quantification_Results'!N142&gt;'Quantification_Config'!$T$9),"",'Quantification_Results'!N142)),""),IF(ISNUMBER('Quantification_Results'!O142),IF(('Quantification_Results'!O142&lt;'Quantification_Config'!$S$9),"",IF(('Quantification_Results'!O142&gt;'Quantification_Config'!$T$9),"",'Quantification_Results'!O142)),"")))</x:f>
        <x:v>5</x:v>
      </x:c>
      <x:c r="Q142" t="n">
        <x:f>IF(ISNUMBER('Quantification_Results'!P142),IFERROR(ROUND(((('Quantification_Results'!P142-'Quantification_Config'!$S$9)/('Quantification_Config'!$T$9-'Quantification_Config'!$S$9))*100),'Quantification_Config'!$U$2),""),"")</x:f>
        <x:v>50</x:v>
      </x:c>
      <x:c r="R142" t="inlineStr">
        <x:is>
          <x:t xml:space="preserve">SYSTEM-TEST-ONLY-NO-NETWORK-NOT-AN-EDUCATIONAL-EVALUATION</x:t>
        </x:is>
      </x:c>
      <x:c r="S142" t="inlineStr">
        <x:is>
          <x:t xml:space="preserve"/>
        </x:is>
      </x:c>
      <x:c r="T142" t="inlineStr">
        <x:is>
          <x:t xml:space="preserve">NONE</x:t>
        </x:is>
      </x:c>
      <x:c r="U142" t="inlineStr">
        <x:is>
          <x:t xml:space="preserve"/>
        </x:is>
      </x:c>
      <x:c r="V142" t="inlineStr">
        <x:is>
          <x:t xml:space="preserve">SUCCESS</x:t>
        </x:is>
      </x:c>
      <x:c r="W142" t="n">
        <x:f>IF((COUNT('Quantification_Results'!Q142)=1),IFERROR(ROUND((SUM(('Quantification_Results'!Q142*'Quantification_Config'!$R$9))/SUM('Quantification_Config'!$R$9)),'Quantification_Config'!$U$2),""),"")</x:f>
        <x:v>50</x:v>
      </x:c>
      <x:c r="X142" t="n">
        <x:f>IF((COUNT('Quantification_Results'!W142)=1),IFERROR(ROUND((SUM(('Quantification_Results'!W142*'Quantification_Config'!$R$8))/SUM('Quantification_Config'!$R$8)),'Quantification_Config'!$U$2),""),"")</x:f>
        <x:v>50</x:v>
      </x:c>
      <x:c r="Y142" t="n">
        <x:v>0</x:v>
      </x:c>
      <x:c r="Z142"/>
      <x:c r="AA142"/>
      <x:c r="AB142">
        <x:f>IF(('Quantification_Results'!Y142&lt;&gt;1),"",IF(('Quantification_Results'!AA142=""),IF(ISNUMBER('Quantification_Results'!Z142),IF(('Quantification_Results'!Z142&lt;'Quantification_Config'!$S$12),"",IF(('Quantification_Results'!Z142&gt;'Quantification_Config'!$T$12),"",'Quantification_Results'!Z142)),""),IF(ISNUMBER('Quantification_Results'!AA142),IF(('Quantification_Results'!AA142&lt;'Quantification_Config'!$S$12),"",IF(('Quantification_Results'!AA142&gt;'Quantification_Config'!$T$12),"",'Quantification_Results'!AA142)),"")))</x:f>
      </x:c>
      <x:c r="AC142">
        <x:f>IF(ISNUMBER('Quantification_Results'!AB142),IFERROR(ROUND(((('Quantification_Results'!AB142-'Quantification_Config'!$S$12)/('Quantification_Config'!$T$12-'Quantification_Config'!$S$12))*100),'Quantification_Config'!$U$2),""),"")</x:f>
      </x:c>
      <x:c r="AD142" t="inlineStr">
        <x:is>
          <x:t xml:space="preserve"/>
        </x:is>
      </x:c>
      <x:c r="AE142" t="inlineStr">
        <x:is>
          <x:t xml:space="preserve"/>
        </x:is>
      </x:c>
      <x:c r="AF142" t="inlineStr">
        <x:is>
          <x:t xml:space="preserve"/>
        </x:is>
      </x:c>
      <x:c r="AG142" t="inlineStr">
        <x:is>
          <x:t xml:space="preserve"/>
        </x:is>
      </x:c>
      <x:c r="AH142" t="inlineStr">
        <x:is>
          <x:t xml:space="preserve">EMPTY</x:t>
        </x:is>
      </x:c>
      <x:c r="AI142">
        <x:f>IF((COUNT('Quantification_Results'!AC142)=1),IFERROR(ROUND((SUM(('Quantification_Results'!AC142*'Quantification_Config'!$R$12))/SUM('Quantification_Config'!$R$12)),'Quantification_Config'!$U$2),""),"")</x:f>
      </x:c>
      <x:c r="AJ142">
        <x:f>IF((COUNT('Quantification_Results'!AI142)=1),IFERROR(ROUND((SUM(('Quantification_Results'!AI142*'Quantification_Config'!$R$11))/SUM('Quantification_Config'!$R$11)),'Quantification_Config'!$U$2),""),"")</x:f>
      </x:c>
      <x:c r="AK142" t="n">
        <x:v>1</x:v>
      </x:c>
      <x:c r="AL142" t="n">
        <x:v>5</x:v>
      </x:c>
      <x:c r="AM142"/>
      <x:c r="AN142" t="n">
        <x:f>IF(('Quantification_Results'!AK142&lt;&gt;1),"",IF(('Quantification_Results'!AM142=""),IF(ISNUMBER('Quantification_Results'!AL142),IF(('Quantification_Results'!AL142&lt;'Quantification_Config'!$S$15),"",IF(('Quantification_Results'!AL142&gt;'Quantification_Config'!$T$15),"",'Quantification_Results'!AL142)),""),IF(ISNUMBER('Quantification_Results'!AM142),IF(('Quantification_Results'!AM142&lt;'Quantification_Config'!$S$15),"",IF(('Quantification_Results'!AM142&gt;'Quantification_Config'!$T$15),"",'Quantification_Results'!AM142)),"")))</x:f>
        <x:v>5</x:v>
      </x:c>
      <x:c r="AO142" t="n">
        <x:f>IF(ISNUMBER('Quantification_Results'!AN142),IFERROR(ROUND(((('Quantification_Results'!AN142-'Quantification_Config'!$S$15)/('Quantification_Config'!$T$15-'Quantification_Config'!$S$15))*100),'Quantification_Config'!$U$2),""),"")</x:f>
        <x:v>50</x:v>
      </x:c>
      <x:c r="AP142" t="inlineStr">
        <x:is>
          <x:t xml:space="preserve">SYSTEM-TEST-ONLY-NO-NETWORK-NOT-AN-EDUCATIONAL-EVALUATION</x:t>
        </x:is>
      </x:c>
      <x:c r="AQ142" t="inlineStr">
        <x:is>
          <x:t xml:space="preserve"/>
        </x:is>
      </x:c>
      <x:c r="AR142" t="inlineStr">
        <x:is>
          <x:t xml:space="preserve">NONE</x:t>
        </x:is>
      </x:c>
      <x:c r="AS142" t="inlineStr">
        <x:is>
          <x:t xml:space="preserve"/>
        </x:is>
      </x:c>
      <x:c r="AT142" t="inlineStr">
        <x:is>
          <x:t xml:space="preserve">SUCCESS</x:t>
        </x:is>
      </x:c>
      <x:c r="AU142" t="n">
        <x:f>IF((COUNT('Quantification_Results'!AO142)=1),IFERROR(ROUND((SUM(('Quantification_Results'!AO142*'Quantification_Config'!$R$15))/SUM('Quantification_Config'!$R$15)),'Quantification_Config'!$U$2),""),"")</x:f>
        <x:v>50</x:v>
      </x:c>
      <x:c r="AV142" t="n">
        <x:f>IF((COUNT('Quantification_Results'!AU142)=1),IFERROR(ROUND((SUM(('Quantification_Results'!AU142*'Quantification_Config'!$R$14))/SUM('Quantification_Config'!$R$14)),'Quantification_Config'!$U$2),""),"")</x:f>
        <x:v>50</x:v>
      </x:c>
      <x:c r="AW142" t="n">
        <x:v>1</x:v>
      </x:c>
      <x:c r="AX142" t="n">
        <x:v>5</x:v>
      </x:c>
      <x:c r="AY142"/>
      <x:c r="AZ142" t="n">
        <x:f>IF(('Quantification_Results'!AW142&lt;&gt;1),"",IF(('Quantification_Results'!AY142=""),IF(ISNUMBER('Quantification_Results'!AX142),IF(('Quantification_Results'!AX142&lt;'Quantification_Config'!$S$19),"",IF(('Quantification_Results'!AX142&gt;'Quantification_Config'!$T$19),"",'Quantification_Results'!AX142)),""),IF(ISNUMBER('Quantification_Results'!AY142),IF(('Quantification_Results'!AY142&lt;'Quantification_Config'!$S$19),"",IF(('Quantification_Results'!AY142&gt;'Quantification_Config'!$T$19),"",'Quantification_Results'!AY142)),"")))</x:f>
        <x:v>5</x:v>
      </x:c>
      <x:c r="BA142" t="n">
        <x:f>IF(ISNUMBER('Quantification_Results'!AZ142),IFERROR(ROUND(((('Quantification_Results'!AZ142-'Quantification_Config'!$S$19)/('Quantification_Config'!$T$19-'Quantification_Config'!$S$19))*100),'Quantification_Config'!$U$2),""),"")</x:f>
        <x:v>50</x:v>
      </x:c>
      <x:c r="BB142" t="inlineStr">
        <x:is>
          <x:t xml:space="preserve">SYSTEM-TEST-ONLY-NO-NETWORK-NOT-AN-EDUCATIONAL-EVALUATION</x:t>
        </x:is>
      </x:c>
      <x:c r="BC142" t="inlineStr">
        <x:is>
          <x:t xml:space="preserve"/>
        </x:is>
      </x:c>
      <x:c r="BD142" t="inlineStr">
        <x:is>
          <x:t xml:space="preserve">NONE</x:t>
        </x:is>
      </x:c>
      <x:c r="BE142" t="inlineStr">
        <x:is>
          <x:t xml:space="preserve"/>
        </x:is>
      </x:c>
      <x:c r="BF142" t="inlineStr">
        <x:is>
          <x:t xml:space="preserve">SUCCESS</x:t>
        </x:is>
      </x:c>
      <x:c r="BG142" t="n">
        <x:f>IF((COUNT('Quantification_Results'!BA142)=1),IFERROR(ROUND((SUM(('Quantification_Results'!BA142*'Quantification_Config'!$R$19))/SUM('Quantification_Config'!$R$19)),'Quantification_Config'!$U$2),""),"")</x:f>
        <x:v>50</x:v>
      </x:c>
      <x:c r="BH142" t="n">
        <x:f>IF((COUNT('Quantification_Results'!BG142)=1),IFERROR(ROUND((SUM(('Quantification_Results'!BG142*'Quantification_Config'!$R$18))/SUM('Quantification_Config'!$R$18)),'Quantification_Config'!$U$2),""),"")</x:f>
        <x:v>50</x:v>
      </x:c>
      <x:c r="BI142">
        <x:f>IF((COUNT('Quantification_Results'!L142,'Quantification_Results'!X142,'Quantification_Results'!AJ142,'Quantification_Results'!AV142,'Quantification_Results'!BH142)=5),IFERROR(ROUND((SUM(('Quantification_Results'!L142*'Quantification_Config'!$R$4),('Quantification_Results'!X142*'Quantification_Config'!$R$7),('Quantification_Results'!AJ142*'Quantification_Config'!$R$10),('Quantification_Results'!AV142*'Quantification_Config'!$R$13),('Quantification_Results'!BH142*'Quantification_Config'!$R$16))/SUM('Quantification_Config'!$R$4,'Quantification_Config'!$R$7,'Quantification_Config'!$R$10,'Quantification_Config'!$R$13,'Quantification_Config'!$R$16)),'Quantification_Config'!$U$2),""),"")</x:f>
      </x:c>
    </x:row>
    <x:row r="143">
      <x:c r="A143" t="n">
        <x:v>1</x:v>
      </x:c>
      <x:c r="B143" t="n">
        <x:v>5</x:v>
      </x:c>
      <x:c r="C143"/>
      <x:c r="D143" t="n">
        <x:f>IF(('Quantification_Results'!A143&lt;&gt;1),"",IF(('Quantification_Results'!C143=""),IF(ISNUMBER('Quantification_Results'!B143),IF(('Quantification_Results'!B143&lt;'Quantification_Config'!$S$6),"",IF(('Quantification_Results'!B143&gt;'Quantification_Config'!$T$6),"",'Quantification_Results'!B143)),""),IF(ISNUMBER('Quantification_Results'!C143),IF(('Quantification_Results'!C143&lt;'Quantification_Config'!$S$6),"",IF(('Quantification_Results'!C143&gt;'Quantification_Config'!$T$6),"",'Quantification_Results'!C143)),"")))</x:f>
        <x:v>5</x:v>
      </x:c>
      <x:c r="E143" t="n">
        <x:f>IF(ISNUMBER('Quantification_Results'!D143),IFERROR(ROUND(((('Quantification_Results'!D143-'Quantification_Config'!$S$6)/('Quantification_Config'!$T$6-'Quantification_Config'!$S$6))*100),'Quantification_Config'!$U$2),""),"")</x:f>
        <x:v>50</x:v>
      </x:c>
      <x:c r="F143" t="inlineStr">
        <x:is>
          <x:t xml:space="preserve">SYSTEM-TEST-ONLY-NO-NETWORK-NOT-AN-EDUCATIONAL-EVALUATION</x:t>
        </x:is>
      </x:c>
      <x:c r="G143" t="inlineStr">
        <x:is>
          <x:t xml:space="preserve"/>
        </x:is>
      </x:c>
      <x:c r="H143" t="inlineStr">
        <x:is>
          <x:t xml:space="preserve">NONE</x:t>
        </x:is>
      </x:c>
      <x:c r="I143" t="inlineStr">
        <x:is>
          <x:t xml:space="preserve"/>
        </x:is>
      </x:c>
      <x:c r="J143" t="inlineStr">
        <x:is>
          <x:t xml:space="preserve">SUCCESS</x:t>
        </x:is>
      </x:c>
      <x:c r="K143" t="n">
        <x:f>IF((COUNT('Quantification_Results'!E143)=1),IFERROR(ROUND((SUM(('Quantification_Results'!E143*'Quantification_Config'!$R$6))/SUM('Quantification_Config'!$R$6)),'Quantification_Config'!$U$2),""),"")</x:f>
        <x:v>50</x:v>
      </x:c>
      <x:c r="L143" t="n">
        <x:f>IF((COUNT('Quantification_Results'!K143)=1),IFERROR(ROUND((SUM(('Quantification_Results'!K143*'Quantification_Config'!$R$5))/SUM('Quantification_Config'!$R$5)),'Quantification_Config'!$U$2),""),"")</x:f>
        <x:v>50</x:v>
      </x:c>
      <x:c r="M143" t="n">
        <x:v>1</x:v>
      </x:c>
      <x:c r="N143" t="n">
        <x:v>5</x:v>
      </x:c>
      <x:c r="O143"/>
      <x:c r="P143" t="n">
        <x:f>IF(('Quantification_Results'!M143&lt;&gt;1),"",IF(('Quantification_Results'!O143=""),IF(ISNUMBER('Quantification_Results'!N143),IF(('Quantification_Results'!N143&lt;'Quantification_Config'!$S$9),"",IF(('Quantification_Results'!N143&gt;'Quantification_Config'!$T$9),"",'Quantification_Results'!N143)),""),IF(ISNUMBER('Quantification_Results'!O143),IF(('Quantification_Results'!O143&lt;'Quantification_Config'!$S$9),"",IF(('Quantification_Results'!O143&gt;'Quantification_Config'!$T$9),"",'Quantification_Results'!O143)),"")))</x:f>
        <x:v>5</x:v>
      </x:c>
      <x:c r="Q143" t="n">
        <x:f>IF(ISNUMBER('Quantification_Results'!P143),IFERROR(ROUND(((('Quantification_Results'!P143-'Quantification_Config'!$S$9)/('Quantification_Config'!$T$9-'Quantification_Config'!$S$9))*100),'Quantification_Config'!$U$2),""),"")</x:f>
        <x:v>50</x:v>
      </x:c>
      <x:c r="R143" t="inlineStr">
        <x:is>
          <x:t xml:space="preserve">SYSTEM-TEST-ONLY-NO-NETWORK-NOT-AN-EDUCATIONAL-EVALUATION</x:t>
        </x:is>
      </x:c>
      <x:c r="S143" t="inlineStr">
        <x:is>
          <x:t xml:space="preserve"/>
        </x:is>
      </x:c>
      <x:c r="T143" t="inlineStr">
        <x:is>
          <x:t xml:space="preserve">NONE</x:t>
        </x:is>
      </x:c>
      <x:c r="U143" t="inlineStr">
        <x:is>
          <x:t xml:space="preserve"/>
        </x:is>
      </x:c>
      <x:c r="V143" t="inlineStr">
        <x:is>
          <x:t xml:space="preserve">SUCCESS</x:t>
        </x:is>
      </x:c>
      <x:c r="W143" t="n">
        <x:f>IF((COUNT('Quantification_Results'!Q143)=1),IFERROR(ROUND((SUM(('Quantification_Results'!Q143*'Quantification_Config'!$R$9))/SUM('Quantification_Config'!$R$9)),'Quantification_Config'!$U$2),""),"")</x:f>
        <x:v>50</x:v>
      </x:c>
      <x:c r="X143" t="n">
        <x:f>IF((COUNT('Quantification_Results'!W143)=1),IFERROR(ROUND((SUM(('Quantification_Results'!W143*'Quantification_Config'!$R$8))/SUM('Quantification_Config'!$R$8)),'Quantification_Config'!$U$2),""),"")</x:f>
        <x:v>50</x:v>
      </x:c>
      <x:c r="Y143" t="n">
        <x:v>0</x:v>
      </x:c>
      <x:c r="Z143"/>
      <x:c r="AA143"/>
      <x:c r="AB143">
        <x:f>IF(('Quantification_Results'!Y143&lt;&gt;1),"",IF(('Quantification_Results'!AA143=""),IF(ISNUMBER('Quantification_Results'!Z143),IF(('Quantification_Results'!Z143&lt;'Quantification_Config'!$S$12),"",IF(('Quantification_Results'!Z143&gt;'Quantification_Config'!$T$12),"",'Quantification_Results'!Z143)),""),IF(ISNUMBER('Quantification_Results'!AA143),IF(('Quantification_Results'!AA143&lt;'Quantification_Config'!$S$12),"",IF(('Quantification_Results'!AA143&gt;'Quantification_Config'!$T$12),"",'Quantification_Results'!AA143)),"")))</x:f>
      </x:c>
      <x:c r="AC143">
        <x:f>IF(ISNUMBER('Quantification_Results'!AB143),IFERROR(ROUND(((('Quantification_Results'!AB143-'Quantification_Config'!$S$12)/('Quantification_Config'!$T$12-'Quantification_Config'!$S$12))*100),'Quantification_Config'!$U$2),""),"")</x:f>
      </x:c>
      <x:c r="AD143" t="inlineStr">
        <x:is>
          <x:t xml:space="preserve"/>
        </x:is>
      </x:c>
      <x:c r="AE143" t="inlineStr">
        <x:is>
          <x:t xml:space="preserve"/>
        </x:is>
      </x:c>
      <x:c r="AF143" t="inlineStr">
        <x:is>
          <x:t xml:space="preserve"/>
        </x:is>
      </x:c>
      <x:c r="AG143" t="inlineStr">
        <x:is>
          <x:t xml:space="preserve"/>
        </x:is>
      </x:c>
      <x:c r="AH143" t="inlineStr">
        <x:is>
          <x:t xml:space="preserve">EMPTY</x:t>
        </x:is>
      </x:c>
      <x:c r="AI143">
        <x:f>IF((COUNT('Quantification_Results'!AC143)=1),IFERROR(ROUND((SUM(('Quantification_Results'!AC143*'Quantification_Config'!$R$12))/SUM('Quantification_Config'!$R$12)),'Quantification_Config'!$U$2),""),"")</x:f>
      </x:c>
      <x:c r="AJ143">
        <x:f>IF((COUNT('Quantification_Results'!AI143)=1),IFERROR(ROUND((SUM(('Quantification_Results'!AI143*'Quantification_Config'!$R$11))/SUM('Quantification_Config'!$R$11)),'Quantification_Config'!$U$2),""),"")</x:f>
      </x:c>
      <x:c r="AK143" t="n">
        <x:v>1</x:v>
      </x:c>
      <x:c r="AL143" t="n">
        <x:v>5</x:v>
      </x:c>
      <x:c r="AM143"/>
      <x:c r="AN143" t="n">
        <x:f>IF(('Quantification_Results'!AK143&lt;&gt;1),"",IF(('Quantification_Results'!AM143=""),IF(ISNUMBER('Quantification_Results'!AL143),IF(('Quantification_Results'!AL143&lt;'Quantification_Config'!$S$15),"",IF(('Quantification_Results'!AL143&gt;'Quantification_Config'!$T$15),"",'Quantification_Results'!AL143)),""),IF(ISNUMBER('Quantification_Results'!AM143),IF(('Quantification_Results'!AM143&lt;'Quantification_Config'!$S$15),"",IF(('Quantification_Results'!AM143&gt;'Quantification_Config'!$T$15),"",'Quantification_Results'!AM143)),"")))</x:f>
        <x:v>5</x:v>
      </x:c>
      <x:c r="AO143" t="n">
        <x:f>IF(ISNUMBER('Quantification_Results'!AN143),IFERROR(ROUND(((('Quantification_Results'!AN143-'Quantification_Config'!$S$15)/('Quantification_Config'!$T$15-'Quantification_Config'!$S$15))*100),'Quantification_Config'!$U$2),""),"")</x:f>
        <x:v>50</x:v>
      </x:c>
      <x:c r="AP143" t="inlineStr">
        <x:is>
          <x:t xml:space="preserve">SYSTEM-TEST-ONLY-NO-NETWORK-NOT-AN-EDUCATIONAL-EVALUATION</x:t>
        </x:is>
      </x:c>
      <x:c r="AQ143" t="inlineStr">
        <x:is>
          <x:t xml:space="preserve"/>
        </x:is>
      </x:c>
      <x:c r="AR143" t="inlineStr">
        <x:is>
          <x:t xml:space="preserve">NONE</x:t>
        </x:is>
      </x:c>
      <x:c r="AS143" t="inlineStr">
        <x:is>
          <x:t xml:space="preserve"/>
        </x:is>
      </x:c>
      <x:c r="AT143" t="inlineStr">
        <x:is>
          <x:t xml:space="preserve">SUCCESS</x:t>
        </x:is>
      </x:c>
      <x:c r="AU143" t="n">
        <x:f>IF((COUNT('Quantification_Results'!AO143)=1),IFERROR(ROUND((SUM(('Quantification_Results'!AO143*'Quantification_Config'!$R$15))/SUM('Quantification_Config'!$R$15)),'Quantification_Config'!$U$2),""),"")</x:f>
        <x:v>50</x:v>
      </x:c>
      <x:c r="AV143" t="n">
        <x:f>IF((COUNT('Quantification_Results'!AU143)=1),IFERROR(ROUND((SUM(('Quantification_Results'!AU143*'Quantification_Config'!$R$14))/SUM('Quantification_Config'!$R$14)),'Quantification_Config'!$U$2),""),"")</x:f>
        <x:v>50</x:v>
      </x:c>
      <x:c r="AW143" t="n">
        <x:v>1</x:v>
      </x:c>
      <x:c r="AX143" t="n">
        <x:v>5</x:v>
      </x:c>
      <x:c r="AY143"/>
      <x:c r="AZ143" t="n">
        <x:f>IF(('Quantification_Results'!AW143&lt;&gt;1),"",IF(('Quantification_Results'!AY143=""),IF(ISNUMBER('Quantification_Results'!AX143),IF(('Quantification_Results'!AX143&lt;'Quantification_Config'!$S$19),"",IF(('Quantification_Results'!AX143&gt;'Quantification_Config'!$T$19),"",'Quantification_Results'!AX143)),""),IF(ISNUMBER('Quantification_Results'!AY143),IF(('Quantification_Results'!AY143&lt;'Quantification_Config'!$S$19),"",IF(('Quantification_Results'!AY143&gt;'Quantification_Config'!$T$19),"",'Quantification_Results'!AY143)),"")))</x:f>
        <x:v>5</x:v>
      </x:c>
      <x:c r="BA143" t="n">
        <x:f>IF(ISNUMBER('Quantification_Results'!AZ143),IFERROR(ROUND(((('Quantification_Results'!AZ143-'Quantification_Config'!$S$19)/('Quantification_Config'!$T$19-'Quantification_Config'!$S$19))*100),'Quantification_Config'!$U$2),""),"")</x:f>
        <x:v>50</x:v>
      </x:c>
      <x:c r="BB143" t="inlineStr">
        <x:is>
          <x:t xml:space="preserve">SYSTEM-TEST-ONLY-NO-NETWORK-NOT-AN-EDUCATIONAL-EVALUATION</x:t>
        </x:is>
      </x:c>
      <x:c r="BC143" t="inlineStr">
        <x:is>
          <x:t xml:space="preserve"/>
        </x:is>
      </x:c>
      <x:c r="BD143" t="inlineStr">
        <x:is>
          <x:t xml:space="preserve">NONE</x:t>
        </x:is>
      </x:c>
      <x:c r="BE143" t="inlineStr">
        <x:is>
          <x:t xml:space="preserve"/>
        </x:is>
      </x:c>
      <x:c r="BF143" t="inlineStr">
        <x:is>
          <x:t xml:space="preserve">SUCCESS</x:t>
        </x:is>
      </x:c>
      <x:c r="BG143" t="n">
        <x:f>IF((COUNT('Quantification_Results'!BA143)=1),IFERROR(ROUND((SUM(('Quantification_Results'!BA143*'Quantification_Config'!$R$19))/SUM('Quantification_Config'!$R$19)),'Quantification_Config'!$U$2),""),"")</x:f>
        <x:v>50</x:v>
      </x:c>
      <x:c r="BH143" t="n">
        <x:f>IF((COUNT('Quantification_Results'!BG143)=1),IFERROR(ROUND((SUM(('Quantification_Results'!BG143*'Quantification_Config'!$R$18))/SUM('Quantification_Config'!$R$18)),'Quantification_Config'!$U$2),""),"")</x:f>
        <x:v>50</x:v>
      </x:c>
      <x:c r="BI143">
        <x:f>IF((COUNT('Quantification_Results'!L143,'Quantification_Results'!X143,'Quantification_Results'!AJ143,'Quantification_Results'!AV143,'Quantification_Results'!BH143)=5),IFERROR(ROUND((SUM(('Quantification_Results'!L143*'Quantification_Config'!$R$4),('Quantification_Results'!X143*'Quantification_Config'!$R$7),('Quantification_Results'!AJ143*'Quantification_Config'!$R$10),('Quantification_Results'!AV143*'Quantification_Config'!$R$13),('Quantification_Results'!BH143*'Quantification_Config'!$R$16))/SUM('Quantification_Config'!$R$4,'Quantification_Config'!$R$7,'Quantification_Config'!$R$10,'Quantification_Config'!$R$13,'Quantification_Config'!$R$16)),'Quantification_Config'!$U$2),""),"")</x:f>
      </x:c>
    </x:row>
    <x:row r="144">
      <x:c r="A144" t="n">
        <x:v>1</x:v>
      </x:c>
      <x:c r="B144" t="n">
        <x:v>5</x:v>
      </x:c>
      <x:c r="C144"/>
      <x:c r="D144" t="n">
        <x:f>IF(('Quantification_Results'!A144&lt;&gt;1),"",IF(('Quantification_Results'!C144=""),IF(ISNUMBER('Quantification_Results'!B144),IF(('Quantification_Results'!B144&lt;'Quantification_Config'!$S$6),"",IF(('Quantification_Results'!B144&gt;'Quantification_Config'!$T$6),"",'Quantification_Results'!B144)),""),IF(ISNUMBER('Quantification_Results'!C144),IF(('Quantification_Results'!C144&lt;'Quantification_Config'!$S$6),"",IF(('Quantification_Results'!C144&gt;'Quantification_Config'!$T$6),"",'Quantification_Results'!C144)),"")))</x:f>
        <x:v>5</x:v>
      </x:c>
      <x:c r="E144" t="n">
        <x:f>IF(ISNUMBER('Quantification_Results'!D144),IFERROR(ROUND(((('Quantification_Results'!D144-'Quantification_Config'!$S$6)/('Quantification_Config'!$T$6-'Quantification_Config'!$S$6))*100),'Quantification_Config'!$U$2),""),"")</x:f>
        <x:v>50</x:v>
      </x:c>
      <x:c r="F144" t="inlineStr">
        <x:is>
          <x:t xml:space="preserve">SYSTEM-TEST-ONLY-NO-NETWORK-NOT-AN-EDUCATIONAL-EVALUATION</x:t>
        </x:is>
      </x:c>
      <x:c r="G144" t="inlineStr">
        <x:is>
          <x:t xml:space="preserve"/>
        </x:is>
      </x:c>
      <x:c r="H144" t="inlineStr">
        <x:is>
          <x:t xml:space="preserve">NONE</x:t>
        </x:is>
      </x:c>
      <x:c r="I144" t="inlineStr">
        <x:is>
          <x:t xml:space="preserve"/>
        </x:is>
      </x:c>
      <x:c r="J144" t="inlineStr">
        <x:is>
          <x:t xml:space="preserve">SUCCESS</x:t>
        </x:is>
      </x:c>
      <x:c r="K144" t="n">
        <x:f>IF((COUNT('Quantification_Results'!E144)=1),IFERROR(ROUND((SUM(('Quantification_Results'!E144*'Quantification_Config'!$R$6))/SUM('Quantification_Config'!$R$6)),'Quantification_Config'!$U$2),""),"")</x:f>
        <x:v>50</x:v>
      </x:c>
      <x:c r="L144" t="n">
        <x:f>IF((COUNT('Quantification_Results'!K144)=1),IFERROR(ROUND((SUM(('Quantification_Results'!K144*'Quantification_Config'!$R$5))/SUM('Quantification_Config'!$R$5)),'Quantification_Config'!$U$2),""),"")</x:f>
        <x:v>50</x:v>
      </x:c>
      <x:c r="M144" t="n">
        <x:v>1</x:v>
      </x:c>
      <x:c r="N144" t="n">
        <x:v>5</x:v>
      </x:c>
      <x:c r="O144"/>
      <x:c r="P144" t="n">
        <x:f>IF(('Quantification_Results'!M144&lt;&gt;1),"",IF(('Quantification_Results'!O144=""),IF(ISNUMBER('Quantification_Results'!N144),IF(('Quantification_Results'!N144&lt;'Quantification_Config'!$S$9),"",IF(('Quantification_Results'!N144&gt;'Quantification_Config'!$T$9),"",'Quantification_Results'!N144)),""),IF(ISNUMBER('Quantification_Results'!O144),IF(('Quantification_Results'!O144&lt;'Quantification_Config'!$S$9),"",IF(('Quantification_Results'!O144&gt;'Quantification_Config'!$T$9),"",'Quantification_Results'!O144)),"")))</x:f>
        <x:v>5</x:v>
      </x:c>
      <x:c r="Q144" t="n">
        <x:f>IF(ISNUMBER('Quantification_Results'!P144),IFERROR(ROUND(((('Quantification_Results'!P144-'Quantification_Config'!$S$9)/('Quantification_Config'!$T$9-'Quantification_Config'!$S$9))*100),'Quantification_Config'!$U$2),""),"")</x:f>
        <x:v>50</x:v>
      </x:c>
      <x:c r="R144" t="inlineStr">
        <x:is>
          <x:t xml:space="preserve">SYSTEM-TEST-ONLY-NO-NETWORK-NOT-AN-EDUCATIONAL-EVALUATION</x:t>
        </x:is>
      </x:c>
      <x:c r="S144" t="inlineStr">
        <x:is>
          <x:t xml:space="preserve"/>
        </x:is>
      </x:c>
      <x:c r="T144" t="inlineStr">
        <x:is>
          <x:t xml:space="preserve">NONE</x:t>
        </x:is>
      </x:c>
      <x:c r="U144" t="inlineStr">
        <x:is>
          <x:t xml:space="preserve"/>
        </x:is>
      </x:c>
      <x:c r="V144" t="inlineStr">
        <x:is>
          <x:t xml:space="preserve">SUCCESS</x:t>
        </x:is>
      </x:c>
      <x:c r="W144" t="n">
        <x:f>IF((COUNT('Quantification_Results'!Q144)=1),IFERROR(ROUND((SUM(('Quantification_Results'!Q144*'Quantification_Config'!$R$9))/SUM('Quantification_Config'!$R$9)),'Quantification_Config'!$U$2),""),"")</x:f>
        <x:v>50</x:v>
      </x:c>
      <x:c r="X144" t="n">
        <x:f>IF((COUNT('Quantification_Results'!W144)=1),IFERROR(ROUND((SUM(('Quantification_Results'!W144*'Quantification_Config'!$R$8))/SUM('Quantification_Config'!$R$8)),'Quantification_Config'!$U$2),""),"")</x:f>
        <x:v>50</x:v>
      </x:c>
      <x:c r="Y144" t="n">
        <x:v>0</x:v>
      </x:c>
      <x:c r="Z144"/>
      <x:c r="AA144"/>
      <x:c r="AB144">
        <x:f>IF(('Quantification_Results'!Y144&lt;&gt;1),"",IF(('Quantification_Results'!AA144=""),IF(ISNUMBER('Quantification_Results'!Z144),IF(('Quantification_Results'!Z144&lt;'Quantification_Config'!$S$12),"",IF(('Quantification_Results'!Z144&gt;'Quantification_Config'!$T$12),"",'Quantification_Results'!Z144)),""),IF(ISNUMBER('Quantification_Results'!AA144),IF(('Quantification_Results'!AA144&lt;'Quantification_Config'!$S$12),"",IF(('Quantification_Results'!AA144&gt;'Quantification_Config'!$T$12),"",'Quantification_Results'!AA144)),"")))</x:f>
      </x:c>
      <x:c r="AC144">
        <x:f>IF(ISNUMBER('Quantification_Results'!AB144),IFERROR(ROUND(((('Quantification_Results'!AB144-'Quantification_Config'!$S$12)/('Quantification_Config'!$T$12-'Quantification_Config'!$S$12))*100),'Quantification_Config'!$U$2),""),"")</x:f>
      </x:c>
      <x:c r="AD144" t="inlineStr">
        <x:is>
          <x:t xml:space="preserve"/>
        </x:is>
      </x:c>
      <x:c r="AE144" t="inlineStr">
        <x:is>
          <x:t xml:space="preserve"/>
        </x:is>
      </x:c>
      <x:c r="AF144" t="inlineStr">
        <x:is>
          <x:t xml:space="preserve"/>
        </x:is>
      </x:c>
      <x:c r="AG144" t="inlineStr">
        <x:is>
          <x:t xml:space="preserve"/>
        </x:is>
      </x:c>
      <x:c r="AH144" t="inlineStr">
        <x:is>
          <x:t xml:space="preserve">EMPTY</x:t>
        </x:is>
      </x:c>
      <x:c r="AI144">
        <x:f>IF((COUNT('Quantification_Results'!AC144)=1),IFERROR(ROUND((SUM(('Quantification_Results'!AC144*'Quantification_Config'!$R$12))/SUM('Quantification_Config'!$R$12)),'Quantification_Config'!$U$2),""),"")</x:f>
      </x:c>
      <x:c r="AJ144">
        <x:f>IF((COUNT('Quantification_Results'!AI144)=1),IFERROR(ROUND((SUM(('Quantification_Results'!AI144*'Quantification_Config'!$R$11))/SUM('Quantification_Config'!$R$11)),'Quantification_Config'!$U$2),""),"")</x:f>
      </x:c>
      <x:c r="AK144" t="n">
        <x:v>1</x:v>
      </x:c>
      <x:c r="AL144" t="n">
        <x:v>5</x:v>
      </x:c>
      <x:c r="AM144"/>
      <x:c r="AN144" t="n">
        <x:f>IF(('Quantification_Results'!AK144&lt;&gt;1),"",IF(('Quantification_Results'!AM144=""),IF(ISNUMBER('Quantification_Results'!AL144),IF(('Quantification_Results'!AL144&lt;'Quantification_Config'!$S$15),"",IF(('Quantification_Results'!AL144&gt;'Quantification_Config'!$T$15),"",'Quantification_Results'!AL144)),""),IF(ISNUMBER('Quantification_Results'!AM144),IF(('Quantification_Results'!AM144&lt;'Quantification_Config'!$S$15),"",IF(('Quantification_Results'!AM144&gt;'Quantification_Config'!$T$15),"",'Quantification_Results'!AM144)),"")))</x:f>
        <x:v>5</x:v>
      </x:c>
      <x:c r="AO144" t="n">
        <x:f>IF(ISNUMBER('Quantification_Results'!AN144),IFERROR(ROUND(((('Quantification_Results'!AN144-'Quantification_Config'!$S$15)/('Quantification_Config'!$T$15-'Quantification_Config'!$S$15))*100),'Quantification_Config'!$U$2),""),"")</x:f>
        <x:v>50</x:v>
      </x:c>
      <x:c r="AP144" t="inlineStr">
        <x:is>
          <x:t xml:space="preserve">SYSTEM-TEST-ONLY-NO-NETWORK-NOT-AN-EDUCATIONAL-EVALUATION</x:t>
        </x:is>
      </x:c>
      <x:c r="AQ144" t="inlineStr">
        <x:is>
          <x:t xml:space="preserve"/>
        </x:is>
      </x:c>
      <x:c r="AR144" t="inlineStr">
        <x:is>
          <x:t xml:space="preserve">NONE</x:t>
        </x:is>
      </x:c>
      <x:c r="AS144" t="inlineStr">
        <x:is>
          <x:t xml:space="preserve"/>
        </x:is>
      </x:c>
      <x:c r="AT144" t="inlineStr">
        <x:is>
          <x:t xml:space="preserve">SUCCESS</x:t>
        </x:is>
      </x:c>
      <x:c r="AU144" t="n">
        <x:f>IF((COUNT('Quantification_Results'!AO144)=1),IFERROR(ROUND((SUM(('Quantification_Results'!AO144*'Quantification_Config'!$R$15))/SUM('Quantification_Config'!$R$15)),'Quantification_Config'!$U$2),""),"")</x:f>
        <x:v>50</x:v>
      </x:c>
      <x:c r="AV144" t="n">
        <x:f>IF((COUNT('Quantification_Results'!AU144)=1),IFERROR(ROUND((SUM(('Quantification_Results'!AU144*'Quantification_Config'!$R$14))/SUM('Quantification_Config'!$R$14)),'Quantification_Config'!$U$2),""),"")</x:f>
        <x:v>50</x:v>
      </x:c>
      <x:c r="AW144" t="n">
        <x:v>1</x:v>
      </x:c>
      <x:c r="AX144" t="n">
        <x:v>5</x:v>
      </x:c>
      <x:c r="AY144"/>
      <x:c r="AZ144" t="n">
        <x:f>IF(('Quantification_Results'!AW144&lt;&gt;1),"",IF(('Quantification_Results'!AY144=""),IF(ISNUMBER('Quantification_Results'!AX144),IF(('Quantification_Results'!AX144&lt;'Quantification_Config'!$S$19),"",IF(('Quantification_Results'!AX144&gt;'Quantification_Config'!$T$19),"",'Quantification_Results'!AX144)),""),IF(ISNUMBER('Quantification_Results'!AY144),IF(('Quantification_Results'!AY144&lt;'Quantification_Config'!$S$19),"",IF(('Quantification_Results'!AY144&gt;'Quantification_Config'!$T$19),"",'Quantification_Results'!AY144)),"")))</x:f>
        <x:v>5</x:v>
      </x:c>
      <x:c r="BA144" t="n">
        <x:f>IF(ISNUMBER('Quantification_Results'!AZ144),IFERROR(ROUND(((('Quantification_Results'!AZ144-'Quantification_Config'!$S$19)/('Quantification_Config'!$T$19-'Quantification_Config'!$S$19))*100),'Quantification_Config'!$U$2),""),"")</x:f>
        <x:v>50</x:v>
      </x:c>
      <x:c r="BB144" t="inlineStr">
        <x:is>
          <x:t xml:space="preserve">SYSTEM-TEST-ONLY-NO-NETWORK-NOT-AN-EDUCATIONAL-EVALUATION</x:t>
        </x:is>
      </x:c>
      <x:c r="BC144" t="inlineStr">
        <x:is>
          <x:t xml:space="preserve"/>
        </x:is>
      </x:c>
      <x:c r="BD144" t="inlineStr">
        <x:is>
          <x:t xml:space="preserve">NONE</x:t>
        </x:is>
      </x:c>
      <x:c r="BE144" t="inlineStr">
        <x:is>
          <x:t xml:space="preserve"/>
        </x:is>
      </x:c>
      <x:c r="BF144" t="inlineStr">
        <x:is>
          <x:t xml:space="preserve">SUCCESS</x:t>
        </x:is>
      </x:c>
      <x:c r="BG144" t="n">
        <x:f>IF((COUNT('Quantification_Results'!BA144)=1),IFERROR(ROUND((SUM(('Quantification_Results'!BA144*'Quantification_Config'!$R$19))/SUM('Quantification_Config'!$R$19)),'Quantification_Config'!$U$2),""),"")</x:f>
        <x:v>50</x:v>
      </x:c>
      <x:c r="BH144" t="n">
        <x:f>IF((COUNT('Quantification_Results'!BG144)=1),IFERROR(ROUND((SUM(('Quantification_Results'!BG144*'Quantification_Config'!$R$18))/SUM('Quantification_Config'!$R$18)),'Quantification_Config'!$U$2),""),"")</x:f>
        <x:v>50</x:v>
      </x:c>
      <x:c r="BI144">
        <x:f>IF((COUNT('Quantification_Results'!L144,'Quantification_Results'!X144,'Quantification_Results'!AJ144,'Quantification_Results'!AV144,'Quantification_Results'!BH144)=5),IFERROR(ROUND((SUM(('Quantification_Results'!L144*'Quantification_Config'!$R$4),('Quantification_Results'!X144*'Quantification_Config'!$R$7),('Quantification_Results'!AJ144*'Quantification_Config'!$R$10),('Quantification_Results'!AV144*'Quantification_Config'!$R$13),('Quantification_Results'!BH144*'Quantification_Config'!$R$16))/SUM('Quantification_Config'!$R$4,'Quantification_Config'!$R$7,'Quantification_Config'!$R$10,'Quantification_Config'!$R$13,'Quantification_Config'!$R$16)),'Quantification_Config'!$U$2),""),"")</x:f>
      </x:c>
    </x:row>
    <x:row r="145">
      <x:c r="A145" t="n">
        <x:v>1</x:v>
      </x:c>
      <x:c r="B145" t="n">
        <x:v>5</x:v>
      </x:c>
      <x:c r="C145"/>
      <x:c r="D145" t="n">
        <x:f>IF(('Quantification_Results'!A145&lt;&gt;1),"",IF(('Quantification_Results'!C145=""),IF(ISNUMBER('Quantification_Results'!B145),IF(('Quantification_Results'!B145&lt;'Quantification_Config'!$S$6),"",IF(('Quantification_Results'!B145&gt;'Quantification_Config'!$T$6),"",'Quantification_Results'!B145)),""),IF(ISNUMBER('Quantification_Results'!C145),IF(('Quantification_Results'!C145&lt;'Quantification_Config'!$S$6),"",IF(('Quantification_Results'!C145&gt;'Quantification_Config'!$T$6),"",'Quantification_Results'!C145)),"")))</x:f>
        <x:v>5</x:v>
      </x:c>
      <x:c r="E145" t="n">
        <x:f>IF(ISNUMBER('Quantification_Results'!D145),IFERROR(ROUND(((('Quantification_Results'!D145-'Quantification_Config'!$S$6)/('Quantification_Config'!$T$6-'Quantification_Config'!$S$6))*100),'Quantification_Config'!$U$2),""),"")</x:f>
        <x:v>50</x:v>
      </x:c>
      <x:c r="F145" t="inlineStr">
        <x:is>
          <x:t xml:space="preserve">SYSTEM-TEST-ONLY-NO-NETWORK-NOT-AN-EDUCATIONAL-EVALUATION</x:t>
        </x:is>
      </x:c>
      <x:c r="G145" t="inlineStr">
        <x:is>
          <x:t xml:space="preserve"/>
        </x:is>
      </x:c>
      <x:c r="H145" t="inlineStr">
        <x:is>
          <x:t xml:space="preserve">NONE</x:t>
        </x:is>
      </x:c>
      <x:c r="I145" t="inlineStr">
        <x:is>
          <x:t xml:space="preserve"/>
        </x:is>
      </x:c>
      <x:c r="J145" t="inlineStr">
        <x:is>
          <x:t xml:space="preserve">SUCCESS</x:t>
        </x:is>
      </x:c>
      <x:c r="K145" t="n">
        <x:f>IF((COUNT('Quantification_Results'!E145)=1),IFERROR(ROUND((SUM(('Quantification_Results'!E145*'Quantification_Config'!$R$6))/SUM('Quantification_Config'!$R$6)),'Quantification_Config'!$U$2),""),"")</x:f>
        <x:v>50</x:v>
      </x:c>
      <x:c r="L145" t="n">
        <x:f>IF((COUNT('Quantification_Results'!K145)=1),IFERROR(ROUND((SUM(('Quantification_Results'!K145*'Quantification_Config'!$R$5))/SUM('Quantification_Config'!$R$5)),'Quantification_Config'!$U$2),""),"")</x:f>
        <x:v>50</x:v>
      </x:c>
      <x:c r="M145" t="n">
        <x:v>1</x:v>
      </x:c>
      <x:c r="N145" t="n">
        <x:v>5</x:v>
      </x:c>
      <x:c r="O145"/>
      <x:c r="P145" t="n">
        <x:f>IF(('Quantification_Results'!M145&lt;&gt;1),"",IF(('Quantification_Results'!O145=""),IF(ISNUMBER('Quantification_Results'!N145),IF(('Quantification_Results'!N145&lt;'Quantification_Config'!$S$9),"",IF(('Quantification_Results'!N145&gt;'Quantification_Config'!$T$9),"",'Quantification_Results'!N145)),""),IF(ISNUMBER('Quantification_Results'!O145),IF(('Quantification_Results'!O145&lt;'Quantification_Config'!$S$9),"",IF(('Quantification_Results'!O145&gt;'Quantification_Config'!$T$9),"",'Quantification_Results'!O145)),"")))</x:f>
        <x:v>5</x:v>
      </x:c>
      <x:c r="Q145" t="n">
        <x:f>IF(ISNUMBER('Quantification_Results'!P145),IFERROR(ROUND(((('Quantification_Results'!P145-'Quantification_Config'!$S$9)/('Quantification_Config'!$T$9-'Quantification_Config'!$S$9))*100),'Quantification_Config'!$U$2),""),"")</x:f>
        <x:v>50</x:v>
      </x:c>
      <x:c r="R145" t="inlineStr">
        <x:is>
          <x:t xml:space="preserve">SYSTEM-TEST-ONLY-NO-NETWORK-NOT-AN-EDUCATIONAL-EVALUATION</x:t>
        </x:is>
      </x:c>
      <x:c r="S145" t="inlineStr">
        <x:is>
          <x:t xml:space="preserve"/>
        </x:is>
      </x:c>
      <x:c r="T145" t="inlineStr">
        <x:is>
          <x:t xml:space="preserve">NONE</x:t>
        </x:is>
      </x:c>
      <x:c r="U145" t="inlineStr">
        <x:is>
          <x:t xml:space="preserve"/>
        </x:is>
      </x:c>
      <x:c r="V145" t="inlineStr">
        <x:is>
          <x:t xml:space="preserve">SUCCESS</x:t>
        </x:is>
      </x:c>
      <x:c r="W145" t="n">
        <x:f>IF((COUNT('Quantification_Results'!Q145)=1),IFERROR(ROUND((SUM(('Quantification_Results'!Q145*'Quantification_Config'!$R$9))/SUM('Quantification_Config'!$R$9)),'Quantification_Config'!$U$2),""),"")</x:f>
        <x:v>50</x:v>
      </x:c>
      <x:c r="X145" t="n">
        <x:f>IF((COUNT('Quantification_Results'!W145)=1),IFERROR(ROUND((SUM(('Quantification_Results'!W145*'Quantification_Config'!$R$8))/SUM('Quantification_Config'!$R$8)),'Quantification_Config'!$U$2),""),"")</x:f>
        <x:v>50</x:v>
      </x:c>
      <x:c r="Y145" t="n">
        <x:v>0</x:v>
      </x:c>
      <x:c r="Z145"/>
      <x:c r="AA145"/>
      <x:c r="AB145">
        <x:f>IF(('Quantification_Results'!Y145&lt;&gt;1),"",IF(('Quantification_Results'!AA145=""),IF(ISNUMBER('Quantification_Results'!Z145),IF(('Quantification_Results'!Z145&lt;'Quantification_Config'!$S$12),"",IF(('Quantification_Results'!Z145&gt;'Quantification_Config'!$T$12),"",'Quantification_Results'!Z145)),""),IF(ISNUMBER('Quantification_Results'!AA145),IF(('Quantification_Results'!AA145&lt;'Quantification_Config'!$S$12),"",IF(('Quantification_Results'!AA145&gt;'Quantification_Config'!$T$12),"",'Quantification_Results'!AA145)),"")))</x:f>
      </x:c>
      <x:c r="AC145">
        <x:f>IF(ISNUMBER('Quantification_Results'!AB145),IFERROR(ROUND(((('Quantification_Results'!AB145-'Quantification_Config'!$S$12)/('Quantification_Config'!$T$12-'Quantification_Config'!$S$12))*100),'Quantification_Config'!$U$2),""),"")</x:f>
      </x:c>
      <x:c r="AD145" t="inlineStr">
        <x:is>
          <x:t xml:space="preserve"/>
        </x:is>
      </x:c>
      <x:c r="AE145" t="inlineStr">
        <x:is>
          <x:t xml:space="preserve"/>
        </x:is>
      </x:c>
      <x:c r="AF145" t="inlineStr">
        <x:is>
          <x:t xml:space="preserve"/>
        </x:is>
      </x:c>
      <x:c r="AG145" t="inlineStr">
        <x:is>
          <x:t xml:space="preserve"/>
        </x:is>
      </x:c>
      <x:c r="AH145" t="inlineStr">
        <x:is>
          <x:t xml:space="preserve">EMPTY</x:t>
        </x:is>
      </x:c>
      <x:c r="AI145">
        <x:f>IF((COUNT('Quantification_Results'!AC145)=1),IFERROR(ROUND((SUM(('Quantification_Results'!AC145*'Quantification_Config'!$R$12))/SUM('Quantification_Config'!$R$12)),'Quantification_Config'!$U$2),""),"")</x:f>
      </x:c>
      <x:c r="AJ145">
        <x:f>IF((COUNT('Quantification_Results'!AI145)=1),IFERROR(ROUND((SUM(('Quantification_Results'!AI145*'Quantification_Config'!$R$11))/SUM('Quantification_Config'!$R$11)),'Quantification_Config'!$U$2),""),"")</x:f>
      </x:c>
      <x:c r="AK145" t="n">
        <x:v>1</x:v>
      </x:c>
      <x:c r="AL145" t="n">
        <x:v>5</x:v>
      </x:c>
      <x:c r="AM145"/>
      <x:c r="AN145" t="n">
        <x:f>IF(('Quantification_Results'!AK145&lt;&gt;1),"",IF(('Quantification_Results'!AM145=""),IF(ISNUMBER('Quantification_Results'!AL145),IF(('Quantification_Results'!AL145&lt;'Quantification_Config'!$S$15),"",IF(('Quantification_Results'!AL145&gt;'Quantification_Config'!$T$15),"",'Quantification_Results'!AL145)),""),IF(ISNUMBER('Quantification_Results'!AM145),IF(('Quantification_Results'!AM145&lt;'Quantification_Config'!$S$15),"",IF(('Quantification_Results'!AM145&gt;'Quantification_Config'!$T$15),"",'Quantification_Results'!AM145)),"")))</x:f>
        <x:v>5</x:v>
      </x:c>
      <x:c r="AO145" t="n">
        <x:f>IF(ISNUMBER('Quantification_Results'!AN145),IFERROR(ROUND(((('Quantification_Results'!AN145-'Quantification_Config'!$S$15)/('Quantification_Config'!$T$15-'Quantification_Config'!$S$15))*100),'Quantification_Config'!$U$2),""),"")</x:f>
        <x:v>50</x:v>
      </x:c>
      <x:c r="AP145" t="inlineStr">
        <x:is>
          <x:t xml:space="preserve">SYSTEM-TEST-ONLY-NO-NETWORK-NOT-AN-EDUCATIONAL-EVALUATION</x:t>
        </x:is>
      </x:c>
      <x:c r="AQ145" t="inlineStr">
        <x:is>
          <x:t xml:space="preserve"/>
        </x:is>
      </x:c>
      <x:c r="AR145" t="inlineStr">
        <x:is>
          <x:t xml:space="preserve">NONE</x:t>
        </x:is>
      </x:c>
      <x:c r="AS145" t="inlineStr">
        <x:is>
          <x:t xml:space="preserve"/>
        </x:is>
      </x:c>
      <x:c r="AT145" t="inlineStr">
        <x:is>
          <x:t xml:space="preserve">SUCCESS</x:t>
        </x:is>
      </x:c>
      <x:c r="AU145" t="n">
        <x:f>IF((COUNT('Quantification_Results'!AO145)=1),IFERROR(ROUND((SUM(('Quantification_Results'!AO145*'Quantification_Config'!$R$15))/SUM('Quantification_Config'!$R$15)),'Quantification_Config'!$U$2),""),"")</x:f>
        <x:v>50</x:v>
      </x:c>
      <x:c r="AV145" t="n">
        <x:f>IF((COUNT('Quantification_Results'!AU145)=1),IFERROR(ROUND((SUM(('Quantification_Results'!AU145*'Quantification_Config'!$R$14))/SUM('Quantification_Config'!$R$14)),'Quantification_Config'!$U$2),""),"")</x:f>
        <x:v>50</x:v>
      </x:c>
      <x:c r="AW145" t="n">
        <x:v>1</x:v>
      </x:c>
      <x:c r="AX145" t="n">
        <x:v>5</x:v>
      </x:c>
      <x:c r="AY145"/>
      <x:c r="AZ145" t="n">
        <x:f>IF(('Quantification_Results'!AW145&lt;&gt;1),"",IF(('Quantification_Results'!AY145=""),IF(ISNUMBER('Quantification_Results'!AX145),IF(('Quantification_Results'!AX145&lt;'Quantification_Config'!$S$19),"",IF(('Quantification_Results'!AX145&gt;'Quantification_Config'!$T$19),"",'Quantification_Results'!AX145)),""),IF(ISNUMBER('Quantification_Results'!AY145),IF(('Quantification_Results'!AY145&lt;'Quantification_Config'!$S$19),"",IF(('Quantification_Results'!AY145&gt;'Quantification_Config'!$T$19),"",'Quantification_Results'!AY145)),"")))</x:f>
        <x:v>5</x:v>
      </x:c>
      <x:c r="BA145" t="n">
        <x:f>IF(ISNUMBER('Quantification_Results'!AZ145),IFERROR(ROUND(((('Quantification_Results'!AZ145-'Quantification_Config'!$S$19)/('Quantification_Config'!$T$19-'Quantification_Config'!$S$19))*100),'Quantification_Config'!$U$2),""),"")</x:f>
        <x:v>50</x:v>
      </x:c>
      <x:c r="BB145" t="inlineStr">
        <x:is>
          <x:t xml:space="preserve">SYSTEM-TEST-ONLY-NO-NETWORK-NOT-AN-EDUCATIONAL-EVALUATION</x:t>
        </x:is>
      </x:c>
      <x:c r="BC145" t="inlineStr">
        <x:is>
          <x:t xml:space="preserve"/>
        </x:is>
      </x:c>
      <x:c r="BD145" t="inlineStr">
        <x:is>
          <x:t xml:space="preserve">NONE</x:t>
        </x:is>
      </x:c>
      <x:c r="BE145" t="inlineStr">
        <x:is>
          <x:t xml:space="preserve"/>
        </x:is>
      </x:c>
      <x:c r="BF145" t="inlineStr">
        <x:is>
          <x:t xml:space="preserve">SUCCESS</x:t>
        </x:is>
      </x:c>
      <x:c r="BG145" t="n">
        <x:f>IF((COUNT('Quantification_Results'!BA145)=1),IFERROR(ROUND((SUM(('Quantification_Results'!BA145*'Quantification_Config'!$R$19))/SUM('Quantification_Config'!$R$19)),'Quantification_Config'!$U$2),""),"")</x:f>
        <x:v>50</x:v>
      </x:c>
      <x:c r="BH145" t="n">
        <x:f>IF((COUNT('Quantification_Results'!BG145)=1),IFERROR(ROUND((SUM(('Quantification_Results'!BG145*'Quantification_Config'!$R$18))/SUM('Quantification_Config'!$R$18)),'Quantification_Config'!$U$2),""),"")</x:f>
        <x:v>50</x:v>
      </x:c>
      <x:c r="BI145">
        <x:f>IF((COUNT('Quantification_Results'!L145,'Quantification_Results'!X145,'Quantification_Results'!AJ145,'Quantification_Results'!AV145,'Quantification_Results'!BH145)=5),IFERROR(ROUND((SUM(('Quantification_Results'!L145*'Quantification_Config'!$R$4),('Quantification_Results'!X145*'Quantification_Config'!$R$7),('Quantification_Results'!AJ145*'Quantification_Config'!$R$10),('Quantification_Results'!AV145*'Quantification_Config'!$R$13),('Quantification_Results'!BH145*'Quantification_Config'!$R$16))/SUM('Quantification_Config'!$R$4,'Quantification_Config'!$R$7,'Quantification_Config'!$R$10,'Quantification_Config'!$R$13,'Quantification_Config'!$R$16)),'Quantification_Config'!$U$2),""),"")</x:f>
      </x:c>
    </x:row>
    <x:row r="146">
      <x:c r="A146" t="n">
        <x:v>1</x:v>
      </x:c>
      <x:c r="B146" t="n">
        <x:v>5</x:v>
      </x:c>
      <x:c r="C146"/>
      <x:c r="D146" t="n">
        <x:f>IF(('Quantification_Results'!A146&lt;&gt;1),"",IF(('Quantification_Results'!C146=""),IF(ISNUMBER('Quantification_Results'!B146),IF(('Quantification_Results'!B146&lt;'Quantification_Config'!$S$6),"",IF(('Quantification_Results'!B146&gt;'Quantification_Config'!$T$6),"",'Quantification_Results'!B146)),""),IF(ISNUMBER('Quantification_Results'!C146),IF(('Quantification_Results'!C146&lt;'Quantification_Config'!$S$6),"",IF(('Quantification_Results'!C146&gt;'Quantification_Config'!$T$6),"",'Quantification_Results'!C146)),"")))</x:f>
        <x:v>5</x:v>
      </x:c>
      <x:c r="E146" t="n">
        <x:f>IF(ISNUMBER('Quantification_Results'!D146),IFERROR(ROUND(((('Quantification_Results'!D146-'Quantification_Config'!$S$6)/('Quantification_Config'!$T$6-'Quantification_Config'!$S$6))*100),'Quantification_Config'!$U$2),""),"")</x:f>
        <x:v>50</x:v>
      </x:c>
      <x:c r="F146" t="inlineStr">
        <x:is>
          <x:t xml:space="preserve">SYSTEM-TEST-ONLY-NO-NETWORK-NOT-AN-EDUCATIONAL-EVALUATION</x:t>
        </x:is>
      </x:c>
      <x:c r="G146" t="inlineStr">
        <x:is>
          <x:t xml:space="preserve"/>
        </x:is>
      </x:c>
      <x:c r="H146" t="inlineStr">
        <x:is>
          <x:t xml:space="preserve">NONE</x:t>
        </x:is>
      </x:c>
      <x:c r="I146" t="inlineStr">
        <x:is>
          <x:t xml:space="preserve"/>
        </x:is>
      </x:c>
      <x:c r="J146" t="inlineStr">
        <x:is>
          <x:t xml:space="preserve">SUCCESS</x:t>
        </x:is>
      </x:c>
      <x:c r="K146" t="n">
        <x:f>IF((COUNT('Quantification_Results'!E146)=1),IFERROR(ROUND((SUM(('Quantification_Results'!E146*'Quantification_Config'!$R$6))/SUM('Quantification_Config'!$R$6)),'Quantification_Config'!$U$2),""),"")</x:f>
        <x:v>50</x:v>
      </x:c>
      <x:c r="L146" t="n">
        <x:f>IF((COUNT('Quantification_Results'!K146)=1),IFERROR(ROUND((SUM(('Quantification_Results'!K146*'Quantification_Config'!$R$5))/SUM('Quantification_Config'!$R$5)),'Quantification_Config'!$U$2),""),"")</x:f>
        <x:v>50</x:v>
      </x:c>
      <x:c r="M146" t="n">
        <x:v>0</x:v>
      </x:c>
      <x:c r="N146"/>
      <x:c r="O146"/>
      <x:c r="P146">
        <x:f>IF(('Quantification_Results'!M146&lt;&gt;1),"",IF(('Quantification_Results'!O146=""),IF(ISNUMBER('Quantification_Results'!N146),IF(('Quantification_Results'!N146&lt;'Quantification_Config'!$S$9),"",IF(('Quantification_Results'!N146&gt;'Quantification_Config'!$T$9),"",'Quantification_Results'!N146)),""),IF(ISNUMBER('Quantification_Results'!O146),IF(('Quantification_Results'!O146&lt;'Quantification_Config'!$S$9),"",IF(('Quantification_Results'!O146&gt;'Quantification_Config'!$T$9),"",'Quantification_Results'!O146)),"")))</x:f>
      </x:c>
      <x:c r="Q146">
        <x:f>IF(ISNUMBER('Quantification_Results'!P146),IFERROR(ROUND(((('Quantification_Results'!P146-'Quantification_Config'!$S$9)/('Quantification_Config'!$T$9-'Quantification_Config'!$S$9))*100),'Quantification_Config'!$U$2),""),"")</x:f>
      </x:c>
      <x:c r="R146" t="inlineStr">
        <x:is>
          <x:t xml:space="preserve"/>
        </x:is>
      </x:c>
      <x:c r="S146" t="inlineStr">
        <x:is>
          <x:t xml:space="preserve"/>
        </x:is>
      </x:c>
      <x:c r="T146" t="inlineStr">
        <x:is>
          <x:t xml:space="preserve"/>
        </x:is>
      </x:c>
      <x:c r="U146" t="inlineStr">
        <x:is>
          <x:t xml:space="preserve"/>
        </x:is>
      </x:c>
      <x:c r="V146" t="inlineStr">
        <x:is>
          <x:t xml:space="preserve">EMPTY</x:t>
        </x:is>
      </x:c>
      <x:c r="W146">
        <x:f>IF((COUNT('Quantification_Results'!Q146)=1),IFERROR(ROUND((SUM(('Quantification_Results'!Q146*'Quantification_Config'!$R$9))/SUM('Quantification_Config'!$R$9)),'Quantification_Config'!$U$2),""),"")</x:f>
      </x:c>
      <x:c r="X146">
        <x:f>IF((COUNT('Quantification_Results'!W146)=1),IFERROR(ROUND((SUM(('Quantification_Results'!W146*'Quantification_Config'!$R$8))/SUM('Quantification_Config'!$R$8)),'Quantification_Config'!$U$2),""),"")</x:f>
      </x:c>
      <x:c r="Y146" t="n">
        <x:v>0</x:v>
      </x:c>
      <x:c r="Z146"/>
      <x:c r="AA146"/>
      <x:c r="AB146">
        <x:f>IF(('Quantification_Results'!Y146&lt;&gt;1),"",IF(('Quantification_Results'!AA146=""),IF(ISNUMBER('Quantification_Results'!Z146),IF(('Quantification_Results'!Z146&lt;'Quantification_Config'!$S$12),"",IF(('Quantification_Results'!Z146&gt;'Quantification_Config'!$T$12),"",'Quantification_Results'!Z146)),""),IF(ISNUMBER('Quantification_Results'!AA146),IF(('Quantification_Results'!AA146&lt;'Quantification_Config'!$S$12),"",IF(('Quantification_Results'!AA146&gt;'Quantification_Config'!$T$12),"",'Quantification_Results'!AA146)),"")))</x:f>
      </x:c>
      <x:c r="AC146">
        <x:f>IF(ISNUMBER('Quantification_Results'!AB146),IFERROR(ROUND(((('Quantification_Results'!AB146-'Quantification_Config'!$S$12)/('Quantification_Config'!$T$12-'Quantification_Config'!$S$12))*100),'Quantification_Config'!$U$2),""),"")</x:f>
      </x:c>
      <x:c r="AD146" t="inlineStr">
        <x:is>
          <x:t xml:space="preserve"/>
        </x:is>
      </x:c>
      <x:c r="AE146" t="inlineStr">
        <x:is>
          <x:t xml:space="preserve"/>
        </x:is>
      </x:c>
      <x:c r="AF146" t="inlineStr">
        <x:is>
          <x:t xml:space="preserve"/>
        </x:is>
      </x:c>
      <x:c r="AG146" t="inlineStr">
        <x:is>
          <x:t xml:space="preserve"/>
        </x:is>
      </x:c>
      <x:c r="AH146" t="inlineStr">
        <x:is>
          <x:t xml:space="preserve">EMPTY</x:t>
        </x:is>
      </x:c>
      <x:c r="AI146">
        <x:f>IF((COUNT('Quantification_Results'!AC146)=1),IFERROR(ROUND((SUM(('Quantification_Results'!AC146*'Quantification_Config'!$R$12))/SUM('Quantification_Config'!$R$12)),'Quantification_Config'!$U$2),""),"")</x:f>
      </x:c>
      <x:c r="AJ146">
        <x:f>IF((COUNT('Quantification_Results'!AI146)=1),IFERROR(ROUND((SUM(('Quantification_Results'!AI146*'Quantification_Config'!$R$11))/SUM('Quantification_Config'!$R$11)),'Quantification_Config'!$U$2),""),"")</x:f>
      </x:c>
      <x:c r="AK146" t="n">
        <x:v>1</x:v>
      </x:c>
      <x:c r="AL146" t="n">
        <x:v>5</x:v>
      </x:c>
      <x:c r="AM146"/>
      <x:c r="AN146" t="n">
        <x:f>IF(('Quantification_Results'!AK146&lt;&gt;1),"",IF(('Quantification_Results'!AM146=""),IF(ISNUMBER('Quantification_Results'!AL146),IF(('Quantification_Results'!AL146&lt;'Quantification_Config'!$S$15),"",IF(('Quantification_Results'!AL146&gt;'Quantification_Config'!$T$15),"",'Quantification_Results'!AL146)),""),IF(ISNUMBER('Quantification_Results'!AM146),IF(('Quantification_Results'!AM146&lt;'Quantification_Config'!$S$15),"",IF(('Quantification_Results'!AM146&gt;'Quantification_Config'!$T$15),"",'Quantification_Results'!AM146)),"")))</x:f>
        <x:v>5</x:v>
      </x:c>
      <x:c r="AO146" t="n">
        <x:f>IF(ISNUMBER('Quantification_Results'!AN146),IFERROR(ROUND(((('Quantification_Results'!AN146-'Quantification_Config'!$S$15)/('Quantification_Config'!$T$15-'Quantification_Config'!$S$15))*100),'Quantification_Config'!$U$2),""),"")</x:f>
        <x:v>50</x:v>
      </x:c>
      <x:c r="AP146" t="inlineStr">
        <x:is>
          <x:t xml:space="preserve">SYSTEM-TEST-ONLY-NO-NETWORK-NOT-AN-EDUCATIONAL-EVALUATION</x:t>
        </x:is>
      </x:c>
      <x:c r="AQ146" t="inlineStr">
        <x:is>
          <x:t xml:space="preserve"/>
        </x:is>
      </x:c>
      <x:c r="AR146" t="inlineStr">
        <x:is>
          <x:t xml:space="preserve">NONE</x:t>
        </x:is>
      </x:c>
      <x:c r="AS146" t="inlineStr">
        <x:is>
          <x:t xml:space="preserve"/>
        </x:is>
      </x:c>
      <x:c r="AT146" t="inlineStr">
        <x:is>
          <x:t xml:space="preserve">SUCCESS</x:t>
        </x:is>
      </x:c>
      <x:c r="AU146" t="n">
        <x:f>IF((COUNT('Quantification_Results'!AO146)=1),IFERROR(ROUND((SUM(('Quantification_Results'!AO146*'Quantification_Config'!$R$15))/SUM('Quantification_Config'!$R$15)),'Quantification_Config'!$U$2),""),"")</x:f>
        <x:v>50</x:v>
      </x:c>
      <x:c r="AV146" t="n">
        <x:f>IF((COUNT('Quantification_Results'!AU146)=1),IFERROR(ROUND((SUM(('Quantification_Results'!AU146*'Quantification_Config'!$R$14))/SUM('Quantification_Config'!$R$14)),'Quantification_Config'!$U$2),""),"")</x:f>
        <x:v>50</x:v>
      </x:c>
      <x:c r="AW146" t="n">
        <x:v>0</x:v>
      </x:c>
      <x:c r="AX146"/>
      <x:c r="AY146"/>
      <x:c r="AZ146">
        <x:f>IF(('Quantification_Results'!AW146&lt;&gt;1),"",IF(('Quantification_Results'!AY146=""),IF(ISNUMBER('Quantification_Results'!AX146),IF(('Quantification_Results'!AX146&lt;'Quantification_Config'!$S$19),"",IF(('Quantification_Results'!AX146&gt;'Quantification_Config'!$T$19),"",'Quantification_Results'!AX146)),""),IF(ISNUMBER('Quantification_Results'!AY146),IF(('Quantification_Results'!AY146&lt;'Quantification_Config'!$S$19),"",IF(('Quantification_Results'!AY146&gt;'Quantification_Config'!$T$19),"",'Quantification_Results'!AY146)),"")))</x:f>
      </x:c>
      <x:c r="BA146">
        <x:f>IF(ISNUMBER('Quantification_Results'!AZ146),IFERROR(ROUND(((('Quantification_Results'!AZ146-'Quantification_Config'!$S$19)/('Quantification_Config'!$T$19-'Quantification_Config'!$S$19))*100),'Quantification_Config'!$U$2),""),"")</x:f>
      </x:c>
      <x:c r="BB146" t="inlineStr">
        <x:is>
          <x:t xml:space="preserve"/>
        </x:is>
      </x:c>
      <x:c r="BC146" t="inlineStr">
        <x:is>
          <x:t xml:space="preserve"/>
        </x:is>
      </x:c>
      <x:c r="BD146" t="inlineStr">
        <x:is>
          <x:t xml:space="preserve"/>
        </x:is>
      </x:c>
      <x:c r="BE146" t="inlineStr">
        <x:is>
          <x:t xml:space="preserve"/>
        </x:is>
      </x:c>
      <x:c r="BF146" t="inlineStr">
        <x:is>
          <x:t xml:space="preserve">EMPTY</x:t>
        </x:is>
      </x:c>
      <x:c r="BG146">
        <x:f>IF((COUNT('Quantification_Results'!BA146)=1),IFERROR(ROUND((SUM(('Quantification_Results'!BA146*'Quantification_Config'!$R$19))/SUM('Quantification_Config'!$R$19)),'Quantification_Config'!$U$2),""),"")</x:f>
      </x:c>
      <x:c r="BH146">
        <x:f>IF((COUNT('Quantification_Results'!BG146)=1),IFERROR(ROUND((SUM(('Quantification_Results'!BG146*'Quantification_Config'!$R$18))/SUM('Quantification_Config'!$R$18)),'Quantification_Config'!$U$2),""),"")</x:f>
      </x:c>
      <x:c r="BI146">
        <x:f>IF((COUNT('Quantification_Results'!L146,'Quantification_Results'!X146,'Quantification_Results'!AJ146,'Quantification_Results'!AV146,'Quantification_Results'!BH146)=5),IFERROR(ROUND((SUM(('Quantification_Results'!L146*'Quantification_Config'!$R$4),('Quantification_Results'!X146*'Quantification_Config'!$R$7),('Quantification_Results'!AJ146*'Quantification_Config'!$R$10),('Quantification_Results'!AV146*'Quantification_Config'!$R$13),('Quantification_Results'!BH146*'Quantification_Config'!$R$16))/SUM('Quantification_Config'!$R$4,'Quantification_Config'!$R$7,'Quantification_Config'!$R$10,'Quantification_Config'!$R$13,'Quantification_Config'!$R$16)),'Quantification_Config'!$U$2),""),"")</x:f>
      </x:c>
    </x:row>
    <x:row r="147">
      <x:c r="A147" t="n">
        <x:v>1</x:v>
      </x:c>
      <x:c r="B147" t="n">
        <x:v>5</x:v>
      </x:c>
      <x:c r="C147"/>
      <x:c r="D147" t="n">
        <x:f>IF(('Quantification_Results'!A147&lt;&gt;1),"",IF(('Quantification_Results'!C147=""),IF(ISNUMBER('Quantification_Results'!B147),IF(('Quantification_Results'!B147&lt;'Quantification_Config'!$S$6),"",IF(('Quantification_Results'!B147&gt;'Quantification_Config'!$T$6),"",'Quantification_Results'!B147)),""),IF(ISNUMBER('Quantification_Results'!C147),IF(('Quantification_Results'!C147&lt;'Quantification_Config'!$S$6),"",IF(('Quantification_Results'!C147&gt;'Quantification_Config'!$T$6),"",'Quantification_Results'!C147)),"")))</x:f>
        <x:v>5</x:v>
      </x:c>
      <x:c r="E147" t="n">
        <x:f>IF(ISNUMBER('Quantification_Results'!D147),IFERROR(ROUND(((('Quantification_Results'!D147-'Quantification_Config'!$S$6)/('Quantification_Config'!$T$6-'Quantification_Config'!$S$6))*100),'Quantification_Config'!$U$2),""),"")</x:f>
        <x:v>50</x:v>
      </x:c>
      <x:c r="F147" t="inlineStr">
        <x:is>
          <x:t xml:space="preserve">SYSTEM-TEST-ONLY-NO-NETWORK-NOT-AN-EDUCATIONAL-EVALUATION</x:t>
        </x:is>
      </x:c>
      <x:c r="G147" t="inlineStr">
        <x:is>
          <x:t xml:space="preserve"/>
        </x:is>
      </x:c>
      <x:c r="H147" t="inlineStr">
        <x:is>
          <x:t xml:space="preserve">NONE</x:t>
        </x:is>
      </x:c>
      <x:c r="I147" t="inlineStr">
        <x:is>
          <x:t xml:space="preserve"/>
        </x:is>
      </x:c>
      <x:c r="J147" t="inlineStr">
        <x:is>
          <x:t xml:space="preserve">SUCCESS</x:t>
        </x:is>
      </x:c>
      <x:c r="K147" t="n">
        <x:f>IF((COUNT('Quantification_Results'!E147)=1),IFERROR(ROUND((SUM(('Quantification_Results'!E147*'Quantification_Config'!$R$6))/SUM('Quantification_Config'!$R$6)),'Quantification_Config'!$U$2),""),"")</x:f>
        <x:v>50</x:v>
      </x:c>
      <x:c r="L147" t="n">
        <x:f>IF((COUNT('Quantification_Results'!K147)=1),IFERROR(ROUND((SUM(('Quantification_Results'!K147*'Quantification_Config'!$R$5))/SUM('Quantification_Config'!$R$5)),'Quantification_Config'!$U$2),""),"")</x:f>
        <x:v>50</x:v>
      </x:c>
      <x:c r="M147" t="n">
        <x:v>1</x:v>
      </x:c>
      <x:c r="N147" t="n">
        <x:v>5</x:v>
      </x:c>
      <x:c r="O147"/>
      <x:c r="P147" t="n">
        <x:f>IF(('Quantification_Results'!M147&lt;&gt;1),"",IF(('Quantification_Results'!O147=""),IF(ISNUMBER('Quantification_Results'!N147),IF(('Quantification_Results'!N147&lt;'Quantification_Config'!$S$9),"",IF(('Quantification_Results'!N147&gt;'Quantification_Config'!$T$9),"",'Quantification_Results'!N147)),""),IF(ISNUMBER('Quantification_Results'!O147),IF(('Quantification_Results'!O147&lt;'Quantification_Config'!$S$9),"",IF(('Quantification_Results'!O147&gt;'Quantification_Config'!$T$9),"",'Quantification_Results'!O147)),"")))</x:f>
        <x:v>5</x:v>
      </x:c>
      <x:c r="Q147" t="n">
        <x:f>IF(ISNUMBER('Quantification_Results'!P147),IFERROR(ROUND(((('Quantification_Results'!P147-'Quantification_Config'!$S$9)/('Quantification_Config'!$T$9-'Quantification_Config'!$S$9))*100),'Quantification_Config'!$U$2),""),"")</x:f>
        <x:v>50</x:v>
      </x:c>
      <x:c r="R147" t="inlineStr">
        <x:is>
          <x:t xml:space="preserve">SYSTEM-TEST-ONLY-NO-NETWORK-NOT-AN-EDUCATIONAL-EVALUATION</x:t>
        </x:is>
      </x:c>
      <x:c r="S147" t="inlineStr">
        <x:is>
          <x:t xml:space="preserve"/>
        </x:is>
      </x:c>
      <x:c r="T147" t="inlineStr">
        <x:is>
          <x:t xml:space="preserve">NONE</x:t>
        </x:is>
      </x:c>
      <x:c r="U147" t="inlineStr">
        <x:is>
          <x:t xml:space="preserve"/>
        </x:is>
      </x:c>
      <x:c r="V147" t="inlineStr">
        <x:is>
          <x:t xml:space="preserve">SUCCESS</x:t>
        </x:is>
      </x:c>
      <x:c r="W147" t="n">
        <x:f>IF((COUNT('Quantification_Results'!Q147)=1),IFERROR(ROUND((SUM(('Quantification_Results'!Q147*'Quantification_Config'!$R$9))/SUM('Quantification_Config'!$R$9)),'Quantification_Config'!$U$2),""),"")</x:f>
        <x:v>50</x:v>
      </x:c>
      <x:c r="X147" t="n">
        <x:f>IF((COUNT('Quantification_Results'!W147)=1),IFERROR(ROUND((SUM(('Quantification_Results'!W147*'Quantification_Config'!$R$8))/SUM('Quantification_Config'!$R$8)),'Quantification_Config'!$U$2),""),"")</x:f>
        <x:v>50</x:v>
      </x:c>
      <x:c r="Y147" t="n">
        <x:v>1</x:v>
      </x:c>
      <x:c r="Z147" t="n">
        <x:v>5</x:v>
      </x:c>
      <x:c r="AA147"/>
      <x:c r="AB147" t="n">
        <x:f>IF(('Quantification_Results'!Y147&lt;&gt;1),"",IF(('Quantification_Results'!AA147=""),IF(ISNUMBER('Quantification_Results'!Z147),IF(('Quantification_Results'!Z147&lt;'Quantification_Config'!$S$12),"",IF(('Quantification_Results'!Z147&gt;'Quantification_Config'!$T$12),"",'Quantification_Results'!Z147)),""),IF(ISNUMBER('Quantification_Results'!AA147),IF(('Quantification_Results'!AA147&lt;'Quantification_Config'!$S$12),"",IF(('Quantification_Results'!AA147&gt;'Quantification_Config'!$T$12),"",'Quantification_Results'!AA147)),"")))</x:f>
        <x:v>5</x:v>
      </x:c>
      <x:c r="AC147" t="n">
        <x:f>IF(ISNUMBER('Quantification_Results'!AB147),IFERROR(ROUND(((('Quantification_Results'!AB147-'Quantification_Config'!$S$12)/('Quantification_Config'!$T$12-'Quantification_Config'!$S$12))*100),'Quantification_Config'!$U$2),""),"")</x:f>
        <x:v>50</x:v>
      </x:c>
      <x:c r="AD147" t="inlineStr">
        <x:is>
          <x:t xml:space="preserve">SYSTEM-TEST-ONLY-NO-NETWORK-NOT-AN-EDUCATIONAL-EVALUATION</x:t>
        </x:is>
      </x:c>
      <x:c r="AE147" t="inlineStr">
        <x:is>
          <x:t xml:space="preserve"/>
        </x:is>
      </x:c>
      <x:c r="AF147" t="inlineStr">
        <x:is>
          <x:t xml:space="preserve">NONE</x:t>
        </x:is>
      </x:c>
      <x:c r="AG147" t="inlineStr">
        <x:is>
          <x:t xml:space="preserve"/>
        </x:is>
      </x:c>
      <x:c r="AH147" t="inlineStr">
        <x:is>
          <x:t xml:space="preserve">SUCCESS</x:t>
        </x:is>
      </x:c>
      <x:c r="AI147" t="n">
        <x:f>IF((COUNT('Quantification_Results'!AC147)=1),IFERROR(ROUND((SUM(('Quantification_Results'!AC147*'Quantification_Config'!$R$12))/SUM('Quantification_Config'!$R$12)),'Quantification_Config'!$U$2),""),"")</x:f>
        <x:v>50</x:v>
      </x:c>
      <x:c r="AJ147" t="n">
        <x:f>IF((COUNT('Quantification_Results'!AI147)=1),IFERROR(ROUND((SUM(('Quantification_Results'!AI147*'Quantification_Config'!$R$11))/SUM('Quantification_Config'!$R$11)),'Quantification_Config'!$U$2),""),"")</x:f>
        <x:v>50</x:v>
      </x:c>
      <x:c r="AK147" t="n">
        <x:v>1</x:v>
      </x:c>
      <x:c r="AL147" t="n">
        <x:v>5</x:v>
      </x:c>
      <x:c r="AM147"/>
      <x:c r="AN147" t="n">
        <x:f>IF(('Quantification_Results'!AK147&lt;&gt;1),"",IF(('Quantification_Results'!AM147=""),IF(ISNUMBER('Quantification_Results'!AL147),IF(('Quantification_Results'!AL147&lt;'Quantification_Config'!$S$15),"",IF(('Quantification_Results'!AL147&gt;'Quantification_Config'!$T$15),"",'Quantification_Results'!AL147)),""),IF(ISNUMBER('Quantification_Results'!AM147),IF(('Quantification_Results'!AM147&lt;'Quantification_Config'!$S$15),"",IF(('Quantification_Results'!AM147&gt;'Quantification_Config'!$T$15),"",'Quantification_Results'!AM147)),"")))</x:f>
        <x:v>5</x:v>
      </x:c>
      <x:c r="AO147" t="n">
        <x:f>IF(ISNUMBER('Quantification_Results'!AN147),IFERROR(ROUND(((('Quantification_Results'!AN147-'Quantification_Config'!$S$15)/('Quantification_Config'!$T$15-'Quantification_Config'!$S$15))*100),'Quantification_Config'!$U$2),""),"")</x:f>
        <x:v>50</x:v>
      </x:c>
      <x:c r="AP147" t="inlineStr">
        <x:is>
          <x:t xml:space="preserve">SYSTEM-TEST-ONLY-NO-NETWORK-NOT-AN-EDUCATIONAL-EVALUATION</x:t>
        </x:is>
      </x:c>
      <x:c r="AQ147" t="inlineStr">
        <x:is>
          <x:t xml:space="preserve"/>
        </x:is>
      </x:c>
      <x:c r="AR147" t="inlineStr">
        <x:is>
          <x:t xml:space="preserve">NONE</x:t>
        </x:is>
      </x:c>
      <x:c r="AS147" t="inlineStr">
        <x:is>
          <x:t xml:space="preserve"/>
        </x:is>
      </x:c>
      <x:c r="AT147" t="inlineStr">
        <x:is>
          <x:t xml:space="preserve">SUCCESS</x:t>
        </x:is>
      </x:c>
      <x:c r="AU147" t="n">
        <x:f>IF((COUNT('Quantification_Results'!AO147)=1),IFERROR(ROUND((SUM(('Quantification_Results'!AO147*'Quantification_Config'!$R$15))/SUM('Quantification_Config'!$R$15)),'Quantification_Config'!$U$2),""),"")</x:f>
        <x:v>50</x:v>
      </x:c>
      <x:c r="AV147" t="n">
        <x:f>IF((COUNT('Quantification_Results'!AU147)=1),IFERROR(ROUND((SUM(('Quantification_Results'!AU147*'Quantification_Config'!$R$14))/SUM('Quantification_Config'!$R$14)),'Quantification_Config'!$U$2),""),"")</x:f>
        <x:v>50</x:v>
      </x:c>
      <x:c r="AW147" t="n">
        <x:v>1</x:v>
      </x:c>
      <x:c r="AX147" t="n">
        <x:v>5</x:v>
      </x:c>
      <x:c r="AY147"/>
      <x:c r="AZ147" t="n">
        <x:f>IF(('Quantification_Results'!AW147&lt;&gt;1),"",IF(('Quantification_Results'!AY147=""),IF(ISNUMBER('Quantification_Results'!AX147),IF(('Quantification_Results'!AX147&lt;'Quantification_Config'!$S$19),"",IF(('Quantification_Results'!AX147&gt;'Quantification_Config'!$T$19),"",'Quantification_Results'!AX147)),""),IF(ISNUMBER('Quantification_Results'!AY147),IF(('Quantification_Results'!AY147&lt;'Quantification_Config'!$S$19),"",IF(('Quantification_Results'!AY147&gt;'Quantification_Config'!$T$19),"",'Quantification_Results'!AY147)),"")))</x:f>
        <x:v>5</x:v>
      </x:c>
      <x:c r="BA147" t="n">
        <x:f>IF(ISNUMBER('Quantification_Results'!AZ147),IFERROR(ROUND(((('Quantification_Results'!AZ147-'Quantification_Config'!$S$19)/('Quantification_Config'!$T$19-'Quantification_Config'!$S$19))*100),'Quantification_Config'!$U$2),""),"")</x:f>
        <x:v>50</x:v>
      </x:c>
      <x:c r="BB147" t="inlineStr">
        <x:is>
          <x:t xml:space="preserve">SYSTEM-TEST-ONLY-NO-NETWORK-NOT-AN-EDUCATIONAL-EVALUATION</x:t>
        </x:is>
      </x:c>
      <x:c r="BC147" t="inlineStr">
        <x:is>
          <x:t xml:space="preserve"/>
        </x:is>
      </x:c>
      <x:c r="BD147" t="inlineStr">
        <x:is>
          <x:t xml:space="preserve">NONE</x:t>
        </x:is>
      </x:c>
      <x:c r="BE147" t="inlineStr">
        <x:is>
          <x:t xml:space="preserve"/>
        </x:is>
      </x:c>
      <x:c r="BF147" t="inlineStr">
        <x:is>
          <x:t xml:space="preserve">SUCCESS</x:t>
        </x:is>
      </x:c>
      <x:c r="BG147" t="n">
        <x:f>IF((COUNT('Quantification_Results'!BA147)=1),IFERROR(ROUND((SUM(('Quantification_Results'!BA147*'Quantification_Config'!$R$19))/SUM('Quantification_Config'!$R$19)),'Quantification_Config'!$U$2),""),"")</x:f>
        <x:v>50</x:v>
      </x:c>
      <x:c r="BH147" t="n">
        <x:f>IF((COUNT('Quantification_Results'!BG147)=1),IFERROR(ROUND((SUM(('Quantification_Results'!BG147*'Quantification_Config'!$R$18))/SUM('Quantification_Config'!$R$18)),'Quantification_Config'!$U$2),""),"")</x:f>
        <x:v>50</x:v>
      </x:c>
      <x:c r="BI147" t="n">
        <x:f>IF((COUNT('Quantification_Results'!L147,'Quantification_Results'!X147,'Quantification_Results'!AJ147,'Quantification_Results'!AV147,'Quantification_Results'!BH147)=5),IFERROR(ROUND((SUM(('Quantification_Results'!L147*'Quantification_Config'!$R$4),('Quantification_Results'!X147*'Quantification_Config'!$R$7),('Quantification_Results'!AJ147*'Quantification_Config'!$R$10),('Quantification_Results'!AV147*'Quantification_Config'!$R$13),('Quantification_Results'!BH147*'Quantification_Config'!$R$16))/SUM('Quantification_Config'!$R$4,'Quantification_Config'!$R$7,'Quantification_Config'!$R$10,'Quantification_Config'!$R$13,'Quantification_Config'!$R$16)),'Quantification_Config'!$U$2),""),"")</x:f>
        <x:v>50</x:v>
      </x:c>
    </x:row>
    <x:row r="148">
      <x:c r="A148" t="n">
        <x:v>1</x:v>
      </x:c>
      <x:c r="B148" t="n">
        <x:v>5</x:v>
      </x:c>
      <x:c r="C148"/>
      <x:c r="D148" t="n">
        <x:f>IF(('Quantification_Results'!A148&lt;&gt;1),"",IF(('Quantification_Results'!C148=""),IF(ISNUMBER('Quantification_Results'!B148),IF(('Quantification_Results'!B148&lt;'Quantification_Config'!$S$6),"",IF(('Quantification_Results'!B148&gt;'Quantification_Config'!$T$6),"",'Quantification_Results'!B148)),""),IF(ISNUMBER('Quantification_Results'!C148),IF(('Quantification_Results'!C148&lt;'Quantification_Config'!$S$6),"",IF(('Quantification_Results'!C148&gt;'Quantification_Config'!$T$6),"",'Quantification_Results'!C148)),"")))</x:f>
        <x:v>5</x:v>
      </x:c>
      <x:c r="E148" t="n">
        <x:f>IF(ISNUMBER('Quantification_Results'!D148),IFERROR(ROUND(((('Quantification_Results'!D148-'Quantification_Config'!$S$6)/('Quantification_Config'!$T$6-'Quantification_Config'!$S$6))*100),'Quantification_Config'!$U$2),""),"")</x:f>
        <x:v>50</x:v>
      </x:c>
      <x:c r="F148" t="inlineStr">
        <x:is>
          <x:t xml:space="preserve">SYSTEM-TEST-ONLY-NO-NETWORK-NOT-AN-EDUCATIONAL-EVALUATION</x:t>
        </x:is>
      </x:c>
      <x:c r="G148" t="inlineStr">
        <x:is>
          <x:t xml:space="preserve"/>
        </x:is>
      </x:c>
      <x:c r="H148" t="inlineStr">
        <x:is>
          <x:t xml:space="preserve">NONE</x:t>
        </x:is>
      </x:c>
      <x:c r="I148" t="inlineStr">
        <x:is>
          <x:t xml:space="preserve"/>
        </x:is>
      </x:c>
      <x:c r="J148" t="inlineStr">
        <x:is>
          <x:t xml:space="preserve">SUCCESS</x:t>
        </x:is>
      </x:c>
      <x:c r="K148" t="n">
        <x:f>IF((COUNT('Quantification_Results'!E148)=1),IFERROR(ROUND((SUM(('Quantification_Results'!E148*'Quantification_Config'!$R$6))/SUM('Quantification_Config'!$R$6)),'Quantification_Config'!$U$2),""),"")</x:f>
        <x:v>50</x:v>
      </x:c>
      <x:c r="L148" t="n">
        <x:f>IF((COUNT('Quantification_Results'!K148)=1),IFERROR(ROUND((SUM(('Quantification_Results'!K148*'Quantification_Config'!$R$5))/SUM('Quantification_Config'!$R$5)),'Quantification_Config'!$U$2),""),"")</x:f>
        <x:v>50</x:v>
      </x:c>
      <x:c r="M148" t="n">
        <x:v>1</x:v>
      </x:c>
      <x:c r="N148" t="n">
        <x:v>5</x:v>
      </x:c>
      <x:c r="O148"/>
      <x:c r="P148" t="n">
        <x:f>IF(('Quantification_Results'!M148&lt;&gt;1),"",IF(('Quantification_Results'!O148=""),IF(ISNUMBER('Quantification_Results'!N148),IF(('Quantification_Results'!N148&lt;'Quantification_Config'!$S$9),"",IF(('Quantification_Results'!N148&gt;'Quantification_Config'!$T$9),"",'Quantification_Results'!N148)),""),IF(ISNUMBER('Quantification_Results'!O148),IF(('Quantification_Results'!O148&lt;'Quantification_Config'!$S$9),"",IF(('Quantification_Results'!O148&gt;'Quantification_Config'!$T$9),"",'Quantification_Results'!O148)),"")))</x:f>
        <x:v>5</x:v>
      </x:c>
      <x:c r="Q148" t="n">
        <x:f>IF(ISNUMBER('Quantification_Results'!P148),IFERROR(ROUND(((('Quantification_Results'!P148-'Quantification_Config'!$S$9)/('Quantification_Config'!$T$9-'Quantification_Config'!$S$9))*100),'Quantification_Config'!$U$2),""),"")</x:f>
        <x:v>50</x:v>
      </x:c>
      <x:c r="R148" t="inlineStr">
        <x:is>
          <x:t xml:space="preserve">SYSTEM-TEST-ONLY-NO-NETWORK-NOT-AN-EDUCATIONAL-EVALUATION</x:t>
        </x:is>
      </x:c>
      <x:c r="S148" t="inlineStr">
        <x:is>
          <x:t xml:space="preserve"/>
        </x:is>
      </x:c>
      <x:c r="T148" t="inlineStr">
        <x:is>
          <x:t xml:space="preserve">NONE</x:t>
        </x:is>
      </x:c>
      <x:c r="U148" t="inlineStr">
        <x:is>
          <x:t xml:space="preserve"/>
        </x:is>
      </x:c>
      <x:c r="V148" t="inlineStr">
        <x:is>
          <x:t xml:space="preserve">SUCCESS</x:t>
        </x:is>
      </x:c>
      <x:c r="W148" t="n">
        <x:f>IF((COUNT('Quantification_Results'!Q148)=1),IFERROR(ROUND((SUM(('Quantification_Results'!Q148*'Quantification_Config'!$R$9))/SUM('Quantification_Config'!$R$9)),'Quantification_Config'!$U$2),""),"")</x:f>
        <x:v>50</x:v>
      </x:c>
      <x:c r="X148" t="n">
        <x:f>IF((COUNT('Quantification_Results'!W148)=1),IFERROR(ROUND((SUM(('Quantification_Results'!W148*'Quantification_Config'!$R$8))/SUM('Quantification_Config'!$R$8)),'Quantification_Config'!$U$2),""),"")</x:f>
        <x:v>50</x:v>
      </x:c>
      <x:c r="Y148" t="n">
        <x:v>0</x:v>
      </x:c>
      <x:c r="Z148"/>
      <x:c r="AA148"/>
      <x:c r="AB148">
        <x:f>IF(('Quantification_Results'!Y148&lt;&gt;1),"",IF(('Quantification_Results'!AA148=""),IF(ISNUMBER('Quantification_Results'!Z148),IF(('Quantification_Results'!Z148&lt;'Quantification_Config'!$S$12),"",IF(('Quantification_Results'!Z148&gt;'Quantification_Config'!$T$12),"",'Quantification_Results'!Z148)),""),IF(ISNUMBER('Quantification_Results'!AA148),IF(('Quantification_Results'!AA148&lt;'Quantification_Config'!$S$12),"",IF(('Quantification_Results'!AA148&gt;'Quantification_Config'!$T$12),"",'Quantification_Results'!AA148)),"")))</x:f>
      </x:c>
      <x:c r="AC148">
        <x:f>IF(ISNUMBER('Quantification_Results'!AB148),IFERROR(ROUND(((('Quantification_Results'!AB148-'Quantification_Config'!$S$12)/('Quantification_Config'!$T$12-'Quantification_Config'!$S$12))*100),'Quantification_Config'!$U$2),""),"")</x:f>
      </x:c>
      <x:c r="AD148" t="inlineStr">
        <x:is>
          <x:t xml:space="preserve"/>
        </x:is>
      </x:c>
      <x:c r="AE148" t="inlineStr">
        <x:is>
          <x:t xml:space="preserve"/>
        </x:is>
      </x:c>
      <x:c r="AF148" t="inlineStr">
        <x:is>
          <x:t xml:space="preserve"/>
        </x:is>
      </x:c>
      <x:c r="AG148" t="inlineStr">
        <x:is>
          <x:t xml:space="preserve"/>
        </x:is>
      </x:c>
      <x:c r="AH148" t="inlineStr">
        <x:is>
          <x:t xml:space="preserve">EMPTY</x:t>
        </x:is>
      </x:c>
      <x:c r="AI148">
        <x:f>IF((COUNT('Quantification_Results'!AC148)=1),IFERROR(ROUND((SUM(('Quantification_Results'!AC148*'Quantification_Config'!$R$12))/SUM('Quantification_Config'!$R$12)),'Quantification_Config'!$U$2),""),"")</x:f>
      </x:c>
      <x:c r="AJ148">
        <x:f>IF((COUNT('Quantification_Results'!AI148)=1),IFERROR(ROUND((SUM(('Quantification_Results'!AI148*'Quantification_Config'!$R$11))/SUM('Quantification_Config'!$R$11)),'Quantification_Config'!$U$2),""),"")</x:f>
      </x:c>
      <x:c r="AK148" t="n">
        <x:v>1</x:v>
      </x:c>
      <x:c r="AL148" t="n">
        <x:v>5</x:v>
      </x:c>
      <x:c r="AM148"/>
      <x:c r="AN148" t="n">
        <x:f>IF(('Quantification_Results'!AK148&lt;&gt;1),"",IF(('Quantification_Results'!AM148=""),IF(ISNUMBER('Quantification_Results'!AL148),IF(('Quantification_Results'!AL148&lt;'Quantification_Config'!$S$15),"",IF(('Quantification_Results'!AL148&gt;'Quantification_Config'!$T$15),"",'Quantification_Results'!AL148)),""),IF(ISNUMBER('Quantification_Results'!AM148),IF(('Quantification_Results'!AM148&lt;'Quantification_Config'!$S$15),"",IF(('Quantification_Results'!AM148&gt;'Quantification_Config'!$T$15),"",'Quantification_Results'!AM148)),"")))</x:f>
        <x:v>5</x:v>
      </x:c>
      <x:c r="AO148" t="n">
        <x:f>IF(ISNUMBER('Quantification_Results'!AN148),IFERROR(ROUND(((('Quantification_Results'!AN148-'Quantification_Config'!$S$15)/('Quantification_Config'!$T$15-'Quantification_Config'!$S$15))*100),'Quantification_Config'!$U$2),""),"")</x:f>
        <x:v>50</x:v>
      </x:c>
      <x:c r="AP148" t="inlineStr">
        <x:is>
          <x:t xml:space="preserve">SYSTEM-TEST-ONLY-NO-NETWORK-NOT-AN-EDUCATIONAL-EVALUATION</x:t>
        </x:is>
      </x:c>
      <x:c r="AQ148" t="inlineStr">
        <x:is>
          <x:t xml:space="preserve"/>
        </x:is>
      </x:c>
      <x:c r="AR148" t="inlineStr">
        <x:is>
          <x:t xml:space="preserve">NONE</x:t>
        </x:is>
      </x:c>
      <x:c r="AS148" t="inlineStr">
        <x:is>
          <x:t xml:space="preserve"/>
        </x:is>
      </x:c>
      <x:c r="AT148" t="inlineStr">
        <x:is>
          <x:t xml:space="preserve">SUCCESS</x:t>
        </x:is>
      </x:c>
      <x:c r="AU148" t="n">
        <x:f>IF((COUNT('Quantification_Results'!AO148)=1),IFERROR(ROUND((SUM(('Quantification_Results'!AO148*'Quantification_Config'!$R$15))/SUM('Quantification_Config'!$R$15)),'Quantification_Config'!$U$2),""),"")</x:f>
        <x:v>50</x:v>
      </x:c>
      <x:c r="AV148" t="n">
        <x:f>IF((COUNT('Quantification_Results'!AU148)=1),IFERROR(ROUND((SUM(('Quantification_Results'!AU148*'Quantification_Config'!$R$14))/SUM('Quantification_Config'!$R$14)),'Quantification_Config'!$U$2),""),"")</x:f>
        <x:v>50</x:v>
      </x:c>
      <x:c r="AW148" t="n">
        <x:v>0</x:v>
      </x:c>
      <x:c r="AX148"/>
      <x:c r="AY148"/>
      <x:c r="AZ148">
        <x:f>IF(('Quantification_Results'!AW148&lt;&gt;1),"",IF(('Quantification_Results'!AY148=""),IF(ISNUMBER('Quantification_Results'!AX148),IF(('Quantification_Results'!AX148&lt;'Quantification_Config'!$S$19),"",IF(('Quantification_Results'!AX148&gt;'Quantification_Config'!$T$19),"",'Quantification_Results'!AX148)),""),IF(ISNUMBER('Quantification_Results'!AY148),IF(('Quantification_Results'!AY148&lt;'Quantification_Config'!$S$19),"",IF(('Quantification_Results'!AY148&gt;'Quantification_Config'!$T$19),"",'Quantification_Results'!AY148)),"")))</x:f>
      </x:c>
      <x:c r="BA148">
        <x:f>IF(ISNUMBER('Quantification_Results'!AZ148),IFERROR(ROUND(((('Quantification_Results'!AZ148-'Quantification_Config'!$S$19)/('Quantification_Config'!$T$19-'Quantification_Config'!$S$19))*100),'Quantification_Config'!$U$2),""),"")</x:f>
      </x:c>
      <x:c r="BB148" t="inlineStr">
        <x:is>
          <x:t xml:space="preserve"/>
        </x:is>
      </x:c>
      <x:c r="BC148" t="inlineStr">
        <x:is>
          <x:t xml:space="preserve"/>
        </x:is>
      </x:c>
      <x:c r="BD148" t="inlineStr">
        <x:is>
          <x:t xml:space="preserve"/>
        </x:is>
      </x:c>
      <x:c r="BE148" t="inlineStr">
        <x:is>
          <x:t xml:space="preserve"/>
        </x:is>
      </x:c>
      <x:c r="BF148" t="inlineStr">
        <x:is>
          <x:t xml:space="preserve">EMPTY</x:t>
        </x:is>
      </x:c>
      <x:c r="BG148">
        <x:f>IF((COUNT('Quantification_Results'!BA148)=1),IFERROR(ROUND((SUM(('Quantification_Results'!BA148*'Quantification_Config'!$R$19))/SUM('Quantification_Config'!$R$19)),'Quantification_Config'!$U$2),""),"")</x:f>
      </x:c>
      <x:c r="BH148">
        <x:f>IF((COUNT('Quantification_Results'!BG148)=1),IFERROR(ROUND((SUM(('Quantification_Results'!BG148*'Quantification_Config'!$R$18))/SUM('Quantification_Config'!$R$18)),'Quantification_Config'!$U$2),""),"")</x:f>
      </x:c>
      <x:c r="BI148">
        <x:f>IF((COUNT('Quantification_Results'!L148,'Quantification_Results'!X148,'Quantification_Results'!AJ148,'Quantification_Results'!AV148,'Quantification_Results'!BH148)=5),IFERROR(ROUND((SUM(('Quantification_Results'!L148*'Quantification_Config'!$R$4),('Quantification_Results'!X148*'Quantification_Config'!$R$7),('Quantification_Results'!AJ148*'Quantification_Config'!$R$10),('Quantification_Results'!AV148*'Quantification_Config'!$R$13),('Quantification_Results'!BH148*'Quantification_Config'!$R$16))/SUM('Quantification_Config'!$R$4,'Quantification_Config'!$R$7,'Quantification_Config'!$R$10,'Quantification_Config'!$R$13,'Quantification_Config'!$R$16)),'Quantification_Config'!$U$2),""),"")</x:f>
      </x:c>
    </x:row>
    <x:row r="149">
      <x:c r="A149" t="n">
        <x:v>1</x:v>
      </x:c>
      <x:c r="B149" t="n">
        <x:v>5</x:v>
      </x:c>
      <x:c r="C149"/>
      <x:c r="D149" t="n">
        <x:f>IF(('Quantification_Results'!A149&lt;&gt;1),"",IF(('Quantification_Results'!C149=""),IF(ISNUMBER('Quantification_Results'!B149),IF(('Quantification_Results'!B149&lt;'Quantification_Config'!$S$6),"",IF(('Quantification_Results'!B149&gt;'Quantification_Config'!$T$6),"",'Quantification_Results'!B149)),""),IF(ISNUMBER('Quantification_Results'!C149),IF(('Quantification_Results'!C149&lt;'Quantification_Config'!$S$6),"",IF(('Quantification_Results'!C149&gt;'Quantification_Config'!$T$6),"",'Quantification_Results'!C149)),"")))</x:f>
        <x:v>5</x:v>
      </x:c>
      <x:c r="E149" t="n">
        <x:f>IF(ISNUMBER('Quantification_Results'!D149),IFERROR(ROUND(((('Quantification_Results'!D149-'Quantification_Config'!$S$6)/('Quantification_Config'!$T$6-'Quantification_Config'!$S$6))*100),'Quantification_Config'!$U$2),""),"")</x:f>
        <x:v>50</x:v>
      </x:c>
      <x:c r="F149" t="inlineStr">
        <x:is>
          <x:t xml:space="preserve">SYSTEM-TEST-ONLY-NO-NETWORK-NOT-AN-EDUCATIONAL-EVALUATION</x:t>
        </x:is>
      </x:c>
      <x:c r="G149" t="inlineStr">
        <x:is>
          <x:t xml:space="preserve"/>
        </x:is>
      </x:c>
      <x:c r="H149" t="inlineStr">
        <x:is>
          <x:t xml:space="preserve">NONE</x:t>
        </x:is>
      </x:c>
      <x:c r="I149" t="inlineStr">
        <x:is>
          <x:t xml:space="preserve"/>
        </x:is>
      </x:c>
      <x:c r="J149" t="inlineStr">
        <x:is>
          <x:t xml:space="preserve">SUCCESS</x:t>
        </x:is>
      </x:c>
      <x:c r="K149" t="n">
        <x:f>IF((COUNT('Quantification_Results'!E149)=1),IFERROR(ROUND((SUM(('Quantification_Results'!E149*'Quantification_Config'!$R$6))/SUM('Quantification_Config'!$R$6)),'Quantification_Config'!$U$2),""),"")</x:f>
        <x:v>50</x:v>
      </x:c>
      <x:c r="L149" t="n">
        <x:f>IF((COUNT('Quantification_Results'!K149)=1),IFERROR(ROUND((SUM(('Quantification_Results'!K149*'Quantification_Config'!$R$5))/SUM('Quantification_Config'!$R$5)),'Quantification_Config'!$U$2),""),"")</x:f>
        <x:v>50</x:v>
      </x:c>
      <x:c r="M149" t="n">
        <x:v>1</x:v>
      </x:c>
      <x:c r="N149" t="n">
        <x:v>5</x:v>
      </x:c>
      <x:c r="O149"/>
      <x:c r="P149" t="n">
        <x:f>IF(('Quantification_Results'!M149&lt;&gt;1),"",IF(('Quantification_Results'!O149=""),IF(ISNUMBER('Quantification_Results'!N149),IF(('Quantification_Results'!N149&lt;'Quantification_Config'!$S$9),"",IF(('Quantification_Results'!N149&gt;'Quantification_Config'!$T$9),"",'Quantification_Results'!N149)),""),IF(ISNUMBER('Quantification_Results'!O149),IF(('Quantification_Results'!O149&lt;'Quantification_Config'!$S$9),"",IF(('Quantification_Results'!O149&gt;'Quantification_Config'!$T$9),"",'Quantification_Results'!O149)),"")))</x:f>
        <x:v>5</x:v>
      </x:c>
      <x:c r="Q149" t="n">
        <x:f>IF(ISNUMBER('Quantification_Results'!P149),IFERROR(ROUND(((('Quantification_Results'!P149-'Quantification_Config'!$S$9)/('Quantification_Config'!$T$9-'Quantification_Config'!$S$9))*100),'Quantification_Config'!$U$2),""),"")</x:f>
        <x:v>50</x:v>
      </x:c>
      <x:c r="R149" t="inlineStr">
        <x:is>
          <x:t xml:space="preserve">SYSTEM-TEST-ONLY-NO-NETWORK-NOT-AN-EDUCATIONAL-EVALUATION</x:t>
        </x:is>
      </x:c>
      <x:c r="S149" t="inlineStr">
        <x:is>
          <x:t xml:space="preserve"/>
        </x:is>
      </x:c>
      <x:c r="T149" t="inlineStr">
        <x:is>
          <x:t xml:space="preserve">NONE</x:t>
        </x:is>
      </x:c>
      <x:c r="U149" t="inlineStr">
        <x:is>
          <x:t xml:space="preserve"/>
        </x:is>
      </x:c>
      <x:c r="V149" t="inlineStr">
        <x:is>
          <x:t xml:space="preserve">SUCCESS</x:t>
        </x:is>
      </x:c>
      <x:c r="W149" t="n">
        <x:f>IF((COUNT('Quantification_Results'!Q149)=1),IFERROR(ROUND((SUM(('Quantification_Results'!Q149*'Quantification_Config'!$R$9))/SUM('Quantification_Config'!$R$9)),'Quantification_Config'!$U$2),""),"")</x:f>
        <x:v>50</x:v>
      </x:c>
      <x:c r="X149" t="n">
        <x:f>IF((COUNT('Quantification_Results'!W149)=1),IFERROR(ROUND((SUM(('Quantification_Results'!W149*'Quantification_Config'!$R$8))/SUM('Quantification_Config'!$R$8)),'Quantification_Config'!$U$2),""),"")</x:f>
        <x:v>50</x:v>
      </x:c>
      <x:c r="Y149" t="n">
        <x:v>0</x:v>
      </x:c>
      <x:c r="Z149"/>
      <x:c r="AA149"/>
      <x:c r="AB149">
        <x:f>IF(('Quantification_Results'!Y149&lt;&gt;1),"",IF(('Quantification_Results'!AA149=""),IF(ISNUMBER('Quantification_Results'!Z149),IF(('Quantification_Results'!Z149&lt;'Quantification_Config'!$S$12),"",IF(('Quantification_Results'!Z149&gt;'Quantification_Config'!$T$12),"",'Quantification_Results'!Z149)),""),IF(ISNUMBER('Quantification_Results'!AA149),IF(('Quantification_Results'!AA149&lt;'Quantification_Config'!$S$12),"",IF(('Quantification_Results'!AA149&gt;'Quantification_Config'!$T$12),"",'Quantification_Results'!AA149)),"")))</x:f>
      </x:c>
      <x:c r="AC149">
        <x:f>IF(ISNUMBER('Quantification_Results'!AB149),IFERROR(ROUND(((('Quantification_Results'!AB149-'Quantification_Config'!$S$12)/('Quantification_Config'!$T$12-'Quantification_Config'!$S$12))*100),'Quantification_Config'!$U$2),""),"")</x:f>
      </x:c>
      <x:c r="AD149" t="inlineStr">
        <x:is>
          <x:t xml:space="preserve"/>
        </x:is>
      </x:c>
      <x:c r="AE149" t="inlineStr">
        <x:is>
          <x:t xml:space="preserve"/>
        </x:is>
      </x:c>
      <x:c r="AF149" t="inlineStr">
        <x:is>
          <x:t xml:space="preserve"/>
        </x:is>
      </x:c>
      <x:c r="AG149" t="inlineStr">
        <x:is>
          <x:t xml:space="preserve"/>
        </x:is>
      </x:c>
      <x:c r="AH149" t="inlineStr">
        <x:is>
          <x:t xml:space="preserve">EMPTY</x:t>
        </x:is>
      </x:c>
      <x:c r="AI149">
        <x:f>IF((COUNT('Quantification_Results'!AC149)=1),IFERROR(ROUND((SUM(('Quantification_Results'!AC149*'Quantification_Config'!$R$12))/SUM('Quantification_Config'!$R$12)),'Quantification_Config'!$U$2),""),"")</x:f>
      </x:c>
      <x:c r="AJ149">
        <x:f>IF((COUNT('Quantification_Results'!AI149)=1),IFERROR(ROUND((SUM(('Quantification_Results'!AI149*'Quantification_Config'!$R$11))/SUM('Quantification_Config'!$R$11)),'Quantification_Config'!$U$2),""),"")</x:f>
      </x:c>
      <x:c r="AK149" t="n">
        <x:v>1</x:v>
      </x:c>
      <x:c r="AL149" t="n">
        <x:v>5</x:v>
      </x:c>
      <x:c r="AM149"/>
      <x:c r="AN149" t="n">
        <x:f>IF(('Quantification_Results'!AK149&lt;&gt;1),"",IF(('Quantification_Results'!AM149=""),IF(ISNUMBER('Quantification_Results'!AL149),IF(('Quantification_Results'!AL149&lt;'Quantification_Config'!$S$15),"",IF(('Quantification_Results'!AL149&gt;'Quantification_Config'!$T$15),"",'Quantification_Results'!AL149)),""),IF(ISNUMBER('Quantification_Results'!AM149),IF(('Quantification_Results'!AM149&lt;'Quantification_Config'!$S$15),"",IF(('Quantification_Results'!AM149&gt;'Quantification_Config'!$T$15),"",'Quantification_Results'!AM149)),"")))</x:f>
        <x:v>5</x:v>
      </x:c>
      <x:c r="AO149" t="n">
        <x:f>IF(ISNUMBER('Quantification_Results'!AN149),IFERROR(ROUND(((('Quantification_Results'!AN149-'Quantification_Config'!$S$15)/('Quantification_Config'!$T$15-'Quantification_Config'!$S$15))*100),'Quantification_Config'!$U$2),""),"")</x:f>
        <x:v>50</x:v>
      </x:c>
      <x:c r="AP149" t="inlineStr">
        <x:is>
          <x:t xml:space="preserve">SYSTEM-TEST-ONLY-NO-NETWORK-NOT-AN-EDUCATIONAL-EVALUATION</x:t>
        </x:is>
      </x:c>
      <x:c r="AQ149" t="inlineStr">
        <x:is>
          <x:t xml:space="preserve"/>
        </x:is>
      </x:c>
      <x:c r="AR149" t="inlineStr">
        <x:is>
          <x:t xml:space="preserve">NONE</x:t>
        </x:is>
      </x:c>
      <x:c r="AS149" t="inlineStr">
        <x:is>
          <x:t xml:space="preserve"/>
        </x:is>
      </x:c>
      <x:c r="AT149" t="inlineStr">
        <x:is>
          <x:t xml:space="preserve">SUCCESS</x:t>
        </x:is>
      </x:c>
      <x:c r="AU149" t="n">
        <x:f>IF((COUNT('Quantification_Results'!AO149)=1),IFERROR(ROUND((SUM(('Quantification_Results'!AO149*'Quantification_Config'!$R$15))/SUM('Quantification_Config'!$R$15)),'Quantification_Config'!$U$2),""),"")</x:f>
        <x:v>50</x:v>
      </x:c>
      <x:c r="AV149" t="n">
        <x:f>IF((COUNT('Quantification_Results'!AU149)=1),IFERROR(ROUND((SUM(('Quantification_Results'!AU149*'Quantification_Config'!$R$14))/SUM('Quantification_Config'!$R$14)),'Quantification_Config'!$U$2),""),"")</x:f>
        <x:v>50</x:v>
      </x:c>
      <x:c r="AW149" t="n">
        <x:v>1</x:v>
      </x:c>
      <x:c r="AX149" t="n">
        <x:v>5</x:v>
      </x:c>
      <x:c r="AY149"/>
      <x:c r="AZ149" t="n">
        <x:f>IF(('Quantification_Results'!AW149&lt;&gt;1),"",IF(('Quantification_Results'!AY149=""),IF(ISNUMBER('Quantification_Results'!AX149),IF(('Quantification_Results'!AX149&lt;'Quantification_Config'!$S$19),"",IF(('Quantification_Results'!AX149&gt;'Quantification_Config'!$T$19),"",'Quantification_Results'!AX149)),""),IF(ISNUMBER('Quantification_Results'!AY149),IF(('Quantification_Results'!AY149&lt;'Quantification_Config'!$S$19),"",IF(('Quantification_Results'!AY149&gt;'Quantification_Config'!$T$19),"",'Quantification_Results'!AY149)),"")))</x:f>
        <x:v>5</x:v>
      </x:c>
      <x:c r="BA149" t="n">
        <x:f>IF(ISNUMBER('Quantification_Results'!AZ149),IFERROR(ROUND(((('Quantification_Results'!AZ149-'Quantification_Config'!$S$19)/('Quantification_Config'!$T$19-'Quantification_Config'!$S$19))*100),'Quantification_Config'!$U$2),""),"")</x:f>
        <x:v>50</x:v>
      </x:c>
      <x:c r="BB149" t="inlineStr">
        <x:is>
          <x:t xml:space="preserve">SYSTEM-TEST-ONLY-NO-NETWORK-NOT-AN-EDUCATIONAL-EVALUATION</x:t>
        </x:is>
      </x:c>
      <x:c r="BC149" t="inlineStr">
        <x:is>
          <x:t xml:space="preserve"/>
        </x:is>
      </x:c>
      <x:c r="BD149" t="inlineStr">
        <x:is>
          <x:t xml:space="preserve">NONE</x:t>
        </x:is>
      </x:c>
      <x:c r="BE149" t="inlineStr">
        <x:is>
          <x:t xml:space="preserve"/>
        </x:is>
      </x:c>
      <x:c r="BF149" t="inlineStr">
        <x:is>
          <x:t xml:space="preserve">SUCCESS</x:t>
        </x:is>
      </x:c>
      <x:c r="BG149" t="n">
        <x:f>IF((COUNT('Quantification_Results'!BA149)=1),IFERROR(ROUND((SUM(('Quantification_Results'!BA149*'Quantification_Config'!$R$19))/SUM('Quantification_Config'!$R$19)),'Quantification_Config'!$U$2),""),"")</x:f>
        <x:v>50</x:v>
      </x:c>
      <x:c r="BH149" t="n">
        <x:f>IF((COUNT('Quantification_Results'!BG149)=1),IFERROR(ROUND((SUM(('Quantification_Results'!BG149*'Quantification_Config'!$R$18))/SUM('Quantification_Config'!$R$18)),'Quantification_Config'!$U$2),""),"")</x:f>
        <x:v>50</x:v>
      </x:c>
      <x:c r="BI149">
        <x:f>IF((COUNT('Quantification_Results'!L149,'Quantification_Results'!X149,'Quantification_Results'!AJ149,'Quantification_Results'!AV149,'Quantification_Results'!BH149)=5),IFERROR(ROUND((SUM(('Quantification_Results'!L149*'Quantification_Config'!$R$4),('Quantification_Results'!X149*'Quantification_Config'!$R$7),('Quantification_Results'!AJ149*'Quantification_Config'!$R$10),('Quantification_Results'!AV149*'Quantification_Config'!$R$13),('Quantification_Results'!BH149*'Quantification_Config'!$R$16))/SUM('Quantification_Config'!$R$4,'Quantification_Config'!$R$7,'Quantification_Config'!$R$10,'Quantification_Config'!$R$13,'Quantification_Config'!$R$16)),'Quantification_Config'!$U$2),""),"")</x:f>
      </x:c>
    </x:row>
    <x:row r="150">
      <x:c r="A150" t="n">
        <x:v>1</x:v>
      </x:c>
      <x:c r="B150" t="n">
        <x:v>5</x:v>
      </x:c>
      <x:c r="C150"/>
      <x:c r="D150" t="n">
        <x:f>IF(('Quantification_Results'!A150&lt;&gt;1),"",IF(('Quantification_Results'!C150=""),IF(ISNUMBER('Quantification_Results'!B150),IF(('Quantification_Results'!B150&lt;'Quantification_Config'!$S$6),"",IF(('Quantification_Results'!B150&gt;'Quantification_Config'!$T$6),"",'Quantification_Results'!B150)),""),IF(ISNUMBER('Quantification_Results'!C150),IF(('Quantification_Results'!C150&lt;'Quantification_Config'!$S$6),"",IF(('Quantification_Results'!C150&gt;'Quantification_Config'!$T$6),"",'Quantification_Results'!C150)),"")))</x:f>
        <x:v>5</x:v>
      </x:c>
      <x:c r="E150" t="n">
        <x:f>IF(ISNUMBER('Quantification_Results'!D150),IFERROR(ROUND(((('Quantification_Results'!D150-'Quantification_Config'!$S$6)/('Quantification_Config'!$T$6-'Quantification_Config'!$S$6))*100),'Quantification_Config'!$U$2),""),"")</x:f>
        <x:v>50</x:v>
      </x:c>
      <x:c r="F150" t="inlineStr">
        <x:is>
          <x:t xml:space="preserve">SYSTEM-TEST-ONLY-NO-NETWORK-NOT-AN-EDUCATIONAL-EVALUATION</x:t>
        </x:is>
      </x:c>
      <x:c r="G150" t="inlineStr">
        <x:is>
          <x:t xml:space="preserve"/>
        </x:is>
      </x:c>
      <x:c r="H150" t="inlineStr">
        <x:is>
          <x:t xml:space="preserve">NONE</x:t>
        </x:is>
      </x:c>
      <x:c r="I150" t="inlineStr">
        <x:is>
          <x:t xml:space="preserve"/>
        </x:is>
      </x:c>
      <x:c r="J150" t="inlineStr">
        <x:is>
          <x:t xml:space="preserve">SUCCESS</x:t>
        </x:is>
      </x:c>
      <x:c r="K150" t="n">
        <x:f>IF((COUNT('Quantification_Results'!E150)=1),IFERROR(ROUND((SUM(('Quantification_Results'!E150*'Quantification_Config'!$R$6))/SUM('Quantification_Config'!$R$6)),'Quantification_Config'!$U$2),""),"")</x:f>
        <x:v>50</x:v>
      </x:c>
      <x:c r="L150" t="n">
        <x:f>IF((COUNT('Quantification_Results'!K150)=1),IFERROR(ROUND((SUM(('Quantification_Results'!K150*'Quantification_Config'!$R$5))/SUM('Quantification_Config'!$R$5)),'Quantification_Config'!$U$2),""),"")</x:f>
        <x:v>50</x:v>
      </x:c>
      <x:c r="M150" t="n">
        <x:v>1</x:v>
      </x:c>
      <x:c r="N150" t="n">
        <x:v>5</x:v>
      </x:c>
      <x:c r="O150"/>
      <x:c r="P150" t="n">
        <x:f>IF(('Quantification_Results'!M150&lt;&gt;1),"",IF(('Quantification_Results'!O150=""),IF(ISNUMBER('Quantification_Results'!N150),IF(('Quantification_Results'!N150&lt;'Quantification_Config'!$S$9),"",IF(('Quantification_Results'!N150&gt;'Quantification_Config'!$T$9),"",'Quantification_Results'!N150)),""),IF(ISNUMBER('Quantification_Results'!O150),IF(('Quantification_Results'!O150&lt;'Quantification_Config'!$S$9),"",IF(('Quantification_Results'!O150&gt;'Quantification_Config'!$T$9),"",'Quantification_Results'!O150)),"")))</x:f>
        <x:v>5</x:v>
      </x:c>
      <x:c r="Q150" t="n">
        <x:f>IF(ISNUMBER('Quantification_Results'!P150),IFERROR(ROUND(((('Quantification_Results'!P150-'Quantification_Config'!$S$9)/('Quantification_Config'!$T$9-'Quantification_Config'!$S$9))*100),'Quantification_Config'!$U$2),""),"")</x:f>
        <x:v>50</x:v>
      </x:c>
      <x:c r="R150" t="inlineStr">
        <x:is>
          <x:t xml:space="preserve">SYSTEM-TEST-ONLY-NO-NETWORK-NOT-AN-EDUCATIONAL-EVALUATION</x:t>
        </x:is>
      </x:c>
      <x:c r="S150" t="inlineStr">
        <x:is>
          <x:t xml:space="preserve"/>
        </x:is>
      </x:c>
      <x:c r="T150" t="inlineStr">
        <x:is>
          <x:t xml:space="preserve">NONE</x:t>
        </x:is>
      </x:c>
      <x:c r="U150" t="inlineStr">
        <x:is>
          <x:t xml:space="preserve"/>
        </x:is>
      </x:c>
      <x:c r="V150" t="inlineStr">
        <x:is>
          <x:t xml:space="preserve">SUCCESS</x:t>
        </x:is>
      </x:c>
      <x:c r="W150" t="n">
        <x:f>IF((COUNT('Quantification_Results'!Q150)=1),IFERROR(ROUND((SUM(('Quantification_Results'!Q150*'Quantification_Config'!$R$9))/SUM('Quantification_Config'!$R$9)),'Quantification_Config'!$U$2),""),"")</x:f>
        <x:v>50</x:v>
      </x:c>
      <x:c r="X150" t="n">
        <x:f>IF((COUNT('Quantification_Results'!W150)=1),IFERROR(ROUND((SUM(('Quantification_Results'!W150*'Quantification_Config'!$R$8))/SUM('Quantification_Config'!$R$8)),'Quantification_Config'!$U$2),""),"")</x:f>
        <x:v>50</x:v>
      </x:c>
      <x:c r="Y150" t="n">
        <x:v>0</x:v>
      </x:c>
      <x:c r="Z150"/>
      <x:c r="AA150"/>
      <x:c r="AB150">
        <x:f>IF(('Quantification_Results'!Y150&lt;&gt;1),"",IF(('Quantification_Results'!AA150=""),IF(ISNUMBER('Quantification_Results'!Z150),IF(('Quantification_Results'!Z150&lt;'Quantification_Config'!$S$12),"",IF(('Quantification_Results'!Z150&gt;'Quantification_Config'!$T$12),"",'Quantification_Results'!Z150)),""),IF(ISNUMBER('Quantification_Results'!AA150),IF(('Quantification_Results'!AA150&lt;'Quantification_Config'!$S$12),"",IF(('Quantification_Results'!AA150&gt;'Quantification_Config'!$T$12),"",'Quantification_Results'!AA150)),"")))</x:f>
      </x:c>
      <x:c r="AC150">
        <x:f>IF(ISNUMBER('Quantification_Results'!AB150),IFERROR(ROUND(((('Quantification_Results'!AB150-'Quantification_Config'!$S$12)/('Quantification_Config'!$T$12-'Quantification_Config'!$S$12))*100),'Quantification_Config'!$U$2),""),"")</x:f>
      </x:c>
      <x:c r="AD150" t="inlineStr">
        <x:is>
          <x:t xml:space="preserve"/>
        </x:is>
      </x:c>
      <x:c r="AE150" t="inlineStr">
        <x:is>
          <x:t xml:space="preserve"/>
        </x:is>
      </x:c>
      <x:c r="AF150" t="inlineStr">
        <x:is>
          <x:t xml:space="preserve"/>
        </x:is>
      </x:c>
      <x:c r="AG150" t="inlineStr">
        <x:is>
          <x:t xml:space="preserve"/>
        </x:is>
      </x:c>
      <x:c r="AH150" t="inlineStr">
        <x:is>
          <x:t xml:space="preserve">EMPTY</x:t>
        </x:is>
      </x:c>
      <x:c r="AI150">
        <x:f>IF((COUNT('Quantification_Results'!AC150)=1),IFERROR(ROUND((SUM(('Quantification_Results'!AC150*'Quantification_Config'!$R$12))/SUM('Quantification_Config'!$R$12)),'Quantification_Config'!$U$2),""),"")</x:f>
      </x:c>
      <x:c r="AJ150">
        <x:f>IF((COUNT('Quantification_Results'!AI150)=1),IFERROR(ROUND((SUM(('Quantification_Results'!AI150*'Quantification_Config'!$R$11))/SUM('Quantification_Config'!$R$11)),'Quantification_Config'!$U$2),""),"")</x:f>
      </x:c>
      <x:c r="AK150" t="n">
        <x:v>1</x:v>
      </x:c>
      <x:c r="AL150" t="n">
        <x:v>5</x:v>
      </x:c>
      <x:c r="AM150"/>
      <x:c r="AN150" t="n">
        <x:f>IF(('Quantification_Results'!AK150&lt;&gt;1),"",IF(('Quantification_Results'!AM150=""),IF(ISNUMBER('Quantification_Results'!AL150),IF(('Quantification_Results'!AL150&lt;'Quantification_Config'!$S$15),"",IF(('Quantification_Results'!AL150&gt;'Quantification_Config'!$T$15),"",'Quantification_Results'!AL150)),""),IF(ISNUMBER('Quantification_Results'!AM150),IF(('Quantification_Results'!AM150&lt;'Quantification_Config'!$S$15),"",IF(('Quantification_Results'!AM150&gt;'Quantification_Config'!$T$15),"",'Quantification_Results'!AM150)),"")))</x:f>
        <x:v>5</x:v>
      </x:c>
      <x:c r="AO150" t="n">
        <x:f>IF(ISNUMBER('Quantification_Results'!AN150),IFERROR(ROUND(((('Quantification_Results'!AN150-'Quantification_Config'!$S$15)/('Quantification_Config'!$T$15-'Quantification_Config'!$S$15))*100),'Quantification_Config'!$U$2),""),"")</x:f>
        <x:v>50</x:v>
      </x:c>
      <x:c r="AP150" t="inlineStr">
        <x:is>
          <x:t xml:space="preserve">SYSTEM-TEST-ONLY-NO-NETWORK-NOT-AN-EDUCATIONAL-EVALUATION</x:t>
        </x:is>
      </x:c>
      <x:c r="AQ150" t="inlineStr">
        <x:is>
          <x:t xml:space="preserve"/>
        </x:is>
      </x:c>
      <x:c r="AR150" t="inlineStr">
        <x:is>
          <x:t xml:space="preserve">NONE</x:t>
        </x:is>
      </x:c>
      <x:c r="AS150" t="inlineStr">
        <x:is>
          <x:t xml:space="preserve"/>
        </x:is>
      </x:c>
      <x:c r="AT150" t="inlineStr">
        <x:is>
          <x:t xml:space="preserve">SUCCESS</x:t>
        </x:is>
      </x:c>
      <x:c r="AU150" t="n">
        <x:f>IF((COUNT('Quantification_Results'!AO150)=1),IFERROR(ROUND((SUM(('Quantification_Results'!AO150*'Quantification_Config'!$R$15))/SUM('Quantification_Config'!$R$15)),'Quantification_Config'!$U$2),""),"")</x:f>
        <x:v>50</x:v>
      </x:c>
      <x:c r="AV150" t="n">
        <x:f>IF((COUNT('Quantification_Results'!AU150)=1),IFERROR(ROUND((SUM(('Quantification_Results'!AU150*'Quantification_Config'!$R$14))/SUM('Quantification_Config'!$R$14)),'Quantification_Config'!$U$2),""),"")</x:f>
        <x:v>50</x:v>
      </x:c>
      <x:c r="AW150" t="n">
        <x:v>1</x:v>
      </x:c>
      <x:c r="AX150" t="n">
        <x:v>5</x:v>
      </x:c>
      <x:c r="AY150"/>
      <x:c r="AZ150" t="n">
        <x:f>IF(('Quantification_Results'!AW150&lt;&gt;1),"",IF(('Quantification_Results'!AY150=""),IF(ISNUMBER('Quantification_Results'!AX150),IF(('Quantification_Results'!AX150&lt;'Quantification_Config'!$S$19),"",IF(('Quantification_Results'!AX150&gt;'Quantification_Config'!$T$19),"",'Quantification_Results'!AX150)),""),IF(ISNUMBER('Quantification_Results'!AY150),IF(('Quantification_Results'!AY150&lt;'Quantification_Config'!$S$19),"",IF(('Quantification_Results'!AY150&gt;'Quantification_Config'!$T$19),"",'Quantification_Results'!AY150)),"")))</x:f>
        <x:v>5</x:v>
      </x:c>
      <x:c r="BA150" t="n">
        <x:f>IF(ISNUMBER('Quantification_Results'!AZ150),IFERROR(ROUND(((('Quantification_Results'!AZ150-'Quantification_Config'!$S$19)/('Quantification_Config'!$T$19-'Quantification_Config'!$S$19))*100),'Quantification_Config'!$U$2),""),"")</x:f>
        <x:v>50</x:v>
      </x:c>
      <x:c r="BB150" t="inlineStr">
        <x:is>
          <x:t xml:space="preserve">SYSTEM-TEST-ONLY-NO-NETWORK-NOT-AN-EDUCATIONAL-EVALUATION</x:t>
        </x:is>
      </x:c>
      <x:c r="BC150" t="inlineStr">
        <x:is>
          <x:t xml:space="preserve"/>
        </x:is>
      </x:c>
      <x:c r="BD150" t="inlineStr">
        <x:is>
          <x:t xml:space="preserve">NONE</x:t>
        </x:is>
      </x:c>
      <x:c r="BE150" t="inlineStr">
        <x:is>
          <x:t xml:space="preserve"/>
        </x:is>
      </x:c>
      <x:c r="BF150" t="inlineStr">
        <x:is>
          <x:t xml:space="preserve">SUCCESS</x:t>
        </x:is>
      </x:c>
      <x:c r="BG150" t="n">
        <x:f>IF((COUNT('Quantification_Results'!BA150)=1),IFERROR(ROUND((SUM(('Quantification_Results'!BA150*'Quantification_Config'!$R$19))/SUM('Quantification_Config'!$R$19)),'Quantification_Config'!$U$2),""),"")</x:f>
        <x:v>50</x:v>
      </x:c>
      <x:c r="BH150" t="n">
        <x:f>IF((COUNT('Quantification_Results'!BG150)=1),IFERROR(ROUND((SUM(('Quantification_Results'!BG150*'Quantification_Config'!$R$18))/SUM('Quantification_Config'!$R$18)),'Quantification_Config'!$U$2),""),"")</x:f>
        <x:v>50</x:v>
      </x:c>
      <x:c r="BI150">
        <x:f>IF((COUNT('Quantification_Results'!L150,'Quantification_Results'!X150,'Quantification_Results'!AJ150,'Quantification_Results'!AV150,'Quantification_Results'!BH150)=5),IFERROR(ROUND((SUM(('Quantification_Results'!L150*'Quantification_Config'!$R$4),('Quantification_Results'!X150*'Quantification_Config'!$R$7),('Quantification_Results'!AJ150*'Quantification_Config'!$R$10),('Quantification_Results'!AV150*'Quantification_Config'!$R$13),('Quantification_Results'!BH150*'Quantification_Config'!$R$16))/SUM('Quantification_Config'!$R$4,'Quantification_Config'!$R$7,'Quantification_Config'!$R$10,'Quantification_Config'!$R$13,'Quantification_Config'!$R$16)),'Quantification_Config'!$U$2),""),"")</x:f>
      </x:c>
    </x:row>
    <x:row r="151">
      <x:c r="A151" t="n">
        <x:v>1</x:v>
      </x:c>
      <x:c r="B151" t="n">
        <x:v>5</x:v>
      </x:c>
      <x:c r="C151"/>
      <x:c r="D151" t="n">
        <x:f>IF(('Quantification_Results'!A151&lt;&gt;1),"",IF(('Quantification_Results'!C151=""),IF(ISNUMBER('Quantification_Results'!B151),IF(('Quantification_Results'!B151&lt;'Quantification_Config'!$S$6),"",IF(('Quantification_Results'!B151&gt;'Quantification_Config'!$T$6),"",'Quantification_Results'!B151)),""),IF(ISNUMBER('Quantification_Results'!C151),IF(('Quantification_Results'!C151&lt;'Quantification_Config'!$S$6),"",IF(('Quantification_Results'!C151&gt;'Quantification_Config'!$T$6),"",'Quantification_Results'!C151)),"")))</x:f>
        <x:v>5</x:v>
      </x:c>
      <x:c r="E151" t="n">
        <x:f>IF(ISNUMBER('Quantification_Results'!D151),IFERROR(ROUND(((('Quantification_Results'!D151-'Quantification_Config'!$S$6)/('Quantification_Config'!$T$6-'Quantification_Config'!$S$6))*100),'Quantification_Config'!$U$2),""),"")</x:f>
        <x:v>50</x:v>
      </x:c>
      <x:c r="F151" t="inlineStr">
        <x:is>
          <x:t xml:space="preserve">SYSTEM-TEST-ONLY-NO-NETWORK-NOT-AN-EDUCATIONAL-EVALUATION</x:t>
        </x:is>
      </x:c>
      <x:c r="G151" t="inlineStr">
        <x:is>
          <x:t xml:space="preserve"/>
        </x:is>
      </x:c>
      <x:c r="H151" t="inlineStr">
        <x:is>
          <x:t xml:space="preserve">NONE</x:t>
        </x:is>
      </x:c>
      <x:c r="I151" t="inlineStr">
        <x:is>
          <x:t xml:space="preserve"/>
        </x:is>
      </x:c>
      <x:c r="J151" t="inlineStr">
        <x:is>
          <x:t xml:space="preserve">SUCCESS</x:t>
        </x:is>
      </x:c>
      <x:c r="K151" t="n">
        <x:f>IF((COUNT('Quantification_Results'!E151)=1),IFERROR(ROUND((SUM(('Quantification_Results'!E151*'Quantification_Config'!$R$6))/SUM('Quantification_Config'!$R$6)),'Quantification_Config'!$U$2),""),"")</x:f>
        <x:v>50</x:v>
      </x:c>
      <x:c r="L151" t="n">
        <x:f>IF((COUNT('Quantification_Results'!K151)=1),IFERROR(ROUND((SUM(('Quantification_Results'!K151*'Quantification_Config'!$R$5))/SUM('Quantification_Config'!$R$5)),'Quantification_Config'!$U$2),""),"")</x:f>
        <x:v>50</x:v>
      </x:c>
      <x:c r="M151" t="n">
        <x:v>1</x:v>
      </x:c>
      <x:c r="N151" t="n">
        <x:v>5</x:v>
      </x:c>
      <x:c r="O151"/>
      <x:c r="P151" t="n">
        <x:f>IF(('Quantification_Results'!M151&lt;&gt;1),"",IF(('Quantification_Results'!O151=""),IF(ISNUMBER('Quantification_Results'!N151),IF(('Quantification_Results'!N151&lt;'Quantification_Config'!$S$9),"",IF(('Quantification_Results'!N151&gt;'Quantification_Config'!$T$9),"",'Quantification_Results'!N151)),""),IF(ISNUMBER('Quantification_Results'!O151),IF(('Quantification_Results'!O151&lt;'Quantification_Config'!$S$9),"",IF(('Quantification_Results'!O151&gt;'Quantification_Config'!$T$9),"",'Quantification_Results'!O151)),"")))</x:f>
        <x:v>5</x:v>
      </x:c>
      <x:c r="Q151" t="n">
        <x:f>IF(ISNUMBER('Quantification_Results'!P151),IFERROR(ROUND(((('Quantification_Results'!P151-'Quantification_Config'!$S$9)/('Quantification_Config'!$T$9-'Quantification_Config'!$S$9))*100),'Quantification_Config'!$U$2),""),"")</x:f>
        <x:v>50</x:v>
      </x:c>
      <x:c r="R151" t="inlineStr">
        <x:is>
          <x:t xml:space="preserve">SYSTEM-TEST-ONLY-NO-NETWORK-NOT-AN-EDUCATIONAL-EVALUATION</x:t>
        </x:is>
      </x:c>
      <x:c r="S151" t="inlineStr">
        <x:is>
          <x:t xml:space="preserve"/>
        </x:is>
      </x:c>
      <x:c r="T151" t="inlineStr">
        <x:is>
          <x:t xml:space="preserve">NONE</x:t>
        </x:is>
      </x:c>
      <x:c r="U151" t="inlineStr">
        <x:is>
          <x:t xml:space="preserve"/>
        </x:is>
      </x:c>
      <x:c r="V151" t="inlineStr">
        <x:is>
          <x:t xml:space="preserve">SUCCESS</x:t>
        </x:is>
      </x:c>
      <x:c r="W151" t="n">
        <x:f>IF((COUNT('Quantification_Results'!Q151)=1),IFERROR(ROUND((SUM(('Quantification_Results'!Q151*'Quantification_Config'!$R$9))/SUM('Quantification_Config'!$R$9)),'Quantification_Config'!$U$2),""),"")</x:f>
        <x:v>50</x:v>
      </x:c>
      <x:c r="X151" t="n">
        <x:f>IF((COUNT('Quantification_Results'!W151)=1),IFERROR(ROUND((SUM(('Quantification_Results'!W151*'Quantification_Config'!$R$8))/SUM('Quantification_Config'!$R$8)),'Quantification_Config'!$U$2),""),"")</x:f>
        <x:v>50</x:v>
      </x:c>
      <x:c r="Y151" t="n">
        <x:v>0</x:v>
      </x:c>
      <x:c r="Z151"/>
      <x:c r="AA151"/>
      <x:c r="AB151">
        <x:f>IF(('Quantification_Results'!Y151&lt;&gt;1),"",IF(('Quantification_Results'!AA151=""),IF(ISNUMBER('Quantification_Results'!Z151),IF(('Quantification_Results'!Z151&lt;'Quantification_Config'!$S$12),"",IF(('Quantification_Results'!Z151&gt;'Quantification_Config'!$T$12),"",'Quantification_Results'!Z151)),""),IF(ISNUMBER('Quantification_Results'!AA151),IF(('Quantification_Results'!AA151&lt;'Quantification_Config'!$S$12),"",IF(('Quantification_Results'!AA151&gt;'Quantification_Config'!$T$12),"",'Quantification_Results'!AA151)),"")))</x:f>
      </x:c>
      <x:c r="AC151">
        <x:f>IF(ISNUMBER('Quantification_Results'!AB151),IFERROR(ROUND(((('Quantification_Results'!AB151-'Quantification_Config'!$S$12)/('Quantification_Config'!$T$12-'Quantification_Config'!$S$12))*100),'Quantification_Config'!$U$2),""),"")</x:f>
      </x:c>
      <x:c r="AD151" t="inlineStr">
        <x:is>
          <x:t xml:space="preserve"/>
        </x:is>
      </x:c>
      <x:c r="AE151" t="inlineStr">
        <x:is>
          <x:t xml:space="preserve"/>
        </x:is>
      </x:c>
      <x:c r="AF151" t="inlineStr">
        <x:is>
          <x:t xml:space="preserve"/>
        </x:is>
      </x:c>
      <x:c r="AG151" t="inlineStr">
        <x:is>
          <x:t xml:space="preserve"/>
        </x:is>
      </x:c>
      <x:c r="AH151" t="inlineStr">
        <x:is>
          <x:t xml:space="preserve">EMPTY</x:t>
        </x:is>
      </x:c>
      <x:c r="AI151">
        <x:f>IF((COUNT('Quantification_Results'!AC151)=1),IFERROR(ROUND((SUM(('Quantification_Results'!AC151*'Quantification_Config'!$R$12))/SUM('Quantification_Config'!$R$12)),'Quantification_Config'!$U$2),""),"")</x:f>
      </x:c>
      <x:c r="AJ151">
        <x:f>IF((COUNT('Quantification_Results'!AI151)=1),IFERROR(ROUND((SUM(('Quantification_Results'!AI151*'Quantification_Config'!$R$11))/SUM('Quantification_Config'!$R$11)),'Quantification_Config'!$U$2),""),"")</x:f>
      </x:c>
      <x:c r="AK151" t="n">
        <x:v>1</x:v>
      </x:c>
      <x:c r="AL151" t="n">
        <x:v>5</x:v>
      </x:c>
      <x:c r="AM151"/>
      <x:c r="AN151" t="n">
        <x:f>IF(('Quantification_Results'!AK151&lt;&gt;1),"",IF(('Quantification_Results'!AM151=""),IF(ISNUMBER('Quantification_Results'!AL151),IF(('Quantification_Results'!AL151&lt;'Quantification_Config'!$S$15),"",IF(('Quantification_Results'!AL151&gt;'Quantification_Config'!$T$15),"",'Quantification_Results'!AL151)),""),IF(ISNUMBER('Quantification_Results'!AM151),IF(('Quantification_Results'!AM151&lt;'Quantification_Config'!$S$15),"",IF(('Quantification_Results'!AM151&gt;'Quantification_Config'!$T$15),"",'Quantification_Results'!AM151)),"")))</x:f>
        <x:v>5</x:v>
      </x:c>
      <x:c r="AO151" t="n">
        <x:f>IF(ISNUMBER('Quantification_Results'!AN151),IFERROR(ROUND(((('Quantification_Results'!AN151-'Quantification_Config'!$S$15)/('Quantification_Config'!$T$15-'Quantification_Config'!$S$15))*100),'Quantification_Config'!$U$2),""),"")</x:f>
        <x:v>50</x:v>
      </x:c>
      <x:c r="AP151" t="inlineStr">
        <x:is>
          <x:t xml:space="preserve">SYSTEM-TEST-ONLY-NO-NETWORK-NOT-AN-EDUCATIONAL-EVALUATION</x:t>
        </x:is>
      </x:c>
      <x:c r="AQ151" t="inlineStr">
        <x:is>
          <x:t xml:space="preserve"/>
        </x:is>
      </x:c>
      <x:c r="AR151" t="inlineStr">
        <x:is>
          <x:t xml:space="preserve">NONE</x:t>
        </x:is>
      </x:c>
      <x:c r="AS151" t="inlineStr">
        <x:is>
          <x:t xml:space="preserve"/>
        </x:is>
      </x:c>
      <x:c r="AT151" t="inlineStr">
        <x:is>
          <x:t xml:space="preserve">SUCCESS</x:t>
        </x:is>
      </x:c>
      <x:c r="AU151" t="n">
        <x:f>IF((COUNT('Quantification_Results'!AO151)=1),IFERROR(ROUND((SUM(('Quantification_Results'!AO151*'Quantification_Config'!$R$15))/SUM('Quantification_Config'!$R$15)),'Quantification_Config'!$U$2),""),"")</x:f>
        <x:v>50</x:v>
      </x:c>
      <x:c r="AV151" t="n">
        <x:f>IF((COUNT('Quantification_Results'!AU151)=1),IFERROR(ROUND((SUM(('Quantification_Results'!AU151*'Quantification_Config'!$R$14))/SUM('Quantification_Config'!$R$14)),'Quantification_Config'!$U$2),""),"")</x:f>
        <x:v>50</x:v>
      </x:c>
      <x:c r="AW151" t="n">
        <x:v>1</x:v>
      </x:c>
      <x:c r="AX151" t="n">
        <x:v>5</x:v>
      </x:c>
      <x:c r="AY151"/>
      <x:c r="AZ151" t="n">
        <x:f>IF(('Quantification_Results'!AW151&lt;&gt;1),"",IF(('Quantification_Results'!AY151=""),IF(ISNUMBER('Quantification_Results'!AX151),IF(('Quantification_Results'!AX151&lt;'Quantification_Config'!$S$19),"",IF(('Quantification_Results'!AX151&gt;'Quantification_Config'!$T$19),"",'Quantification_Results'!AX151)),""),IF(ISNUMBER('Quantification_Results'!AY151),IF(('Quantification_Results'!AY151&lt;'Quantification_Config'!$S$19),"",IF(('Quantification_Results'!AY151&gt;'Quantification_Config'!$T$19),"",'Quantification_Results'!AY151)),"")))</x:f>
        <x:v>5</x:v>
      </x:c>
      <x:c r="BA151" t="n">
        <x:f>IF(ISNUMBER('Quantification_Results'!AZ151),IFERROR(ROUND(((('Quantification_Results'!AZ151-'Quantification_Config'!$S$19)/('Quantification_Config'!$T$19-'Quantification_Config'!$S$19))*100),'Quantification_Config'!$U$2),""),"")</x:f>
        <x:v>50</x:v>
      </x:c>
      <x:c r="BB151" t="inlineStr">
        <x:is>
          <x:t xml:space="preserve">SYSTEM-TEST-ONLY-NO-NETWORK-NOT-AN-EDUCATIONAL-EVALUATION</x:t>
        </x:is>
      </x:c>
      <x:c r="BC151" t="inlineStr">
        <x:is>
          <x:t xml:space="preserve"/>
        </x:is>
      </x:c>
      <x:c r="BD151" t="inlineStr">
        <x:is>
          <x:t xml:space="preserve">NONE</x:t>
        </x:is>
      </x:c>
      <x:c r="BE151" t="inlineStr">
        <x:is>
          <x:t xml:space="preserve"/>
        </x:is>
      </x:c>
      <x:c r="BF151" t="inlineStr">
        <x:is>
          <x:t xml:space="preserve">SUCCESS</x:t>
        </x:is>
      </x:c>
      <x:c r="BG151" t="n">
        <x:f>IF((COUNT('Quantification_Results'!BA151)=1),IFERROR(ROUND((SUM(('Quantification_Results'!BA151*'Quantification_Config'!$R$19))/SUM('Quantification_Config'!$R$19)),'Quantification_Config'!$U$2),""),"")</x:f>
        <x:v>50</x:v>
      </x:c>
      <x:c r="BH151" t="n">
        <x:f>IF((COUNT('Quantification_Results'!BG151)=1),IFERROR(ROUND((SUM(('Quantification_Results'!BG151*'Quantification_Config'!$R$18))/SUM('Quantification_Config'!$R$18)),'Quantification_Config'!$U$2),""),"")</x:f>
        <x:v>50</x:v>
      </x:c>
      <x:c r="BI151">
        <x:f>IF((COUNT('Quantification_Results'!L151,'Quantification_Results'!X151,'Quantification_Results'!AJ151,'Quantification_Results'!AV151,'Quantification_Results'!BH151)=5),IFERROR(ROUND((SUM(('Quantification_Results'!L151*'Quantification_Config'!$R$4),('Quantification_Results'!X151*'Quantification_Config'!$R$7),('Quantification_Results'!AJ151*'Quantification_Config'!$R$10),('Quantification_Results'!AV151*'Quantification_Config'!$R$13),('Quantification_Results'!BH151*'Quantification_Config'!$R$16))/SUM('Quantification_Config'!$R$4,'Quantification_Config'!$R$7,'Quantification_Config'!$R$10,'Quantification_Config'!$R$13,'Quantification_Config'!$R$16)),'Quantification_Config'!$U$2),""),"")</x:f>
      </x:c>
    </x:row>
    <x:row r="152">
      <x:c r="A152" t="n">
        <x:v>1</x:v>
      </x:c>
      <x:c r="B152" t="n">
        <x:v>5</x:v>
      </x:c>
      <x:c r="C152"/>
      <x:c r="D152" t="n">
        <x:f>IF(('Quantification_Results'!A152&lt;&gt;1),"",IF(('Quantification_Results'!C152=""),IF(ISNUMBER('Quantification_Results'!B152),IF(('Quantification_Results'!B152&lt;'Quantification_Config'!$S$6),"",IF(('Quantification_Results'!B152&gt;'Quantification_Config'!$T$6),"",'Quantification_Results'!B152)),""),IF(ISNUMBER('Quantification_Results'!C152),IF(('Quantification_Results'!C152&lt;'Quantification_Config'!$S$6),"",IF(('Quantification_Results'!C152&gt;'Quantification_Config'!$T$6),"",'Quantification_Results'!C152)),"")))</x:f>
        <x:v>5</x:v>
      </x:c>
      <x:c r="E152" t="n">
        <x:f>IF(ISNUMBER('Quantification_Results'!D152),IFERROR(ROUND(((('Quantification_Results'!D152-'Quantification_Config'!$S$6)/('Quantification_Config'!$T$6-'Quantification_Config'!$S$6))*100),'Quantification_Config'!$U$2),""),"")</x:f>
        <x:v>50</x:v>
      </x:c>
      <x:c r="F152" t="inlineStr">
        <x:is>
          <x:t xml:space="preserve">SYSTEM-TEST-ONLY-NO-NETWORK-NOT-AN-EDUCATIONAL-EVALUATION</x:t>
        </x:is>
      </x:c>
      <x:c r="G152" t="inlineStr">
        <x:is>
          <x:t xml:space="preserve"/>
        </x:is>
      </x:c>
      <x:c r="H152" t="inlineStr">
        <x:is>
          <x:t xml:space="preserve">NONE</x:t>
        </x:is>
      </x:c>
      <x:c r="I152" t="inlineStr">
        <x:is>
          <x:t xml:space="preserve"/>
        </x:is>
      </x:c>
      <x:c r="J152" t="inlineStr">
        <x:is>
          <x:t xml:space="preserve">SUCCESS</x:t>
        </x:is>
      </x:c>
      <x:c r="K152" t="n">
        <x:f>IF((COUNT('Quantification_Results'!E152)=1),IFERROR(ROUND((SUM(('Quantification_Results'!E152*'Quantification_Config'!$R$6))/SUM('Quantification_Config'!$R$6)),'Quantification_Config'!$U$2),""),"")</x:f>
        <x:v>50</x:v>
      </x:c>
      <x:c r="L152" t="n">
        <x:f>IF((COUNT('Quantification_Results'!K152)=1),IFERROR(ROUND((SUM(('Quantification_Results'!K152*'Quantification_Config'!$R$5))/SUM('Quantification_Config'!$R$5)),'Quantification_Config'!$U$2),""),"")</x:f>
        <x:v>50</x:v>
      </x:c>
      <x:c r="M152" t="n">
        <x:v>1</x:v>
      </x:c>
      <x:c r="N152" t="n">
        <x:v>5</x:v>
      </x:c>
      <x:c r="O152"/>
      <x:c r="P152" t="n">
        <x:f>IF(('Quantification_Results'!M152&lt;&gt;1),"",IF(('Quantification_Results'!O152=""),IF(ISNUMBER('Quantification_Results'!N152),IF(('Quantification_Results'!N152&lt;'Quantification_Config'!$S$9),"",IF(('Quantification_Results'!N152&gt;'Quantification_Config'!$T$9),"",'Quantification_Results'!N152)),""),IF(ISNUMBER('Quantification_Results'!O152),IF(('Quantification_Results'!O152&lt;'Quantification_Config'!$S$9),"",IF(('Quantification_Results'!O152&gt;'Quantification_Config'!$T$9),"",'Quantification_Results'!O152)),"")))</x:f>
        <x:v>5</x:v>
      </x:c>
      <x:c r="Q152" t="n">
        <x:f>IF(ISNUMBER('Quantification_Results'!P152),IFERROR(ROUND(((('Quantification_Results'!P152-'Quantification_Config'!$S$9)/('Quantification_Config'!$T$9-'Quantification_Config'!$S$9))*100),'Quantification_Config'!$U$2),""),"")</x:f>
        <x:v>50</x:v>
      </x:c>
      <x:c r="R152" t="inlineStr">
        <x:is>
          <x:t xml:space="preserve">SYSTEM-TEST-ONLY-NO-NETWORK-NOT-AN-EDUCATIONAL-EVALUATION</x:t>
        </x:is>
      </x:c>
      <x:c r="S152" t="inlineStr">
        <x:is>
          <x:t xml:space="preserve"/>
        </x:is>
      </x:c>
      <x:c r="T152" t="inlineStr">
        <x:is>
          <x:t xml:space="preserve">NONE</x:t>
        </x:is>
      </x:c>
      <x:c r="U152" t="inlineStr">
        <x:is>
          <x:t xml:space="preserve"/>
        </x:is>
      </x:c>
      <x:c r="V152" t="inlineStr">
        <x:is>
          <x:t xml:space="preserve">SUCCESS</x:t>
        </x:is>
      </x:c>
      <x:c r="W152" t="n">
        <x:f>IF((COUNT('Quantification_Results'!Q152)=1),IFERROR(ROUND((SUM(('Quantification_Results'!Q152*'Quantification_Config'!$R$9))/SUM('Quantification_Config'!$R$9)),'Quantification_Config'!$U$2),""),"")</x:f>
        <x:v>50</x:v>
      </x:c>
      <x:c r="X152" t="n">
        <x:f>IF((COUNT('Quantification_Results'!W152)=1),IFERROR(ROUND((SUM(('Quantification_Results'!W152*'Quantification_Config'!$R$8))/SUM('Quantification_Config'!$R$8)),'Quantification_Config'!$U$2),""),"")</x:f>
        <x:v>50</x:v>
      </x:c>
      <x:c r="Y152" t="n">
        <x:v>1</x:v>
      </x:c>
      <x:c r="Z152" t="n">
        <x:v>5</x:v>
      </x:c>
      <x:c r="AA152"/>
      <x:c r="AB152" t="n">
        <x:f>IF(('Quantification_Results'!Y152&lt;&gt;1),"",IF(('Quantification_Results'!AA152=""),IF(ISNUMBER('Quantification_Results'!Z152),IF(('Quantification_Results'!Z152&lt;'Quantification_Config'!$S$12),"",IF(('Quantification_Results'!Z152&gt;'Quantification_Config'!$T$12),"",'Quantification_Results'!Z152)),""),IF(ISNUMBER('Quantification_Results'!AA152),IF(('Quantification_Results'!AA152&lt;'Quantification_Config'!$S$12),"",IF(('Quantification_Results'!AA152&gt;'Quantification_Config'!$T$12),"",'Quantification_Results'!AA152)),"")))</x:f>
        <x:v>5</x:v>
      </x:c>
      <x:c r="AC152" t="n">
        <x:f>IF(ISNUMBER('Quantification_Results'!AB152),IFERROR(ROUND(((('Quantification_Results'!AB152-'Quantification_Config'!$S$12)/('Quantification_Config'!$T$12-'Quantification_Config'!$S$12))*100),'Quantification_Config'!$U$2),""),"")</x:f>
        <x:v>50</x:v>
      </x:c>
      <x:c r="AD152" t="inlineStr">
        <x:is>
          <x:t xml:space="preserve">SYSTEM-TEST-ONLY-NO-NETWORK-NOT-AN-EDUCATIONAL-EVALUATION</x:t>
        </x:is>
      </x:c>
      <x:c r="AE152" t="inlineStr">
        <x:is>
          <x:t xml:space="preserve"/>
        </x:is>
      </x:c>
      <x:c r="AF152" t="inlineStr">
        <x:is>
          <x:t xml:space="preserve">NONE</x:t>
        </x:is>
      </x:c>
      <x:c r="AG152" t="inlineStr">
        <x:is>
          <x:t xml:space="preserve"/>
        </x:is>
      </x:c>
      <x:c r="AH152" t="inlineStr">
        <x:is>
          <x:t xml:space="preserve">SUCCESS</x:t>
        </x:is>
      </x:c>
      <x:c r="AI152" t="n">
        <x:f>IF((COUNT('Quantification_Results'!AC152)=1),IFERROR(ROUND((SUM(('Quantification_Results'!AC152*'Quantification_Config'!$R$12))/SUM('Quantification_Config'!$R$12)),'Quantification_Config'!$U$2),""),"")</x:f>
        <x:v>50</x:v>
      </x:c>
      <x:c r="AJ152" t="n">
        <x:f>IF((COUNT('Quantification_Results'!AI152)=1),IFERROR(ROUND((SUM(('Quantification_Results'!AI152*'Quantification_Config'!$R$11))/SUM('Quantification_Config'!$R$11)),'Quantification_Config'!$U$2),""),"")</x:f>
        <x:v>50</x:v>
      </x:c>
      <x:c r="AK152" t="n">
        <x:v>1</x:v>
      </x:c>
      <x:c r="AL152" t="n">
        <x:v>5</x:v>
      </x:c>
      <x:c r="AM152"/>
      <x:c r="AN152" t="n">
        <x:f>IF(('Quantification_Results'!AK152&lt;&gt;1),"",IF(('Quantification_Results'!AM152=""),IF(ISNUMBER('Quantification_Results'!AL152),IF(('Quantification_Results'!AL152&lt;'Quantification_Config'!$S$15),"",IF(('Quantification_Results'!AL152&gt;'Quantification_Config'!$T$15),"",'Quantification_Results'!AL152)),""),IF(ISNUMBER('Quantification_Results'!AM152),IF(('Quantification_Results'!AM152&lt;'Quantification_Config'!$S$15),"",IF(('Quantification_Results'!AM152&gt;'Quantification_Config'!$T$15),"",'Quantification_Results'!AM152)),"")))</x:f>
        <x:v>5</x:v>
      </x:c>
      <x:c r="AO152" t="n">
        <x:f>IF(ISNUMBER('Quantification_Results'!AN152),IFERROR(ROUND(((('Quantification_Results'!AN152-'Quantification_Config'!$S$15)/('Quantification_Config'!$T$15-'Quantification_Config'!$S$15))*100),'Quantification_Config'!$U$2),""),"")</x:f>
        <x:v>50</x:v>
      </x:c>
      <x:c r="AP152" t="inlineStr">
        <x:is>
          <x:t xml:space="preserve">SYSTEM-TEST-ONLY-NO-NETWORK-NOT-AN-EDUCATIONAL-EVALUATION</x:t>
        </x:is>
      </x:c>
      <x:c r="AQ152" t="inlineStr">
        <x:is>
          <x:t xml:space="preserve"/>
        </x:is>
      </x:c>
      <x:c r="AR152" t="inlineStr">
        <x:is>
          <x:t xml:space="preserve">NONE</x:t>
        </x:is>
      </x:c>
      <x:c r="AS152" t="inlineStr">
        <x:is>
          <x:t xml:space="preserve"/>
        </x:is>
      </x:c>
      <x:c r="AT152" t="inlineStr">
        <x:is>
          <x:t xml:space="preserve">SUCCESS</x:t>
        </x:is>
      </x:c>
      <x:c r="AU152" t="n">
        <x:f>IF((COUNT('Quantification_Results'!AO152)=1),IFERROR(ROUND((SUM(('Quantification_Results'!AO152*'Quantification_Config'!$R$15))/SUM('Quantification_Config'!$R$15)),'Quantification_Config'!$U$2),""),"")</x:f>
        <x:v>50</x:v>
      </x:c>
      <x:c r="AV152" t="n">
        <x:f>IF((COUNT('Quantification_Results'!AU152)=1),IFERROR(ROUND((SUM(('Quantification_Results'!AU152*'Quantification_Config'!$R$14))/SUM('Quantification_Config'!$R$14)),'Quantification_Config'!$U$2),""),"")</x:f>
        <x:v>50</x:v>
      </x:c>
      <x:c r="AW152" t="n">
        <x:v>1</x:v>
      </x:c>
      <x:c r="AX152" t="n">
        <x:v>5</x:v>
      </x:c>
      <x:c r="AY152"/>
      <x:c r="AZ152" t="n">
        <x:f>IF(('Quantification_Results'!AW152&lt;&gt;1),"",IF(('Quantification_Results'!AY152=""),IF(ISNUMBER('Quantification_Results'!AX152),IF(('Quantification_Results'!AX152&lt;'Quantification_Config'!$S$19),"",IF(('Quantification_Results'!AX152&gt;'Quantification_Config'!$T$19),"",'Quantification_Results'!AX152)),""),IF(ISNUMBER('Quantification_Results'!AY152),IF(('Quantification_Results'!AY152&lt;'Quantification_Config'!$S$19),"",IF(('Quantification_Results'!AY152&gt;'Quantification_Config'!$T$19),"",'Quantification_Results'!AY152)),"")))</x:f>
        <x:v>5</x:v>
      </x:c>
      <x:c r="BA152" t="n">
        <x:f>IF(ISNUMBER('Quantification_Results'!AZ152),IFERROR(ROUND(((('Quantification_Results'!AZ152-'Quantification_Config'!$S$19)/('Quantification_Config'!$T$19-'Quantification_Config'!$S$19))*100),'Quantification_Config'!$U$2),""),"")</x:f>
        <x:v>50</x:v>
      </x:c>
      <x:c r="BB152" t="inlineStr">
        <x:is>
          <x:t xml:space="preserve">SYSTEM-TEST-ONLY-NO-NETWORK-NOT-AN-EDUCATIONAL-EVALUATION</x:t>
        </x:is>
      </x:c>
      <x:c r="BC152" t="inlineStr">
        <x:is>
          <x:t xml:space="preserve"/>
        </x:is>
      </x:c>
      <x:c r="BD152" t="inlineStr">
        <x:is>
          <x:t xml:space="preserve">NONE</x:t>
        </x:is>
      </x:c>
      <x:c r="BE152" t="inlineStr">
        <x:is>
          <x:t xml:space="preserve"/>
        </x:is>
      </x:c>
      <x:c r="BF152" t="inlineStr">
        <x:is>
          <x:t xml:space="preserve">SUCCESS</x:t>
        </x:is>
      </x:c>
      <x:c r="BG152" t="n">
        <x:f>IF((COUNT('Quantification_Results'!BA152)=1),IFERROR(ROUND((SUM(('Quantification_Results'!BA152*'Quantification_Config'!$R$19))/SUM('Quantification_Config'!$R$19)),'Quantification_Config'!$U$2),""),"")</x:f>
        <x:v>50</x:v>
      </x:c>
      <x:c r="BH152" t="n">
        <x:f>IF((COUNT('Quantification_Results'!BG152)=1),IFERROR(ROUND((SUM(('Quantification_Results'!BG152*'Quantification_Config'!$R$18))/SUM('Quantification_Config'!$R$18)),'Quantification_Config'!$U$2),""),"")</x:f>
        <x:v>50</x:v>
      </x:c>
      <x:c r="BI152" t="n">
        <x:f>IF((COUNT('Quantification_Results'!L152,'Quantification_Results'!X152,'Quantification_Results'!AJ152,'Quantification_Results'!AV152,'Quantification_Results'!BH152)=5),IFERROR(ROUND((SUM(('Quantification_Results'!L152*'Quantification_Config'!$R$4),('Quantification_Results'!X152*'Quantification_Config'!$R$7),('Quantification_Results'!AJ152*'Quantification_Config'!$R$10),('Quantification_Results'!AV152*'Quantification_Config'!$R$13),('Quantification_Results'!BH152*'Quantification_Config'!$R$16))/SUM('Quantification_Config'!$R$4,'Quantification_Config'!$R$7,'Quantification_Config'!$R$10,'Quantification_Config'!$R$13,'Quantification_Config'!$R$16)),'Quantification_Config'!$U$2),""),"")</x:f>
        <x:v>50</x:v>
      </x:c>
    </x:row>
    <x:row r="153">
      <x:c r="A153" t="n">
        <x:v>1</x:v>
      </x:c>
      <x:c r="B153" t="n">
        <x:v>5</x:v>
      </x:c>
      <x:c r="C153"/>
      <x:c r="D153" t="n">
        <x:f>IF(('Quantification_Results'!A153&lt;&gt;1),"",IF(('Quantification_Results'!C153=""),IF(ISNUMBER('Quantification_Results'!B153),IF(('Quantification_Results'!B153&lt;'Quantification_Config'!$S$6),"",IF(('Quantification_Results'!B153&gt;'Quantification_Config'!$T$6),"",'Quantification_Results'!B153)),""),IF(ISNUMBER('Quantification_Results'!C153),IF(('Quantification_Results'!C153&lt;'Quantification_Config'!$S$6),"",IF(('Quantification_Results'!C153&gt;'Quantification_Config'!$T$6),"",'Quantification_Results'!C153)),"")))</x:f>
        <x:v>5</x:v>
      </x:c>
      <x:c r="E153" t="n">
        <x:f>IF(ISNUMBER('Quantification_Results'!D153),IFERROR(ROUND(((('Quantification_Results'!D153-'Quantification_Config'!$S$6)/('Quantification_Config'!$T$6-'Quantification_Config'!$S$6))*100),'Quantification_Config'!$U$2),""),"")</x:f>
        <x:v>50</x:v>
      </x:c>
      <x:c r="F153" t="inlineStr">
        <x:is>
          <x:t xml:space="preserve">SYSTEM-TEST-ONLY-NO-NETWORK-NOT-AN-EDUCATIONAL-EVALUATION</x:t>
        </x:is>
      </x:c>
      <x:c r="G153" t="inlineStr">
        <x:is>
          <x:t xml:space="preserve"/>
        </x:is>
      </x:c>
      <x:c r="H153" t="inlineStr">
        <x:is>
          <x:t xml:space="preserve">NONE</x:t>
        </x:is>
      </x:c>
      <x:c r="I153" t="inlineStr">
        <x:is>
          <x:t xml:space="preserve"/>
        </x:is>
      </x:c>
      <x:c r="J153" t="inlineStr">
        <x:is>
          <x:t xml:space="preserve">SUCCESS</x:t>
        </x:is>
      </x:c>
      <x:c r="K153" t="n">
        <x:f>IF((COUNT('Quantification_Results'!E153)=1),IFERROR(ROUND((SUM(('Quantification_Results'!E153*'Quantification_Config'!$R$6))/SUM('Quantification_Config'!$R$6)),'Quantification_Config'!$U$2),""),"")</x:f>
        <x:v>50</x:v>
      </x:c>
      <x:c r="L153" t="n">
        <x:f>IF((COUNT('Quantification_Results'!K153)=1),IFERROR(ROUND((SUM(('Quantification_Results'!K153*'Quantification_Config'!$R$5))/SUM('Quantification_Config'!$R$5)),'Quantification_Config'!$U$2),""),"")</x:f>
        <x:v>50</x:v>
      </x:c>
      <x:c r="M153" t="n">
        <x:v>0</x:v>
      </x:c>
      <x:c r="N153"/>
      <x:c r="O153"/>
      <x:c r="P153">
        <x:f>IF(('Quantification_Results'!M153&lt;&gt;1),"",IF(('Quantification_Results'!O153=""),IF(ISNUMBER('Quantification_Results'!N153),IF(('Quantification_Results'!N153&lt;'Quantification_Config'!$S$9),"",IF(('Quantification_Results'!N153&gt;'Quantification_Config'!$T$9),"",'Quantification_Results'!N153)),""),IF(ISNUMBER('Quantification_Results'!O153),IF(('Quantification_Results'!O153&lt;'Quantification_Config'!$S$9),"",IF(('Quantification_Results'!O153&gt;'Quantification_Config'!$T$9),"",'Quantification_Results'!O153)),"")))</x:f>
      </x:c>
      <x:c r="Q153">
        <x:f>IF(ISNUMBER('Quantification_Results'!P153),IFERROR(ROUND(((('Quantification_Results'!P153-'Quantification_Config'!$S$9)/('Quantification_Config'!$T$9-'Quantification_Config'!$S$9))*100),'Quantification_Config'!$U$2),""),"")</x:f>
      </x:c>
      <x:c r="R153" t="inlineStr">
        <x:is>
          <x:t xml:space="preserve"/>
        </x:is>
      </x:c>
      <x:c r="S153" t="inlineStr">
        <x:is>
          <x:t xml:space="preserve"/>
        </x:is>
      </x:c>
      <x:c r="T153" t="inlineStr">
        <x:is>
          <x:t xml:space="preserve"/>
        </x:is>
      </x:c>
      <x:c r="U153" t="inlineStr">
        <x:is>
          <x:t xml:space="preserve"/>
        </x:is>
      </x:c>
      <x:c r="V153" t="inlineStr">
        <x:is>
          <x:t xml:space="preserve">EMPTY</x:t>
        </x:is>
      </x:c>
      <x:c r="W153">
        <x:f>IF((COUNT('Quantification_Results'!Q153)=1),IFERROR(ROUND((SUM(('Quantification_Results'!Q153*'Quantification_Config'!$R$9))/SUM('Quantification_Config'!$R$9)),'Quantification_Config'!$U$2),""),"")</x:f>
      </x:c>
      <x:c r="X153">
        <x:f>IF((COUNT('Quantification_Results'!W153)=1),IFERROR(ROUND((SUM(('Quantification_Results'!W153*'Quantification_Config'!$R$8))/SUM('Quantification_Config'!$R$8)),'Quantification_Config'!$U$2),""),"")</x:f>
      </x:c>
      <x:c r="Y153" t="n">
        <x:v>0</x:v>
      </x:c>
      <x:c r="Z153"/>
      <x:c r="AA153"/>
      <x:c r="AB153">
        <x:f>IF(('Quantification_Results'!Y153&lt;&gt;1),"",IF(('Quantification_Results'!AA153=""),IF(ISNUMBER('Quantification_Results'!Z153),IF(('Quantification_Results'!Z153&lt;'Quantification_Config'!$S$12),"",IF(('Quantification_Results'!Z153&gt;'Quantification_Config'!$T$12),"",'Quantification_Results'!Z153)),""),IF(ISNUMBER('Quantification_Results'!AA153),IF(('Quantification_Results'!AA153&lt;'Quantification_Config'!$S$12),"",IF(('Quantification_Results'!AA153&gt;'Quantification_Config'!$T$12),"",'Quantification_Results'!AA153)),"")))</x:f>
      </x:c>
      <x:c r="AC153">
        <x:f>IF(ISNUMBER('Quantification_Results'!AB153),IFERROR(ROUND(((('Quantification_Results'!AB153-'Quantification_Config'!$S$12)/('Quantification_Config'!$T$12-'Quantification_Config'!$S$12))*100),'Quantification_Config'!$U$2),""),"")</x:f>
      </x:c>
      <x:c r="AD153" t="inlineStr">
        <x:is>
          <x:t xml:space="preserve"/>
        </x:is>
      </x:c>
      <x:c r="AE153" t="inlineStr">
        <x:is>
          <x:t xml:space="preserve"/>
        </x:is>
      </x:c>
      <x:c r="AF153" t="inlineStr">
        <x:is>
          <x:t xml:space="preserve"/>
        </x:is>
      </x:c>
      <x:c r="AG153" t="inlineStr">
        <x:is>
          <x:t xml:space="preserve"/>
        </x:is>
      </x:c>
      <x:c r="AH153" t="inlineStr">
        <x:is>
          <x:t xml:space="preserve">EMPTY</x:t>
        </x:is>
      </x:c>
      <x:c r="AI153">
        <x:f>IF((COUNT('Quantification_Results'!AC153)=1),IFERROR(ROUND((SUM(('Quantification_Results'!AC153*'Quantification_Config'!$R$12))/SUM('Quantification_Config'!$R$12)),'Quantification_Config'!$U$2),""),"")</x:f>
      </x:c>
      <x:c r="AJ153">
        <x:f>IF((COUNT('Quantification_Results'!AI153)=1),IFERROR(ROUND((SUM(('Quantification_Results'!AI153*'Quantification_Config'!$R$11))/SUM('Quantification_Config'!$R$11)),'Quantification_Config'!$U$2),""),"")</x:f>
      </x:c>
      <x:c r="AK153" t="n">
        <x:v>1</x:v>
      </x:c>
      <x:c r="AL153" t="n">
        <x:v>5</x:v>
      </x:c>
      <x:c r="AM153"/>
      <x:c r="AN153" t="n">
        <x:f>IF(('Quantification_Results'!AK153&lt;&gt;1),"",IF(('Quantification_Results'!AM153=""),IF(ISNUMBER('Quantification_Results'!AL153),IF(('Quantification_Results'!AL153&lt;'Quantification_Config'!$S$15),"",IF(('Quantification_Results'!AL153&gt;'Quantification_Config'!$T$15),"",'Quantification_Results'!AL153)),""),IF(ISNUMBER('Quantification_Results'!AM153),IF(('Quantification_Results'!AM153&lt;'Quantification_Config'!$S$15),"",IF(('Quantification_Results'!AM153&gt;'Quantification_Config'!$T$15),"",'Quantification_Results'!AM153)),"")))</x:f>
        <x:v>5</x:v>
      </x:c>
      <x:c r="AO153" t="n">
        <x:f>IF(ISNUMBER('Quantification_Results'!AN153),IFERROR(ROUND(((('Quantification_Results'!AN153-'Quantification_Config'!$S$15)/('Quantification_Config'!$T$15-'Quantification_Config'!$S$15))*100),'Quantification_Config'!$U$2),""),"")</x:f>
        <x:v>50</x:v>
      </x:c>
      <x:c r="AP153" t="inlineStr">
        <x:is>
          <x:t xml:space="preserve">SYSTEM-TEST-ONLY-NO-NETWORK-NOT-AN-EDUCATIONAL-EVALUATION</x:t>
        </x:is>
      </x:c>
      <x:c r="AQ153" t="inlineStr">
        <x:is>
          <x:t xml:space="preserve"/>
        </x:is>
      </x:c>
      <x:c r="AR153" t="inlineStr">
        <x:is>
          <x:t xml:space="preserve">NONE</x:t>
        </x:is>
      </x:c>
      <x:c r="AS153" t="inlineStr">
        <x:is>
          <x:t xml:space="preserve"/>
        </x:is>
      </x:c>
      <x:c r="AT153" t="inlineStr">
        <x:is>
          <x:t xml:space="preserve">SUCCESS</x:t>
        </x:is>
      </x:c>
      <x:c r="AU153" t="n">
        <x:f>IF((COUNT('Quantification_Results'!AO153)=1),IFERROR(ROUND((SUM(('Quantification_Results'!AO153*'Quantification_Config'!$R$15))/SUM('Quantification_Config'!$R$15)),'Quantification_Config'!$U$2),""),"")</x:f>
        <x:v>50</x:v>
      </x:c>
      <x:c r="AV153" t="n">
        <x:f>IF((COUNT('Quantification_Results'!AU153)=1),IFERROR(ROUND((SUM(('Quantification_Results'!AU153*'Quantification_Config'!$R$14))/SUM('Quantification_Config'!$R$14)),'Quantification_Config'!$U$2),""),"")</x:f>
        <x:v>50</x:v>
      </x:c>
      <x:c r="AW153" t="n">
        <x:v>0</x:v>
      </x:c>
      <x:c r="AX153"/>
      <x:c r="AY153"/>
      <x:c r="AZ153">
        <x:f>IF(('Quantification_Results'!AW153&lt;&gt;1),"",IF(('Quantification_Results'!AY153=""),IF(ISNUMBER('Quantification_Results'!AX153),IF(('Quantification_Results'!AX153&lt;'Quantification_Config'!$S$19),"",IF(('Quantification_Results'!AX153&gt;'Quantification_Config'!$T$19),"",'Quantification_Results'!AX153)),""),IF(ISNUMBER('Quantification_Results'!AY153),IF(('Quantification_Results'!AY153&lt;'Quantification_Config'!$S$19),"",IF(('Quantification_Results'!AY153&gt;'Quantification_Config'!$T$19),"",'Quantification_Results'!AY153)),"")))</x:f>
      </x:c>
      <x:c r="BA153">
        <x:f>IF(ISNUMBER('Quantification_Results'!AZ153),IFERROR(ROUND(((('Quantification_Results'!AZ153-'Quantification_Config'!$S$19)/('Quantification_Config'!$T$19-'Quantification_Config'!$S$19))*100),'Quantification_Config'!$U$2),""),"")</x:f>
      </x:c>
      <x:c r="BB153" t="inlineStr">
        <x:is>
          <x:t xml:space="preserve"/>
        </x:is>
      </x:c>
      <x:c r="BC153" t="inlineStr">
        <x:is>
          <x:t xml:space="preserve"/>
        </x:is>
      </x:c>
      <x:c r="BD153" t="inlineStr">
        <x:is>
          <x:t xml:space="preserve"/>
        </x:is>
      </x:c>
      <x:c r="BE153" t="inlineStr">
        <x:is>
          <x:t xml:space="preserve"/>
        </x:is>
      </x:c>
      <x:c r="BF153" t="inlineStr">
        <x:is>
          <x:t xml:space="preserve">EMPTY</x:t>
        </x:is>
      </x:c>
      <x:c r="BG153">
        <x:f>IF((COUNT('Quantification_Results'!BA153)=1),IFERROR(ROUND((SUM(('Quantification_Results'!BA153*'Quantification_Config'!$R$19))/SUM('Quantification_Config'!$R$19)),'Quantification_Config'!$U$2),""),"")</x:f>
      </x:c>
      <x:c r="BH153">
        <x:f>IF((COUNT('Quantification_Results'!BG153)=1),IFERROR(ROUND((SUM(('Quantification_Results'!BG153*'Quantification_Config'!$R$18))/SUM('Quantification_Config'!$R$18)),'Quantification_Config'!$U$2),""),"")</x:f>
      </x:c>
      <x:c r="BI153">
        <x:f>IF((COUNT('Quantification_Results'!L153,'Quantification_Results'!X153,'Quantification_Results'!AJ153,'Quantification_Results'!AV153,'Quantification_Results'!BH153)=5),IFERROR(ROUND((SUM(('Quantification_Results'!L153*'Quantification_Config'!$R$4),('Quantification_Results'!X153*'Quantification_Config'!$R$7),('Quantification_Results'!AJ153*'Quantification_Config'!$R$10),('Quantification_Results'!AV153*'Quantification_Config'!$R$13),('Quantification_Results'!BH153*'Quantification_Config'!$R$16))/SUM('Quantification_Config'!$R$4,'Quantification_Config'!$R$7,'Quantification_Config'!$R$10,'Quantification_Config'!$R$13,'Quantification_Config'!$R$16)),'Quantification_Config'!$U$2),""),"")</x:f>
      </x:c>
    </x:row>
    <x:row r="154">
      <x:c r="A154" t="n">
        <x:v>1</x:v>
      </x:c>
      <x:c r="B154" t="n">
        <x:v>5</x:v>
      </x:c>
      <x:c r="C154"/>
      <x:c r="D154" t="n">
        <x:f>IF(('Quantification_Results'!A154&lt;&gt;1),"",IF(('Quantification_Results'!C154=""),IF(ISNUMBER('Quantification_Results'!B154),IF(('Quantification_Results'!B154&lt;'Quantification_Config'!$S$6),"",IF(('Quantification_Results'!B154&gt;'Quantification_Config'!$T$6),"",'Quantification_Results'!B154)),""),IF(ISNUMBER('Quantification_Results'!C154),IF(('Quantification_Results'!C154&lt;'Quantification_Config'!$S$6),"",IF(('Quantification_Results'!C154&gt;'Quantification_Config'!$T$6),"",'Quantification_Results'!C154)),"")))</x:f>
        <x:v>5</x:v>
      </x:c>
      <x:c r="E154" t="n">
        <x:f>IF(ISNUMBER('Quantification_Results'!D154),IFERROR(ROUND(((('Quantification_Results'!D154-'Quantification_Config'!$S$6)/('Quantification_Config'!$T$6-'Quantification_Config'!$S$6))*100),'Quantification_Config'!$U$2),""),"")</x:f>
        <x:v>50</x:v>
      </x:c>
      <x:c r="F154" t="inlineStr">
        <x:is>
          <x:t xml:space="preserve">SYSTEM-TEST-ONLY-NO-NETWORK-NOT-AN-EDUCATIONAL-EVALUATION</x:t>
        </x:is>
      </x:c>
      <x:c r="G154" t="inlineStr">
        <x:is>
          <x:t xml:space="preserve"/>
        </x:is>
      </x:c>
      <x:c r="H154" t="inlineStr">
        <x:is>
          <x:t xml:space="preserve">NONE</x:t>
        </x:is>
      </x:c>
      <x:c r="I154" t="inlineStr">
        <x:is>
          <x:t xml:space="preserve"/>
        </x:is>
      </x:c>
      <x:c r="J154" t="inlineStr">
        <x:is>
          <x:t xml:space="preserve">SUCCESS</x:t>
        </x:is>
      </x:c>
      <x:c r="K154" t="n">
        <x:f>IF((COUNT('Quantification_Results'!E154)=1),IFERROR(ROUND((SUM(('Quantification_Results'!E154*'Quantification_Config'!$R$6))/SUM('Quantification_Config'!$R$6)),'Quantification_Config'!$U$2),""),"")</x:f>
        <x:v>50</x:v>
      </x:c>
      <x:c r="L154" t="n">
        <x:f>IF((COUNT('Quantification_Results'!K154)=1),IFERROR(ROUND((SUM(('Quantification_Results'!K154*'Quantification_Config'!$R$5))/SUM('Quantification_Config'!$R$5)),'Quantification_Config'!$U$2),""),"")</x:f>
        <x:v>50</x:v>
      </x:c>
      <x:c r="M154" t="n">
        <x:v>1</x:v>
      </x:c>
      <x:c r="N154" t="n">
        <x:v>5</x:v>
      </x:c>
      <x:c r="O154"/>
      <x:c r="P154" t="n">
        <x:f>IF(('Quantification_Results'!M154&lt;&gt;1),"",IF(('Quantification_Results'!O154=""),IF(ISNUMBER('Quantification_Results'!N154),IF(('Quantification_Results'!N154&lt;'Quantification_Config'!$S$9),"",IF(('Quantification_Results'!N154&gt;'Quantification_Config'!$T$9),"",'Quantification_Results'!N154)),""),IF(ISNUMBER('Quantification_Results'!O154),IF(('Quantification_Results'!O154&lt;'Quantification_Config'!$S$9),"",IF(('Quantification_Results'!O154&gt;'Quantification_Config'!$T$9),"",'Quantification_Results'!O154)),"")))</x:f>
        <x:v>5</x:v>
      </x:c>
      <x:c r="Q154" t="n">
        <x:f>IF(ISNUMBER('Quantification_Results'!P154),IFERROR(ROUND(((('Quantification_Results'!P154-'Quantification_Config'!$S$9)/('Quantification_Config'!$T$9-'Quantification_Config'!$S$9))*100),'Quantification_Config'!$U$2),""),"")</x:f>
        <x:v>50</x:v>
      </x:c>
      <x:c r="R154" t="inlineStr">
        <x:is>
          <x:t xml:space="preserve">SYSTEM-TEST-ONLY-NO-NETWORK-NOT-AN-EDUCATIONAL-EVALUATION</x:t>
        </x:is>
      </x:c>
      <x:c r="S154" t="inlineStr">
        <x:is>
          <x:t xml:space="preserve"/>
        </x:is>
      </x:c>
      <x:c r="T154" t="inlineStr">
        <x:is>
          <x:t xml:space="preserve">NONE</x:t>
        </x:is>
      </x:c>
      <x:c r="U154" t="inlineStr">
        <x:is>
          <x:t xml:space="preserve"/>
        </x:is>
      </x:c>
      <x:c r="V154" t="inlineStr">
        <x:is>
          <x:t xml:space="preserve">SUCCESS</x:t>
        </x:is>
      </x:c>
      <x:c r="W154" t="n">
        <x:f>IF((COUNT('Quantification_Results'!Q154)=1),IFERROR(ROUND((SUM(('Quantification_Results'!Q154*'Quantification_Config'!$R$9))/SUM('Quantification_Config'!$R$9)),'Quantification_Config'!$U$2),""),"")</x:f>
        <x:v>50</x:v>
      </x:c>
      <x:c r="X154" t="n">
        <x:f>IF((COUNT('Quantification_Results'!W154)=1),IFERROR(ROUND((SUM(('Quantification_Results'!W154*'Quantification_Config'!$R$8))/SUM('Quantification_Config'!$R$8)),'Quantification_Config'!$U$2),""),"")</x:f>
        <x:v>50</x:v>
      </x:c>
      <x:c r="Y154" t="n">
        <x:v>0</x:v>
      </x:c>
      <x:c r="Z154"/>
      <x:c r="AA154"/>
      <x:c r="AB154">
        <x:f>IF(('Quantification_Results'!Y154&lt;&gt;1),"",IF(('Quantification_Results'!AA154=""),IF(ISNUMBER('Quantification_Results'!Z154),IF(('Quantification_Results'!Z154&lt;'Quantification_Config'!$S$12),"",IF(('Quantification_Results'!Z154&gt;'Quantification_Config'!$T$12),"",'Quantification_Results'!Z154)),""),IF(ISNUMBER('Quantification_Results'!AA154),IF(('Quantification_Results'!AA154&lt;'Quantification_Config'!$S$12),"",IF(('Quantification_Results'!AA154&gt;'Quantification_Config'!$T$12),"",'Quantification_Results'!AA154)),"")))</x:f>
      </x:c>
      <x:c r="AC154">
        <x:f>IF(ISNUMBER('Quantification_Results'!AB154),IFERROR(ROUND(((('Quantification_Results'!AB154-'Quantification_Config'!$S$12)/('Quantification_Config'!$T$12-'Quantification_Config'!$S$12))*100),'Quantification_Config'!$U$2),""),"")</x:f>
      </x:c>
      <x:c r="AD154" t="inlineStr">
        <x:is>
          <x:t xml:space="preserve"/>
        </x:is>
      </x:c>
      <x:c r="AE154" t="inlineStr">
        <x:is>
          <x:t xml:space="preserve"/>
        </x:is>
      </x:c>
      <x:c r="AF154" t="inlineStr">
        <x:is>
          <x:t xml:space="preserve"/>
        </x:is>
      </x:c>
      <x:c r="AG154" t="inlineStr">
        <x:is>
          <x:t xml:space="preserve"/>
        </x:is>
      </x:c>
      <x:c r="AH154" t="inlineStr">
        <x:is>
          <x:t xml:space="preserve">EMPTY</x:t>
        </x:is>
      </x:c>
      <x:c r="AI154">
        <x:f>IF((COUNT('Quantification_Results'!AC154)=1),IFERROR(ROUND((SUM(('Quantification_Results'!AC154*'Quantification_Config'!$R$12))/SUM('Quantification_Config'!$R$12)),'Quantification_Config'!$U$2),""),"")</x:f>
      </x:c>
      <x:c r="AJ154">
        <x:f>IF((COUNT('Quantification_Results'!AI154)=1),IFERROR(ROUND((SUM(('Quantification_Results'!AI154*'Quantification_Config'!$R$11))/SUM('Quantification_Config'!$R$11)),'Quantification_Config'!$U$2),""),"")</x:f>
      </x:c>
      <x:c r="AK154" t="n">
        <x:v>1</x:v>
      </x:c>
      <x:c r="AL154" t="n">
        <x:v>5</x:v>
      </x:c>
      <x:c r="AM154"/>
      <x:c r="AN154" t="n">
        <x:f>IF(('Quantification_Results'!AK154&lt;&gt;1),"",IF(('Quantification_Results'!AM154=""),IF(ISNUMBER('Quantification_Results'!AL154),IF(('Quantification_Results'!AL154&lt;'Quantification_Config'!$S$15),"",IF(('Quantification_Results'!AL154&gt;'Quantification_Config'!$T$15),"",'Quantification_Results'!AL154)),""),IF(ISNUMBER('Quantification_Results'!AM154),IF(('Quantification_Results'!AM154&lt;'Quantification_Config'!$S$15),"",IF(('Quantification_Results'!AM154&gt;'Quantification_Config'!$T$15),"",'Quantification_Results'!AM154)),"")))</x:f>
        <x:v>5</x:v>
      </x:c>
      <x:c r="AO154" t="n">
        <x:f>IF(ISNUMBER('Quantification_Results'!AN154),IFERROR(ROUND(((('Quantification_Results'!AN154-'Quantification_Config'!$S$15)/('Quantification_Config'!$T$15-'Quantification_Config'!$S$15))*100),'Quantification_Config'!$U$2),""),"")</x:f>
        <x:v>50</x:v>
      </x:c>
      <x:c r="AP154" t="inlineStr">
        <x:is>
          <x:t xml:space="preserve">SYSTEM-TEST-ONLY-NO-NETWORK-NOT-AN-EDUCATIONAL-EVALUATION</x:t>
        </x:is>
      </x:c>
      <x:c r="AQ154" t="inlineStr">
        <x:is>
          <x:t xml:space="preserve"/>
        </x:is>
      </x:c>
      <x:c r="AR154" t="inlineStr">
        <x:is>
          <x:t xml:space="preserve">NONE</x:t>
        </x:is>
      </x:c>
      <x:c r="AS154" t="inlineStr">
        <x:is>
          <x:t xml:space="preserve"/>
        </x:is>
      </x:c>
      <x:c r="AT154" t="inlineStr">
        <x:is>
          <x:t xml:space="preserve">SUCCESS</x:t>
        </x:is>
      </x:c>
      <x:c r="AU154" t="n">
        <x:f>IF((COUNT('Quantification_Results'!AO154)=1),IFERROR(ROUND((SUM(('Quantification_Results'!AO154*'Quantification_Config'!$R$15))/SUM('Quantification_Config'!$R$15)),'Quantification_Config'!$U$2),""),"")</x:f>
        <x:v>50</x:v>
      </x:c>
      <x:c r="AV154" t="n">
        <x:f>IF((COUNT('Quantification_Results'!AU154)=1),IFERROR(ROUND((SUM(('Quantification_Results'!AU154*'Quantification_Config'!$R$14))/SUM('Quantification_Config'!$R$14)),'Quantification_Config'!$U$2),""),"")</x:f>
        <x:v>50</x:v>
      </x:c>
      <x:c r="AW154" t="n">
        <x:v>1</x:v>
      </x:c>
      <x:c r="AX154" t="n">
        <x:v>5</x:v>
      </x:c>
      <x:c r="AY154"/>
      <x:c r="AZ154" t="n">
        <x:f>IF(('Quantification_Results'!AW154&lt;&gt;1),"",IF(('Quantification_Results'!AY154=""),IF(ISNUMBER('Quantification_Results'!AX154),IF(('Quantification_Results'!AX154&lt;'Quantification_Config'!$S$19),"",IF(('Quantification_Results'!AX154&gt;'Quantification_Config'!$T$19),"",'Quantification_Results'!AX154)),""),IF(ISNUMBER('Quantification_Results'!AY154),IF(('Quantification_Results'!AY154&lt;'Quantification_Config'!$S$19),"",IF(('Quantification_Results'!AY154&gt;'Quantification_Config'!$T$19),"",'Quantification_Results'!AY154)),"")))</x:f>
        <x:v>5</x:v>
      </x:c>
      <x:c r="BA154" t="n">
        <x:f>IF(ISNUMBER('Quantification_Results'!AZ154),IFERROR(ROUND(((('Quantification_Results'!AZ154-'Quantification_Config'!$S$19)/('Quantification_Config'!$T$19-'Quantification_Config'!$S$19))*100),'Quantification_Config'!$U$2),""),"")</x:f>
        <x:v>50</x:v>
      </x:c>
      <x:c r="BB154" t="inlineStr">
        <x:is>
          <x:t xml:space="preserve">SYSTEM-TEST-ONLY-NO-NETWORK-NOT-AN-EDUCATIONAL-EVALUATION</x:t>
        </x:is>
      </x:c>
      <x:c r="BC154" t="inlineStr">
        <x:is>
          <x:t xml:space="preserve"/>
        </x:is>
      </x:c>
      <x:c r="BD154" t="inlineStr">
        <x:is>
          <x:t xml:space="preserve">NONE</x:t>
        </x:is>
      </x:c>
      <x:c r="BE154" t="inlineStr">
        <x:is>
          <x:t xml:space="preserve"/>
        </x:is>
      </x:c>
      <x:c r="BF154" t="inlineStr">
        <x:is>
          <x:t xml:space="preserve">SUCCESS</x:t>
        </x:is>
      </x:c>
      <x:c r="BG154" t="n">
        <x:f>IF((COUNT('Quantification_Results'!BA154)=1),IFERROR(ROUND((SUM(('Quantification_Results'!BA154*'Quantification_Config'!$R$19))/SUM('Quantification_Config'!$R$19)),'Quantification_Config'!$U$2),""),"")</x:f>
        <x:v>50</x:v>
      </x:c>
      <x:c r="BH154" t="n">
        <x:f>IF((COUNT('Quantification_Results'!BG154)=1),IFERROR(ROUND((SUM(('Quantification_Results'!BG154*'Quantification_Config'!$R$18))/SUM('Quantification_Config'!$R$18)),'Quantification_Config'!$U$2),""),"")</x:f>
        <x:v>50</x:v>
      </x:c>
      <x:c r="BI154">
        <x:f>IF((COUNT('Quantification_Results'!L154,'Quantification_Results'!X154,'Quantification_Results'!AJ154,'Quantification_Results'!AV154,'Quantification_Results'!BH154)=5),IFERROR(ROUND((SUM(('Quantification_Results'!L154*'Quantification_Config'!$R$4),('Quantification_Results'!X154*'Quantification_Config'!$R$7),('Quantification_Results'!AJ154*'Quantification_Config'!$R$10),('Quantification_Results'!AV154*'Quantification_Config'!$R$13),('Quantification_Results'!BH154*'Quantification_Config'!$R$16))/SUM('Quantification_Config'!$R$4,'Quantification_Config'!$R$7,'Quantification_Config'!$R$10,'Quantification_Config'!$R$13,'Quantification_Config'!$R$16)),'Quantification_Config'!$U$2),""),"")</x:f>
      </x:c>
    </x:row>
    <x:row r="155">
      <x:c r="A155" t="n">
        <x:v>1</x:v>
      </x:c>
      <x:c r="B155" t="n">
        <x:v>5</x:v>
      </x:c>
      <x:c r="C155"/>
      <x:c r="D155" t="n">
        <x:f>IF(('Quantification_Results'!A155&lt;&gt;1),"",IF(('Quantification_Results'!C155=""),IF(ISNUMBER('Quantification_Results'!B155),IF(('Quantification_Results'!B155&lt;'Quantification_Config'!$S$6),"",IF(('Quantification_Results'!B155&gt;'Quantification_Config'!$T$6),"",'Quantification_Results'!B155)),""),IF(ISNUMBER('Quantification_Results'!C155),IF(('Quantification_Results'!C155&lt;'Quantification_Config'!$S$6),"",IF(('Quantification_Results'!C155&gt;'Quantification_Config'!$T$6),"",'Quantification_Results'!C155)),"")))</x:f>
        <x:v>5</x:v>
      </x:c>
      <x:c r="E155" t="n">
        <x:f>IF(ISNUMBER('Quantification_Results'!D155),IFERROR(ROUND(((('Quantification_Results'!D155-'Quantification_Config'!$S$6)/('Quantification_Config'!$T$6-'Quantification_Config'!$S$6))*100),'Quantification_Config'!$U$2),""),"")</x:f>
        <x:v>50</x:v>
      </x:c>
      <x:c r="F155" t="inlineStr">
        <x:is>
          <x:t xml:space="preserve">SYSTEM-TEST-ONLY-NO-NETWORK-NOT-AN-EDUCATIONAL-EVALUATION</x:t>
        </x:is>
      </x:c>
      <x:c r="G155" t="inlineStr">
        <x:is>
          <x:t xml:space="preserve"/>
        </x:is>
      </x:c>
      <x:c r="H155" t="inlineStr">
        <x:is>
          <x:t xml:space="preserve">NONE</x:t>
        </x:is>
      </x:c>
      <x:c r="I155" t="inlineStr">
        <x:is>
          <x:t xml:space="preserve"/>
        </x:is>
      </x:c>
      <x:c r="J155" t="inlineStr">
        <x:is>
          <x:t xml:space="preserve">SUCCESS</x:t>
        </x:is>
      </x:c>
      <x:c r="K155" t="n">
        <x:f>IF((COUNT('Quantification_Results'!E155)=1),IFERROR(ROUND((SUM(('Quantification_Results'!E155*'Quantification_Config'!$R$6))/SUM('Quantification_Config'!$R$6)),'Quantification_Config'!$U$2),""),"")</x:f>
        <x:v>50</x:v>
      </x:c>
      <x:c r="L155" t="n">
        <x:f>IF((COUNT('Quantification_Results'!K155)=1),IFERROR(ROUND((SUM(('Quantification_Results'!K155*'Quantification_Config'!$R$5))/SUM('Quantification_Config'!$R$5)),'Quantification_Config'!$U$2),""),"")</x:f>
        <x:v>50</x:v>
      </x:c>
      <x:c r="M155" t="n">
        <x:v>1</x:v>
      </x:c>
      <x:c r="N155" t="n">
        <x:v>5</x:v>
      </x:c>
      <x:c r="O155"/>
      <x:c r="P155" t="n">
        <x:f>IF(('Quantification_Results'!M155&lt;&gt;1),"",IF(('Quantification_Results'!O155=""),IF(ISNUMBER('Quantification_Results'!N155),IF(('Quantification_Results'!N155&lt;'Quantification_Config'!$S$9),"",IF(('Quantification_Results'!N155&gt;'Quantification_Config'!$T$9),"",'Quantification_Results'!N155)),""),IF(ISNUMBER('Quantification_Results'!O155),IF(('Quantification_Results'!O155&lt;'Quantification_Config'!$S$9),"",IF(('Quantification_Results'!O155&gt;'Quantification_Config'!$T$9),"",'Quantification_Results'!O155)),"")))</x:f>
        <x:v>5</x:v>
      </x:c>
      <x:c r="Q155" t="n">
        <x:f>IF(ISNUMBER('Quantification_Results'!P155),IFERROR(ROUND(((('Quantification_Results'!P155-'Quantification_Config'!$S$9)/('Quantification_Config'!$T$9-'Quantification_Config'!$S$9))*100),'Quantification_Config'!$U$2),""),"")</x:f>
        <x:v>50</x:v>
      </x:c>
      <x:c r="R155" t="inlineStr">
        <x:is>
          <x:t xml:space="preserve">SYSTEM-TEST-ONLY-NO-NETWORK-NOT-AN-EDUCATIONAL-EVALUATION</x:t>
        </x:is>
      </x:c>
      <x:c r="S155" t="inlineStr">
        <x:is>
          <x:t xml:space="preserve"/>
        </x:is>
      </x:c>
      <x:c r="T155" t="inlineStr">
        <x:is>
          <x:t xml:space="preserve">NONE</x:t>
        </x:is>
      </x:c>
      <x:c r="U155" t="inlineStr">
        <x:is>
          <x:t xml:space="preserve"/>
        </x:is>
      </x:c>
      <x:c r="V155" t="inlineStr">
        <x:is>
          <x:t xml:space="preserve">SUCCESS</x:t>
        </x:is>
      </x:c>
      <x:c r="W155" t="n">
        <x:f>IF((COUNT('Quantification_Results'!Q155)=1),IFERROR(ROUND((SUM(('Quantification_Results'!Q155*'Quantification_Config'!$R$9))/SUM('Quantification_Config'!$R$9)),'Quantification_Config'!$U$2),""),"")</x:f>
        <x:v>50</x:v>
      </x:c>
      <x:c r="X155" t="n">
        <x:f>IF((COUNT('Quantification_Results'!W155)=1),IFERROR(ROUND((SUM(('Quantification_Results'!W155*'Quantification_Config'!$R$8))/SUM('Quantification_Config'!$R$8)),'Quantification_Config'!$U$2),""),"")</x:f>
        <x:v>50</x:v>
      </x:c>
      <x:c r="Y155" t="n">
        <x:v>0</x:v>
      </x:c>
      <x:c r="Z155"/>
      <x:c r="AA155"/>
      <x:c r="AB155">
        <x:f>IF(('Quantification_Results'!Y155&lt;&gt;1),"",IF(('Quantification_Results'!AA155=""),IF(ISNUMBER('Quantification_Results'!Z155),IF(('Quantification_Results'!Z155&lt;'Quantification_Config'!$S$12),"",IF(('Quantification_Results'!Z155&gt;'Quantification_Config'!$T$12),"",'Quantification_Results'!Z155)),""),IF(ISNUMBER('Quantification_Results'!AA155),IF(('Quantification_Results'!AA155&lt;'Quantification_Config'!$S$12),"",IF(('Quantification_Results'!AA155&gt;'Quantification_Config'!$T$12),"",'Quantification_Results'!AA155)),"")))</x:f>
      </x:c>
      <x:c r="AC155">
        <x:f>IF(ISNUMBER('Quantification_Results'!AB155),IFERROR(ROUND(((('Quantification_Results'!AB155-'Quantification_Config'!$S$12)/('Quantification_Config'!$T$12-'Quantification_Config'!$S$12))*100),'Quantification_Config'!$U$2),""),"")</x:f>
      </x:c>
      <x:c r="AD155" t="inlineStr">
        <x:is>
          <x:t xml:space="preserve"/>
        </x:is>
      </x:c>
      <x:c r="AE155" t="inlineStr">
        <x:is>
          <x:t xml:space="preserve"/>
        </x:is>
      </x:c>
      <x:c r="AF155" t="inlineStr">
        <x:is>
          <x:t xml:space="preserve"/>
        </x:is>
      </x:c>
      <x:c r="AG155" t="inlineStr">
        <x:is>
          <x:t xml:space="preserve"/>
        </x:is>
      </x:c>
      <x:c r="AH155" t="inlineStr">
        <x:is>
          <x:t xml:space="preserve">EMPTY</x:t>
        </x:is>
      </x:c>
      <x:c r="AI155">
        <x:f>IF((COUNT('Quantification_Results'!AC155)=1),IFERROR(ROUND((SUM(('Quantification_Results'!AC155*'Quantification_Config'!$R$12))/SUM('Quantification_Config'!$R$12)),'Quantification_Config'!$U$2),""),"")</x:f>
      </x:c>
      <x:c r="AJ155">
        <x:f>IF((COUNT('Quantification_Results'!AI155)=1),IFERROR(ROUND((SUM(('Quantification_Results'!AI155*'Quantification_Config'!$R$11))/SUM('Quantification_Config'!$R$11)),'Quantification_Config'!$U$2),""),"")</x:f>
      </x:c>
      <x:c r="AK155" t="n">
        <x:v>1</x:v>
      </x:c>
      <x:c r="AL155" t="n">
        <x:v>5</x:v>
      </x:c>
      <x:c r="AM155"/>
      <x:c r="AN155" t="n">
        <x:f>IF(('Quantification_Results'!AK155&lt;&gt;1),"",IF(('Quantification_Results'!AM155=""),IF(ISNUMBER('Quantification_Results'!AL155),IF(('Quantification_Results'!AL155&lt;'Quantification_Config'!$S$15),"",IF(('Quantification_Results'!AL155&gt;'Quantification_Config'!$T$15),"",'Quantification_Results'!AL155)),""),IF(ISNUMBER('Quantification_Results'!AM155),IF(('Quantification_Results'!AM155&lt;'Quantification_Config'!$S$15),"",IF(('Quantification_Results'!AM155&gt;'Quantification_Config'!$T$15),"",'Quantification_Results'!AM155)),"")))</x:f>
        <x:v>5</x:v>
      </x:c>
      <x:c r="AO155" t="n">
        <x:f>IF(ISNUMBER('Quantification_Results'!AN155),IFERROR(ROUND(((('Quantification_Results'!AN155-'Quantification_Config'!$S$15)/('Quantification_Config'!$T$15-'Quantification_Config'!$S$15))*100),'Quantification_Config'!$U$2),""),"")</x:f>
        <x:v>50</x:v>
      </x:c>
      <x:c r="AP155" t="inlineStr">
        <x:is>
          <x:t xml:space="preserve">SYSTEM-TEST-ONLY-NO-NETWORK-NOT-AN-EDUCATIONAL-EVALUATION</x:t>
        </x:is>
      </x:c>
      <x:c r="AQ155" t="inlineStr">
        <x:is>
          <x:t xml:space="preserve"/>
        </x:is>
      </x:c>
      <x:c r="AR155" t="inlineStr">
        <x:is>
          <x:t xml:space="preserve">NONE</x:t>
        </x:is>
      </x:c>
      <x:c r="AS155" t="inlineStr">
        <x:is>
          <x:t xml:space="preserve"/>
        </x:is>
      </x:c>
      <x:c r="AT155" t="inlineStr">
        <x:is>
          <x:t xml:space="preserve">SUCCESS</x:t>
        </x:is>
      </x:c>
      <x:c r="AU155" t="n">
        <x:f>IF((COUNT('Quantification_Results'!AO155)=1),IFERROR(ROUND((SUM(('Quantification_Results'!AO155*'Quantification_Config'!$R$15))/SUM('Quantification_Config'!$R$15)),'Quantification_Config'!$U$2),""),"")</x:f>
        <x:v>50</x:v>
      </x:c>
      <x:c r="AV155" t="n">
        <x:f>IF((COUNT('Quantification_Results'!AU155)=1),IFERROR(ROUND((SUM(('Quantification_Results'!AU155*'Quantification_Config'!$R$14))/SUM('Quantification_Config'!$R$14)),'Quantification_Config'!$U$2),""),"")</x:f>
        <x:v>50</x:v>
      </x:c>
      <x:c r="AW155" t="n">
        <x:v>1</x:v>
      </x:c>
      <x:c r="AX155" t="n">
        <x:v>5</x:v>
      </x:c>
      <x:c r="AY155"/>
      <x:c r="AZ155" t="n">
        <x:f>IF(('Quantification_Results'!AW155&lt;&gt;1),"",IF(('Quantification_Results'!AY155=""),IF(ISNUMBER('Quantification_Results'!AX155),IF(('Quantification_Results'!AX155&lt;'Quantification_Config'!$S$19),"",IF(('Quantification_Results'!AX155&gt;'Quantification_Config'!$T$19),"",'Quantification_Results'!AX155)),""),IF(ISNUMBER('Quantification_Results'!AY155),IF(('Quantification_Results'!AY155&lt;'Quantification_Config'!$S$19),"",IF(('Quantification_Results'!AY155&gt;'Quantification_Config'!$T$19),"",'Quantification_Results'!AY155)),"")))</x:f>
        <x:v>5</x:v>
      </x:c>
      <x:c r="BA155" t="n">
        <x:f>IF(ISNUMBER('Quantification_Results'!AZ155),IFERROR(ROUND(((('Quantification_Results'!AZ155-'Quantification_Config'!$S$19)/('Quantification_Config'!$T$19-'Quantification_Config'!$S$19))*100),'Quantification_Config'!$U$2),""),"")</x:f>
        <x:v>50</x:v>
      </x:c>
      <x:c r="BB155" t="inlineStr">
        <x:is>
          <x:t xml:space="preserve">SYSTEM-TEST-ONLY-NO-NETWORK-NOT-AN-EDUCATIONAL-EVALUATION</x:t>
        </x:is>
      </x:c>
      <x:c r="BC155" t="inlineStr">
        <x:is>
          <x:t xml:space="preserve"/>
        </x:is>
      </x:c>
      <x:c r="BD155" t="inlineStr">
        <x:is>
          <x:t xml:space="preserve">NONE</x:t>
        </x:is>
      </x:c>
      <x:c r="BE155" t="inlineStr">
        <x:is>
          <x:t xml:space="preserve"/>
        </x:is>
      </x:c>
      <x:c r="BF155" t="inlineStr">
        <x:is>
          <x:t xml:space="preserve">SUCCESS</x:t>
        </x:is>
      </x:c>
      <x:c r="BG155" t="n">
        <x:f>IF((COUNT('Quantification_Results'!BA155)=1),IFERROR(ROUND((SUM(('Quantification_Results'!BA155*'Quantification_Config'!$R$19))/SUM('Quantification_Config'!$R$19)),'Quantification_Config'!$U$2),""),"")</x:f>
        <x:v>50</x:v>
      </x:c>
      <x:c r="BH155" t="n">
        <x:f>IF((COUNT('Quantification_Results'!BG155)=1),IFERROR(ROUND((SUM(('Quantification_Results'!BG155*'Quantification_Config'!$R$18))/SUM('Quantification_Config'!$R$18)),'Quantification_Config'!$U$2),""),"")</x:f>
        <x:v>50</x:v>
      </x:c>
      <x:c r="BI155">
        <x:f>IF((COUNT('Quantification_Results'!L155,'Quantification_Results'!X155,'Quantification_Results'!AJ155,'Quantification_Results'!AV155,'Quantification_Results'!BH155)=5),IFERROR(ROUND((SUM(('Quantification_Results'!L155*'Quantification_Config'!$R$4),('Quantification_Results'!X155*'Quantification_Config'!$R$7),('Quantification_Results'!AJ155*'Quantification_Config'!$R$10),('Quantification_Results'!AV155*'Quantification_Config'!$R$13),('Quantification_Results'!BH155*'Quantification_Config'!$R$16))/SUM('Quantification_Config'!$R$4,'Quantification_Config'!$R$7,'Quantification_Config'!$R$10,'Quantification_Config'!$R$13,'Quantification_Config'!$R$16)),'Quantification_Config'!$U$2),""),"")</x:f>
      </x:c>
    </x:row>
    <x:row r="156">
      <x:c r="A156" t="n">
        <x:v>1</x:v>
      </x:c>
      <x:c r="B156" t="n">
        <x:v>5</x:v>
      </x:c>
      <x:c r="C156"/>
      <x:c r="D156" t="n">
        <x:f>IF(('Quantification_Results'!A156&lt;&gt;1),"",IF(('Quantification_Results'!C156=""),IF(ISNUMBER('Quantification_Results'!B156),IF(('Quantification_Results'!B156&lt;'Quantification_Config'!$S$6),"",IF(('Quantification_Results'!B156&gt;'Quantification_Config'!$T$6),"",'Quantification_Results'!B156)),""),IF(ISNUMBER('Quantification_Results'!C156),IF(('Quantification_Results'!C156&lt;'Quantification_Config'!$S$6),"",IF(('Quantification_Results'!C156&gt;'Quantification_Config'!$T$6),"",'Quantification_Results'!C156)),"")))</x:f>
        <x:v>5</x:v>
      </x:c>
      <x:c r="E156" t="n">
        <x:f>IF(ISNUMBER('Quantification_Results'!D156),IFERROR(ROUND(((('Quantification_Results'!D156-'Quantification_Config'!$S$6)/('Quantification_Config'!$T$6-'Quantification_Config'!$S$6))*100),'Quantification_Config'!$U$2),""),"")</x:f>
        <x:v>50</x:v>
      </x:c>
      <x:c r="F156" t="inlineStr">
        <x:is>
          <x:t xml:space="preserve">SYSTEM-TEST-ONLY-NO-NETWORK-NOT-AN-EDUCATIONAL-EVALUATION</x:t>
        </x:is>
      </x:c>
      <x:c r="G156" t="inlineStr">
        <x:is>
          <x:t xml:space="preserve"/>
        </x:is>
      </x:c>
      <x:c r="H156" t="inlineStr">
        <x:is>
          <x:t xml:space="preserve">NONE</x:t>
        </x:is>
      </x:c>
      <x:c r="I156" t="inlineStr">
        <x:is>
          <x:t xml:space="preserve"/>
        </x:is>
      </x:c>
      <x:c r="J156" t="inlineStr">
        <x:is>
          <x:t xml:space="preserve">SUCCESS</x:t>
        </x:is>
      </x:c>
      <x:c r="K156" t="n">
        <x:f>IF((COUNT('Quantification_Results'!E156)=1),IFERROR(ROUND((SUM(('Quantification_Results'!E156*'Quantification_Config'!$R$6))/SUM('Quantification_Config'!$R$6)),'Quantification_Config'!$U$2),""),"")</x:f>
        <x:v>50</x:v>
      </x:c>
      <x:c r="L156" t="n">
        <x:f>IF((COUNT('Quantification_Results'!K156)=1),IFERROR(ROUND((SUM(('Quantification_Results'!K156*'Quantification_Config'!$R$5))/SUM('Quantification_Config'!$R$5)),'Quantification_Config'!$U$2),""),"")</x:f>
        <x:v>50</x:v>
      </x:c>
      <x:c r="M156" t="n">
        <x:v>1</x:v>
      </x:c>
      <x:c r="N156" t="n">
        <x:v>5</x:v>
      </x:c>
      <x:c r="O156"/>
      <x:c r="P156" t="n">
        <x:f>IF(('Quantification_Results'!M156&lt;&gt;1),"",IF(('Quantification_Results'!O156=""),IF(ISNUMBER('Quantification_Results'!N156),IF(('Quantification_Results'!N156&lt;'Quantification_Config'!$S$9),"",IF(('Quantification_Results'!N156&gt;'Quantification_Config'!$T$9),"",'Quantification_Results'!N156)),""),IF(ISNUMBER('Quantification_Results'!O156),IF(('Quantification_Results'!O156&lt;'Quantification_Config'!$S$9),"",IF(('Quantification_Results'!O156&gt;'Quantification_Config'!$T$9),"",'Quantification_Results'!O156)),"")))</x:f>
        <x:v>5</x:v>
      </x:c>
      <x:c r="Q156" t="n">
        <x:f>IF(ISNUMBER('Quantification_Results'!P156),IFERROR(ROUND(((('Quantification_Results'!P156-'Quantification_Config'!$S$9)/('Quantification_Config'!$T$9-'Quantification_Config'!$S$9))*100),'Quantification_Config'!$U$2),""),"")</x:f>
        <x:v>50</x:v>
      </x:c>
      <x:c r="R156" t="inlineStr">
        <x:is>
          <x:t xml:space="preserve">SYSTEM-TEST-ONLY-NO-NETWORK-NOT-AN-EDUCATIONAL-EVALUATION</x:t>
        </x:is>
      </x:c>
      <x:c r="S156" t="inlineStr">
        <x:is>
          <x:t xml:space="preserve"/>
        </x:is>
      </x:c>
      <x:c r="T156" t="inlineStr">
        <x:is>
          <x:t xml:space="preserve">NONE</x:t>
        </x:is>
      </x:c>
      <x:c r="U156" t="inlineStr">
        <x:is>
          <x:t xml:space="preserve"/>
        </x:is>
      </x:c>
      <x:c r="V156" t="inlineStr">
        <x:is>
          <x:t xml:space="preserve">SUCCESS</x:t>
        </x:is>
      </x:c>
      <x:c r="W156" t="n">
        <x:f>IF((COUNT('Quantification_Results'!Q156)=1),IFERROR(ROUND((SUM(('Quantification_Results'!Q156*'Quantification_Config'!$R$9))/SUM('Quantification_Config'!$R$9)),'Quantification_Config'!$U$2),""),"")</x:f>
        <x:v>50</x:v>
      </x:c>
      <x:c r="X156" t="n">
        <x:f>IF((COUNT('Quantification_Results'!W156)=1),IFERROR(ROUND((SUM(('Quantification_Results'!W156*'Quantification_Config'!$R$8))/SUM('Quantification_Config'!$R$8)),'Quantification_Config'!$U$2),""),"")</x:f>
        <x:v>50</x:v>
      </x:c>
      <x:c r="Y156" t="n">
        <x:v>0</x:v>
      </x:c>
      <x:c r="Z156"/>
      <x:c r="AA156"/>
      <x:c r="AB156">
        <x:f>IF(('Quantification_Results'!Y156&lt;&gt;1),"",IF(('Quantification_Results'!AA156=""),IF(ISNUMBER('Quantification_Results'!Z156),IF(('Quantification_Results'!Z156&lt;'Quantification_Config'!$S$12),"",IF(('Quantification_Results'!Z156&gt;'Quantification_Config'!$T$12),"",'Quantification_Results'!Z156)),""),IF(ISNUMBER('Quantification_Results'!AA156),IF(('Quantification_Results'!AA156&lt;'Quantification_Config'!$S$12),"",IF(('Quantification_Results'!AA156&gt;'Quantification_Config'!$T$12),"",'Quantification_Results'!AA156)),"")))</x:f>
      </x:c>
      <x:c r="AC156">
        <x:f>IF(ISNUMBER('Quantification_Results'!AB156),IFERROR(ROUND(((('Quantification_Results'!AB156-'Quantification_Config'!$S$12)/('Quantification_Config'!$T$12-'Quantification_Config'!$S$12))*100),'Quantification_Config'!$U$2),""),"")</x:f>
      </x:c>
      <x:c r="AD156" t="inlineStr">
        <x:is>
          <x:t xml:space="preserve"/>
        </x:is>
      </x:c>
      <x:c r="AE156" t="inlineStr">
        <x:is>
          <x:t xml:space="preserve"/>
        </x:is>
      </x:c>
      <x:c r="AF156" t="inlineStr">
        <x:is>
          <x:t xml:space="preserve"/>
        </x:is>
      </x:c>
      <x:c r="AG156" t="inlineStr">
        <x:is>
          <x:t xml:space="preserve"/>
        </x:is>
      </x:c>
      <x:c r="AH156" t="inlineStr">
        <x:is>
          <x:t xml:space="preserve">EMPTY</x:t>
        </x:is>
      </x:c>
      <x:c r="AI156">
        <x:f>IF((COUNT('Quantification_Results'!AC156)=1),IFERROR(ROUND((SUM(('Quantification_Results'!AC156*'Quantification_Config'!$R$12))/SUM('Quantification_Config'!$R$12)),'Quantification_Config'!$U$2),""),"")</x:f>
      </x:c>
      <x:c r="AJ156">
        <x:f>IF((COUNT('Quantification_Results'!AI156)=1),IFERROR(ROUND((SUM(('Quantification_Results'!AI156*'Quantification_Config'!$R$11))/SUM('Quantification_Config'!$R$11)),'Quantification_Config'!$U$2),""),"")</x:f>
      </x:c>
      <x:c r="AK156" t="n">
        <x:v>1</x:v>
      </x:c>
      <x:c r="AL156" t="n">
        <x:v>5</x:v>
      </x:c>
      <x:c r="AM156"/>
      <x:c r="AN156" t="n">
        <x:f>IF(('Quantification_Results'!AK156&lt;&gt;1),"",IF(('Quantification_Results'!AM156=""),IF(ISNUMBER('Quantification_Results'!AL156),IF(('Quantification_Results'!AL156&lt;'Quantification_Config'!$S$15),"",IF(('Quantification_Results'!AL156&gt;'Quantification_Config'!$T$15),"",'Quantification_Results'!AL156)),""),IF(ISNUMBER('Quantification_Results'!AM156),IF(('Quantification_Results'!AM156&lt;'Quantification_Config'!$S$15),"",IF(('Quantification_Results'!AM156&gt;'Quantification_Config'!$T$15),"",'Quantification_Results'!AM156)),"")))</x:f>
        <x:v>5</x:v>
      </x:c>
      <x:c r="AO156" t="n">
        <x:f>IF(ISNUMBER('Quantification_Results'!AN156),IFERROR(ROUND(((('Quantification_Results'!AN156-'Quantification_Config'!$S$15)/('Quantification_Config'!$T$15-'Quantification_Config'!$S$15))*100),'Quantification_Config'!$U$2),""),"")</x:f>
        <x:v>50</x:v>
      </x:c>
      <x:c r="AP156" t="inlineStr">
        <x:is>
          <x:t xml:space="preserve">SYSTEM-TEST-ONLY-NO-NETWORK-NOT-AN-EDUCATIONAL-EVALUATION</x:t>
        </x:is>
      </x:c>
      <x:c r="AQ156" t="inlineStr">
        <x:is>
          <x:t xml:space="preserve"/>
        </x:is>
      </x:c>
      <x:c r="AR156" t="inlineStr">
        <x:is>
          <x:t xml:space="preserve">NONE</x:t>
        </x:is>
      </x:c>
      <x:c r="AS156" t="inlineStr">
        <x:is>
          <x:t xml:space="preserve"/>
        </x:is>
      </x:c>
      <x:c r="AT156" t="inlineStr">
        <x:is>
          <x:t xml:space="preserve">SUCCESS</x:t>
        </x:is>
      </x:c>
      <x:c r="AU156" t="n">
        <x:f>IF((COUNT('Quantification_Results'!AO156)=1),IFERROR(ROUND((SUM(('Quantification_Results'!AO156*'Quantification_Config'!$R$15))/SUM('Quantification_Config'!$R$15)),'Quantification_Config'!$U$2),""),"")</x:f>
        <x:v>50</x:v>
      </x:c>
      <x:c r="AV156" t="n">
        <x:f>IF((COUNT('Quantification_Results'!AU156)=1),IFERROR(ROUND((SUM(('Quantification_Results'!AU156*'Quantification_Config'!$R$14))/SUM('Quantification_Config'!$R$14)),'Quantification_Config'!$U$2),""),"")</x:f>
        <x:v>50</x:v>
      </x:c>
      <x:c r="AW156" t="n">
        <x:v>1</x:v>
      </x:c>
      <x:c r="AX156" t="n">
        <x:v>5</x:v>
      </x:c>
      <x:c r="AY156"/>
      <x:c r="AZ156" t="n">
        <x:f>IF(('Quantification_Results'!AW156&lt;&gt;1),"",IF(('Quantification_Results'!AY156=""),IF(ISNUMBER('Quantification_Results'!AX156),IF(('Quantification_Results'!AX156&lt;'Quantification_Config'!$S$19),"",IF(('Quantification_Results'!AX156&gt;'Quantification_Config'!$T$19),"",'Quantification_Results'!AX156)),""),IF(ISNUMBER('Quantification_Results'!AY156),IF(('Quantification_Results'!AY156&lt;'Quantification_Config'!$S$19),"",IF(('Quantification_Results'!AY156&gt;'Quantification_Config'!$T$19),"",'Quantification_Results'!AY156)),"")))</x:f>
        <x:v>5</x:v>
      </x:c>
      <x:c r="BA156" t="n">
        <x:f>IF(ISNUMBER('Quantification_Results'!AZ156),IFERROR(ROUND(((('Quantification_Results'!AZ156-'Quantification_Config'!$S$19)/('Quantification_Config'!$T$19-'Quantification_Config'!$S$19))*100),'Quantification_Config'!$U$2),""),"")</x:f>
        <x:v>50</x:v>
      </x:c>
      <x:c r="BB156" t="inlineStr">
        <x:is>
          <x:t xml:space="preserve">SYSTEM-TEST-ONLY-NO-NETWORK-NOT-AN-EDUCATIONAL-EVALUATION</x:t>
        </x:is>
      </x:c>
      <x:c r="BC156" t="inlineStr">
        <x:is>
          <x:t xml:space="preserve"/>
        </x:is>
      </x:c>
      <x:c r="BD156" t="inlineStr">
        <x:is>
          <x:t xml:space="preserve">NONE</x:t>
        </x:is>
      </x:c>
      <x:c r="BE156" t="inlineStr">
        <x:is>
          <x:t xml:space="preserve"/>
        </x:is>
      </x:c>
      <x:c r="BF156" t="inlineStr">
        <x:is>
          <x:t xml:space="preserve">SUCCESS</x:t>
        </x:is>
      </x:c>
      <x:c r="BG156" t="n">
        <x:f>IF((COUNT('Quantification_Results'!BA156)=1),IFERROR(ROUND((SUM(('Quantification_Results'!BA156*'Quantification_Config'!$R$19))/SUM('Quantification_Config'!$R$19)),'Quantification_Config'!$U$2),""),"")</x:f>
        <x:v>50</x:v>
      </x:c>
      <x:c r="BH156" t="n">
        <x:f>IF((COUNT('Quantification_Results'!BG156)=1),IFERROR(ROUND((SUM(('Quantification_Results'!BG156*'Quantification_Config'!$R$18))/SUM('Quantification_Config'!$R$18)),'Quantification_Config'!$U$2),""),"")</x:f>
        <x:v>50</x:v>
      </x:c>
      <x:c r="BI156">
        <x:f>IF((COUNT('Quantification_Results'!L156,'Quantification_Results'!X156,'Quantification_Results'!AJ156,'Quantification_Results'!AV156,'Quantification_Results'!BH156)=5),IFERROR(ROUND((SUM(('Quantification_Results'!L156*'Quantification_Config'!$R$4),('Quantification_Results'!X156*'Quantification_Config'!$R$7),('Quantification_Results'!AJ156*'Quantification_Config'!$R$10),('Quantification_Results'!AV156*'Quantification_Config'!$R$13),('Quantification_Results'!BH156*'Quantification_Config'!$R$16))/SUM('Quantification_Config'!$R$4,'Quantification_Config'!$R$7,'Quantification_Config'!$R$10,'Quantification_Config'!$R$13,'Quantification_Config'!$R$16)),'Quantification_Config'!$U$2),""),"")</x:f>
      </x:c>
    </x:row>
    <x:row r="157">
      <x:c r="A157" t="n">
        <x:v>1</x:v>
      </x:c>
      <x:c r="B157" t="n">
        <x:v>5</x:v>
      </x:c>
      <x:c r="C157"/>
      <x:c r="D157" t="n">
        <x:f>IF(('Quantification_Results'!A157&lt;&gt;1),"",IF(('Quantification_Results'!C157=""),IF(ISNUMBER('Quantification_Results'!B157),IF(('Quantification_Results'!B157&lt;'Quantification_Config'!$S$6),"",IF(('Quantification_Results'!B157&gt;'Quantification_Config'!$T$6),"",'Quantification_Results'!B157)),""),IF(ISNUMBER('Quantification_Results'!C157),IF(('Quantification_Results'!C157&lt;'Quantification_Config'!$S$6),"",IF(('Quantification_Results'!C157&gt;'Quantification_Config'!$T$6),"",'Quantification_Results'!C157)),"")))</x:f>
        <x:v>5</x:v>
      </x:c>
      <x:c r="E157" t="n">
        <x:f>IF(ISNUMBER('Quantification_Results'!D157),IFERROR(ROUND(((('Quantification_Results'!D157-'Quantification_Config'!$S$6)/('Quantification_Config'!$T$6-'Quantification_Config'!$S$6))*100),'Quantification_Config'!$U$2),""),"")</x:f>
        <x:v>50</x:v>
      </x:c>
      <x:c r="F157" t="inlineStr">
        <x:is>
          <x:t xml:space="preserve">SYSTEM-TEST-ONLY-NO-NETWORK-NOT-AN-EDUCATIONAL-EVALUATION</x:t>
        </x:is>
      </x:c>
      <x:c r="G157" t="inlineStr">
        <x:is>
          <x:t xml:space="preserve"/>
        </x:is>
      </x:c>
      <x:c r="H157" t="inlineStr">
        <x:is>
          <x:t xml:space="preserve">NONE</x:t>
        </x:is>
      </x:c>
      <x:c r="I157" t="inlineStr">
        <x:is>
          <x:t xml:space="preserve"/>
        </x:is>
      </x:c>
      <x:c r="J157" t="inlineStr">
        <x:is>
          <x:t xml:space="preserve">SUCCESS</x:t>
        </x:is>
      </x:c>
      <x:c r="K157" t="n">
        <x:f>IF((COUNT('Quantification_Results'!E157)=1),IFERROR(ROUND((SUM(('Quantification_Results'!E157*'Quantification_Config'!$R$6))/SUM('Quantification_Config'!$R$6)),'Quantification_Config'!$U$2),""),"")</x:f>
        <x:v>50</x:v>
      </x:c>
      <x:c r="L157" t="n">
        <x:f>IF((COUNT('Quantification_Results'!K157)=1),IFERROR(ROUND((SUM(('Quantification_Results'!K157*'Quantification_Config'!$R$5))/SUM('Quantification_Config'!$R$5)),'Quantification_Config'!$U$2),""),"")</x:f>
        <x:v>50</x:v>
      </x:c>
      <x:c r="M157" t="n">
        <x:v>1</x:v>
      </x:c>
      <x:c r="N157" t="n">
        <x:v>5</x:v>
      </x:c>
      <x:c r="O157"/>
      <x:c r="P157" t="n">
        <x:f>IF(('Quantification_Results'!M157&lt;&gt;1),"",IF(('Quantification_Results'!O157=""),IF(ISNUMBER('Quantification_Results'!N157),IF(('Quantification_Results'!N157&lt;'Quantification_Config'!$S$9),"",IF(('Quantification_Results'!N157&gt;'Quantification_Config'!$T$9),"",'Quantification_Results'!N157)),""),IF(ISNUMBER('Quantification_Results'!O157),IF(('Quantification_Results'!O157&lt;'Quantification_Config'!$S$9),"",IF(('Quantification_Results'!O157&gt;'Quantification_Config'!$T$9),"",'Quantification_Results'!O157)),"")))</x:f>
        <x:v>5</x:v>
      </x:c>
      <x:c r="Q157" t="n">
        <x:f>IF(ISNUMBER('Quantification_Results'!P157),IFERROR(ROUND(((('Quantification_Results'!P157-'Quantification_Config'!$S$9)/('Quantification_Config'!$T$9-'Quantification_Config'!$S$9))*100),'Quantification_Config'!$U$2),""),"")</x:f>
        <x:v>50</x:v>
      </x:c>
      <x:c r="R157" t="inlineStr">
        <x:is>
          <x:t xml:space="preserve">SYSTEM-TEST-ONLY-NO-NETWORK-NOT-AN-EDUCATIONAL-EVALUATION</x:t>
        </x:is>
      </x:c>
      <x:c r="S157" t="inlineStr">
        <x:is>
          <x:t xml:space="preserve"/>
        </x:is>
      </x:c>
      <x:c r="T157" t="inlineStr">
        <x:is>
          <x:t xml:space="preserve">NONE</x:t>
        </x:is>
      </x:c>
      <x:c r="U157" t="inlineStr">
        <x:is>
          <x:t xml:space="preserve"/>
        </x:is>
      </x:c>
      <x:c r="V157" t="inlineStr">
        <x:is>
          <x:t xml:space="preserve">SUCCESS</x:t>
        </x:is>
      </x:c>
      <x:c r="W157" t="n">
        <x:f>IF((COUNT('Quantification_Results'!Q157)=1),IFERROR(ROUND((SUM(('Quantification_Results'!Q157*'Quantification_Config'!$R$9))/SUM('Quantification_Config'!$R$9)),'Quantification_Config'!$U$2),""),"")</x:f>
        <x:v>50</x:v>
      </x:c>
      <x:c r="X157" t="n">
        <x:f>IF((COUNT('Quantification_Results'!W157)=1),IFERROR(ROUND((SUM(('Quantification_Results'!W157*'Quantification_Config'!$R$8))/SUM('Quantification_Config'!$R$8)),'Quantification_Config'!$U$2),""),"")</x:f>
        <x:v>50</x:v>
      </x:c>
      <x:c r="Y157" t="n">
        <x:v>0</x:v>
      </x:c>
      <x:c r="Z157"/>
      <x:c r="AA157"/>
      <x:c r="AB157">
        <x:f>IF(('Quantification_Results'!Y157&lt;&gt;1),"",IF(('Quantification_Results'!AA157=""),IF(ISNUMBER('Quantification_Results'!Z157),IF(('Quantification_Results'!Z157&lt;'Quantification_Config'!$S$12),"",IF(('Quantification_Results'!Z157&gt;'Quantification_Config'!$T$12),"",'Quantification_Results'!Z157)),""),IF(ISNUMBER('Quantification_Results'!AA157),IF(('Quantification_Results'!AA157&lt;'Quantification_Config'!$S$12),"",IF(('Quantification_Results'!AA157&gt;'Quantification_Config'!$T$12),"",'Quantification_Results'!AA157)),"")))</x:f>
      </x:c>
      <x:c r="AC157">
        <x:f>IF(ISNUMBER('Quantification_Results'!AB157),IFERROR(ROUND(((('Quantification_Results'!AB157-'Quantification_Config'!$S$12)/('Quantification_Config'!$T$12-'Quantification_Config'!$S$12))*100),'Quantification_Config'!$U$2),""),"")</x:f>
      </x:c>
      <x:c r="AD157" t="inlineStr">
        <x:is>
          <x:t xml:space="preserve"/>
        </x:is>
      </x:c>
      <x:c r="AE157" t="inlineStr">
        <x:is>
          <x:t xml:space="preserve"/>
        </x:is>
      </x:c>
      <x:c r="AF157" t="inlineStr">
        <x:is>
          <x:t xml:space="preserve"/>
        </x:is>
      </x:c>
      <x:c r="AG157" t="inlineStr">
        <x:is>
          <x:t xml:space="preserve"/>
        </x:is>
      </x:c>
      <x:c r="AH157" t="inlineStr">
        <x:is>
          <x:t xml:space="preserve">EMPTY</x:t>
        </x:is>
      </x:c>
      <x:c r="AI157">
        <x:f>IF((COUNT('Quantification_Results'!AC157)=1),IFERROR(ROUND((SUM(('Quantification_Results'!AC157*'Quantification_Config'!$R$12))/SUM('Quantification_Config'!$R$12)),'Quantification_Config'!$U$2),""),"")</x:f>
      </x:c>
      <x:c r="AJ157">
        <x:f>IF((COUNT('Quantification_Results'!AI157)=1),IFERROR(ROUND((SUM(('Quantification_Results'!AI157*'Quantification_Config'!$R$11))/SUM('Quantification_Config'!$R$11)),'Quantification_Config'!$U$2),""),"")</x:f>
      </x:c>
      <x:c r="AK157" t="n">
        <x:v>1</x:v>
      </x:c>
      <x:c r="AL157" t="n">
        <x:v>5</x:v>
      </x:c>
      <x:c r="AM157"/>
      <x:c r="AN157" t="n">
        <x:f>IF(('Quantification_Results'!AK157&lt;&gt;1),"",IF(('Quantification_Results'!AM157=""),IF(ISNUMBER('Quantification_Results'!AL157),IF(('Quantification_Results'!AL157&lt;'Quantification_Config'!$S$15),"",IF(('Quantification_Results'!AL157&gt;'Quantification_Config'!$T$15),"",'Quantification_Results'!AL157)),""),IF(ISNUMBER('Quantification_Results'!AM157),IF(('Quantification_Results'!AM157&lt;'Quantification_Config'!$S$15),"",IF(('Quantification_Results'!AM157&gt;'Quantification_Config'!$T$15),"",'Quantification_Results'!AM157)),"")))</x:f>
        <x:v>5</x:v>
      </x:c>
      <x:c r="AO157" t="n">
        <x:f>IF(ISNUMBER('Quantification_Results'!AN157),IFERROR(ROUND(((('Quantification_Results'!AN157-'Quantification_Config'!$S$15)/('Quantification_Config'!$T$15-'Quantification_Config'!$S$15))*100),'Quantification_Config'!$U$2),""),"")</x:f>
        <x:v>50</x:v>
      </x:c>
      <x:c r="AP157" t="inlineStr">
        <x:is>
          <x:t xml:space="preserve">SYSTEM-TEST-ONLY-NO-NETWORK-NOT-AN-EDUCATIONAL-EVALUATION</x:t>
        </x:is>
      </x:c>
      <x:c r="AQ157" t="inlineStr">
        <x:is>
          <x:t xml:space="preserve"/>
        </x:is>
      </x:c>
      <x:c r="AR157" t="inlineStr">
        <x:is>
          <x:t xml:space="preserve">NONE</x:t>
        </x:is>
      </x:c>
      <x:c r="AS157" t="inlineStr">
        <x:is>
          <x:t xml:space="preserve"/>
        </x:is>
      </x:c>
      <x:c r="AT157" t="inlineStr">
        <x:is>
          <x:t xml:space="preserve">SUCCESS</x:t>
        </x:is>
      </x:c>
      <x:c r="AU157" t="n">
        <x:f>IF((COUNT('Quantification_Results'!AO157)=1),IFERROR(ROUND((SUM(('Quantification_Results'!AO157*'Quantification_Config'!$R$15))/SUM('Quantification_Config'!$R$15)),'Quantification_Config'!$U$2),""),"")</x:f>
        <x:v>50</x:v>
      </x:c>
      <x:c r="AV157" t="n">
        <x:f>IF((COUNT('Quantification_Results'!AU157)=1),IFERROR(ROUND((SUM(('Quantification_Results'!AU157*'Quantification_Config'!$R$14))/SUM('Quantification_Config'!$R$14)),'Quantification_Config'!$U$2),""),"")</x:f>
        <x:v>50</x:v>
      </x:c>
      <x:c r="AW157" t="n">
        <x:v>1</x:v>
      </x:c>
      <x:c r="AX157" t="n">
        <x:v>5</x:v>
      </x:c>
      <x:c r="AY157"/>
      <x:c r="AZ157" t="n">
        <x:f>IF(('Quantification_Results'!AW157&lt;&gt;1),"",IF(('Quantification_Results'!AY157=""),IF(ISNUMBER('Quantification_Results'!AX157),IF(('Quantification_Results'!AX157&lt;'Quantification_Config'!$S$19),"",IF(('Quantification_Results'!AX157&gt;'Quantification_Config'!$T$19),"",'Quantification_Results'!AX157)),""),IF(ISNUMBER('Quantification_Results'!AY157),IF(('Quantification_Results'!AY157&lt;'Quantification_Config'!$S$19),"",IF(('Quantification_Results'!AY157&gt;'Quantification_Config'!$T$19),"",'Quantification_Results'!AY157)),"")))</x:f>
        <x:v>5</x:v>
      </x:c>
      <x:c r="BA157" t="n">
        <x:f>IF(ISNUMBER('Quantification_Results'!AZ157),IFERROR(ROUND(((('Quantification_Results'!AZ157-'Quantification_Config'!$S$19)/('Quantification_Config'!$T$19-'Quantification_Config'!$S$19))*100),'Quantification_Config'!$U$2),""),"")</x:f>
        <x:v>50</x:v>
      </x:c>
      <x:c r="BB157" t="inlineStr">
        <x:is>
          <x:t xml:space="preserve">SYSTEM-TEST-ONLY-NO-NETWORK-NOT-AN-EDUCATIONAL-EVALUATION</x:t>
        </x:is>
      </x:c>
      <x:c r="BC157" t="inlineStr">
        <x:is>
          <x:t xml:space="preserve"/>
        </x:is>
      </x:c>
      <x:c r="BD157" t="inlineStr">
        <x:is>
          <x:t xml:space="preserve">NONE</x:t>
        </x:is>
      </x:c>
      <x:c r="BE157" t="inlineStr">
        <x:is>
          <x:t xml:space="preserve"/>
        </x:is>
      </x:c>
      <x:c r="BF157" t="inlineStr">
        <x:is>
          <x:t xml:space="preserve">SUCCESS</x:t>
        </x:is>
      </x:c>
      <x:c r="BG157" t="n">
        <x:f>IF((COUNT('Quantification_Results'!BA157)=1),IFERROR(ROUND((SUM(('Quantification_Results'!BA157*'Quantification_Config'!$R$19))/SUM('Quantification_Config'!$R$19)),'Quantification_Config'!$U$2),""),"")</x:f>
        <x:v>50</x:v>
      </x:c>
      <x:c r="BH157" t="n">
        <x:f>IF((COUNT('Quantification_Results'!BG157)=1),IFERROR(ROUND((SUM(('Quantification_Results'!BG157*'Quantification_Config'!$R$18))/SUM('Quantification_Config'!$R$18)),'Quantification_Config'!$U$2),""),"")</x:f>
        <x:v>50</x:v>
      </x:c>
      <x:c r="BI157">
        <x:f>IF((COUNT('Quantification_Results'!L157,'Quantification_Results'!X157,'Quantification_Results'!AJ157,'Quantification_Results'!AV157,'Quantification_Results'!BH157)=5),IFERROR(ROUND((SUM(('Quantification_Results'!L157*'Quantification_Config'!$R$4),('Quantification_Results'!X157*'Quantification_Config'!$R$7),('Quantification_Results'!AJ157*'Quantification_Config'!$R$10),('Quantification_Results'!AV157*'Quantification_Config'!$R$13),('Quantification_Results'!BH157*'Quantification_Config'!$R$16))/SUM('Quantification_Config'!$R$4,'Quantification_Config'!$R$7,'Quantification_Config'!$R$10,'Quantification_Config'!$R$13,'Quantification_Config'!$R$16)),'Quantification_Config'!$U$2),""),"")</x:f>
      </x:c>
    </x:row>
    <x:row r="158">
      <x:c r="A158" t="n">
        <x:v>1</x:v>
      </x:c>
      <x:c r="B158" t="n">
        <x:v>5</x:v>
      </x:c>
      <x:c r="C158"/>
      <x:c r="D158" t="n">
        <x:f>IF(('Quantification_Results'!A158&lt;&gt;1),"",IF(('Quantification_Results'!C158=""),IF(ISNUMBER('Quantification_Results'!B158),IF(('Quantification_Results'!B158&lt;'Quantification_Config'!$S$6),"",IF(('Quantification_Results'!B158&gt;'Quantification_Config'!$T$6),"",'Quantification_Results'!B158)),""),IF(ISNUMBER('Quantification_Results'!C158),IF(('Quantification_Results'!C158&lt;'Quantification_Config'!$S$6),"",IF(('Quantification_Results'!C158&gt;'Quantification_Config'!$T$6),"",'Quantification_Results'!C158)),"")))</x:f>
        <x:v>5</x:v>
      </x:c>
      <x:c r="E158" t="n">
        <x:f>IF(ISNUMBER('Quantification_Results'!D158),IFERROR(ROUND(((('Quantification_Results'!D158-'Quantification_Config'!$S$6)/('Quantification_Config'!$T$6-'Quantification_Config'!$S$6))*100),'Quantification_Config'!$U$2),""),"")</x:f>
        <x:v>50</x:v>
      </x:c>
      <x:c r="F158" t="inlineStr">
        <x:is>
          <x:t xml:space="preserve">SYSTEM-TEST-ONLY-NO-NETWORK-NOT-AN-EDUCATIONAL-EVALUATION</x:t>
        </x:is>
      </x:c>
      <x:c r="G158" t="inlineStr">
        <x:is>
          <x:t xml:space="preserve"/>
        </x:is>
      </x:c>
      <x:c r="H158" t="inlineStr">
        <x:is>
          <x:t xml:space="preserve">NONE</x:t>
        </x:is>
      </x:c>
      <x:c r="I158" t="inlineStr">
        <x:is>
          <x:t xml:space="preserve"/>
        </x:is>
      </x:c>
      <x:c r="J158" t="inlineStr">
        <x:is>
          <x:t xml:space="preserve">SUCCESS</x:t>
        </x:is>
      </x:c>
      <x:c r="K158" t="n">
        <x:f>IF((COUNT('Quantification_Results'!E158)=1),IFERROR(ROUND((SUM(('Quantification_Results'!E158*'Quantification_Config'!$R$6))/SUM('Quantification_Config'!$R$6)),'Quantification_Config'!$U$2),""),"")</x:f>
        <x:v>50</x:v>
      </x:c>
      <x:c r="L158" t="n">
        <x:f>IF((COUNT('Quantification_Results'!K158)=1),IFERROR(ROUND((SUM(('Quantification_Results'!K158*'Quantification_Config'!$R$5))/SUM('Quantification_Config'!$R$5)),'Quantification_Config'!$U$2),""),"")</x:f>
        <x:v>50</x:v>
      </x:c>
      <x:c r="M158" t="n">
        <x:v>1</x:v>
      </x:c>
      <x:c r="N158" t="n">
        <x:v>5</x:v>
      </x:c>
      <x:c r="O158"/>
      <x:c r="P158" t="n">
        <x:f>IF(('Quantification_Results'!M158&lt;&gt;1),"",IF(('Quantification_Results'!O158=""),IF(ISNUMBER('Quantification_Results'!N158),IF(('Quantification_Results'!N158&lt;'Quantification_Config'!$S$9),"",IF(('Quantification_Results'!N158&gt;'Quantification_Config'!$T$9),"",'Quantification_Results'!N158)),""),IF(ISNUMBER('Quantification_Results'!O158),IF(('Quantification_Results'!O158&lt;'Quantification_Config'!$S$9),"",IF(('Quantification_Results'!O158&gt;'Quantification_Config'!$T$9),"",'Quantification_Results'!O158)),"")))</x:f>
        <x:v>5</x:v>
      </x:c>
      <x:c r="Q158" t="n">
        <x:f>IF(ISNUMBER('Quantification_Results'!P158),IFERROR(ROUND(((('Quantification_Results'!P158-'Quantification_Config'!$S$9)/('Quantification_Config'!$T$9-'Quantification_Config'!$S$9))*100),'Quantification_Config'!$U$2),""),"")</x:f>
        <x:v>50</x:v>
      </x:c>
      <x:c r="R158" t="inlineStr">
        <x:is>
          <x:t xml:space="preserve">SYSTEM-TEST-ONLY-NO-NETWORK-NOT-AN-EDUCATIONAL-EVALUATION</x:t>
        </x:is>
      </x:c>
      <x:c r="S158" t="inlineStr">
        <x:is>
          <x:t xml:space="preserve"/>
        </x:is>
      </x:c>
      <x:c r="T158" t="inlineStr">
        <x:is>
          <x:t xml:space="preserve">NONE</x:t>
        </x:is>
      </x:c>
      <x:c r="U158" t="inlineStr">
        <x:is>
          <x:t xml:space="preserve"/>
        </x:is>
      </x:c>
      <x:c r="V158" t="inlineStr">
        <x:is>
          <x:t xml:space="preserve">SUCCESS</x:t>
        </x:is>
      </x:c>
      <x:c r="W158" t="n">
        <x:f>IF((COUNT('Quantification_Results'!Q158)=1),IFERROR(ROUND((SUM(('Quantification_Results'!Q158*'Quantification_Config'!$R$9))/SUM('Quantification_Config'!$R$9)),'Quantification_Config'!$U$2),""),"")</x:f>
        <x:v>50</x:v>
      </x:c>
      <x:c r="X158" t="n">
        <x:f>IF((COUNT('Quantification_Results'!W158)=1),IFERROR(ROUND((SUM(('Quantification_Results'!W158*'Quantification_Config'!$R$8))/SUM('Quantification_Config'!$R$8)),'Quantification_Config'!$U$2),""),"")</x:f>
        <x:v>50</x:v>
      </x:c>
      <x:c r="Y158" t="n">
        <x:v>1</x:v>
      </x:c>
      <x:c r="Z158" t="n">
        <x:v>5</x:v>
      </x:c>
      <x:c r="AA158"/>
      <x:c r="AB158" t="n">
        <x:f>IF(('Quantification_Results'!Y158&lt;&gt;1),"",IF(('Quantification_Results'!AA158=""),IF(ISNUMBER('Quantification_Results'!Z158),IF(('Quantification_Results'!Z158&lt;'Quantification_Config'!$S$12),"",IF(('Quantification_Results'!Z158&gt;'Quantification_Config'!$T$12),"",'Quantification_Results'!Z158)),""),IF(ISNUMBER('Quantification_Results'!AA158),IF(('Quantification_Results'!AA158&lt;'Quantification_Config'!$S$12),"",IF(('Quantification_Results'!AA158&gt;'Quantification_Config'!$T$12),"",'Quantification_Results'!AA158)),"")))</x:f>
        <x:v>5</x:v>
      </x:c>
      <x:c r="AC158" t="n">
        <x:f>IF(ISNUMBER('Quantification_Results'!AB158),IFERROR(ROUND(((('Quantification_Results'!AB158-'Quantification_Config'!$S$12)/('Quantification_Config'!$T$12-'Quantification_Config'!$S$12))*100),'Quantification_Config'!$U$2),""),"")</x:f>
        <x:v>50</x:v>
      </x:c>
      <x:c r="AD158" t="inlineStr">
        <x:is>
          <x:t xml:space="preserve">SYSTEM-TEST-ONLY-NO-NETWORK-NOT-AN-EDUCATIONAL-EVALUATION</x:t>
        </x:is>
      </x:c>
      <x:c r="AE158" t="inlineStr">
        <x:is>
          <x:t xml:space="preserve"/>
        </x:is>
      </x:c>
      <x:c r="AF158" t="inlineStr">
        <x:is>
          <x:t xml:space="preserve">NONE</x:t>
        </x:is>
      </x:c>
      <x:c r="AG158" t="inlineStr">
        <x:is>
          <x:t xml:space="preserve"/>
        </x:is>
      </x:c>
      <x:c r="AH158" t="inlineStr">
        <x:is>
          <x:t xml:space="preserve">SUCCESS</x:t>
        </x:is>
      </x:c>
      <x:c r="AI158" t="n">
        <x:f>IF((COUNT('Quantification_Results'!AC158)=1),IFERROR(ROUND((SUM(('Quantification_Results'!AC158*'Quantification_Config'!$R$12))/SUM('Quantification_Config'!$R$12)),'Quantification_Config'!$U$2),""),"")</x:f>
        <x:v>50</x:v>
      </x:c>
      <x:c r="AJ158" t="n">
        <x:f>IF((COUNT('Quantification_Results'!AI158)=1),IFERROR(ROUND((SUM(('Quantification_Results'!AI158*'Quantification_Config'!$R$11))/SUM('Quantification_Config'!$R$11)),'Quantification_Config'!$U$2),""),"")</x:f>
        <x:v>50</x:v>
      </x:c>
      <x:c r="AK158" t="n">
        <x:v>1</x:v>
      </x:c>
      <x:c r="AL158" t="n">
        <x:v>5</x:v>
      </x:c>
      <x:c r="AM158"/>
      <x:c r="AN158" t="n">
        <x:f>IF(('Quantification_Results'!AK158&lt;&gt;1),"",IF(('Quantification_Results'!AM158=""),IF(ISNUMBER('Quantification_Results'!AL158),IF(('Quantification_Results'!AL158&lt;'Quantification_Config'!$S$15),"",IF(('Quantification_Results'!AL158&gt;'Quantification_Config'!$T$15),"",'Quantification_Results'!AL158)),""),IF(ISNUMBER('Quantification_Results'!AM158),IF(('Quantification_Results'!AM158&lt;'Quantification_Config'!$S$15),"",IF(('Quantification_Results'!AM158&gt;'Quantification_Config'!$T$15),"",'Quantification_Results'!AM158)),"")))</x:f>
        <x:v>5</x:v>
      </x:c>
      <x:c r="AO158" t="n">
        <x:f>IF(ISNUMBER('Quantification_Results'!AN158),IFERROR(ROUND(((('Quantification_Results'!AN158-'Quantification_Config'!$S$15)/('Quantification_Config'!$T$15-'Quantification_Config'!$S$15))*100),'Quantification_Config'!$U$2),""),"")</x:f>
        <x:v>50</x:v>
      </x:c>
      <x:c r="AP158" t="inlineStr">
        <x:is>
          <x:t xml:space="preserve">SYSTEM-TEST-ONLY-NO-NETWORK-NOT-AN-EDUCATIONAL-EVALUATION</x:t>
        </x:is>
      </x:c>
      <x:c r="AQ158" t="inlineStr">
        <x:is>
          <x:t xml:space="preserve"/>
        </x:is>
      </x:c>
      <x:c r="AR158" t="inlineStr">
        <x:is>
          <x:t xml:space="preserve">NONE</x:t>
        </x:is>
      </x:c>
      <x:c r="AS158" t="inlineStr">
        <x:is>
          <x:t xml:space="preserve"/>
        </x:is>
      </x:c>
      <x:c r="AT158" t="inlineStr">
        <x:is>
          <x:t xml:space="preserve">SUCCESS</x:t>
        </x:is>
      </x:c>
      <x:c r="AU158" t="n">
        <x:f>IF((COUNT('Quantification_Results'!AO158)=1),IFERROR(ROUND((SUM(('Quantification_Results'!AO158*'Quantification_Config'!$R$15))/SUM('Quantification_Config'!$R$15)),'Quantification_Config'!$U$2),""),"")</x:f>
        <x:v>50</x:v>
      </x:c>
      <x:c r="AV158" t="n">
        <x:f>IF((COUNT('Quantification_Results'!AU158)=1),IFERROR(ROUND((SUM(('Quantification_Results'!AU158*'Quantification_Config'!$R$14))/SUM('Quantification_Config'!$R$14)),'Quantification_Config'!$U$2),""),"")</x:f>
        <x:v>50</x:v>
      </x:c>
      <x:c r="AW158" t="n">
        <x:v>1</x:v>
      </x:c>
      <x:c r="AX158" t="n">
        <x:v>5</x:v>
      </x:c>
      <x:c r="AY158"/>
      <x:c r="AZ158" t="n">
        <x:f>IF(('Quantification_Results'!AW158&lt;&gt;1),"",IF(('Quantification_Results'!AY158=""),IF(ISNUMBER('Quantification_Results'!AX158),IF(('Quantification_Results'!AX158&lt;'Quantification_Config'!$S$19),"",IF(('Quantification_Results'!AX158&gt;'Quantification_Config'!$T$19),"",'Quantification_Results'!AX158)),""),IF(ISNUMBER('Quantification_Results'!AY158),IF(('Quantification_Results'!AY158&lt;'Quantification_Config'!$S$19),"",IF(('Quantification_Results'!AY158&gt;'Quantification_Config'!$T$19),"",'Quantification_Results'!AY158)),"")))</x:f>
        <x:v>5</x:v>
      </x:c>
      <x:c r="BA158" t="n">
        <x:f>IF(ISNUMBER('Quantification_Results'!AZ158),IFERROR(ROUND(((('Quantification_Results'!AZ158-'Quantification_Config'!$S$19)/('Quantification_Config'!$T$19-'Quantification_Config'!$S$19))*100),'Quantification_Config'!$U$2),""),"")</x:f>
        <x:v>50</x:v>
      </x:c>
      <x:c r="BB158" t="inlineStr">
        <x:is>
          <x:t xml:space="preserve">SYSTEM-TEST-ONLY-NO-NETWORK-NOT-AN-EDUCATIONAL-EVALUATION</x:t>
        </x:is>
      </x:c>
      <x:c r="BC158" t="inlineStr">
        <x:is>
          <x:t xml:space="preserve"/>
        </x:is>
      </x:c>
      <x:c r="BD158" t="inlineStr">
        <x:is>
          <x:t xml:space="preserve">NONE</x:t>
        </x:is>
      </x:c>
      <x:c r="BE158" t="inlineStr">
        <x:is>
          <x:t xml:space="preserve"/>
        </x:is>
      </x:c>
      <x:c r="BF158" t="inlineStr">
        <x:is>
          <x:t xml:space="preserve">SUCCESS</x:t>
        </x:is>
      </x:c>
      <x:c r="BG158" t="n">
        <x:f>IF((COUNT('Quantification_Results'!BA158)=1),IFERROR(ROUND((SUM(('Quantification_Results'!BA158*'Quantification_Config'!$R$19))/SUM('Quantification_Config'!$R$19)),'Quantification_Config'!$U$2),""),"")</x:f>
        <x:v>50</x:v>
      </x:c>
      <x:c r="BH158" t="n">
        <x:f>IF((COUNT('Quantification_Results'!BG158)=1),IFERROR(ROUND((SUM(('Quantification_Results'!BG158*'Quantification_Config'!$R$18))/SUM('Quantification_Config'!$R$18)),'Quantification_Config'!$U$2),""),"")</x:f>
        <x:v>50</x:v>
      </x:c>
      <x:c r="BI158" t="n">
        <x:f>IF((COUNT('Quantification_Results'!L158,'Quantification_Results'!X158,'Quantification_Results'!AJ158,'Quantification_Results'!AV158,'Quantification_Results'!BH158)=5),IFERROR(ROUND((SUM(('Quantification_Results'!L158*'Quantification_Config'!$R$4),('Quantification_Results'!X158*'Quantification_Config'!$R$7),('Quantification_Results'!AJ158*'Quantification_Config'!$R$10),('Quantification_Results'!AV158*'Quantification_Config'!$R$13),('Quantification_Results'!BH158*'Quantification_Config'!$R$16))/SUM('Quantification_Config'!$R$4,'Quantification_Config'!$R$7,'Quantification_Config'!$R$10,'Quantification_Config'!$R$13,'Quantification_Config'!$R$16)),'Quantification_Config'!$U$2),""),"")</x:f>
        <x:v>50</x:v>
      </x:c>
    </x:row>
    <x:row r="159">
      <x:c r="A159" t="n">
        <x:v>1</x:v>
      </x:c>
      <x:c r="B159" t="n">
        <x:v>5</x:v>
      </x:c>
      <x:c r="C159"/>
      <x:c r="D159" t="n">
        <x:f>IF(('Quantification_Results'!A159&lt;&gt;1),"",IF(('Quantification_Results'!C159=""),IF(ISNUMBER('Quantification_Results'!B159),IF(('Quantification_Results'!B159&lt;'Quantification_Config'!$S$6),"",IF(('Quantification_Results'!B159&gt;'Quantification_Config'!$T$6),"",'Quantification_Results'!B159)),""),IF(ISNUMBER('Quantification_Results'!C159),IF(('Quantification_Results'!C159&lt;'Quantification_Config'!$S$6),"",IF(('Quantification_Results'!C159&gt;'Quantification_Config'!$T$6),"",'Quantification_Results'!C159)),"")))</x:f>
        <x:v>5</x:v>
      </x:c>
      <x:c r="E159" t="n">
        <x:f>IF(ISNUMBER('Quantification_Results'!D159),IFERROR(ROUND(((('Quantification_Results'!D159-'Quantification_Config'!$S$6)/('Quantification_Config'!$T$6-'Quantification_Config'!$S$6))*100),'Quantification_Config'!$U$2),""),"")</x:f>
        <x:v>50</x:v>
      </x:c>
      <x:c r="F159" t="inlineStr">
        <x:is>
          <x:t xml:space="preserve">SYSTEM-TEST-ONLY-NO-NETWORK-NOT-AN-EDUCATIONAL-EVALUATION</x:t>
        </x:is>
      </x:c>
      <x:c r="G159" t="inlineStr">
        <x:is>
          <x:t xml:space="preserve"/>
        </x:is>
      </x:c>
      <x:c r="H159" t="inlineStr">
        <x:is>
          <x:t xml:space="preserve">NONE</x:t>
        </x:is>
      </x:c>
      <x:c r="I159" t="inlineStr">
        <x:is>
          <x:t xml:space="preserve"/>
        </x:is>
      </x:c>
      <x:c r="J159" t="inlineStr">
        <x:is>
          <x:t xml:space="preserve">SUCCESS</x:t>
        </x:is>
      </x:c>
      <x:c r="K159" t="n">
        <x:f>IF((COUNT('Quantification_Results'!E159)=1),IFERROR(ROUND((SUM(('Quantification_Results'!E159*'Quantification_Config'!$R$6))/SUM('Quantification_Config'!$R$6)),'Quantification_Config'!$U$2),""),"")</x:f>
        <x:v>50</x:v>
      </x:c>
      <x:c r="L159" t="n">
        <x:f>IF((COUNT('Quantification_Results'!K159)=1),IFERROR(ROUND((SUM(('Quantification_Results'!K159*'Quantification_Config'!$R$5))/SUM('Quantification_Config'!$R$5)),'Quantification_Config'!$U$2),""),"")</x:f>
        <x:v>50</x:v>
      </x:c>
      <x:c r="M159" t="n">
        <x:v>1</x:v>
      </x:c>
      <x:c r="N159" t="n">
        <x:v>5</x:v>
      </x:c>
      <x:c r="O159"/>
      <x:c r="P159" t="n">
        <x:f>IF(('Quantification_Results'!M159&lt;&gt;1),"",IF(('Quantification_Results'!O159=""),IF(ISNUMBER('Quantification_Results'!N159),IF(('Quantification_Results'!N159&lt;'Quantification_Config'!$S$9),"",IF(('Quantification_Results'!N159&gt;'Quantification_Config'!$T$9),"",'Quantification_Results'!N159)),""),IF(ISNUMBER('Quantification_Results'!O159),IF(('Quantification_Results'!O159&lt;'Quantification_Config'!$S$9),"",IF(('Quantification_Results'!O159&gt;'Quantification_Config'!$T$9),"",'Quantification_Results'!O159)),"")))</x:f>
        <x:v>5</x:v>
      </x:c>
      <x:c r="Q159" t="n">
        <x:f>IF(ISNUMBER('Quantification_Results'!P159),IFERROR(ROUND(((('Quantification_Results'!P159-'Quantification_Config'!$S$9)/('Quantification_Config'!$T$9-'Quantification_Config'!$S$9))*100),'Quantification_Config'!$U$2),""),"")</x:f>
        <x:v>50</x:v>
      </x:c>
      <x:c r="R159" t="inlineStr">
        <x:is>
          <x:t xml:space="preserve">SYSTEM-TEST-ONLY-NO-NETWORK-NOT-AN-EDUCATIONAL-EVALUATION</x:t>
        </x:is>
      </x:c>
      <x:c r="S159" t="inlineStr">
        <x:is>
          <x:t xml:space="preserve"/>
        </x:is>
      </x:c>
      <x:c r="T159" t="inlineStr">
        <x:is>
          <x:t xml:space="preserve">NONE</x:t>
        </x:is>
      </x:c>
      <x:c r="U159" t="inlineStr">
        <x:is>
          <x:t xml:space="preserve"/>
        </x:is>
      </x:c>
      <x:c r="V159" t="inlineStr">
        <x:is>
          <x:t xml:space="preserve">SUCCESS</x:t>
        </x:is>
      </x:c>
      <x:c r="W159" t="n">
        <x:f>IF((COUNT('Quantification_Results'!Q159)=1),IFERROR(ROUND((SUM(('Quantification_Results'!Q159*'Quantification_Config'!$R$9))/SUM('Quantification_Config'!$R$9)),'Quantification_Config'!$U$2),""),"")</x:f>
        <x:v>50</x:v>
      </x:c>
      <x:c r="X159" t="n">
        <x:f>IF((COUNT('Quantification_Results'!W159)=1),IFERROR(ROUND((SUM(('Quantification_Results'!W159*'Quantification_Config'!$R$8))/SUM('Quantification_Config'!$R$8)),'Quantification_Config'!$U$2),""),"")</x:f>
        <x:v>50</x:v>
      </x:c>
      <x:c r="Y159" t="n">
        <x:v>0</x:v>
      </x:c>
      <x:c r="Z159"/>
      <x:c r="AA159"/>
      <x:c r="AB159">
        <x:f>IF(('Quantification_Results'!Y159&lt;&gt;1),"",IF(('Quantification_Results'!AA159=""),IF(ISNUMBER('Quantification_Results'!Z159),IF(('Quantification_Results'!Z159&lt;'Quantification_Config'!$S$12),"",IF(('Quantification_Results'!Z159&gt;'Quantification_Config'!$T$12),"",'Quantification_Results'!Z159)),""),IF(ISNUMBER('Quantification_Results'!AA159),IF(('Quantification_Results'!AA159&lt;'Quantification_Config'!$S$12),"",IF(('Quantification_Results'!AA159&gt;'Quantification_Config'!$T$12),"",'Quantification_Results'!AA159)),"")))</x:f>
      </x:c>
      <x:c r="AC159">
        <x:f>IF(ISNUMBER('Quantification_Results'!AB159),IFERROR(ROUND(((('Quantification_Results'!AB159-'Quantification_Config'!$S$12)/('Quantification_Config'!$T$12-'Quantification_Config'!$S$12))*100),'Quantification_Config'!$U$2),""),"")</x:f>
      </x:c>
      <x:c r="AD159" t="inlineStr">
        <x:is>
          <x:t xml:space="preserve"/>
        </x:is>
      </x:c>
      <x:c r="AE159" t="inlineStr">
        <x:is>
          <x:t xml:space="preserve"/>
        </x:is>
      </x:c>
      <x:c r="AF159" t="inlineStr">
        <x:is>
          <x:t xml:space="preserve"/>
        </x:is>
      </x:c>
      <x:c r="AG159" t="inlineStr">
        <x:is>
          <x:t xml:space="preserve"/>
        </x:is>
      </x:c>
      <x:c r="AH159" t="inlineStr">
        <x:is>
          <x:t xml:space="preserve">EMPTY</x:t>
        </x:is>
      </x:c>
      <x:c r="AI159">
        <x:f>IF((COUNT('Quantification_Results'!AC159)=1),IFERROR(ROUND((SUM(('Quantification_Results'!AC159*'Quantification_Config'!$R$12))/SUM('Quantification_Config'!$R$12)),'Quantification_Config'!$U$2),""),"")</x:f>
      </x:c>
      <x:c r="AJ159">
        <x:f>IF((COUNT('Quantification_Results'!AI159)=1),IFERROR(ROUND((SUM(('Quantification_Results'!AI159*'Quantification_Config'!$R$11))/SUM('Quantification_Config'!$R$11)),'Quantification_Config'!$U$2),""),"")</x:f>
      </x:c>
      <x:c r="AK159" t="n">
        <x:v>1</x:v>
      </x:c>
      <x:c r="AL159" t="n">
        <x:v>5</x:v>
      </x:c>
      <x:c r="AM159"/>
      <x:c r="AN159" t="n">
        <x:f>IF(('Quantification_Results'!AK159&lt;&gt;1),"",IF(('Quantification_Results'!AM159=""),IF(ISNUMBER('Quantification_Results'!AL159),IF(('Quantification_Results'!AL159&lt;'Quantification_Config'!$S$15),"",IF(('Quantification_Results'!AL159&gt;'Quantification_Config'!$T$15),"",'Quantification_Results'!AL159)),""),IF(ISNUMBER('Quantification_Results'!AM159),IF(('Quantification_Results'!AM159&lt;'Quantification_Config'!$S$15),"",IF(('Quantification_Results'!AM159&gt;'Quantification_Config'!$T$15),"",'Quantification_Results'!AM159)),"")))</x:f>
        <x:v>5</x:v>
      </x:c>
      <x:c r="AO159" t="n">
        <x:f>IF(ISNUMBER('Quantification_Results'!AN159),IFERROR(ROUND(((('Quantification_Results'!AN159-'Quantification_Config'!$S$15)/('Quantification_Config'!$T$15-'Quantification_Config'!$S$15))*100),'Quantification_Config'!$U$2),""),"")</x:f>
        <x:v>50</x:v>
      </x:c>
      <x:c r="AP159" t="inlineStr">
        <x:is>
          <x:t xml:space="preserve">SYSTEM-TEST-ONLY-NO-NETWORK-NOT-AN-EDUCATIONAL-EVALUATION</x:t>
        </x:is>
      </x:c>
      <x:c r="AQ159" t="inlineStr">
        <x:is>
          <x:t xml:space="preserve"/>
        </x:is>
      </x:c>
      <x:c r="AR159" t="inlineStr">
        <x:is>
          <x:t xml:space="preserve">NONE</x:t>
        </x:is>
      </x:c>
      <x:c r="AS159" t="inlineStr">
        <x:is>
          <x:t xml:space="preserve"/>
        </x:is>
      </x:c>
      <x:c r="AT159" t="inlineStr">
        <x:is>
          <x:t xml:space="preserve">SUCCESS</x:t>
        </x:is>
      </x:c>
      <x:c r="AU159" t="n">
        <x:f>IF((COUNT('Quantification_Results'!AO159)=1),IFERROR(ROUND((SUM(('Quantification_Results'!AO159*'Quantification_Config'!$R$15))/SUM('Quantification_Config'!$R$15)),'Quantification_Config'!$U$2),""),"")</x:f>
        <x:v>50</x:v>
      </x:c>
      <x:c r="AV159" t="n">
        <x:f>IF((COUNT('Quantification_Results'!AU159)=1),IFERROR(ROUND((SUM(('Quantification_Results'!AU159*'Quantification_Config'!$R$14))/SUM('Quantification_Config'!$R$14)),'Quantification_Config'!$U$2),""),"")</x:f>
        <x:v>50</x:v>
      </x:c>
      <x:c r="AW159" t="n">
        <x:v>1</x:v>
      </x:c>
      <x:c r="AX159" t="n">
        <x:v>5</x:v>
      </x:c>
      <x:c r="AY159"/>
      <x:c r="AZ159" t="n">
        <x:f>IF(('Quantification_Results'!AW159&lt;&gt;1),"",IF(('Quantification_Results'!AY159=""),IF(ISNUMBER('Quantification_Results'!AX159),IF(('Quantification_Results'!AX159&lt;'Quantification_Config'!$S$19),"",IF(('Quantification_Results'!AX159&gt;'Quantification_Config'!$T$19),"",'Quantification_Results'!AX159)),""),IF(ISNUMBER('Quantification_Results'!AY159),IF(('Quantification_Results'!AY159&lt;'Quantification_Config'!$S$19),"",IF(('Quantification_Results'!AY159&gt;'Quantification_Config'!$T$19),"",'Quantification_Results'!AY159)),"")))</x:f>
        <x:v>5</x:v>
      </x:c>
      <x:c r="BA159" t="n">
        <x:f>IF(ISNUMBER('Quantification_Results'!AZ159),IFERROR(ROUND(((('Quantification_Results'!AZ159-'Quantification_Config'!$S$19)/('Quantification_Config'!$T$19-'Quantification_Config'!$S$19))*100),'Quantification_Config'!$U$2),""),"")</x:f>
        <x:v>50</x:v>
      </x:c>
      <x:c r="BB159" t="inlineStr">
        <x:is>
          <x:t xml:space="preserve">SYSTEM-TEST-ONLY-NO-NETWORK-NOT-AN-EDUCATIONAL-EVALUATION</x:t>
        </x:is>
      </x:c>
      <x:c r="BC159" t="inlineStr">
        <x:is>
          <x:t xml:space="preserve"/>
        </x:is>
      </x:c>
      <x:c r="BD159" t="inlineStr">
        <x:is>
          <x:t xml:space="preserve">NONE</x:t>
        </x:is>
      </x:c>
      <x:c r="BE159" t="inlineStr">
        <x:is>
          <x:t xml:space="preserve"/>
        </x:is>
      </x:c>
      <x:c r="BF159" t="inlineStr">
        <x:is>
          <x:t xml:space="preserve">SUCCESS</x:t>
        </x:is>
      </x:c>
      <x:c r="BG159" t="n">
        <x:f>IF((COUNT('Quantification_Results'!BA159)=1),IFERROR(ROUND((SUM(('Quantification_Results'!BA159*'Quantification_Config'!$R$19))/SUM('Quantification_Config'!$R$19)),'Quantification_Config'!$U$2),""),"")</x:f>
        <x:v>50</x:v>
      </x:c>
      <x:c r="BH159" t="n">
        <x:f>IF((COUNT('Quantification_Results'!BG159)=1),IFERROR(ROUND((SUM(('Quantification_Results'!BG159*'Quantification_Config'!$R$18))/SUM('Quantification_Config'!$R$18)),'Quantification_Config'!$U$2),""),"")</x:f>
        <x:v>50</x:v>
      </x:c>
      <x:c r="BI159">
        <x:f>IF((COUNT('Quantification_Results'!L159,'Quantification_Results'!X159,'Quantification_Results'!AJ159,'Quantification_Results'!AV159,'Quantification_Results'!BH159)=5),IFERROR(ROUND((SUM(('Quantification_Results'!L159*'Quantification_Config'!$R$4),('Quantification_Results'!X159*'Quantification_Config'!$R$7),('Quantification_Results'!AJ159*'Quantification_Config'!$R$10),('Quantification_Results'!AV159*'Quantification_Config'!$R$13),('Quantification_Results'!BH159*'Quantification_Config'!$R$16))/SUM('Quantification_Config'!$R$4,'Quantification_Config'!$R$7,'Quantification_Config'!$R$10,'Quantification_Config'!$R$13,'Quantification_Config'!$R$16)),'Quantification_Config'!$U$2),""),"")</x:f>
      </x:c>
    </x:row>
    <x:row r="160">
      <x:c r="A160" t="n">
        <x:v>1</x:v>
      </x:c>
      <x:c r="B160" t="n">
        <x:v>5</x:v>
      </x:c>
      <x:c r="C160"/>
      <x:c r="D160" t="n">
        <x:f>IF(('Quantification_Results'!A160&lt;&gt;1),"",IF(('Quantification_Results'!C160=""),IF(ISNUMBER('Quantification_Results'!B160),IF(('Quantification_Results'!B160&lt;'Quantification_Config'!$S$6),"",IF(('Quantification_Results'!B160&gt;'Quantification_Config'!$T$6),"",'Quantification_Results'!B160)),""),IF(ISNUMBER('Quantification_Results'!C160),IF(('Quantification_Results'!C160&lt;'Quantification_Config'!$S$6),"",IF(('Quantification_Results'!C160&gt;'Quantification_Config'!$T$6),"",'Quantification_Results'!C160)),"")))</x:f>
        <x:v>5</x:v>
      </x:c>
      <x:c r="E160" t="n">
        <x:f>IF(ISNUMBER('Quantification_Results'!D160),IFERROR(ROUND(((('Quantification_Results'!D160-'Quantification_Config'!$S$6)/('Quantification_Config'!$T$6-'Quantification_Config'!$S$6))*100),'Quantification_Config'!$U$2),""),"")</x:f>
        <x:v>50</x:v>
      </x:c>
      <x:c r="F160" t="inlineStr">
        <x:is>
          <x:t xml:space="preserve">SYSTEM-TEST-ONLY-NO-NETWORK-NOT-AN-EDUCATIONAL-EVALUATION</x:t>
        </x:is>
      </x:c>
      <x:c r="G160" t="inlineStr">
        <x:is>
          <x:t xml:space="preserve"/>
        </x:is>
      </x:c>
      <x:c r="H160" t="inlineStr">
        <x:is>
          <x:t xml:space="preserve">NONE</x:t>
        </x:is>
      </x:c>
      <x:c r="I160" t="inlineStr">
        <x:is>
          <x:t xml:space="preserve"/>
        </x:is>
      </x:c>
      <x:c r="J160" t="inlineStr">
        <x:is>
          <x:t xml:space="preserve">SUCCESS</x:t>
        </x:is>
      </x:c>
      <x:c r="K160" t="n">
        <x:f>IF((COUNT('Quantification_Results'!E160)=1),IFERROR(ROUND((SUM(('Quantification_Results'!E160*'Quantification_Config'!$R$6))/SUM('Quantification_Config'!$R$6)),'Quantification_Config'!$U$2),""),"")</x:f>
        <x:v>50</x:v>
      </x:c>
      <x:c r="L160" t="n">
        <x:f>IF((COUNT('Quantification_Results'!K160)=1),IFERROR(ROUND((SUM(('Quantification_Results'!K160*'Quantification_Config'!$R$5))/SUM('Quantification_Config'!$R$5)),'Quantification_Config'!$U$2),""),"")</x:f>
        <x:v>50</x:v>
      </x:c>
      <x:c r="M160" t="n">
        <x:v>1</x:v>
      </x:c>
      <x:c r="N160" t="n">
        <x:v>5</x:v>
      </x:c>
      <x:c r="O160"/>
      <x:c r="P160" t="n">
        <x:f>IF(('Quantification_Results'!M160&lt;&gt;1),"",IF(('Quantification_Results'!O160=""),IF(ISNUMBER('Quantification_Results'!N160),IF(('Quantification_Results'!N160&lt;'Quantification_Config'!$S$9),"",IF(('Quantification_Results'!N160&gt;'Quantification_Config'!$T$9),"",'Quantification_Results'!N160)),""),IF(ISNUMBER('Quantification_Results'!O160),IF(('Quantification_Results'!O160&lt;'Quantification_Config'!$S$9),"",IF(('Quantification_Results'!O160&gt;'Quantification_Config'!$T$9),"",'Quantification_Results'!O160)),"")))</x:f>
        <x:v>5</x:v>
      </x:c>
      <x:c r="Q160" t="n">
        <x:f>IF(ISNUMBER('Quantification_Results'!P160),IFERROR(ROUND(((('Quantification_Results'!P160-'Quantification_Config'!$S$9)/('Quantification_Config'!$T$9-'Quantification_Config'!$S$9))*100),'Quantification_Config'!$U$2),""),"")</x:f>
        <x:v>50</x:v>
      </x:c>
      <x:c r="R160" t="inlineStr">
        <x:is>
          <x:t xml:space="preserve">SYSTEM-TEST-ONLY-NO-NETWORK-NOT-AN-EDUCATIONAL-EVALUATION</x:t>
        </x:is>
      </x:c>
      <x:c r="S160" t="inlineStr">
        <x:is>
          <x:t xml:space="preserve"/>
        </x:is>
      </x:c>
      <x:c r="T160" t="inlineStr">
        <x:is>
          <x:t xml:space="preserve">NONE</x:t>
        </x:is>
      </x:c>
      <x:c r="U160" t="inlineStr">
        <x:is>
          <x:t xml:space="preserve"/>
        </x:is>
      </x:c>
      <x:c r="V160" t="inlineStr">
        <x:is>
          <x:t xml:space="preserve">SUCCESS</x:t>
        </x:is>
      </x:c>
      <x:c r="W160" t="n">
        <x:f>IF((COUNT('Quantification_Results'!Q160)=1),IFERROR(ROUND((SUM(('Quantification_Results'!Q160*'Quantification_Config'!$R$9))/SUM('Quantification_Config'!$R$9)),'Quantification_Config'!$U$2),""),"")</x:f>
        <x:v>50</x:v>
      </x:c>
      <x:c r="X160" t="n">
        <x:f>IF((COUNT('Quantification_Results'!W160)=1),IFERROR(ROUND((SUM(('Quantification_Results'!W160*'Quantification_Config'!$R$8))/SUM('Quantification_Config'!$R$8)),'Quantification_Config'!$U$2),""),"")</x:f>
        <x:v>50</x:v>
      </x:c>
      <x:c r="Y160" t="n">
        <x:v>1</x:v>
      </x:c>
      <x:c r="Z160" t="n">
        <x:v>5</x:v>
      </x:c>
      <x:c r="AA160"/>
      <x:c r="AB160" t="n">
        <x:f>IF(('Quantification_Results'!Y160&lt;&gt;1),"",IF(('Quantification_Results'!AA160=""),IF(ISNUMBER('Quantification_Results'!Z160),IF(('Quantification_Results'!Z160&lt;'Quantification_Config'!$S$12),"",IF(('Quantification_Results'!Z160&gt;'Quantification_Config'!$T$12),"",'Quantification_Results'!Z160)),""),IF(ISNUMBER('Quantification_Results'!AA160),IF(('Quantification_Results'!AA160&lt;'Quantification_Config'!$S$12),"",IF(('Quantification_Results'!AA160&gt;'Quantification_Config'!$T$12),"",'Quantification_Results'!AA160)),"")))</x:f>
        <x:v>5</x:v>
      </x:c>
      <x:c r="AC160" t="n">
        <x:f>IF(ISNUMBER('Quantification_Results'!AB160),IFERROR(ROUND(((('Quantification_Results'!AB160-'Quantification_Config'!$S$12)/('Quantification_Config'!$T$12-'Quantification_Config'!$S$12))*100),'Quantification_Config'!$U$2),""),"")</x:f>
        <x:v>50</x:v>
      </x:c>
      <x:c r="AD160" t="inlineStr">
        <x:is>
          <x:t xml:space="preserve">SYSTEM-TEST-ONLY-NO-NETWORK-NOT-AN-EDUCATIONAL-EVALUATION</x:t>
        </x:is>
      </x:c>
      <x:c r="AE160" t="inlineStr">
        <x:is>
          <x:t xml:space="preserve"/>
        </x:is>
      </x:c>
      <x:c r="AF160" t="inlineStr">
        <x:is>
          <x:t xml:space="preserve">NONE</x:t>
        </x:is>
      </x:c>
      <x:c r="AG160" t="inlineStr">
        <x:is>
          <x:t xml:space="preserve"/>
        </x:is>
      </x:c>
      <x:c r="AH160" t="inlineStr">
        <x:is>
          <x:t xml:space="preserve">SUCCESS</x:t>
        </x:is>
      </x:c>
      <x:c r="AI160" t="n">
        <x:f>IF((COUNT('Quantification_Results'!AC160)=1),IFERROR(ROUND((SUM(('Quantification_Results'!AC160*'Quantification_Config'!$R$12))/SUM('Quantification_Config'!$R$12)),'Quantification_Config'!$U$2),""),"")</x:f>
        <x:v>50</x:v>
      </x:c>
      <x:c r="AJ160" t="n">
        <x:f>IF((COUNT('Quantification_Results'!AI160)=1),IFERROR(ROUND((SUM(('Quantification_Results'!AI160*'Quantification_Config'!$R$11))/SUM('Quantification_Config'!$R$11)),'Quantification_Config'!$U$2),""),"")</x:f>
        <x:v>50</x:v>
      </x:c>
      <x:c r="AK160" t="n">
        <x:v>1</x:v>
      </x:c>
      <x:c r="AL160" t="n">
        <x:v>5</x:v>
      </x:c>
      <x:c r="AM160"/>
      <x:c r="AN160" t="n">
        <x:f>IF(('Quantification_Results'!AK160&lt;&gt;1),"",IF(('Quantification_Results'!AM160=""),IF(ISNUMBER('Quantification_Results'!AL160),IF(('Quantification_Results'!AL160&lt;'Quantification_Config'!$S$15),"",IF(('Quantification_Results'!AL160&gt;'Quantification_Config'!$T$15),"",'Quantification_Results'!AL160)),""),IF(ISNUMBER('Quantification_Results'!AM160),IF(('Quantification_Results'!AM160&lt;'Quantification_Config'!$S$15),"",IF(('Quantification_Results'!AM160&gt;'Quantification_Config'!$T$15),"",'Quantification_Results'!AM160)),"")))</x:f>
        <x:v>5</x:v>
      </x:c>
      <x:c r="AO160" t="n">
        <x:f>IF(ISNUMBER('Quantification_Results'!AN160),IFERROR(ROUND(((('Quantification_Results'!AN160-'Quantification_Config'!$S$15)/('Quantification_Config'!$T$15-'Quantification_Config'!$S$15))*100),'Quantification_Config'!$U$2),""),"")</x:f>
        <x:v>50</x:v>
      </x:c>
      <x:c r="AP160" t="inlineStr">
        <x:is>
          <x:t xml:space="preserve">SYSTEM-TEST-ONLY-NO-NETWORK-NOT-AN-EDUCATIONAL-EVALUATION</x:t>
        </x:is>
      </x:c>
      <x:c r="AQ160" t="inlineStr">
        <x:is>
          <x:t xml:space="preserve"/>
        </x:is>
      </x:c>
      <x:c r="AR160" t="inlineStr">
        <x:is>
          <x:t xml:space="preserve">NONE</x:t>
        </x:is>
      </x:c>
      <x:c r="AS160" t="inlineStr">
        <x:is>
          <x:t xml:space="preserve"/>
        </x:is>
      </x:c>
      <x:c r="AT160" t="inlineStr">
        <x:is>
          <x:t xml:space="preserve">SUCCESS</x:t>
        </x:is>
      </x:c>
      <x:c r="AU160" t="n">
        <x:f>IF((COUNT('Quantification_Results'!AO160)=1),IFERROR(ROUND((SUM(('Quantification_Results'!AO160*'Quantification_Config'!$R$15))/SUM('Quantification_Config'!$R$15)),'Quantification_Config'!$U$2),""),"")</x:f>
        <x:v>50</x:v>
      </x:c>
      <x:c r="AV160" t="n">
        <x:f>IF((COUNT('Quantification_Results'!AU160)=1),IFERROR(ROUND((SUM(('Quantification_Results'!AU160*'Quantification_Config'!$R$14))/SUM('Quantification_Config'!$R$14)),'Quantification_Config'!$U$2),""),"")</x:f>
        <x:v>50</x:v>
      </x:c>
      <x:c r="AW160" t="n">
        <x:v>1</x:v>
      </x:c>
      <x:c r="AX160" t="n">
        <x:v>5</x:v>
      </x:c>
      <x:c r="AY160"/>
      <x:c r="AZ160" t="n">
        <x:f>IF(('Quantification_Results'!AW160&lt;&gt;1),"",IF(('Quantification_Results'!AY160=""),IF(ISNUMBER('Quantification_Results'!AX160),IF(('Quantification_Results'!AX160&lt;'Quantification_Config'!$S$19),"",IF(('Quantification_Results'!AX160&gt;'Quantification_Config'!$T$19),"",'Quantification_Results'!AX160)),""),IF(ISNUMBER('Quantification_Results'!AY160),IF(('Quantification_Results'!AY160&lt;'Quantification_Config'!$S$19),"",IF(('Quantification_Results'!AY160&gt;'Quantification_Config'!$T$19),"",'Quantification_Results'!AY160)),"")))</x:f>
        <x:v>5</x:v>
      </x:c>
      <x:c r="BA160" t="n">
        <x:f>IF(ISNUMBER('Quantification_Results'!AZ160),IFERROR(ROUND(((('Quantification_Results'!AZ160-'Quantification_Config'!$S$19)/('Quantification_Config'!$T$19-'Quantification_Config'!$S$19))*100),'Quantification_Config'!$U$2),""),"")</x:f>
        <x:v>50</x:v>
      </x:c>
      <x:c r="BB160" t="inlineStr">
        <x:is>
          <x:t xml:space="preserve">SYSTEM-TEST-ONLY-NO-NETWORK-NOT-AN-EDUCATIONAL-EVALUATION</x:t>
        </x:is>
      </x:c>
      <x:c r="BC160" t="inlineStr">
        <x:is>
          <x:t xml:space="preserve"/>
        </x:is>
      </x:c>
      <x:c r="BD160" t="inlineStr">
        <x:is>
          <x:t xml:space="preserve">NONE</x:t>
        </x:is>
      </x:c>
      <x:c r="BE160" t="inlineStr">
        <x:is>
          <x:t xml:space="preserve"/>
        </x:is>
      </x:c>
      <x:c r="BF160" t="inlineStr">
        <x:is>
          <x:t xml:space="preserve">SUCCESS</x:t>
        </x:is>
      </x:c>
      <x:c r="BG160" t="n">
        <x:f>IF((COUNT('Quantification_Results'!BA160)=1),IFERROR(ROUND((SUM(('Quantification_Results'!BA160*'Quantification_Config'!$R$19))/SUM('Quantification_Config'!$R$19)),'Quantification_Config'!$U$2),""),"")</x:f>
        <x:v>50</x:v>
      </x:c>
      <x:c r="BH160" t="n">
        <x:f>IF((COUNT('Quantification_Results'!BG160)=1),IFERROR(ROUND((SUM(('Quantification_Results'!BG160*'Quantification_Config'!$R$18))/SUM('Quantification_Config'!$R$18)),'Quantification_Config'!$U$2),""),"")</x:f>
        <x:v>50</x:v>
      </x:c>
      <x:c r="BI160" t="n">
        <x:f>IF((COUNT('Quantification_Results'!L160,'Quantification_Results'!X160,'Quantification_Results'!AJ160,'Quantification_Results'!AV160,'Quantification_Results'!BH160)=5),IFERROR(ROUND((SUM(('Quantification_Results'!L160*'Quantification_Config'!$R$4),('Quantification_Results'!X160*'Quantification_Config'!$R$7),('Quantification_Results'!AJ160*'Quantification_Config'!$R$10),('Quantification_Results'!AV160*'Quantification_Config'!$R$13),('Quantification_Results'!BH160*'Quantification_Config'!$R$16))/SUM('Quantification_Config'!$R$4,'Quantification_Config'!$R$7,'Quantification_Config'!$R$10,'Quantification_Config'!$R$13,'Quantification_Config'!$R$16)),'Quantification_Config'!$U$2),""),"")</x:f>
        <x:v>50</x:v>
      </x:c>
    </x:row>
    <x:row r="161">
      <x:c r="A161" t="n">
        <x:v>1</x:v>
      </x:c>
      <x:c r="B161" t="n">
        <x:v>5</x:v>
      </x:c>
      <x:c r="C161"/>
      <x:c r="D161" t="n">
        <x:f>IF(('Quantification_Results'!A161&lt;&gt;1),"",IF(('Quantification_Results'!C161=""),IF(ISNUMBER('Quantification_Results'!B161),IF(('Quantification_Results'!B161&lt;'Quantification_Config'!$S$6),"",IF(('Quantification_Results'!B161&gt;'Quantification_Config'!$T$6),"",'Quantification_Results'!B161)),""),IF(ISNUMBER('Quantification_Results'!C161),IF(('Quantification_Results'!C161&lt;'Quantification_Config'!$S$6),"",IF(('Quantification_Results'!C161&gt;'Quantification_Config'!$T$6),"",'Quantification_Results'!C161)),"")))</x:f>
        <x:v>5</x:v>
      </x:c>
      <x:c r="E161" t="n">
        <x:f>IF(ISNUMBER('Quantification_Results'!D161),IFERROR(ROUND(((('Quantification_Results'!D161-'Quantification_Config'!$S$6)/('Quantification_Config'!$T$6-'Quantification_Config'!$S$6))*100),'Quantification_Config'!$U$2),""),"")</x:f>
        <x:v>50</x:v>
      </x:c>
      <x:c r="F161" t="inlineStr">
        <x:is>
          <x:t xml:space="preserve">SYSTEM-TEST-ONLY-NO-NETWORK-NOT-AN-EDUCATIONAL-EVALUATION</x:t>
        </x:is>
      </x:c>
      <x:c r="G161" t="inlineStr">
        <x:is>
          <x:t xml:space="preserve"/>
        </x:is>
      </x:c>
      <x:c r="H161" t="inlineStr">
        <x:is>
          <x:t xml:space="preserve">NONE</x:t>
        </x:is>
      </x:c>
      <x:c r="I161" t="inlineStr">
        <x:is>
          <x:t xml:space="preserve"/>
        </x:is>
      </x:c>
      <x:c r="J161" t="inlineStr">
        <x:is>
          <x:t xml:space="preserve">SUCCESS</x:t>
        </x:is>
      </x:c>
      <x:c r="K161" t="n">
        <x:f>IF((COUNT('Quantification_Results'!E161)=1),IFERROR(ROUND((SUM(('Quantification_Results'!E161*'Quantification_Config'!$R$6))/SUM('Quantification_Config'!$R$6)),'Quantification_Config'!$U$2),""),"")</x:f>
        <x:v>50</x:v>
      </x:c>
      <x:c r="L161" t="n">
        <x:f>IF((COUNT('Quantification_Results'!K161)=1),IFERROR(ROUND((SUM(('Quantification_Results'!K161*'Quantification_Config'!$R$5))/SUM('Quantification_Config'!$R$5)),'Quantification_Config'!$U$2),""),"")</x:f>
        <x:v>50</x:v>
      </x:c>
      <x:c r="M161" t="n">
        <x:v>0</x:v>
      </x:c>
      <x:c r="N161"/>
      <x:c r="O161"/>
      <x:c r="P161">
        <x:f>IF(('Quantification_Results'!M161&lt;&gt;1),"",IF(('Quantification_Results'!O161=""),IF(ISNUMBER('Quantification_Results'!N161),IF(('Quantification_Results'!N161&lt;'Quantification_Config'!$S$9),"",IF(('Quantification_Results'!N161&gt;'Quantification_Config'!$T$9),"",'Quantification_Results'!N161)),""),IF(ISNUMBER('Quantification_Results'!O161),IF(('Quantification_Results'!O161&lt;'Quantification_Config'!$S$9),"",IF(('Quantification_Results'!O161&gt;'Quantification_Config'!$T$9),"",'Quantification_Results'!O161)),"")))</x:f>
      </x:c>
      <x:c r="Q161">
        <x:f>IF(ISNUMBER('Quantification_Results'!P161),IFERROR(ROUND(((('Quantification_Results'!P161-'Quantification_Config'!$S$9)/('Quantification_Config'!$T$9-'Quantification_Config'!$S$9))*100),'Quantification_Config'!$U$2),""),"")</x:f>
      </x:c>
      <x:c r="R161" t="inlineStr">
        <x:is>
          <x:t xml:space="preserve"/>
        </x:is>
      </x:c>
      <x:c r="S161" t="inlineStr">
        <x:is>
          <x:t xml:space="preserve"/>
        </x:is>
      </x:c>
      <x:c r="T161" t="inlineStr">
        <x:is>
          <x:t xml:space="preserve"/>
        </x:is>
      </x:c>
      <x:c r="U161" t="inlineStr">
        <x:is>
          <x:t xml:space="preserve"/>
        </x:is>
      </x:c>
      <x:c r="V161" t="inlineStr">
        <x:is>
          <x:t xml:space="preserve">EMPTY</x:t>
        </x:is>
      </x:c>
      <x:c r="W161">
        <x:f>IF((COUNT('Quantification_Results'!Q161)=1),IFERROR(ROUND((SUM(('Quantification_Results'!Q161*'Quantification_Config'!$R$9))/SUM('Quantification_Config'!$R$9)),'Quantification_Config'!$U$2),""),"")</x:f>
      </x:c>
      <x:c r="X161">
        <x:f>IF((COUNT('Quantification_Results'!W161)=1),IFERROR(ROUND((SUM(('Quantification_Results'!W161*'Quantification_Config'!$R$8))/SUM('Quantification_Config'!$R$8)),'Quantification_Config'!$U$2),""),"")</x:f>
      </x:c>
      <x:c r="Y161" t="n">
        <x:v>0</x:v>
      </x:c>
      <x:c r="Z161"/>
      <x:c r="AA161"/>
      <x:c r="AB161">
        <x:f>IF(('Quantification_Results'!Y161&lt;&gt;1),"",IF(('Quantification_Results'!AA161=""),IF(ISNUMBER('Quantification_Results'!Z161),IF(('Quantification_Results'!Z161&lt;'Quantification_Config'!$S$12),"",IF(('Quantification_Results'!Z161&gt;'Quantification_Config'!$T$12),"",'Quantification_Results'!Z161)),""),IF(ISNUMBER('Quantification_Results'!AA161),IF(('Quantification_Results'!AA161&lt;'Quantification_Config'!$S$12),"",IF(('Quantification_Results'!AA161&gt;'Quantification_Config'!$T$12),"",'Quantification_Results'!AA161)),"")))</x:f>
      </x:c>
      <x:c r="AC161">
        <x:f>IF(ISNUMBER('Quantification_Results'!AB161),IFERROR(ROUND(((('Quantification_Results'!AB161-'Quantification_Config'!$S$12)/('Quantification_Config'!$T$12-'Quantification_Config'!$S$12))*100),'Quantification_Config'!$U$2),""),"")</x:f>
      </x:c>
      <x:c r="AD161" t="inlineStr">
        <x:is>
          <x:t xml:space="preserve"/>
        </x:is>
      </x:c>
      <x:c r="AE161" t="inlineStr">
        <x:is>
          <x:t xml:space="preserve"/>
        </x:is>
      </x:c>
      <x:c r="AF161" t="inlineStr">
        <x:is>
          <x:t xml:space="preserve"/>
        </x:is>
      </x:c>
      <x:c r="AG161" t="inlineStr">
        <x:is>
          <x:t xml:space="preserve"/>
        </x:is>
      </x:c>
      <x:c r="AH161" t="inlineStr">
        <x:is>
          <x:t xml:space="preserve">EMPTY</x:t>
        </x:is>
      </x:c>
      <x:c r="AI161">
        <x:f>IF((COUNT('Quantification_Results'!AC161)=1),IFERROR(ROUND((SUM(('Quantification_Results'!AC161*'Quantification_Config'!$R$12))/SUM('Quantification_Config'!$R$12)),'Quantification_Config'!$U$2),""),"")</x:f>
      </x:c>
      <x:c r="AJ161">
        <x:f>IF((COUNT('Quantification_Results'!AI161)=1),IFERROR(ROUND((SUM(('Quantification_Results'!AI161*'Quantification_Config'!$R$11))/SUM('Quantification_Config'!$R$11)),'Quantification_Config'!$U$2),""),"")</x:f>
      </x:c>
      <x:c r="AK161" t="n">
        <x:v>1</x:v>
      </x:c>
      <x:c r="AL161" t="n">
        <x:v>5</x:v>
      </x:c>
      <x:c r="AM161"/>
      <x:c r="AN161" t="n">
        <x:f>IF(('Quantification_Results'!AK161&lt;&gt;1),"",IF(('Quantification_Results'!AM161=""),IF(ISNUMBER('Quantification_Results'!AL161),IF(('Quantification_Results'!AL161&lt;'Quantification_Config'!$S$15),"",IF(('Quantification_Results'!AL161&gt;'Quantification_Config'!$T$15),"",'Quantification_Results'!AL161)),""),IF(ISNUMBER('Quantification_Results'!AM161),IF(('Quantification_Results'!AM161&lt;'Quantification_Config'!$S$15),"",IF(('Quantification_Results'!AM161&gt;'Quantification_Config'!$T$15),"",'Quantification_Results'!AM161)),"")))</x:f>
        <x:v>5</x:v>
      </x:c>
      <x:c r="AO161" t="n">
        <x:f>IF(ISNUMBER('Quantification_Results'!AN161),IFERROR(ROUND(((('Quantification_Results'!AN161-'Quantification_Config'!$S$15)/('Quantification_Config'!$T$15-'Quantification_Config'!$S$15))*100),'Quantification_Config'!$U$2),""),"")</x:f>
        <x:v>50</x:v>
      </x:c>
      <x:c r="AP161" t="inlineStr">
        <x:is>
          <x:t xml:space="preserve">SYSTEM-TEST-ONLY-NO-NETWORK-NOT-AN-EDUCATIONAL-EVALUATION</x:t>
        </x:is>
      </x:c>
      <x:c r="AQ161" t="inlineStr">
        <x:is>
          <x:t xml:space="preserve"/>
        </x:is>
      </x:c>
      <x:c r="AR161" t="inlineStr">
        <x:is>
          <x:t xml:space="preserve">NONE</x:t>
        </x:is>
      </x:c>
      <x:c r="AS161" t="inlineStr">
        <x:is>
          <x:t xml:space="preserve"/>
        </x:is>
      </x:c>
      <x:c r="AT161" t="inlineStr">
        <x:is>
          <x:t xml:space="preserve">SUCCESS</x:t>
        </x:is>
      </x:c>
      <x:c r="AU161" t="n">
        <x:f>IF((COUNT('Quantification_Results'!AO161)=1),IFERROR(ROUND((SUM(('Quantification_Results'!AO161*'Quantification_Config'!$R$15))/SUM('Quantification_Config'!$R$15)),'Quantification_Config'!$U$2),""),"")</x:f>
        <x:v>50</x:v>
      </x:c>
      <x:c r="AV161" t="n">
        <x:f>IF((COUNT('Quantification_Results'!AU161)=1),IFERROR(ROUND((SUM(('Quantification_Results'!AU161*'Quantification_Config'!$R$14))/SUM('Quantification_Config'!$R$14)),'Quantification_Config'!$U$2),""),"")</x:f>
        <x:v>50</x:v>
      </x:c>
      <x:c r="AW161" t="n">
        <x:v>0</x:v>
      </x:c>
      <x:c r="AX161"/>
      <x:c r="AY161"/>
      <x:c r="AZ161">
        <x:f>IF(('Quantification_Results'!AW161&lt;&gt;1),"",IF(('Quantification_Results'!AY161=""),IF(ISNUMBER('Quantification_Results'!AX161),IF(('Quantification_Results'!AX161&lt;'Quantification_Config'!$S$19),"",IF(('Quantification_Results'!AX161&gt;'Quantification_Config'!$T$19),"",'Quantification_Results'!AX161)),""),IF(ISNUMBER('Quantification_Results'!AY161),IF(('Quantification_Results'!AY161&lt;'Quantification_Config'!$S$19),"",IF(('Quantification_Results'!AY161&gt;'Quantification_Config'!$T$19),"",'Quantification_Results'!AY161)),"")))</x:f>
      </x:c>
      <x:c r="BA161">
        <x:f>IF(ISNUMBER('Quantification_Results'!AZ161),IFERROR(ROUND(((('Quantification_Results'!AZ161-'Quantification_Config'!$S$19)/('Quantification_Config'!$T$19-'Quantification_Config'!$S$19))*100),'Quantification_Config'!$U$2),""),"")</x:f>
      </x:c>
      <x:c r="BB161" t="inlineStr">
        <x:is>
          <x:t xml:space="preserve"/>
        </x:is>
      </x:c>
      <x:c r="BC161" t="inlineStr">
        <x:is>
          <x:t xml:space="preserve"/>
        </x:is>
      </x:c>
      <x:c r="BD161" t="inlineStr">
        <x:is>
          <x:t xml:space="preserve"/>
        </x:is>
      </x:c>
      <x:c r="BE161" t="inlineStr">
        <x:is>
          <x:t xml:space="preserve"/>
        </x:is>
      </x:c>
      <x:c r="BF161" t="inlineStr">
        <x:is>
          <x:t xml:space="preserve">EMPTY</x:t>
        </x:is>
      </x:c>
      <x:c r="BG161">
        <x:f>IF((COUNT('Quantification_Results'!BA161)=1),IFERROR(ROUND((SUM(('Quantification_Results'!BA161*'Quantification_Config'!$R$19))/SUM('Quantification_Config'!$R$19)),'Quantification_Config'!$U$2),""),"")</x:f>
      </x:c>
      <x:c r="BH161">
        <x:f>IF((COUNT('Quantification_Results'!BG161)=1),IFERROR(ROUND((SUM(('Quantification_Results'!BG161*'Quantification_Config'!$R$18))/SUM('Quantification_Config'!$R$18)),'Quantification_Config'!$U$2),""),"")</x:f>
      </x:c>
      <x:c r="BI161">
        <x:f>IF((COUNT('Quantification_Results'!L161,'Quantification_Results'!X161,'Quantification_Results'!AJ161,'Quantification_Results'!AV161,'Quantification_Results'!BH161)=5),IFERROR(ROUND((SUM(('Quantification_Results'!L161*'Quantification_Config'!$R$4),('Quantification_Results'!X161*'Quantification_Config'!$R$7),('Quantification_Results'!AJ161*'Quantification_Config'!$R$10),('Quantification_Results'!AV161*'Quantification_Config'!$R$13),('Quantification_Results'!BH161*'Quantification_Config'!$R$16))/SUM('Quantification_Config'!$R$4,'Quantification_Config'!$R$7,'Quantification_Config'!$R$10,'Quantification_Config'!$R$13,'Quantification_Config'!$R$16)),'Quantification_Config'!$U$2),""),"")</x:f>
      </x:c>
    </x:row>
    <x:row r="162">
      <x:c r="A162" t="n">
        <x:v>1</x:v>
      </x:c>
      <x:c r="B162" t="n">
        <x:v>5</x:v>
      </x:c>
      <x:c r="C162"/>
      <x:c r="D162" t="n">
        <x:f>IF(('Quantification_Results'!A162&lt;&gt;1),"",IF(('Quantification_Results'!C162=""),IF(ISNUMBER('Quantification_Results'!B162),IF(('Quantification_Results'!B162&lt;'Quantification_Config'!$S$6),"",IF(('Quantification_Results'!B162&gt;'Quantification_Config'!$T$6),"",'Quantification_Results'!B162)),""),IF(ISNUMBER('Quantification_Results'!C162),IF(('Quantification_Results'!C162&lt;'Quantification_Config'!$S$6),"",IF(('Quantification_Results'!C162&gt;'Quantification_Config'!$T$6),"",'Quantification_Results'!C162)),"")))</x:f>
        <x:v>5</x:v>
      </x:c>
      <x:c r="E162" t="n">
        <x:f>IF(ISNUMBER('Quantification_Results'!D162),IFERROR(ROUND(((('Quantification_Results'!D162-'Quantification_Config'!$S$6)/('Quantification_Config'!$T$6-'Quantification_Config'!$S$6))*100),'Quantification_Config'!$U$2),""),"")</x:f>
        <x:v>50</x:v>
      </x:c>
      <x:c r="F162" t="inlineStr">
        <x:is>
          <x:t xml:space="preserve">SYSTEM-TEST-ONLY-NO-NETWORK-NOT-AN-EDUCATIONAL-EVALUATION</x:t>
        </x:is>
      </x:c>
      <x:c r="G162" t="inlineStr">
        <x:is>
          <x:t xml:space="preserve"/>
        </x:is>
      </x:c>
      <x:c r="H162" t="inlineStr">
        <x:is>
          <x:t xml:space="preserve">NONE</x:t>
        </x:is>
      </x:c>
      <x:c r="I162" t="inlineStr">
        <x:is>
          <x:t xml:space="preserve"/>
        </x:is>
      </x:c>
      <x:c r="J162" t="inlineStr">
        <x:is>
          <x:t xml:space="preserve">SUCCESS</x:t>
        </x:is>
      </x:c>
      <x:c r="K162" t="n">
        <x:f>IF((COUNT('Quantification_Results'!E162)=1),IFERROR(ROUND((SUM(('Quantification_Results'!E162*'Quantification_Config'!$R$6))/SUM('Quantification_Config'!$R$6)),'Quantification_Config'!$U$2),""),"")</x:f>
        <x:v>50</x:v>
      </x:c>
      <x:c r="L162" t="n">
        <x:f>IF((COUNT('Quantification_Results'!K162)=1),IFERROR(ROUND((SUM(('Quantification_Results'!K162*'Quantification_Config'!$R$5))/SUM('Quantification_Config'!$R$5)),'Quantification_Config'!$U$2),""),"")</x:f>
        <x:v>50</x:v>
      </x:c>
      <x:c r="M162" t="n">
        <x:v>1</x:v>
      </x:c>
      <x:c r="N162" t="n">
        <x:v>5</x:v>
      </x:c>
      <x:c r="O162"/>
      <x:c r="P162" t="n">
        <x:f>IF(('Quantification_Results'!M162&lt;&gt;1),"",IF(('Quantification_Results'!O162=""),IF(ISNUMBER('Quantification_Results'!N162),IF(('Quantification_Results'!N162&lt;'Quantification_Config'!$S$9),"",IF(('Quantification_Results'!N162&gt;'Quantification_Config'!$T$9),"",'Quantification_Results'!N162)),""),IF(ISNUMBER('Quantification_Results'!O162),IF(('Quantification_Results'!O162&lt;'Quantification_Config'!$S$9),"",IF(('Quantification_Results'!O162&gt;'Quantification_Config'!$T$9),"",'Quantification_Results'!O162)),"")))</x:f>
        <x:v>5</x:v>
      </x:c>
      <x:c r="Q162" t="n">
        <x:f>IF(ISNUMBER('Quantification_Results'!P162),IFERROR(ROUND(((('Quantification_Results'!P162-'Quantification_Config'!$S$9)/('Quantification_Config'!$T$9-'Quantification_Config'!$S$9))*100),'Quantification_Config'!$U$2),""),"")</x:f>
        <x:v>50</x:v>
      </x:c>
      <x:c r="R162" t="inlineStr">
        <x:is>
          <x:t xml:space="preserve">SYSTEM-TEST-ONLY-NO-NETWORK-NOT-AN-EDUCATIONAL-EVALUATION</x:t>
        </x:is>
      </x:c>
      <x:c r="S162" t="inlineStr">
        <x:is>
          <x:t xml:space="preserve"/>
        </x:is>
      </x:c>
      <x:c r="T162" t="inlineStr">
        <x:is>
          <x:t xml:space="preserve">NONE</x:t>
        </x:is>
      </x:c>
      <x:c r="U162" t="inlineStr">
        <x:is>
          <x:t xml:space="preserve"/>
        </x:is>
      </x:c>
      <x:c r="V162" t="inlineStr">
        <x:is>
          <x:t xml:space="preserve">SUCCESS</x:t>
        </x:is>
      </x:c>
      <x:c r="W162" t="n">
        <x:f>IF((COUNT('Quantification_Results'!Q162)=1),IFERROR(ROUND((SUM(('Quantification_Results'!Q162*'Quantification_Config'!$R$9))/SUM('Quantification_Config'!$R$9)),'Quantification_Config'!$U$2),""),"")</x:f>
        <x:v>50</x:v>
      </x:c>
      <x:c r="X162" t="n">
        <x:f>IF((COUNT('Quantification_Results'!W162)=1),IFERROR(ROUND((SUM(('Quantification_Results'!W162*'Quantification_Config'!$R$8))/SUM('Quantification_Config'!$R$8)),'Quantification_Config'!$U$2),""),"")</x:f>
        <x:v>50</x:v>
      </x:c>
      <x:c r="Y162" t="n">
        <x:v>0</x:v>
      </x:c>
      <x:c r="Z162"/>
      <x:c r="AA162"/>
      <x:c r="AB162">
        <x:f>IF(('Quantification_Results'!Y162&lt;&gt;1),"",IF(('Quantification_Results'!AA162=""),IF(ISNUMBER('Quantification_Results'!Z162),IF(('Quantification_Results'!Z162&lt;'Quantification_Config'!$S$12),"",IF(('Quantification_Results'!Z162&gt;'Quantification_Config'!$T$12),"",'Quantification_Results'!Z162)),""),IF(ISNUMBER('Quantification_Results'!AA162),IF(('Quantification_Results'!AA162&lt;'Quantification_Config'!$S$12),"",IF(('Quantification_Results'!AA162&gt;'Quantification_Config'!$T$12),"",'Quantification_Results'!AA162)),"")))</x:f>
      </x:c>
      <x:c r="AC162">
        <x:f>IF(ISNUMBER('Quantification_Results'!AB162),IFERROR(ROUND(((('Quantification_Results'!AB162-'Quantification_Config'!$S$12)/('Quantification_Config'!$T$12-'Quantification_Config'!$S$12))*100),'Quantification_Config'!$U$2),""),"")</x:f>
      </x:c>
      <x:c r="AD162" t="inlineStr">
        <x:is>
          <x:t xml:space="preserve"/>
        </x:is>
      </x:c>
      <x:c r="AE162" t="inlineStr">
        <x:is>
          <x:t xml:space="preserve"/>
        </x:is>
      </x:c>
      <x:c r="AF162" t="inlineStr">
        <x:is>
          <x:t xml:space="preserve"/>
        </x:is>
      </x:c>
      <x:c r="AG162" t="inlineStr">
        <x:is>
          <x:t xml:space="preserve"/>
        </x:is>
      </x:c>
      <x:c r="AH162" t="inlineStr">
        <x:is>
          <x:t xml:space="preserve">EMPTY</x:t>
        </x:is>
      </x:c>
      <x:c r="AI162">
        <x:f>IF((COUNT('Quantification_Results'!AC162)=1),IFERROR(ROUND((SUM(('Quantification_Results'!AC162*'Quantification_Config'!$R$12))/SUM('Quantification_Config'!$R$12)),'Quantification_Config'!$U$2),""),"")</x:f>
      </x:c>
      <x:c r="AJ162">
        <x:f>IF((COUNT('Quantification_Results'!AI162)=1),IFERROR(ROUND((SUM(('Quantification_Results'!AI162*'Quantification_Config'!$R$11))/SUM('Quantification_Config'!$R$11)),'Quantification_Config'!$U$2),""),"")</x:f>
      </x:c>
      <x:c r="AK162" t="n">
        <x:v>1</x:v>
      </x:c>
      <x:c r="AL162" t="n">
        <x:v>5</x:v>
      </x:c>
      <x:c r="AM162"/>
      <x:c r="AN162" t="n">
        <x:f>IF(('Quantification_Results'!AK162&lt;&gt;1),"",IF(('Quantification_Results'!AM162=""),IF(ISNUMBER('Quantification_Results'!AL162),IF(('Quantification_Results'!AL162&lt;'Quantification_Config'!$S$15),"",IF(('Quantification_Results'!AL162&gt;'Quantification_Config'!$T$15),"",'Quantification_Results'!AL162)),""),IF(ISNUMBER('Quantification_Results'!AM162),IF(('Quantification_Results'!AM162&lt;'Quantification_Config'!$S$15),"",IF(('Quantification_Results'!AM162&gt;'Quantification_Config'!$T$15),"",'Quantification_Results'!AM162)),"")))</x:f>
        <x:v>5</x:v>
      </x:c>
      <x:c r="AO162" t="n">
        <x:f>IF(ISNUMBER('Quantification_Results'!AN162),IFERROR(ROUND(((('Quantification_Results'!AN162-'Quantification_Config'!$S$15)/('Quantification_Config'!$T$15-'Quantification_Config'!$S$15))*100),'Quantification_Config'!$U$2),""),"")</x:f>
        <x:v>50</x:v>
      </x:c>
      <x:c r="AP162" t="inlineStr">
        <x:is>
          <x:t xml:space="preserve">SYSTEM-TEST-ONLY-NO-NETWORK-NOT-AN-EDUCATIONAL-EVALUATION</x:t>
        </x:is>
      </x:c>
      <x:c r="AQ162" t="inlineStr">
        <x:is>
          <x:t xml:space="preserve"/>
        </x:is>
      </x:c>
      <x:c r="AR162" t="inlineStr">
        <x:is>
          <x:t xml:space="preserve">NONE</x:t>
        </x:is>
      </x:c>
      <x:c r="AS162" t="inlineStr">
        <x:is>
          <x:t xml:space="preserve"/>
        </x:is>
      </x:c>
      <x:c r="AT162" t="inlineStr">
        <x:is>
          <x:t xml:space="preserve">SUCCESS</x:t>
        </x:is>
      </x:c>
      <x:c r="AU162" t="n">
        <x:f>IF((COUNT('Quantification_Results'!AO162)=1),IFERROR(ROUND((SUM(('Quantification_Results'!AO162*'Quantification_Config'!$R$15))/SUM('Quantification_Config'!$R$15)),'Quantification_Config'!$U$2),""),"")</x:f>
        <x:v>50</x:v>
      </x:c>
      <x:c r="AV162" t="n">
        <x:f>IF((COUNT('Quantification_Results'!AU162)=1),IFERROR(ROUND((SUM(('Quantification_Results'!AU162*'Quantification_Config'!$R$14))/SUM('Quantification_Config'!$R$14)),'Quantification_Config'!$U$2),""),"")</x:f>
        <x:v>50</x:v>
      </x:c>
      <x:c r="AW162" t="n">
        <x:v>1</x:v>
      </x:c>
      <x:c r="AX162" t="n">
        <x:v>5</x:v>
      </x:c>
      <x:c r="AY162"/>
      <x:c r="AZ162" t="n">
        <x:f>IF(('Quantification_Results'!AW162&lt;&gt;1),"",IF(('Quantification_Results'!AY162=""),IF(ISNUMBER('Quantification_Results'!AX162),IF(('Quantification_Results'!AX162&lt;'Quantification_Config'!$S$19),"",IF(('Quantification_Results'!AX162&gt;'Quantification_Config'!$T$19),"",'Quantification_Results'!AX162)),""),IF(ISNUMBER('Quantification_Results'!AY162),IF(('Quantification_Results'!AY162&lt;'Quantification_Config'!$S$19),"",IF(('Quantification_Results'!AY162&gt;'Quantification_Config'!$T$19),"",'Quantification_Results'!AY162)),"")))</x:f>
        <x:v>5</x:v>
      </x:c>
      <x:c r="BA162" t="n">
        <x:f>IF(ISNUMBER('Quantification_Results'!AZ162),IFERROR(ROUND(((('Quantification_Results'!AZ162-'Quantification_Config'!$S$19)/('Quantification_Config'!$T$19-'Quantification_Config'!$S$19))*100),'Quantification_Config'!$U$2),""),"")</x:f>
        <x:v>50</x:v>
      </x:c>
      <x:c r="BB162" t="inlineStr">
        <x:is>
          <x:t xml:space="preserve">SYSTEM-TEST-ONLY-NO-NETWORK-NOT-AN-EDUCATIONAL-EVALUATION</x:t>
        </x:is>
      </x:c>
      <x:c r="BC162" t="inlineStr">
        <x:is>
          <x:t xml:space="preserve"/>
        </x:is>
      </x:c>
      <x:c r="BD162" t="inlineStr">
        <x:is>
          <x:t xml:space="preserve">NONE</x:t>
        </x:is>
      </x:c>
      <x:c r="BE162" t="inlineStr">
        <x:is>
          <x:t xml:space="preserve"/>
        </x:is>
      </x:c>
      <x:c r="BF162" t="inlineStr">
        <x:is>
          <x:t xml:space="preserve">SUCCESS</x:t>
        </x:is>
      </x:c>
      <x:c r="BG162" t="n">
        <x:f>IF((COUNT('Quantification_Results'!BA162)=1),IFERROR(ROUND((SUM(('Quantification_Results'!BA162*'Quantification_Config'!$R$19))/SUM('Quantification_Config'!$R$19)),'Quantification_Config'!$U$2),""),"")</x:f>
        <x:v>50</x:v>
      </x:c>
      <x:c r="BH162" t="n">
        <x:f>IF((COUNT('Quantification_Results'!BG162)=1),IFERROR(ROUND((SUM(('Quantification_Results'!BG162*'Quantification_Config'!$R$18))/SUM('Quantification_Config'!$R$18)),'Quantification_Config'!$U$2),""),"")</x:f>
        <x:v>50</x:v>
      </x:c>
      <x:c r="BI162">
        <x:f>IF((COUNT('Quantification_Results'!L162,'Quantification_Results'!X162,'Quantification_Results'!AJ162,'Quantification_Results'!AV162,'Quantification_Results'!BH162)=5),IFERROR(ROUND((SUM(('Quantification_Results'!L162*'Quantification_Config'!$R$4),('Quantification_Results'!X162*'Quantification_Config'!$R$7),('Quantification_Results'!AJ162*'Quantification_Config'!$R$10),('Quantification_Results'!AV162*'Quantification_Config'!$R$13),('Quantification_Results'!BH162*'Quantification_Config'!$R$16))/SUM('Quantification_Config'!$R$4,'Quantification_Config'!$R$7,'Quantification_Config'!$R$10,'Quantification_Config'!$R$13,'Quantification_Config'!$R$16)),'Quantification_Config'!$U$2),""),"")</x:f>
      </x:c>
    </x:row>
    <x:row r="163">
      <x:c r="A163" t="n">
        <x:v>1</x:v>
      </x:c>
      <x:c r="B163" t="n">
        <x:v>5</x:v>
      </x:c>
      <x:c r="C163"/>
      <x:c r="D163" t="n">
        <x:f>IF(('Quantification_Results'!A163&lt;&gt;1),"",IF(('Quantification_Results'!C163=""),IF(ISNUMBER('Quantification_Results'!B163),IF(('Quantification_Results'!B163&lt;'Quantification_Config'!$S$6),"",IF(('Quantification_Results'!B163&gt;'Quantification_Config'!$T$6),"",'Quantification_Results'!B163)),""),IF(ISNUMBER('Quantification_Results'!C163),IF(('Quantification_Results'!C163&lt;'Quantification_Config'!$S$6),"",IF(('Quantification_Results'!C163&gt;'Quantification_Config'!$T$6),"",'Quantification_Results'!C163)),"")))</x:f>
        <x:v>5</x:v>
      </x:c>
      <x:c r="E163" t="n">
        <x:f>IF(ISNUMBER('Quantification_Results'!D163),IFERROR(ROUND(((('Quantification_Results'!D163-'Quantification_Config'!$S$6)/('Quantification_Config'!$T$6-'Quantification_Config'!$S$6))*100),'Quantification_Config'!$U$2),""),"")</x:f>
        <x:v>50</x:v>
      </x:c>
      <x:c r="F163" t="inlineStr">
        <x:is>
          <x:t xml:space="preserve">SYSTEM-TEST-ONLY-NO-NETWORK-NOT-AN-EDUCATIONAL-EVALUATION</x:t>
        </x:is>
      </x:c>
      <x:c r="G163" t="inlineStr">
        <x:is>
          <x:t xml:space="preserve"/>
        </x:is>
      </x:c>
      <x:c r="H163" t="inlineStr">
        <x:is>
          <x:t xml:space="preserve">NONE</x:t>
        </x:is>
      </x:c>
      <x:c r="I163" t="inlineStr">
        <x:is>
          <x:t xml:space="preserve"/>
        </x:is>
      </x:c>
      <x:c r="J163" t="inlineStr">
        <x:is>
          <x:t xml:space="preserve">SUCCESS</x:t>
        </x:is>
      </x:c>
      <x:c r="K163" t="n">
        <x:f>IF((COUNT('Quantification_Results'!E163)=1),IFERROR(ROUND((SUM(('Quantification_Results'!E163*'Quantification_Config'!$R$6))/SUM('Quantification_Config'!$R$6)),'Quantification_Config'!$U$2),""),"")</x:f>
        <x:v>50</x:v>
      </x:c>
      <x:c r="L163" t="n">
        <x:f>IF((COUNT('Quantification_Results'!K163)=1),IFERROR(ROUND((SUM(('Quantification_Results'!K163*'Quantification_Config'!$R$5))/SUM('Quantification_Config'!$R$5)),'Quantification_Config'!$U$2),""),"")</x:f>
        <x:v>50</x:v>
      </x:c>
      <x:c r="M163" t="n">
        <x:v>0</x:v>
      </x:c>
      <x:c r="N163"/>
      <x:c r="O163"/>
      <x:c r="P163">
        <x:f>IF(('Quantification_Results'!M163&lt;&gt;1),"",IF(('Quantification_Results'!O163=""),IF(ISNUMBER('Quantification_Results'!N163),IF(('Quantification_Results'!N163&lt;'Quantification_Config'!$S$9),"",IF(('Quantification_Results'!N163&gt;'Quantification_Config'!$T$9),"",'Quantification_Results'!N163)),""),IF(ISNUMBER('Quantification_Results'!O163),IF(('Quantification_Results'!O163&lt;'Quantification_Config'!$S$9),"",IF(('Quantification_Results'!O163&gt;'Quantification_Config'!$T$9),"",'Quantification_Results'!O163)),"")))</x:f>
      </x:c>
      <x:c r="Q163">
        <x:f>IF(ISNUMBER('Quantification_Results'!P163),IFERROR(ROUND(((('Quantification_Results'!P163-'Quantification_Config'!$S$9)/('Quantification_Config'!$T$9-'Quantification_Config'!$S$9))*100),'Quantification_Config'!$U$2),""),"")</x:f>
      </x:c>
      <x:c r="R163" t="inlineStr">
        <x:is>
          <x:t xml:space="preserve"/>
        </x:is>
      </x:c>
      <x:c r="S163" t="inlineStr">
        <x:is>
          <x:t xml:space="preserve"/>
        </x:is>
      </x:c>
      <x:c r="T163" t="inlineStr">
        <x:is>
          <x:t xml:space="preserve"/>
        </x:is>
      </x:c>
      <x:c r="U163" t="inlineStr">
        <x:is>
          <x:t xml:space="preserve"/>
        </x:is>
      </x:c>
      <x:c r="V163" t="inlineStr">
        <x:is>
          <x:t xml:space="preserve">EMPTY</x:t>
        </x:is>
      </x:c>
      <x:c r="W163">
        <x:f>IF((COUNT('Quantification_Results'!Q163)=1),IFERROR(ROUND((SUM(('Quantification_Results'!Q163*'Quantification_Config'!$R$9))/SUM('Quantification_Config'!$R$9)),'Quantification_Config'!$U$2),""),"")</x:f>
      </x:c>
      <x:c r="X163">
        <x:f>IF((COUNT('Quantification_Results'!W163)=1),IFERROR(ROUND((SUM(('Quantification_Results'!W163*'Quantification_Config'!$R$8))/SUM('Quantification_Config'!$R$8)),'Quantification_Config'!$U$2),""),"")</x:f>
      </x:c>
      <x:c r="Y163" t="n">
        <x:v>0</x:v>
      </x:c>
      <x:c r="Z163"/>
      <x:c r="AA163"/>
      <x:c r="AB163">
        <x:f>IF(('Quantification_Results'!Y163&lt;&gt;1),"",IF(('Quantification_Results'!AA163=""),IF(ISNUMBER('Quantification_Results'!Z163),IF(('Quantification_Results'!Z163&lt;'Quantification_Config'!$S$12),"",IF(('Quantification_Results'!Z163&gt;'Quantification_Config'!$T$12),"",'Quantification_Results'!Z163)),""),IF(ISNUMBER('Quantification_Results'!AA163),IF(('Quantification_Results'!AA163&lt;'Quantification_Config'!$S$12),"",IF(('Quantification_Results'!AA163&gt;'Quantification_Config'!$T$12),"",'Quantification_Results'!AA163)),"")))</x:f>
      </x:c>
      <x:c r="AC163">
        <x:f>IF(ISNUMBER('Quantification_Results'!AB163),IFERROR(ROUND(((('Quantification_Results'!AB163-'Quantification_Config'!$S$12)/('Quantification_Config'!$T$12-'Quantification_Config'!$S$12))*100),'Quantification_Config'!$U$2),""),"")</x:f>
      </x:c>
      <x:c r="AD163" t="inlineStr">
        <x:is>
          <x:t xml:space="preserve"/>
        </x:is>
      </x:c>
      <x:c r="AE163" t="inlineStr">
        <x:is>
          <x:t xml:space="preserve"/>
        </x:is>
      </x:c>
      <x:c r="AF163" t="inlineStr">
        <x:is>
          <x:t xml:space="preserve"/>
        </x:is>
      </x:c>
      <x:c r="AG163" t="inlineStr">
        <x:is>
          <x:t xml:space="preserve"/>
        </x:is>
      </x:c>
      <x:c r="AH163" t="inlineStr">
        <x:is>
          <x:t xml:space="preserve">EMPTY</x:t>
        </x:is>
      </x:c>
      <x:c r="AI163">
        <x:f>IF((COUNT('Quantification_Results'!AC163)=1),IFERROR(ROUND((SUM(('Quantification_Results'!AC163*'Quantification_Config'!$R$12))/SUM('Quantification_Config'!$R$12)),'Quantification_Config'!$U$2),""),"")</x:f>
      </x:c>
      <x:c r="AJ163">
        <x:f>IF((COUNT('Quantification_Results'!AI163)=1),IFERROR(ROUND((SUM(('Quantification_Results'!AI163*'Quantification_Config'!$R$11))/SUM('Quantification_Config'!$R$11)),'Quantification_Config'!$U$2),""),"")</x:f>
      </x:c>
      <x:c r="AK163" t="n">
        <x:v>1</x:v>
      </x:c>
      <x:c r="AL163" t="n">
        <x:v>5</x:v>
      </x:c>
      <x:c r="AM163"/>
      <x:c r="AN163" t="n">
        <x:f>IF(('Quantification_Results'!AK163&lt;&gt;1),"",IF(('Quantification_Results'!AM163=""),IF(ISNUMBER('Quantification_Results'!AL163),IF(('Quantification_Results'!AL163&lt;'Quantification_Config'!$S$15),"",IF(('Quantification_Results'!AL163&gt;'Quantification_Config'!$T$15),"",'Quantification_Results'!AL163)),""),IF(ISNUMBER('Quantification_Results'!AM163),IF(('Quantification_Results'!AM163&lt;'Quantification_Config'!$S$15),"",IF(('Quantification_Results'!AM163&gt;'Quantification_Config'!$T$15),"",'Quantification_Results'!AM163)),"")))</x:f>
        <x:v>5</x:v>
      </x:c>
      <x:c r="AO163" t="n">
        <x:f>IF(ISNUMBER('Quantification_Results'!AN163),IFERROR(ROUND(((('Quantification_Results'!AN163-'Quantification_Config'!$S$15)/('Quantification_Config'!$T$15-'Quantification_Config'!$S$15))*100),'Quantification_Config'!$U$2),""),"")</x:f>
        <x:v>50</x:v>
      </x:c>
      <x:c r="AP163" t="inlineStr">
        <x:is>
          <x:t xml:space="preserve">SYSTEM-TEST-ONLY-NO-NETWORK-NOT-AN-EDUCATIONAL-EVALUATION</x:t>
        </x:is>
      </x:c>
      <x:c r="AQ163" t="inlineStr">
        <x:is>
          <x:t xml:space="preserve"/>
        </x:is>
      </x:c>
      <x:c r="AR163" t="inlineStr">
        <x:is>
          <x:t xml:space="preserve">NONE</x:t>
        </x:is>
      </x:c>
      <x:c r="AS163" t="inlineStr">
        <x:is>
          <x:t xml:space="preserve"/>
        </x:is>
      </x:c>
      <x:c r="AT163" t="inlineStr">
        <x:is>
          <x:t xml:space="preserve">SUCCESS</x:t>
        </x:is>
      </x:c>
      <x:c r="AU163" t="n">
        <x:f>IF((COUNT('Quantification_Results'!AO163)=1),IFERROR(ROUND((SUM(('Quantification_Results'!AO163*'Quantification_Config'!$R$15))/SUM('Quantification_Config'!$R$15)),'Quantification_Config'!$U$2),""),"")</x:f>
        <x:v>50</x:v>
      </x:c>
      <x:c r="AV163" t="n">
        <x:f>IF((COUNT('Quantification_Results'!AU163)=1),IFERROR(ROUND((SUM(('Quantification_Results'!AU163*'Quantification_Config'!$R$14))/SUM('Quantification_Config'!$R$14)),'Quantification_Config'!$U$2),""),"")</x:f>
        <x:v>50</x:v>
      </x:c>
      <x:c r="AW163" t="n">
        <x:v>0</x:v>
      </x:c>
      <x:c r="AX163"/>
      <x:c r="AY163"/>
      <x:c r="AZ163">
        <x:f>IF(('Quantification_Results'!AW163&lt;&gt;1),"",IF(('Quantification_Results'!AY163=""),IF(ISNUMBER('Quantification_Results'!AX163),IF(('Quantification_Results'!AX163&lt;'Quantification_Config'!$S$19),"",IF(('Quantification_Results'!AX163&gt;'Quantification_Config'!$T$19),"",'Quantification_Results'!AX163)),""),IF(ISNUMBER('Quantification_Results'!AY163),IF(('Quantification_Results'!AY163&lt;'Quantification_Config'!$S$19),"",IF(('Quantification_Results'!AY163&gt;'Quantification_Config'!$T$19),"",'Quantification_Results'!AY163)),"")))</x:f>
      </x:c>
      <x:c r="BA163">
        <x:f>IF(ISNUMBER('Quantification_Results'!AZ163),IFERROR(ROUND(((('Quantification_Results'!AZ163-'Quantification_Config'!$S$19)/('Quantification_Config'!$T$19-'Quantification_Config'!$S$19))*100),'Quantification_Config'!$U$2),""),"")</x:f>
      </x:c>
      <x:c r="BB163" t="inlineStr">
        <x:is>
          <x:t xml:space="preserve"/>
        </x:is>
      </x:c>
      <x:c r="BC163" t="inlineStr">
        <x:is>
          <x:t xml:space="preserve"/>
        </x:is>
      </x:c>
      <x:c r="BD163" t="inlineStr">
        <x:is>
          <x:t xml:space="preserve"/>
        </x:is>
      </x:c>
      <x:c r="BE163" t="inlineStr">
        <x:is>
          <x:t xml:space="preserve"/>
        </x:is>
      </x:c>
      <x:c r="BF163" t="inlineStr">
        <x:is>
          <x:t xml:space="preserve">EMPTY</x:t>
        </x:is>
      </x:c>
      <x:c r="BG163">
        <x:f>IF((COUNT('Quantification_Results'!BA163)=1),IFERROR(ROUND((SUM(('Quantification_Results'!BA163*'Quantification_Config'!$R$19))/SUM('Quantification_Config'!$R$19)),'Quantification_Config'!$U$2),""),"")</x:f>
      </x:c>
      <x:c r="BH163">
        <x:f>IF((COUNT('Quantification_Results'!BG163)=1),IFERROR(ROUND((SUM(('Quantification_Results'!BG163*'Quantification_Config'!$R$18))/SUM('Quantification_Config'!$R$18)),'Quantification_Config'!$U$2),""),"")</x:f>
      </x:c>
      <x:c r="BI163">
        <x:f>IF((COUNT('Quantification_Results'!L163,'Quantification_Results'!X163,'Quantification_Results'!AJ163,'Quantification_Results'!AV163,'Quantification_Results'!BH163)=5),IFERROR(ROUND((SUM(('Quantification_Results'!L163*'Quantification_Config'!$R$4),('Quantification_Results'!X163*'Quantification_Config'!$R$7),('Quantification_Results'!AJ163*'Quantification_Config'!$R$10),('Quantification_Results'!AV163*'Quantification_Config'!$R$13),('Quantification_Results'!BH163*'Quantification_Config'!$R$16))/SUM('Quantification_Config'!$R$4,'Quantification_Config'!$R$7,'Quantification_Config'!$R$10,'Quantification_Config'!$R$13,'Quantification_Config'!$R$16)),'Quantification_Config'!$U$2),""),"")</x:f>
      </x:c>
    </x:row>
    <x:row r="164">
      <x:c r="A164" t="n">
        <x:v>1</x:v>
      </x:c>
      <x:c r="B164" t="n">
        <x:v>5</x:v>
      </x:c>
      <x:c r="C164"/>
      <x:c r="D164" t="n">
        <x:f>IF(('Quantification_Results'!A164&lt;&gt;1),"",IF(('Quantification_Results'!C164=""),IF(ISNUMBER('Quantification_Results'!B164),IF(('Quantification_Results'!B164&lt;'Quantification_Config'!$S$6),"",IF(('Quantification_Results'!B164&gt;'Quantification_Config'!$T$6),"",'Quantification_Results'!B164)),""),IF(ISNUMBER('Quantification_Results'!C164),IF(('Quantification_Results'!C164&lt;'Quantification_Config'!$S$6),"",IF(('Quantification_Results'!C164&gt;'Quantification_Config'!$T$6),"",'Quantification_Results'!C164)),"")))</x:f>
        <x:v>5</x:v>
      </x:c>
      <x:c r="E164" t="n">
        <x:f>IF(ISNUMBER('Quantification_Results'!D164),IFERROR(ROUND(((('Quantification_Results'!D164-'Quantification_Config'!$S$6)/('Quantification_Config'!$T$6-'Quantification_Config'!$S$6))*100),'Quantification_Config'!$U$2),""),"")</x:f>
        <x:v>50</x:v>
      </x:c>
      <x:c r="F164" t="inlineStr">
        <x:is>
          <x:t xml:space="preserve">SYSTEM-TEST-ONLY-NO-NETWORK-NOT-AN-EDUCATIONAL-EVALUATION</x:t>
        </x:is>
      </x:c>
      <x:c r="G164" t="inlineStr">
        <x:is>
          <x:t xml:space="preserve"/>
        </x:is>
      </x:c>
      <x:c r="H164" t="inlineStr">
        <x:is>
          <x:t xml:space="preserve">NONE</x:t>
        </x:is>
      </x:c>
      <x:c r="I164" t="inlineStr">
        <x:is>
          <x:t xml:space="preserve"/>
        </x:is>
      </x:c>
      <x:c r="J164" t="inlineStr">
        <x:is>
          <x:t xml:space="preserve">SUCCESS</x:t>
        </x:is>
      </x:c>
      <x:c r="K164" t="n">
        <x:f>IF((COUNT('Quantification_Results'!E164)=1),IFERROR(ROUND((SUM(('Quantification_Results'!E164*'Quantification_Config'!$R$6))/SUM('Quantification_Config'!$R$6)),'Quantification_Config'!$U$2),""),"")</x:f>
        <x:v>50</x:v>
      </x:c>
      <x:c r="L164" t="n">
        <x:f>IF((COUNT('Quantification_Results'!K164)=1),IFERROR(ROUND((SUM(('Quantification_Results'!K164*'Quantification_Config'!$R$5))/SUM('Quantification_Config'!$R$5)),'Quantification_Config'!$U$2),""),"")</x:f>
        <x:v>50</x:v>
      </x:c>
      <x:c r="M164" t="n">
        <x:v>1</x:v>
      </x:c>
      <x:c r="N164" t="n">
        <x:v>5</x:v>
      </x:c>
      <x:c r="O164"/>
      <x:c r="P164" t="n">
        <x:f>IF(('Quantification_Results'!M164&lt;&gt;1),"",IF(('Quantification_Results'!O164=""),IF(ISNUMBER('Quantification_Results'!N164),IF(('Quantification_Results'!N164&lt;'Quantification_Config'!$S$9),"",IF(('Quantification_Results'!N164&gt;'Quantification_Config'!$T$9),"",'Quantification_Results'!N164)),""),IF(ISNUMBER('Quantification_Results'!O164),IF(('Quantification_Results'!O164&lt;'Quantification_Config'!$S$9),"",IF(('Quantification_Results'!O164&gt;'Quantification_Config'!$T$9),"",'Quantification_Results'!O164)),"")))</x:f>
        <x:v>5</x:v>
      </x:c>
      <x:c r="Q164" t="n">
        <x:f>IF(ISNUMBER('Quantification_Results'!P164),IFERROR(ROUND(((('Quantification_Results'!P164-'Quantification_Config'!$S$9)/('Quantification_Config'!$T$9-'Quantification_Config'!$S$9))*100),'Quantification_Config'!$U$2),""),"")</x:f>
        <x:v>50</x:v>
      </x:c>
      <x:c r="R164" t="inlineStr">
        <x:is>
          <x:t xml:space="preserve">SYSTEM-TEST-ONLY-NO-NETWORK-NOT-AN-EDUCATIONAL-EVALUATION</x:t>
        </x:is>
      </x:c>
      <x:c r="S164" t="inlineStr">
        <x:is>
          <x:t xml:space="preserve"/>
        </x:is>
      </x:c>
      <x:c r="T164" t="inlineStr">
        <x:is>
          <x:t xml:space="preserve">NONE</x:t>
        </x:is>
      </x:c>
      <x:c r="U164" t="inlineStr">
        <x:is>
          <x:t xml:space="preserve"/>
        </x:is>
      </x:c>
      <x:c r="V164" t="inlineStr">
        <x:is>
          <x:t xml:space="preserve">SUCCESS</x:t>
        </x:is>
      </x:c>
      <x:c r="W164" t="n">
        <x:f>IF((COUNT('Quantification_Results'!Q164)=1),IFERROR(ROUND((SUM(('Quantification_Results'!Q164*'Quantification_Config'!$R$9))/SUM('Quantification_Config'!$R$9)),'Quantification_Config'!$U$2),""),"")</x:f>
        <x:v>50</x:v>
      </x:c>
      <x:c r="X164" t="n">
        <x:f>IF((COUNT('Quantification_Results'!W164)=1),IFERROR(ROUND((SUM(('Quantification_Results'!W164*'Quantification_Config'!$R$8))/SUM('Quantification_Config'!$R$8)),'Quantification_Config'!$U$2),""),"")</x:f>
        <x:v>50</x:v>
      </x:c>
      <x:c r="Y164" t="n">
        <x:v>0</x:v>
      </x:c>
      <x:c r="Z164"/>
      <x:c r="AA164"/>
      <x:c r="AB164">
        <x:f>IF(('Quantification_Results'!Y164&lt;&gt;1),"",IF(('Quantification_Results'!AA164=""),IF(ISNUMBER('Quantification_Results'!Z164),IF(('Quantification_Results'!Z164&lt;'Quantification_Config'!$S$12),"",IF(('Quantification_Results'!Z164&gt;'Quantification_Config'!$T$12),"",'Quantification_Results'!Z164)),""),IF(ISNUMBER('Quantification_Results'!AA164),IF(('Quantification_Results'!AA164&lt;'Quantification_Config'!$S$12),"",IF(('Quantification_Results'!AA164&gt;'Quantification_Config'!$T$12),"",'Quantification_Results'!AA164)),"")))</x:f>
      </x:c>
      <x:c r="AC164">
        <x:f>IF(ISNUMBER('Quantification_Results'!AB164),IFERROR(ROUND(((('Quantification_Results'!AB164-'Quantification_Config'!$S$12)/('Quantification_Config'!$T$12-'Quantification_Config'!$S$12))*100),'Quantification_Config'!$U$2),""),"")</x:f>
      </x:c>
      <x:c r="AD164" t="inlineStr">
        <x:is>
          <x:t xml:space="preserve"/>
        </x:is>
      </x:c>
      <x:c r="AE164" t="inlineStr">
        <x:is>
          <x:t xml:space="preserve"/>
        </x:is>
      </x:c>
      <x:c r="AF164" t="inlineStr">
        <x:is>
          <x:t xml:space="preserve"/>
        </x:is>
      </x:c>
      <x:c r="AG164" t="inlineStr">
        <x:is>
          <x:t xml:space="preserve"/>
        </x:is>
      </x:c>
      <x:c r="AH164" t="inlineStr">
        <x:is>
          <x:t xml:space="preserve">EMPTY</x:t>
        </x:is>
      </x:c>
      <x:c r="AI164">
        <x:f>IF((COUNT('Quantification_Results'!AC164)=1),IFERROR(ROUND((SUM(('Quantification_Results'!AC164*'Quantification_Config'!$R$12))/SUM('Quantification_Config'!$R$12)),'Quantification_Config'!$U$2),""),"")</x:f>
      </x:c>
      <x:c r="AJ164">
        <x:f>IF((COUNT('Quantification_Results'!AI164)=1),IFERROR(ROUND((SUM(('Quantification_Results'!AI164*'Quantification_Config'!$R$11))/SUM('Quantification_Config'!$R$11)),'Quantification_Config'!$U$2),""),"")</x:f>
      </x:c>
      <x:c r="AK164" t="n">
        <x:v>1</x:v>
      </x:c>
      <x:c r="AL164" t="n">
        <x:v>5</x:v>
      </x:c>
      <x:c r="AM164"/>
      <x:c r="AN164" t="n">
        <x:f>IF(('Quantification_Results'!AK164&lt;&gt;1),"",IF(('Quantification_Results'!AM164=""),IF(ISNUMBER('Quantification_Results'!AL164),IF(('Quantification_Results'!AL164&lt;'Quantification_Config'!$S$15),"",IF(('Quantification_Results'!AL164&gt;'Quantification_Config'!$T$15),"",'Quantification_Results'!AL164)),""),IF(ISNUMBER('Quantification_Results'!AM164),IF(('Quantification_Results'!AM164&lt;'Quantification_Config'!$S$15),"",IF(('Quantification_Results'!AM164&gt;'Quantification_Config'!$T$15),"",'Quantification_Results'!AM164)),"")))</x:f>
        <x:v>5</x:v>
      </x:c>
      <x:c r="AO164" t="n">
        <x:f>IF(ISNUMBER('Quantification_Results'!AN164),IFERROR(ROUND(((('Quantification_Results'!AN164-'Quantification_Config'!$S$15)/('Quantification_Config'!$T$15-'Quantification_Config'!$S$15))*100),'Quantification_Config'!$U$2),""),"")</x:f>
        <x:v>50</x:v>
      </x:c>
      <x:c r="AP164" t="inlineStr">
        <x:is>
          <x:t xml:space="preserve">SYSTEM-TEST-ONLY-NO-NETWORK-NOT-AN-EDUCATIONAL-EVALUATION</x:t>
        </x:is>
      </x:c>
      <x:c r="AQ164" t="inlineStr">
        <x:is>
          <x:t xml:space="preserve"/>
        </x:is>
      </x:c>
      <x:c r="AR164" t="inlineStr">
        <x:is>
          <x:t xml:space="preserve">NONE</x:t>
        </x:is>
      </x:c>
      <x:c r="AS164" t="inlineStr">
        <x:is>
          <x:t xml:space="preserve"/>
        </x:is>
      </x:c>
      <x:c r="AT164" t="inlineStr">
        <x:is>
          <x:t xml:space="preserve">SUCCESS</x:t>
        </x:is>
      </x:c>
      <x:c r="AU164" t="n">
        <x:f>IF((COUNT('Quantification_Results'!AO164)=1),IFERROR(ROUND((SUM(('Quantification_Results'!AO164*'Quantification_Config'!$R$15))/SUM('Quantification_Config'!$R$15)),'Quantification_Config'!$U$2),""),"")</x:f>
        <x:v>50</x:v>
      </x:c>
      <x:c r="AV164" t="n">
        <x:f>IF((COUNT('Quantification_Results'!AU164)=1),IFERROR(ROUND((SUM(('Quantification_Results'!AU164*'Quantification_Config'!$R$14))/SUM('Quantification_Config'!$R$14)),'Quantification_Config'!$U$2),""),"")</x:f>
        <x:v>50</x:v>
      </x:c>
      <x:c r="AW164" t="n">
        <x:v>1</x:v>
      </x:c>
      <x:c r="AX164" t="n">
        <x:v>5</x:v>
      </x:c>
      <x:c r="AY164"/>
      <x:c r="AZ164" t="n">
        <x:f>IF(('Quantification_Results'!AW164&lt;&gt;1),"",IF(('Quantification_Results'!AY164=""),IF(ISNUMBER('Quantification_Results'!AX164),IF(('Quantification_Results'!AX164&lt;'Quantification_Config'!$S$19),"",IF(('Quantification_Results'!AX164&gt;'Quantification_Config'!$T$19),"",'Quantification_Results'!AX164)),""),IF(ISNUMBER('Quantification_Results'!AY164),IF(('Quantification_Results'!AY164&lt;'Quantification_Config'!$S$19),"",IF(('Quantification_Results'!AY164&gt;'Quantification_Config'!$T$19),"",'Quantification_Results'!AY164)),"")))</x:f>
        <x:v>5</x:v>
      </x:c>
      <x:c r="BA164" t="n">
        <x:f>IF(ISNUMBER('Quantification_Results'!AZ164),IFERROR(ROUND(((('Quantification_Results'!AZ164-'Quantification_Config'!$S$19)/('Quantification_Config'!$T$19-'Quantification_Config'!$S$19))*100),'Quantification_Config'!$U$2),""),"")</x:f>
        <x:v>50</x:v>
      </x:c>
      <x:c r="BB164" t="inlineStr">
        <x:is>
          <x:t xml:space="preserve">SYSTEM-TEST-ONLY-NO-NETWORK-NOT-AN-EDUCATIONAL-EVALUATION</x:t>
        </x:is>
      </x:c>
      <x:c r="BC164" t="inlineStr">
        <x:is>
          <x:t xml:space="preserve"/>
        </x:is>
      </x:c>
      <x:c r="BD164" t="inlineStr">
        <x:is>
          <x:t xml:space="preserve">NONE</x:t>
        </x:is>
      </x:c>
      <x:c r="BE164" t="inlineStr">
        <x:is>
          <x:t xml:space="preserve"/>
        </x:is>
      </x:c>
      <x:c r="BF164" t="inlineStr">
        <x:is>
          <x:t xml:space="preserve">SUCCESS</x:t>
        </x:is>
      </x:c>
      <x:c r="BG164" t="n">
        <x:f>IF((COUNT('Quantification_Results'!BA164)=1),IFERROR(ROUND((SUM(('Quantification_Results'!BA164*'Quantification_Config'!$R$19))/SUM('Quantification_Config'!$R$19)),'Quantification_Config'!$U$2),""),"")</x:f>
        <x:v>50</x:v>
      </x:c>
      <x:c r="BH164" t="n">
        <x:f>IF((COUNT('Quantification_Results'!BG164)=1),IFERROR(ROUND((SUM(('Quantification_Results'!BG164*'Quantification_Config'!$R$18))/SUM('Quantification_Config'!$R$18)),'Quantification_Config'!$U$2),""),"")</x:f>
        <x:v>50</x:v>
      </x:c>
      <x:c r="BI164">
        <x:f>IF((COUNT('Quantification_Results'!L164,'Quantification_Results'!X164,'Quantification_Results'!AJ164,'Quantification_Results'!AV164,'Quantification_Results'!BH164)=5),IFERROR(ROUND((SUM(('Quantification_Results'!L164*'Quantification_Config'!$R$4),('Quantification_Results'!X164*'Quantification_Config'!$R$7),('Quantification_Results'!AJ164*'Quantification_Config'!$R$10),('Quantification_Results'!AV164*'Quantification_Config'!$R$13),('Quantification_Results'!BH164*'Quantification_Config'!$R$16))/SUM('Quantification_Config'!$R$4,'Quantification_Config'!$R$7,'Quantification_Config'!$R$10,'Quantification_Config'!$R$13,'Quantification_Config'!$R$16)),'Quantification_Config'!$U$2),""),"")</x:f>
      </x:c>
    </x:row>
    <x:row r="165">
      <x:c r="A165" t="n">
        <x:v>1</x:v>
      </x:c>
      <x:c r="B165" t="n">
        <x:v>5</x:v>
      </x:c>
      <x:c r="C165"/>
      <x:c r="D165" t="n">
        <x:f>IF(('Quantification_Results'!A165&lt;&gt;1),"",IF(('Quantification_Results'!C165=""),IF(ISNUMBER('Quantification_Results'!B165),IF(('Quantification_Results'!B165&lt;'Quantification_Config'!$S$6),"",IF(('Quantification_Results'!B165&gt;'Quantification_Config'!$T$6),"",'Quantification_Results'!B165)),""),IF(ISNUMBER('Quantification_Results'!C165),IF(('Quantification_Results'!C165&lt;'Quantification_Config'!$S$6),"",IF(('Quantification_Results'!C165&gt;'Quantification_Config'!$T$6),"",'Quantification_Results'!C165)),"")))</x:f>
        <x:v>5</x:v>
      </x:c>
      <x:c r="E165" t="n">
        <x:f>IF(ISNUMBER('Quantification_Results'!D165),IFERROR(ROUND(((('Quantification_Results'!D165-'Quantification_Config'!$S$6)/('Quantification_Config'!$T$6-'Quantification_Config'!$S$6))*100),'Quantification_Config'!$U$2),""),"")</x:f>
        <x:v>50</x:v>
      </x:c>
      <x:c r="F165" t="inlineStr">
        <x:is>
          <x:t xml:space="preserve">SYSTEM-TEST-ONLY-NO-NETWORK-NOT-AN-EDUCATIONAL-EVALUATION</x:t>
        </x:is>
      </x:c>
      <x:c r="G165" t="inlineStr">
        <x:is>
          <x:t xml:space="preserve"/>
        </x:is>
      </x:c>
      <x:c r="H165" t="inlineStr">
        <x:is>
          <x:t xml:space="preserve">NONE</x:t>
        </x:is>
      </x:c>
      <x:c r="I165" t="inlineStr">
        <x:is>
          <x:t xml:space="preserve"/>
        </x:is>
      </x:c>
      <x:c r="J165" t="inlineStr">
        <x:is>
          <x:t xml:space="preserve">SUCCESS</x:t>
        </x:is>
      </x:c>
      <x:c r="K165" t="n">
        <x:f>IF((COUNT('Quantification_Results'!E165)=1),IFERROR(ROUND((SUM(('Quantification_Results'!E165*'Quantification_Config'!$R$6))/SUM('Quantification_Config'!$R$6)),'Quantification_Config'!$U$2),""),"")</x:f>
        <x:v>50</x:v>
      </x:c>
      <x:c r="L165" t="n">
        <x:f>IF((COUNT('Quantification_Results'!K165)=1),IFERROR(ROUND((SUM(('Quantification_Results'!K165*'Quantification_Config'!$R$5))/SUM('Quantification_Config'!$R$5)),'Quantification_Config'!$U$2),""),"")</x:f>
        <x:v>50</x:v>
      </x:c>
      <x:c r="M165" t="n">
        <x:v>1</x:v>
      </x:c>
      <x:c r="N165" t="n">
        <x:v>5</x:v>
      </x:c>
      <x:c r="O165"/>
      <x:c r="P165" t="n">
        <x:f>IF(('Quantification_Results'!M165&lt;&gt;1),"",IF(('Quantification_Results'!O165=""),IF(ISNUMBER('Quantification_Results'!N165),IF(('Quantification_Results'!N165&lt;'Quantification_Config'!$S$9),"",IF(('Quantification_Results'!N165&gt;'Quantification_Config'!$T$9),"",'Quantification_Results'!N165)),""),IF(ISNUMBER('Quantification_Results'!O165),IF(('Quantification_Results'!O165&lt;'Quantification_Config'!$S$9),"",IF(('Quantification_Results'!O165&gt;'Quantification_Config'!$T$9),"",'Quantification_Results'!O165)),"")))</x:f>
        <x:v>5</x:v>
      </x:c>
      <x:c r="Q165" t="n">
        <x:f>IF(ISNUMBER('Quantification_Results'!P165),IFERROR(ROUND(((('Quantification_Results'!P165-'Quantification_Config'!$S$9)/('Quantification_Config'!$T$9-'Quantification_Config'!$S$9))*100),'Quantification_Config'!$U$2),""),"")</x:f>
        <x:v>50</x:v>
      </x:c>
      <x:c r="R165" t="inlineStr">
        <x:is>
          <x:t xml:space="preserve">SYSTEM-TEST-ONLY-NO-NETWORK-NOT-AN-EDUCATIONAL-EVALUATION</x:t>
        </x:is>
      </x:c>
      <x:c r="S165" t="inlineStr">
        <x:is>
          <x:t xml:space="preserve"/>
        </x:is>
      </x:c>
      <x:c r="T165" t="inlineStr">
        <x:is>
          <x:t xml:space="preserve">NONE</x:t>
        </x:is>
      </x:c>
      <x:c r="U165" t="inlineStr">
        <x:is>
          <x:t xml:space="preserve"/>
        </x:is>
      </x:c>
      <x:c r="V165" t="inlineStr">
        <x:is>
          <x:t xml:space="preserve">SUCCESS</x:t>
        </x:is>
      </x:c>
      <x:c r="W165" t="n">
        <x:f>IF((COUNT('Quantification_Results'!Q165)=1),IFERROR(ROUND((SUM(('Quantification_Results'!Q165*'Quantification_Config'!$R$9))/SUM('Quantification_Config'!$R$9)),'Quantification_Config'!$U$2),""),"")</x:f>
        <x:v>50</x:v>
      </x:c>
      <x:c r="X165" t="n">
        <x:f>IF((COUNT('Quantification_Results'!W165)=1),IFERROR(ROUND((SUM(('Quantification_Results'!W165*'Quantification_Config'!$R$8))/SUM('Quantification_Config'!$R$8)),'Quantification_Config'!$U$2),""),"")</x:f>
        <x:v>50</x:v>
      </x:c>
      <x:c r="Y165" t="n">
        <x:v>0</x:v>
      </x:c>
      <x:c r="Z165"/>
      <x:c r="AA165"/>
      <x:c r="AB165">
        <x:f>IF(('Quantification_Results'!Y165&lt;&gt;1),"",IF(('Quantification_Results'!AA165=""),IF(ISNUMBER('Quantification_Results'!Z165),IF(('Quantification_Results'!Z165&lt;'Quantification_Config'!$S$12),"",IF(('Quantification_Results'!Z165&gt;'Quantification_Config'!$T$12),"",'Quantification_Results'!Z165)),""),IF(ISNUMBER('Quantification_Results'!AA165),IF(('Quantification_Results'!AA165&lt;'Quantification_Config'!$S$12),"",IF(('Quantification_Results'!AA165&gt;'Quantification_Config'!$T$12),"",'Quantification_Results'!AA165)),"")))</x:f>
      </x:c>
      <x:c r="AC165">
        <x:f>IF(ISNUMBER('Quantification_Results'!AB165),IFERROR(ROUND(((('Quantification_Results'!AB165-'Quantification_Config'!$S$12)/('Quantification_Config'!$T$12-'Quantification_Config'!$S$12))*100),'Quantification_Config'!$U$2),""),"")</x:f>
      </x:c>
      <x:c r="AD165" t="inlineStr">
        <x:is>
          <x:t xml:space="preserve"/>
        </x:is>
      </x:c>
      <x:c r="AE165" t="inlineStr">
        <x:is>
          <x:t xml:space="preserve"/>
        </x:is>
      </x:c>
      <x:c r="AF165" t="inlineStr">
        <x:is>
          <x:t xml:space="preserve"/>
        </x:is>
      </x:c>
      <x:c r="AG165" t="inlineStr">
        <x:is>
          <x:t xml:space="preserve"/>
        </x:is>
      </x:c>
      <x:c r="AH165" t="inlineStr">
        <x:is>
          <x:t xml:space="preserve">EMPTY</x:t>
        </x:is>
      </x:c>
      <x:c r="AI165">
        <x:f>IF((COUNT('Quantification_Results'!AC165)=1),IFERROR(ROUND((SUM(('Quantification_Results'!AC165*'Quantification_Config'!$R$12))/SUM('Quantification_Config'!$R$12)),'Quantification_Config'!$U$2),""),"")</x:f>
      </x:c>
      <x:c r="AJ165">
        <x:f>IF((COUNT('Quantification_Results'!AI165)=1),IFERROR(ROUND((SUM(('Quantification_Results'!AI165*'Quantification_Config'!$R$11))/SUM('Quantification_Config'!$R$11)),'Quantification_Config'!$U$2),""),"")</x:f>
      </x:c>
      <x:c r="AK165" t="n">
        <x:v>1</x:v>
      </x:c>
      <x:c r="AL165" t="n">
        <x:v>5</x:v>
      </x:c>
      <x:c r="AM165"/>
      <x:c r="AN165" t="n">
        <x:f>IF(('Quantification_Results'!AK165&lt;&gt;1),"",IF(('Quantification_Results'!AM165=""),IF(ISNUMBER('Quantification_Results'!AL165),IF(('Quantification_Results'!AL165&lt;'Quantification_Config'!$S$15),"",IF(('Quantification_Results'!AL165&gt;'Quantification_Config'!$T$15),"",'Quantification_Results'!AL165)),""),IF(ISNUMBER('Quantification_Results'!AM165),IF(('Quantification_Results'!AM165&lt;'Quantification_Config'!$S$15),"",IF(('Quantification_Results'!AM165&gt;'Quantification_Config'!$T$15),"",'Quantification_Results'!AM165)),"")))</x:f>
        <x:v>5</x:v>
      </x:c>
      <x:c r="AO165" t="n">
        <x:f>IF(ISNUMBER('Quantification_Results'!AN165),IFERROR(ROUND(((('Quantification_Results'!AN165-'Quantification_Config'!$S$15)/('Quantification_Config'!$T$15-'Quantification_Config'!$S$15))*100),'Quantification_Config'!$U$2),""),"")</x:f>
        <x:v>50</x:v>
      </x:c>
      <x:c r="AP165" t="inlineStr">
        <x:is>
          <x:t xml:space="preserve">SYSTEM-TEST-ONLY-NO-NETWORK-NOT-AN-EDUCATIONAL-EVALUATION</x:t>
        </x:is>
      </x:c>
      <x:c r="AQ165" t="inlineStr">
        <x:is>
          <x:t xml:space="preserve"/>
        </x:is>
      </x:c>
      <x:c r="AR165" t="inlineStr">
        <x:is>
          <x:t xml:space="preserve">NONE</x:t>
        </x:is>
      </x:c>
      <x:c r="AS165" t="inlineStr">
        <x:is>
          <x:t xml:space="preserve"/>
        </x:is>
      </x:c>
      <x:c r="AT165" t="inlineStr">
        <x:is>
          <x:t xml:space="preserve">SUCCESS</x:t>
        </x:is>
      </x:c>
      <x:c r="AU165" t="n">
        <x:f>IF((COUNT('Quantification_Results'!AO165)=1),IFERROR(ROUND((SUM(('Quantification_Results'!AO165*'Quantification_Config'!$R$15))/SUM('Quantification_Config'!$R$15)),'Quantification_Config'!$U$2),""),"")</x:f>
        <x:v>50</x:v>
      </x:c>
      <x:c r="AV165" t="n">
        <x:f>IF((COUNT('Quantification_Results'!AU165)=1),IFERROR(ROUND((SUM(('Quantification_Results'!AU165*'Quantification_Config'!$R$14))/SUM('Quantification_Config'!$R$14)),'Quantification_Config'!$U$2),""),"")</x:f>
        <x:v>50</x:v>
      </x:c>
      <x:c r="AW165" t="n">
        <x:v>1</x:v>
      </x:c>
      <x:c r="AX165" t="n">
        <x:v>5</x:v>
      </x:c>
      <x:c r="AY165"/>
      <x:c r="AZ165" t="n">
        <x:f>IF(('Quantification_Results'!AW165&lt;&gt;1),"",IF(('Quantification_Results'!AY165=""),IF(ISNUMBER('Quantification_Results'!AX165),IF(('Quantification_Results'!AX165&lt;'Quantification_Config'!$S$19),"",IF(('Quantification_Results'!AX165&gt;'Quantification_Config'!$T$19),"",'Quantification_Results'!AX165)),""),IF(ISNUMBER('Quantification_Results'!AY165),IF(('Quantification_Results'!AY165&lt;'Quantification_Config'!$S$19),"",IF(('Quantification_Results'!AY165&gt;'Quantification_Config'!$T$19),"",'Quantification_Results'!AY165)),"")))</x:f>
        <x:v>5</x:v>
      </x:c>
      <x:c r="BA165" t="n">
        <x:f>IF(ISNUMBER('Quantification_Results'!AZ165),IFERROR(ROUND(((('Quantification_Results'!AZ165-'Quantification_Config'!$S$19)/('Quantification_Config'!$T$19-'Quantification_Config'!$S$19))*100),'Quantification_Config'!$U$2),""),"")</x:f>
        <x:v>50</x:v>
      </x:c>
      <x:c r="BB165" t="inlineStr">
        <x:is>
          <x:t xml:space="preserve">SYSTEM-TEST-ONLY-NO-NETWORK-NOT-AN-EDUCATIONAL-EVALUATION</x:t>
        </x:is>
      </x:c>
      <x:c r="BC165" t="inlineStr">
        <x:is>
          <x:t xml:space="preserve"/>
        </x:is>
      </x:c>
      <x:c r="BD165" t="inlineStr">
        <x:is>
          <x:t xml:space="preserve">NONE</x:t>
        </x:is>
      </x:c>
      <x:c r="BE165" t="inlineStr">
        <x:is>
          <x:t xml:space="preserve"/>
        </x:is>
      </x:c>
      <x:c r="BF165" t="inlineStr">
        <x:is>
          <x:t xml:space="preserve">SUCCESS</x:t>
        </x:is>
      </x:c>
      <x:c r="BG165" t="n">
        <x:f>IF((COUNT('Quantification_Results'!BA165)=1),IFERROR(ROUND((SUM(('Quantification_Results'!BA165*'Quantification_Config'!$R$19))/SUM('Quantification_Config'!$R$19)),'Quantification_Config'!$U$2),""),"")</x:f>
        <x:v>50</x:v>
      </x:c>
      <x:c r="BH165" t="n">
        <x:f>IF((COUNT('Quantification_Results'!BG165)=1),IFERROR(ROUND((SUM(('Quantification_Results'!BG165*'Quantification_Config'!$R$18))/SUM('Quantification_Config'!$R$18)),'Quantification_Config'!$U$2),""),"")</x:f>
        <x:v>50</x:v>
      </x:c>
      <x:c r="BI165">
        <x:f>IF((COUNT('Quantification_Results'!L165,'Quantification_Results'!X165,'Quantification_Results'!AJ165,'Quantification_Results'!AV165,'Quantification_Results'!BH165)=5),IFERROR(ROUND((SUM(('Quantification_Results'!L165*'Quantification_Config'!$R$4),('Quantification_Results'!X165*'Quantification_Config'!$R$7),('Quantification_Results'!AJ165*'Quantification_Config'!$R$10),('Quantification_Results'!AV165*'Quantification_Config'!$R$13),('Quantification_Results'!BH165*'Quantification_Config'!$R$16))/SUM('Quantification_Config'!$R$4,'Quantification_Config'!$R$7,'Quantification_Config'!$R$10,'Quantification_Config'!$R$13,'Quantification_Config'!$R$16)),'Quantification_Config'!$U$2),""),"")</x:f>
      </x:c>
    </x:row>
    <x:row r="166">
      <x:c r="A166" t="n">
        <x:v>1</x:v>
      </x:c>
      <x:c r="B166" t="n">
        <x:v>5</x:v>
      </x:c>
      <x:c r="C166"/>
      <x:c r="D166" t="n">
        <x:f>IF(('Quantification_Results'!A166&lt;&gt;1),"",IF(('Quantification_Results'!C166=""),IF(ISNUMBER('Quantification_Results'!B166),IF(('Quantification_Results'!B166&lt;'Quantification_Config'!$S$6),"",IF(('Quantification_Results'!B166&gt;'Quantification_Config'!$T$6),"",'Quantification_Results'!B166)),""),IF(ISNUMBER('Quantification_Results'!C166),IF(('Quantification_Results'!C166&lt;'Quantification_Config'!$S$6),"",IF(('Quantification_Results'!C166&gt;'Quantification_Config'!$T$6),"",'Quantification_Results'!C166)),"")))</x:f>
        <x:v>5</x:v>
      </x:c>
      <x:c r="E166" t="n">
        <x:f>IF(ISNUMBER('Quantification_Results'!D166),IFERROR(ROUND(((('Quantification_Results'!D166-'Quantification_Config'!$S$6)/('Quantification_Config'!$T$6-'Quantification_Config'!$S$6))*100),'Quantification_Config'!$U$2),""),"")</x:f>
        <x:v>50</x:v>
      </x:c>
      <x:c r="F166" t="inlineStr">
        <x:is>
          <x:t xml:space="preserve">SYSTEM-TEST-ONLY-NO-NETWORK-NOT-AN-EDUCATIONAL-EVALUATION</x:t>
        </x:is>
      </x:c>
      <x:c r="G166" t="inlineStr">
        <x:is>
          <x:t xml:space="preserve"/>
        </x:is>
      </x:c>
      <x:c r="H166" t="inlineStr">
        <x:is>
          <x:t xml:space="preserve">NONE</x:t>
        </x:is>
      </x:c>
      <x:c r="I166" t="inlineStr">
        <x:is>
          <x:t xml:space="preserve"/>
        </x:is>
      </x:c>
      <x:c r="J166" t="inlineStr">
        <x:is>
          <x:t xml:space="preserve">SUCCESS</x:t>
        </x:is>
      </x:c>
      <x:c r="K166" t="n">
        <x:f>IF((COUNT('Quantification_Results'!E166)=1),IFERROR(ROUND((SUM(('Quantification_Results'!E166*'Quantification_Config'!$R$6))/SUM('Quantification_Config'!$R$6)),'Quantification_Config'!$U$2),""),"")</x:f>
        <x:v>50</x:v>
      </x:c>
      <x:c r="L166" t="n">
        <x:f>IF((COUNT('Quantification_Results'!K166)=1),IFERROR(ROUND((SUM(('Quantification_Results'!K166*'Quantification_Config'!$R$5))/SUM('Quantification_Config'!$R$5)),'Quantification_Config'!$U$2),""),"")</x:f>
        <x:v>50</x:v>
      </x:c>
      <x:c r="M166" t="n">
        <x:v>1</x:v>
      </x:c>
      <x:c r="N166" t="n">
        <x:v>5</x:v>
      </x:c>
      <x:c r="O166"/>
      <x:c r="P166" t="n">
        <x:f>IF(('Quantification_Results'!M166&lt;&gt;1),"",IF(('Quantification_Results'!O166=""),IF(ISNUMBER('Quantification_Results'!N166),IF(('Quantification_Results'!N166&lt;'Quantification_Config'!$S$9),"",IF(('Quantification_Results'!N166&gt;'Quantification_Config'!$T$9),"",'Quantification_Results'!N166)),""),IF(ISNUMBER('Quantification_Results'!O166),IF(('Quantification_Results'!O166&lt;'Quantification_Config'!$S$9),"",IF(('Quantification_Results'!O166&gt;'Quantification_Config'!$T$9),"",'Quantification_Results'!O166)),"")))</x:f>
        <x:v>5</x:v>
      </x:c>
      <x:c r="Q166" t="n">
        <x:f>IF(ISNUMBER('Quantification_Results'!P166),IFERROR(ROUND(((('Quantification_Results'!P166-'Quantification_Config'!$S$9)/('Quantification_Config'!$T$9-'Quantification_Config'!$S$9))*100),'Quantification_Config'!$U$2),""),"")</x:f>
        <x:v>50</x:v>
      </x:c>
      <x:c r="R166" t="inlineStr">
        <x:is>
          <x:t xml:space="preserve">SYSTEM-TEST-ONLY-NO-NETWORK-NOT-AN-EDUCATIONAL-EVALUATION</x:t>
        </x:is>
      </x:c>
      <x:c r="S166" t="inlineStr">
        <x:is>
          <x:t xml:space="preserve"/>
        </x:is>
      </x:c>
      <x:c r="T166" t="inlineStr">
        <x:is>
          <x:t xml:space="preserve">NONE</x:t>
        </x:is>
      </x:c>
      <x:c r="U166" t="inlineStr">
        <x:is>
          <x:t xml:space="preserve"/>
        </x:is>
      </x:c>
      <x:c r="V166" t="inlineStr">
        <x:is>
          <x:t xml:space="preserve">SUCCESS</x:t>
        </x:is>
      </x:c>
      <x:c r="W166" t="n">
        <x:f>IF((COUNT('Quantification_Results'!Q166)=1),IFERROR(ROUND((SUM(('Quantification_Results'!Q166*'Quantification_Config'!$R$9))/SUM('Quantification_Config'!$R$9)),'Quantification_Config'!$U$2),""),"")</x:f>
        <x:v>50</x:v>
      </x:c>
      <x:c r="X166" t="n">
        <x:f>IF((COUNT('Quantification_Results'!W166)=1),IFERROR(ROUND((SUM(('Quantification_Results'!W166*'Quantification_Config'!$R$8))/SUM('Quantification_Config'!$R$8)),'Quantification_Config'!$U$2),""),"")</x:f>
        <x:v>50</x:v>
      </x:c>
      <x:c r="Y166" t="n">
        <x:v>1</x:v>
      </x:c>
      <x:c r="Z166" t="n">
        <x:v>5</x:v>
      </x:c>
      <x:c r="AA166"/>
      <x:c r="AB166" t="n">
        <x:f>IF(('Quantification_Results'!Y166&lt;&gt;1),"",IF(('Quantification_Results'!AA166=""),IF(ISNUMBER('Quantification_Results'!Z166),IF(('Quantification_Results'!Z166&lt;'Quantification_Config'!$S$12),"",IF(('Quantification_Results'!Z166&gt;'Quantification_Config'!$T$12),"",'Quantification_Results'!Z166)),""),IF(ISNUMBER('Quantification_Results'!AA166),IF(('Quantification_Results'!AA166&lt;'Quantification_Config'!$S$12),"",IF(('Quantification_Results'!AA166&gt;'Quantification_Config'!$T$12),"",'Quantification_Results'!AA166)),"")))</x:f>
        <x:v>5</x:v>
      </x:c>
      <x:c r="AC166" t="n">
        <x:f>IF(ISNUMBER('Quantification_Results'!AB166),IFERROR(ROUND(((('Quantification_Results'!AB166-'Quantification_Config'!$S$12)/('Quantification_Config'!$T$12-'Quantification_Config'!$S$12))*100),'Quantification_Config'!$U$2),""),"")</x:f>
        <x:v>50</x:v>
      </x:c>
      <x:c r="AD166" t="inlineStr">
        <x:is>
          <x:t xml:space="preserve">SYSTEM-TEST-ONLY-NO-NETWORK-NOT-AN-EDUCATIONAL-EVALUATION</x:t>
        </x:is>
      </x:c>
      <x:c r="AE166" t="inlineStr">
        <x:is>
          <x:t xml:space="preserve"/>
        </x:is>
      </x:c>
      <x:c r="AF166" t="inlineStr">
        <x:is>
          <x:t xml:space="preserve">NONE</x:t>
        </x:is>
      </x:c>
      <x:c r="AG166" t="inlineStr">
        <x:is>
          <x:t xml:space="preserve"/>
        </x:is>
      </x:c>
      <x:c r="AH166" t="inlineStr">
        <x:is>
          <x:t xml:space="preserve">SUCCESS</x:t>
        </x:is>
      </x:c>
      <x:c r="AI166" t="n">
        <x:f>IF((COUNT('Quantification_Results'!AC166)=1),IFERROR(ROUND((SUM(('Quantification_Results'!AC166*'Quantification_Config'!$R$12))/SUM('Quantification_Config'!$R$12)),'Quantification_Config'!$U$2),""),"")</x:f>
        <x:v>50</x:v>
      </x:c>
      <x:c r="AJ166" t="n">
        <x:f>IF((COUNT('Quantification_Results'!AI166)=1),IFERROR(ROUND((SUM(('Quantification_Results'!AI166*'Quantification_Config'!$R$11))/SUM('Quantification_Config'!$R$11)),'Quantification_Config'!$U$2),""),"")</x:f>
        <x:v>50</x:v>
      </x:c>
      <x:c r="AK166" t="n">
        <x:v>1</x:v>
      </x:c>
      <x:c r="AL166" t="n">
        <x:v>5</x:v>
      </x:c>
      <x:c r="AM166"/>
      <x:c r="AN166" t="n">
        <x:f>IF(('Quantification_Results'!AK166&lt;&gt;1),"",IF(('Quantification_Results'!AM166=""),IF(ISNUMBER('Quantification_Results'!AL166),IF(('Quantification_Results'!AL166&lt;'Quantification_Config'!$S$15),"",IF(('Quantification_Results'!AL166&gt;'Quantification_Config'!$T$15),"",'Quantification_Results'!AL166)),""),IF(ISNUMBER('Quantification_Results'!AM166),IF(('Quantification_Results'!AM166&lt;'Quantification_Config'!$S$15),"",IF(('Quantification_Results'!AM166&gt;'Quantification_Config'!$T$15),"",'Quantification_Results'!AM166)),"")))</x:f>
        <x:v>5</x:v>
      </x:c>
      <x:c r="AO166" t="n">
        <x:f>IF(ISNUMBER('Quantification_Results'!AN166),IFERROR(ROUND(((('Quantification_Results'!AN166-'Quantification_Config'!$S$15)/('Quantification_Config'!$T$15-'Quantification_Config'!$S$15))*100),'Quantification_Config'!$U$2),""),"")</x:f>
        <x:v>50</x:v>
      </x:c>
      <x:c r="AP166" t="inlineStr">
        <x:is>
          <x:t xml:space="preserve">SYSTEM-TEST-ONLY-NO-NETWORK-NOT-AN-EDUCATIONAL-EVALUATION</x:t>
        </x:is>
      </x:c>
      <x:c r="AQ166" t="inlineStr">
        <x:is>
          <x:t xml:space="preserve"/>
        </x:is>
      </x:c>
      <x:c r="AR166" t="inlineStr">
        <x:is>
          <x:t xml:space="preserve">NONE</x:t>
        </x:is>
      </x:c>
      <x:c r="AS166" t="inlineStr">
        <x:is>
          <x:t xml:space="preserve"/>
        </x:is>
      </x:c>
      <x:c r="AT166" t="inlineStr">
        <x:is>
          <x:t xml:space="preserve">SUCCESS</x:t>
        </x:is>
      </x:c>
      <x:c r="AU166" t="n">
        <x:f>IF((COUNT('Quantification_Results'!AO166)=1),IFERROR(ROUND((SUM(('Quantification_Results'!AO166*'Quantification_Config'!$R$15))/SUM('Quantification_Config'!$R$15)),'Quantification_Config'!$U$2),""),"")</x:f>
        <x:v>50</x:v>
      </x:c>
      <x:c r="AV166" t="n">
        <x:f>IF((COUNT('Quantification_Results'!AU166)=1),IFERROR(ROUND((SUM(('Quantification_Results'!AU166*'Quantification_Config'!$R$14))/SUM('Quantification_Config'!$R$14)),'Quantification_Config'!$U$2),""),"")</x:f>
        <x:v>50</x:v>
      </x:c>
      <x:c r="AW166" t="n">
        <x:v>1</x:v>
      </x:c>
      <x:c r="AX166" t="n">
        <x:v>5</x:v>
      </x:c>
      <x:c r="AY166"/>
      <x:c r="AZ166" t="n">
        <x:f>IF(('Quantification_Results'!AW166&lt;&gt;1),"",IF(('Quantification_Results'!AY166=""),IF(ISNUMBER('Quantification_Results'!AX166),IF(('Quantification_Results'!AX166&lt;'Quantification_Config'!$S$19),"",IF(('Quantification_Results'!AX166&gt;'Quantification_Config'!$T$19),"",'Quantification_Results'!AX166)),""),IF(ISNUMBER('Quantification_Results'!AY166),IF(('Quantification_Results'!AY166&lt;'Quantification_Config'!$S$19),"",IF(('Quantification_Results'!AY166&gt;'Quantification_Config'!$T$19),"",'Quantification_Results'!AY166)),"")))</x:f>
        <x:v>5</x:v>
      </x:c>
      <x:c r="BA166" t="n">
        <x:f>IF(ISNUMBER('Quantification_Results'!AZ166),IFERROR(ROUND(((('Quantification_Results'!AZ166-'Quantification_Config'!$S$19)/('Quantification_Config'!$T$19-'Quantification_Config'!$S$19))*100),'Quantification_Config'!$U$2),""),"")</x:f>
        <x:v>50</x:v>
      </x:c>
      <x:c r="BB166" t="inlineStr">
        <x:is>
          <x:t xml:space="preserve">SYSTEM-TEST-ONLY-NO-NETWORK-NOT-AN-EDUCATIONAL-EVALUATION</x:t>
        </x:is>
      </x:c>
      <x:c r="BC166" t="inlineStr">
        <x:is>
          <x:t xml:space="preserve"/>
        </x:is>
      </x:c>
      <x:c r="BD166" t="inlineStr">
        <x:is>
          <x:t xml:space="preserve">NONE</x:t>
        </x:is>
      </x:c>
      <x:c r="BE166" t="inlineStr">
        <x:is>
          <x:t xml:space="preserve"/>
        </x:is>
      </x:c>
      <x:c r="BF166" t="inlineStr">
        <x:is>
          <x:t xml:space="preserve">SUCCESS</x:t>
        </x:is>
      </x:c>
      <x:c r="BG166" t="n">
        <x:f>IF((COUNT('Quantification_Results'!BA166)=1),IFERROR(ROUND((SUM(('Quantification_Results'!BA166*'Quantification_Config'!$R$19))/SUM('Quantification_Config'!$R$19)),'Quantification_Config'!$U$2),""),"")</x:f>
        <x:v>50</x:v>
      </x:c>
      <x:c r="BH166" t="n">
        <x:f>IF((COUNT('Quantification_Results'!BG166)=1),IFERROR(ROUND((SUM(('Quantification_Results'!BG166*'Quantification_Config'!$R$18))/SUM('Quantification_Config'!$R$18)),'Quantification_Config'!$U$2),""),"")</x:f>
        <x:v>50</x:v>
      </x:c>
      <x:c r="BI166" t="n">
        <x:f>IF((COUNT('Quantification_Results'!L166,'Quantification_Results'!X166,'Quantification_Results'!AJ166,'Quantification_Results'!AV166,'Quantification_Results'!BH166)=5),IFERROR(ROUND((SUM(('Quantification_Results'!L166*'Quantification_Config'!$R$4),('Quantification_Results'!X166*'Quantification_Config'!$R$7),('Quantification_Results'!AJ166*'Quantification_Config'!$R$10),('Quantification_Results'!AV166*'Quantification_Config'!$R$13),('Quantification_Results'!BH166*'Quantification_Config'!$R$16))/SUM('Quantification_Config'!$R$4,'Quantification_Config'!$R$7,'Quantification_Config'!$R$10,'Quantification_Config'!$R$13,'Quantification_Config'!$R$16)),'Quantification_Config'!$U$2),""),"")</x:f>
        <x:v>50</x:v>
      </x:c>
    </x:row>
    <x:row r="167">
      <x:c r="A167" t="n">
        <x:v>1</x:v>
      </x:c>
      <x:c r="B167" t="n">
        <x:v>5</x:v>
      </x:c>
      <x:c r="C167"/>
      <x:c r="D167" t="n">
        <x:f>IF(('Quantification_Results'!A167&lt;&gt;1),"",IF(('Quantification_Results'!C167=""),IF(ISNUMBER('Quantification_Results'!B167),IF(('Quantification_Results'!B167&lt;'Quantification_Config'!$S$6),"",IF(('Quantification_Results'!B167&gt;'Quantification_Config'!$T$6),"",'Quantification_Results'!B167)),""),IF(ISNUMBER('Quantification_Results'!C167),IF(('Quantification_Results'!C167&lt;'Quantification_Config'!$S$6),"",IF(('Quantification_Results'!C167&gt;'Quantification_Config'!$T$6),"",'Quantification_Results'!C167)),"")))</x:f>
        <x:v>5</x:v>
      </x:c>
      <x:c r="E167" t="n">
        <x:f>IF(ISNUMBER('Quantification_Results'!D167),IFERROR(ROUND(((('Quantification_Results'!D167-'Quantification_Config'!$S$6)/('Quantification_Config'!$T$6-'Quantification_Config'!$S$6))*100),'Quantification_Config'!$U$2),""),"")</x:f>
        <x:v>50</x:v>
      </x:c>
      <x:c r="F167" t="inlineStr">
        <x:is>
          <x:t xml:space="preserve">SYSTEM-TEST-ONLY-NO-NETWORK-NOT-AN-EDUCATIONAL-EVALUATION</x:t>
        </x:is>
      </x:c>
      <x:c r="G167" t="inlineStr">
        <x:is>
          <x:t xml:space="preserve"/>
        </x:is>
      </x:c>
      <x:c r="H167" t="inlineStr">
        <x:is>
          <x:t xml:space="preserve">NONE</x:t>
        </x:is>
      </x:c>
      <x:c r="I167" t="inlineStr">
        <x:is>
          <x:t xml:space="preserve"/>
        </x:is>
      </x:c>
      <x:c r="J167" t="inlineStr">
        <x:is>
          <x:t xml:space="preserve">SUCCESS</x:t>
        </x:is>
      </x:c>
      <x:c r="K167" t="n">
        <x:f>IF((COUNT('Quantification_Results'!E167)=1),IFERROR(ROUND((SUM(('Quantification_Results'!E167*'Quantification_Config'!$R$6))/SUM('Quantification_Config'!$R$6)),'Quantification_Config'!$U$2),""),"")</x:f>
        <x:v>50</x:v>
      </x:c>
      <x:c r="L167" t="n">
        <x:f>IF((COUNT('Quantification_Results'!K167)=1),IFERROR(ROUND((SUM(('Quantification_Results'!K167*'Quantification_Config'!$R$5))/SUM('Quantification_Config'!$R$5)),'Quantification_Config'!$U$2),""),"")</x:f>
        <x:v>50</x:v>
      </x:c>
      <x:c r="M167" t="n">
        <x:v>1</x:v>
      </x:c>
      <x:c r="N167" t="n">
        <x:v>5</x:v>
      </x:c>
      <x:c r="O167"/>
      <x:c r="P167" t="n">
        <x:f>IF(('Quantification_Results'!M167&lt;&gt;1),"",IF(('Quantification_Results'!O167=""),IF(ISNUMBER('Quantification_Results'!N167),IF(('Quantification_Results'!N167&lt;'Quantification_Config'!$S$9),"",IF(('Quantification_Results'!N167&gt;'Quantification_Config'!$T$9),"",'Quantification_Results'!N167)),""),IF(ISNUMBER('Quantification_Results'!O167),IF(('Quantification_Results'!O167&lt;'Quantification_Config'!$S$9),"",IF(('Quantification_Results'!O167&gt;'Quantification_Config'!$T$9),"",'Quantification_Results'!O167)),"")))</x:f>
        <x:v>5</x:v>
      </x:c>
      <x:c r="Q167" t="n">
        <x:f>IF(ISNUMBER('Quantification_Results'!P167),IFERROR(ROUND(((('Quantification_Results'!P167-'Quantification_Config'!$S$9)/('Quantification_Config'!$T$9-'Quantification_Config'!$S$9))*100),'Quantification_Config'!$U$2),""),"")</x:f>
        <x:v>50</x:v>
      </x:c>
      <x:c r="R167" t="inlineStr">
        <x:is>
          <x:t xml:space="preserve">SYSTEM-TEST-ONLY-NO-NETWORK-NOT-AN-EDUCATIONAL-EVALUATION</x:t>
        </x:is>
      </x:c>
      <x:c r="S167" t="inlineStr">
        <x:is>
          <x:t xml:space="preserve"/>
        </x:is>
      </x:c>
      <x:c r="T167" t="inlineStr">
        <x:is>
          <x:t xml:space="preserve">NONE</x:t>
        </x:is>
      </x:c>
      <x:c r="U167" t="inlineStr">
        <x:is>
          <x:t xml:space="preserve"/>
        </x:is>
      </x:c>
      <x:c r="V167" t="inlineStr">
        <x:is>
          <x:t xml:space="preserve">SUCCESS</x:t>
        </x:is>
      </x:c>
      <x:c r="W167" t="n">
        <x:f>IF((COUNT('Quantification_Results'!Q167)=1),IFERROR(ROUND((SUM(('Quantification_Results'!Q167*'Quantification_Config'!$R$9))/SUM('Quantification_Config'!$R$9)),'Quantification_Config'!$U$2),""),"")</x:f>
        <x:v>50</x:v>
      </x:c>
      <x:c r="X167" t="n">
        <x:f>IF((COUNT('Quantification_Results'!W167)=1),IFERROR(ROUND((SUM(('Quantification_Results'!W167*'Quantification_Config'!$R$8))/SUM('Quantification_Config'!$R$8)),'Quantification_Config'!$U$2),""),"")</x:f>
        <x:v>50</x:v>
      </x:c>
      <x:c r="Y167" t="n">
        <x:v>0</x:v>
      </x:c>
      <x:c r="Z167"/>
      <x:c r="AA167"/>
      <x:c r="AB167">
        <x:f>IF(('Quantification_Results'!Y167&lt;&gt;1),"",IF(('Quantification_Results'!AA167=""),IF(ISNUMBER('Quantification_Results'!Z167),IF(('Quantification_Results'!Z167&lt;'Quantification_Config'!$S$12),"",IF(('Quantification_Results'!Z167&gt;'Quantification_Config'!$T$12),"",'Quantification_Results'!Z167)),""),IF(ISNUMBER('Quantification_Results'!AA167),IF(('Quantification_Results'!AA167&lt;'Quantification_Config'!$S$12),"",IF(('Quantification_Results'!AA167&gt;'Quantification_Config'!$T$12),"",'Quantification_Results'!AA167)),"")))</x:f>
      </x:c>
      <x:c r="AC167">
        <x:f>IF(ISNUMBER('Quantification_Results'!AB167),IFERROR(ROUND(((('Quantification_Results'!AB167-'Quantification_Config'!$S$12)/('Quantification_Config'!$T$12-'Quantification_Config'!$S$12))*100),'Quantification_Config'!$U$2),""),"")</x:f>
      </x:c>
      <x:c r="AD167" t="inlineStr">
        <x:is>
          <x:t xml:space="preserve"/>
        </x:is>
      </x:c>
      <x:c r="AE167" t="inlineStr">
        <x:is>
          <x:t xml:space="preserve"/>
        </x:is>
      </x:c>
      <x:c r="AF167" t="inlineStr">
        <x:is>
          <x:t xml:space="preserve"/>
        </x:is>
      </x:c>
      <x:c r="AG167" t="inlineStr">
        <x:is>
          <x:t xml:space="preserve"/>
        </x:is>
      </x:c>
      <x:c r="AH167" t="inlineStr">
        <x:is>
          <x:t xml:space="preserve">EMPTY</x:t>
        </x:is>
      </x:c>
      <x:c r="AI167">
        <x:f>IF((COUNT('Quantification_Results'!AC167)=1),IFERROR(ROUND((SUM(('Quantification_Results'!AC167*'Quantification_Config'!$R$12))/SUM('Quantification_Config'!$R$12)),'Quantification_Config'!$U$2),""),"")</x:f>
      </x:c>
      <x:c r="AJ167">
        <x:f>IF((COUNT('Quantification_Results'!AI167)=1),IFERROR(ROUND((SUM(('Quantification_Results'!AI167*'Quantification_Config'!$R$11))/SUM('Quantification_Config'!$R$11)),'Quantification_Config'!$U$2),""),"")</x:f>
      </x:c>
      <x:c r="AK167" t="n">
        <x:v>1</x:v>
      </x:c>
      <x:c r="AL167" t="n">
        <x:v>5</x:v>
      </x:c>
      <x:c r="AM167"/>
      <x:c r="AN167" t="n">
        <x:f>IF(('Quantification_Results'!AK167&lt;&gt;1),"",IF(('Quantification_Results'!AM167=""),IF(ISNUMBER('Quantification_Results'!AL167),IF(('Quantification_Results'!AL167&lt;'Quantification_Config'!$S$15),"",IF(('Quantification_Results'!AL167&gt;'Quantification_Config'!$T$15),"",'Quantification_Results'!AL167)),""),IF(ISNUMBER('Quantification_Results'!AM167),IF(('Quantification_Results'!AM167&lt;'Quantification_Config'!$S$15),"",IF(('Quantification_Results'!AM167&gt;'Quantification_Config'!$T$15),"",'Quantification_Results'!AM167)),"")))</x:f>
        <x:v>5</x:v>
      </x:c>
      <x:c r="AO167" t="n">
        <x:f>IF(ISNUMBER('Quantification_Results'!AN167),IFERROR(ROUND(((('Quantification_Results'!AN167-'Quantification_Config'!$S$15)/('Quantification_Config'!$T$15-'Quantification_Config'!$S$15))*100),'Quantification_Config'!$U$2),""),"")</x:f>
        <x:v>50</x:v>
      </x:c>
      <x:c r="AP167" t="inlineStr">
        <x:is>
          <x:t xml:space="preserve">SYSTEM-TEST-ONLY-NO-NETWORK-NOT-AN-EDUCATIONAL-EVALUATION</x:t>
        </x:is>
      </x:c>
      <x:c r="AQ167" t="inlineStr">
        <x:is>
          <x:t xml:space="preserve"/>
        </x:is>
      </x:c>
      <x:c r="AR167" t="inlineStr">
        <x:is>
          <x:t xml:space="preserve">NONE</x:t>
        </x:is>
      </x:c>
      <x:c r="AS167" t="inlineStr">
        <x:is>
          <x:t xml:space="preserve"/>
        </x:is>
      </x:c>
      <x:c r="AT167" t="inlineStr">
        <x:is>
          <x:t xml:space="preserve">SUCCESS</x:t>
        </x:is>
      </x:c>
      <x:c r="AU167" t="n">
        <x:f>IF((COUNT('Quantification_Results'!AO167)=1),IFERROR(ROUND((SUM(('Quantification_Results'!AO167*'Quantification_Config'!$R$15))/SUM('Quantification_Config'!$R$15)),'Quantification_Config'!$U$2),""),"")</x:f>
        <x:v>50</x:v>
      </x:c>
      <x:c r="AV167" t="n">
        <x:f>IF((COUNT('Quantification_Results'!AU167)=1),IFERROR(ROUND((SUM(('Quantification_Results'!AU167*'Quantification_Config'!$R$14))/SUM('Quantification_Config'!$R$14)),'Quantification_Config'!$U$2),""),"")</x:f>
        <x:v>50</x:v>
      </x:c>
      <x:c r="AW167" t="n">
        <x:v>1</x:v>
      </x:c>
      <x:c r="AX167" t="n">
        <x:v>5</x:v>
      </x:c>
      <x:c r="AY167"/>
      <x:c r="AZ167" t="n">
        <x:f>IF(('Quantification_Results'!AW167&lt;&gt;1),"",IF(('Quantification_Results'!AY167=""),IF(ISNUMBER('Quantification_Results'!AX167),IF(('Quantification_Results'!AX167&lt;'Quantification_Config'!$S$19),"",IF(('Quantification_Results'!AX167&gt;'Quantification_Config'!$T$19),"",'Quantification_Results'!AX167)),""),IF(ISNUMBER('Quantification_Results'!AY167),IF(('Quantification_Results'!AY167&lt;'Quantification_Config'!$S$19),"",IF(('Quantification_Results'!AY167&gt;'Quantification_Config'!$T$19),"",'Quantification_Results'!AY167)),"")))</x:f>
        <x:v>5</x:v>
      </x:c>
      <x:c r="BA167" t="n">
        <x:f>IF(ISNUMBER('Quantification_Results'!AZ167),IFERROR(ROUND(((('Quantification_Results'!AZ167-'Quantification_Config'!$S$19)/('Quantification_Config'!$T$19-'Quantification_Config'!$S$19))*100),'Quantification_Config'!$U$2),""),"")</x:f>
        <x:v>50</x:v>
      </x:c>
      <x:c r="BB167" t="inlineStr">
        <x:is>
          <x:t xml:space="preserve">SYSTEM-TEST-ONLY-NO-NETWORK-NOT-AN-EDUCATIONAL-EVALUATION</x:t>
        </x:is>
      </x:c>
      <x:c r="BC167" t="inlineStr">
        <x:is>
          <x:t xml:space="preserve"/>
        </x:is>
      </x:c>
      <x:c r="BD167" t="inlineStr">
        <x:is>
          <x:t xml:space="preserve">NONE</x:t>
        </x:is>
      </x:c>
      <x:c r="BE167" t="inlineStr">
        <x:is>
          <x:t xml:space="preserve"/>
        </x:is>
      </x:c>
      <x:c r="BF167" t="inlineStr">
        <x:is>
          <x:t xml:space="preserve">SUCCESS</x:t>
        </x:is>
      </x:c>
      <x:c r="BG167" t="n">
        <x:f>IF((COUNT('Quantification_Results'!BA167)=1),IFERROR(ROUND((SUM(('Quantification_Results'!BA167*'Quantification_Config'!$R$19))/SUM('Quantification_Config'!$R$19)),'Quantification_Config'!$U$2),""),"")</x:f>
        <x:v>50</x:v>
      </x:c>
      <x:c r="BH167" t="n">
        <x:f>IF((COUNT('Quantification_Results'!BG167)=1),IFERROR(ROUND((SUM(('Quantification_Results'!BG167*'Quantification_Config'!$R$18))/SUM('Quantification_Config'!$R$18)),'Quantification_Config'!$U$2),""),"")</x:f>
        <x:v>50</x:v>
      </x:c>
      <x:c r="BI167">
        <x:f>IF((COUNT('Quantification_Results'!L167,'Quantification_Results'!X167,'Quantification_Results'!AJ167,'Quantification_Results'!AV167,'Quantification_Results'!BH167)=5),IFERROR(ROUND((SUM(('Quantification_Results'!L167*'Quantification_Config'!$R$4),('Quantification_Results'!X167*'Quantification_Config'!$R$7),('Quantification_Results'!AJ167*'Quantification_Config'!$R$10),('Quantification_Results'!AV167*'Quantification_Config'!$R$13),('Quantification_Results'!BH167*'Quantification_Config'!$R$16))/SUM('Quantification_Config'!$R$4,'Quantification_Config'!$R$7,'Quantification_Config'!$R$10,'Quantification_Config'!$R$13,'Quantification_Config'!$R$16)),'Quantification_Config'!$U$2),""),"")</x:f>
      </x:c>
    </x:row>
    <x:row r="168">
      <x:c r="A168" t="n">
        <x:v>1</x:v>
      </x:c>
      <x:c r="B168" t="n">
        <x:v>5</x:v>
      </x:c>
      <x:c r="C168"/>
      <x:c r="D168" t="n">
        <x:f>IF(('Quantification_Results'!A168&lt;&gt;1),"",IF(('Quantification_Results'!C168=""),IF(ISNUMBER('Quantification_Results'!B168),IF(('Quantification_Results'!B168&lt;'Quantification_Config'!$S$6),"",IF(('Quantification_Results'!B168&gt;'Quantification_Config'!$T$6),"",'Quantification_Results'!B168)),""),IF(ISNUMBER('Quantification_Results'!C168),IF(('Quantification_Results'!C168&lt;'Quantification_Config'!$S$6),"",IF(('Quantification_Results'!C168&gt;'Quantification_Config'!$T$6),"",'Quantification_Results'!C168)),"")))</x:f>
        <x:v>5</x:v>
      </x:c>
      <x:c r="E168" t="n">
        <x:f>IF(ISNUMBER('Quantification_Results'!D168),IFERROR(ROUND(((('Quantification_Results'!D168-'Quantification_Config'!$S$6)/('Quantification_Config'!$T$6-'Quantification_Config'!$S$6))*100),'Quantification_Config'!$U$2),""),"")</x:f>
        <x:v>50</x:v>
      </x:c>
      <x:c r="F168" t="inlineStr">
        <x:is>
          <x:t xml:space="preserve">SYSTEM-TEST-ONLY-NO-NETWORK-NOT-AN-EDUCATIONAL-EVALUATION</x:t>
        </x:is>
      </x:c>
      <x:c r="G168" t="inlineStr">
        <x:is>
          <x:t xml:space="preserve"/>
        </x:is>
      </x:c>
      <x:c r="H168" t="inlineStr">
        <x:is>
          <x:t xml:space="preserve">NONE</x:t>
        </x:is>
      </x:c>
      <x:c r="I168" t="inlineStr">
        <x:is>
          <x:t xml:space="preserve"/>
        </x:is>
      </x:c>
      <x:c r="J168" t="inlineStr">
        <x:is>
          <x:t xml:space="preserve">SUCCESS</x:t>
        </x:is>
      </x:c>
      <x:c r="K168" t="n">
        <x:f>IF((COUNT('Quantification_Results'!E168)=1),IFERROR(ROUND((SUM(('Quantification_Results'!E168*'Quantification_Config'!$R$6))/SUM('Quantification_Config'!$R$6)),'Quantification_Config'!$U$2),""),"")</x:f>
        <x:v>50</x:v>
      </x:c>
      <x:c r="L168" t="n">
        <x:f>IF((COUNT('Quantification_Results'!K168)=1),IFERROR(ROUND((SUM(('Quantification_Results'!K168*'Quantification_Config'!$R$5))/SUM('Quantification_Config'!$R$5)),'Quantification_Config'!$U$2),""),"")</x:f>
        <x:v>50</x:v>
      </x:c>
      <x:c r="M168" t="n">
        <x:v>1</x:v>
      </x:c>
      <x:c r="N168" t="n">
        <x:v>5</x:v>
      </x:c>
      <x:c r="O168"/>
      <x:c r="P168" t="n">
        <x:f>IF(('Quantification_Results'!M168&lt;&gt;1),"",IF(('Quantification_Results'!O168=""),IF(ISNUMBER('Quantification_Results'!N168),IF(('Quantification_Results'!N168&lt;'Quantification_Config'!$S$9),"",IF(('Quantification_Results'!N168&gt;'Quantification_Config'!$T$9),"",'Quantification_Results'!N168)),""),IF(ISNUMBER('Quantification_Results'!O168),IF(('Quantification_Results'!O168&lt;'Quantification_Config'!$S$9),"",IF(('Quantification_Results'!O168&gt;'Quantification_Config'!$T$9),"",'Quantification_Results'!O168)),"")))</x:f>
        <x:v>5</x:v>
      </x:c>
      <x:c r="Q168" t="n">
        <x:f>IF(ISNUMBER('Quantification_Results'!P168),IFERROR(ROUND(((('Quantification_Results'!P168-'Quantification_Config'!$S$9)/('Quantification_Config'!$T$9-'Quantification_Config'!$S$9))*100),'Quantification_Config'!$U$2),""),"")</x:f>
        <x:v>50</x:v>
      </x:c>
      <x:c r="R168" t="inlineStr">
        <x:is>
          <x:t xml:space="preserve">SYSTEM-TEST-ONLY-NO-NETWORK-NOT-AN-EDUCATIONAL-EVALUATION</x:t>
        </x:is>
      </x:c>
      <x:c r="S168" t="inlineStr">
        <x:is>
          <x:t xml:space="preserve"/>
        </x:is>
      </x:c>
      <x:c r="T168" t="inlineStr">
        <x:is>
          <x:t xml:space="preserve">NONE</x:t>
        </x:is>
      </x:c>
      <x:c r="U168" t="inlineStr">
        <x:is>
          <x:t xml:space="preserve"/>
        </x:is>
      </x:c>
      <x:c r="V168" t="inlineStr">
        <x:is>
          <x:t xml:space="preserve">SUCCESS</x:t>
        </x:is>
      </x:c>
      <x:c r="W168" t="n">
        <x:f>IF((COUNT('Quantification_Results'!Q168)=1),IFERROR(ROUND((SUM(('Quantification_Results'!Q168*'Quantification_Config'!$R$9))/SUM('Quantification_Config'!$R$9)),'Quantification_Config'!$U$2),""),"")</x:f>
        <x:v>50</x:v>
      </x:c>
      <x:c r="X168" t="n">
        <x:f>IF((COUNT('Quantification_Results'!W168)=1),IFERROR(ROUND((SUM(('Quantification_Results'!W168*'Quantification_Config'!$R$8))/SUM('Quantification_Config'!$R$8)),'Quantification_Config'!$U$2),""),"")</x:f>
        <x:v>50</x:v>
      </x:c>
      <x:c r="Y168" t="n">
        <x:v>0</x:v>
      </x:c>
      <x:c r="Z168"/>
      <x:c r="AA168"/>
      <x:c r="AB168">
        <x:f>IF(('Quantification_Results'!Y168&lt;&gt;1),"",IF(('Quantification_Results'!AA168=""),IF(ISNUMBER('Quantification_Results'!Z168),IF(('Quantification_Results'!Z168&lt;'Quantification_Config'!$S$12),"",IF(('Quantification_Results'!Z168&gt;'Quantification_Config'!$T$12),"",'Quantification_Results'!Z168)),""),IF(ISNUMBER('Quantification_Results'!AA168),IF(('Quantification_Results'!AA168&lt;'Quantification_Config'!$S$12),"",IF(('Quantification_Results'!AA168&gt;'Quantification_Config'!$T$12),"",'Quantification_Results'!AA168)),"")))</x:f>
      </x:c>
      <x:c r="AC168">
        <x:f>IF(ISNUMBER('Quantification_Results'!AB168),IFERROR(ROUND(((('Quantification_Results'!AB168-'Quantification_Config'!$S$12)/('Quantification_Config'!$T$12-'Quantification_Config'!$S$12))*100),'Quantification_Config'!$U$2),""),"")</x:f>
      </x:c>
      <x:c r="AD168" t="inlineStr">
        <x:is>
          <x:t xml:space="preserve"/>
        </x:is>
      </x:c>
      <x:c r="AE168" t="inlineStr">
        <x:is>
          <x:t xml:space="preserve"/>
        </x:is>
      </x:c>
      <x:c r="AF168" t="inlineStr">
        <x:is>
          <x:t xml:space="preserve"/>
        </x:is>
      </x:c>
      <x:c r="AG168" t="inlineStr">
        <x:is>
          <x:t xml:space="preserve"/>
        </x:is>
      </x:c>
      <x:c r="AH168" t="inlineStr">
        <x:is>
          <x:t xml:space="preserve">EMPTY</x:t>
        </x:is>
      </x:c>
      <x:c r="AI168">
        <x:f>IF((COUNT('Quantification_Results'!AC168)=1),IFERROR(ROUND((SUM(('Quantification_Results'!AC168*'Quantification_Config'!$R$12))/SUM('Quantification_Config'!$R$12)),'Quantification_Config'!$U$2),""),"")</x:f>
      </x:c>
      <x:c r="AJ168">
        <x:f>IF((COUNT('Quantification_Results'!AI168)=1),IFERROR(ROUND((SUM(('Quantification_Results'!AI168*'Quantification_Config'!$R$11))/SUM('Quantification_Config'!$R$11)),'Quantification_Config'!$U$2),""),"")</x:f>
      </x:c>
      <x:c r="AK168" t="n">
        <x:v>1</x:v>
      </x:c>
      <x:c r="AL168" t="n">
        <x:v>5</x:v>
      </x:c>
      <x:c r="AM168"/>
      <x:c r="AN168" t="n">
        <x:f>IF(('Quantification_Results'!AK168&lt;&gt;1),"",IF(('Quantification_Results'!AM168=""),IF(ISNUMBER('Quantification_Results'!AL168),IF(('Quantification_Results'!AL168&lt;'Quantification_Config'!$S$15),"",IF(('Quantification_Results'!AL168&gt;'Quantification_Config'!$T$15),"",'Quantification_Results'!AL168)),""),IF(ISNUMBER('Quantification_Results'!AM168),IF(('Quantification_Results'!AM168&lt;'Quantification_Config'!$S$15),"",IF(('Quantification_Results'!AM168&gt;'Quantification_Config'!$T$15),"",'Quantification_Results'!AM168)),"")))</x:f>
        <x:v>5</x:v>
      </x:c>
      <x:c r="AO168" t="n">
        <x:f>IF(ISNUMBER('Quantification_Results'!AN168),IFERROR(ROUND(((('Quantification_Results'!AN168-'Quantification_Config'!$S$15)/('Quantification_Config'!$T$15-'Quantification_Config'!$S$15))*100),'Quantification_Config'!$U$2),""),"")</x:f>
        <x:v>50</x:v>
      </x:c>
      <x:c r="AP168" t="inlineStr">
        <x:is>
          <x:t xml:space="preserve">SYSTEM-TEST-ONLY-NO-NETWORK-NOT-AN-EDUCATIONAL-EVALUATION</x:t>
        </x:is>
      </x:c>
      <x:c r="AQ168" t="inlineStr">
        <x:is>
          <x:t xml:space="preserve"/>
        </x:is>
      </x:c>
      <x:c r="AR168" t="inlineStr">
        <x:is>
          <x:t xml:space="preserve">NONE</x:t>
        </x:is>
      </x:c>
      <x:c r="AS168" t="inlineStr">
        <x:is>
          <x:t xml:space="preserve"/>
        </x:is>
      </x:c>
      <x:c r="AT168" t="inlineStr">
        <x:is>
          <x:t xml:space="preserve">SUCCESS</x:t>
        </x:is>
      </x:c>
      <x:c r="AU168" t="n">
        <x:f>IF((COUNT('Quantification_Results'!AO168)=1),IFERROR(ROUND((SUM(('Quantification_Results'!AO168*'Quantification_Config'!$R$15))/SUM('Quantification_Config'!$R$15)),'Quantification_Config'!$U$2),""),"")</x:f>
        <x:v>50</x:v>
      </x:c>
      <x:c r="AV168" t="n">
        <x:f>IF((COUNT('Quantification_Results'!AU168)=1),IFERROR(ROUND((SUM(('Quantification_Results'!AU168*'Quantification_Config'!$R$14))/SUM('Quantification_Config'!$R$14)),'Quantification_Config'!$U$2),""),"")</x:f>
        <x:v>50</x:v>
      </x:c>
      <x:c r="AW168" t="n">
        <x:v>1</x:v>
      </x:c>
      <x:c r="AX168" t="n">
        <x:v>5</x:v>
      </x:c>
      <x:c r="AY168"/>
      <x:c r="AZ168" t="n">
        <x:f>IF(('Quantification_Results'!AW168&lt;&gt;1),"",IF(('Quantification_Results'!AY168=""),IF(ISNUMBER('Quantification_Results'!AX168),IF(('Quantification_Results'!AX168&lt;'Quantification_Config'!$S$19),"",IF(('Quantification_Results'!AX168&gt;'Quantification_Config'!$T$19),"",'Quantification_Results'!AX168)),""),IF(ISNUMBER('Quantification_Results'!AY168),IF(('Quantification_Results'!AY168&lt;'Quantification_Config'!$S$19),"",IF(('Quantification_Results'!AY168&gt;'Quantification_Config'!$T$19),"",'Quantification_Results'!AY168)),"")))</x:f>
        <x:v>5</x:v>
      </x:c>
      <x:c r="BA168" t="n">
        <x:f>IF(ISNUMBER('Quantification_Results'!AZ168),IFERROR(ROUND(((('Quantification_Results'!AZ168-'Quantification_Config'!$S$19)/('Quantification_Config'!$T$19-'Quantification_Config'!$S$19))*100),'Quantification_Config'!$U$2),""),"")</x:f>
        <x:v>50</x:v>
      </x:c>
      <x:c r="BB168" t="inlineStr">
        <x:is>
          <x:t xml:space="preserve">SYSTEM-TEST-ONLY-NO-NETWORK-NOT-AN-EDUCATIONAL-EVALUATION</x:t>
        </x:is>
      </x:c>
      <x:c r="BC168" t="inlineStr">
        <x:is>
          <x:t xml:space="preserve"/>
        </x:is>
      </x:c>
      <x:c r="BD168" t="inlineStr">
        <x:is>
          <x:t xml:space="preserve">NONE</x:t>
        </x:is>
      </x:c>
      <x:c r="BE168" t="inlineStr">
        <x:is>
          <x:t xml:space="preserve"/>
        </x:is>
      </x:c>
      <x:c r="BF168" t="inlineStr">
        <x:is>
          <x:t xml:space="preserve">SUCCESS</x:t>
        </x:is>
      </x:c>
      <x:c r="BG168" t="n">
        <x:f>IF((COUNT('Quantification_Results'!BA168)=1),IFERROR(ROUND((SUM(('Quantification_Results'!BA168*'Quantification_Config'!$R$19))/SUM('Quantification_Config'!$R$19)),'Quantification_Config'!$U$2),""),"")</x:f>
        <x:v>50</x:v>
      </x:c>
      <x:c r="BH168" t="n">
        <x:f>IF((COUNT('Quantification_Results'!BG168)=1),IFERROR(ROUND((SUM(('Quantification_Results'!BG168*'Quantification_Config'!$R$18))/SUM('Quantification_Config'!$R$18)),'Quantification_Config'!$U$2),""),"")</x:f>
        <x:v>50</x:v>
      </x:c>
      <x:c r="BI168">
        <x:f>IF((COUNT('Quantification_Results'!L168,'Quantification_Results'!X168,'Quantification_Results'!AJ168,'Quantification_Results'!AV168,'Quantification_Results'!BH168)=5),IFERROR(ROUND((SUM(('Quantification_Results'!L168*'Quantification_Config'!$R$4),('Quantification_Results'!X168*'Quantification_Config'!$R$7),('Quantification_Results'!AJ168*'Quantification_Config'!$R$10),('Quantification_Results'!AV168*'Quantification_Config'!$R$13),('Quantification_Results'!BH168*'Quantification_Config'!$R$16))/SUM('Quantification_Config'!$R$4,'Quantification_Config'!$R$7,'Quantification_Config'!$R$10,'Quantification_Config'!$R$13,'Quantification_Config'!$R$16)),'Quantification_Config'!$U$2),""),"")</x:f>
      </x:c>
    </x:row>
    <x:row r="169">
      <x:c r="A169" t="n">
        <x:v>1</x:v>
      </x:c>
      <x:c r="B169" t="n">
        <x:v>5</x:v>
      </x:c>
      <x:c r="C169"/>
      <x:c r="D169" t="n">
        <x:f>IF(('Quantification_Results'!A169&lt;&gt;1),"",IF(('Quantification_Results'!C169=""),IF(ISNUMBER('Quantification_Results'!B169),IF(('Quantification_Results'!B169&lt;'Quantification_Config'!$S$6),"",IF(('Quantification_Results'!B169&gt;'Quantification_Config'!$T$6),"",'Quantification_Results'!B169)),""),IF(ISNUMBER('Quantification_Results'!C169),IF(('Quantification_Results'!C169&lt;'Quantification_Config'!$S$6),"",IF(('Quantification_Results'!C169&gt;'Quantification_Config'!$T$6),"",'Quantification_Results'!C169)),"")))</x:f>
        <x:v>5</x:v>
      </x:c>
      <x:c r="E169" t="n">
        <x:f>IF(ISNUMBER('Quantification_Results'!D169),IFERROR(ROUND(((('Quantification_Results'!D169-'Quantification_Config'!$S$6)/('Quantification_Config'!$T$6-'Quantification_Config'!$S$6))*100),'Quantification_Config'!$U$2),""),"")</x:f>
        <x:v>50</x:v>
      </x:c>
      <x:c r="F169" t="inlineStr">
        <x:is>
          <x:t xml:space="preserve">SYSTEM-TEST-ONLY-NO-NETWORK-NOT-AN-EDUCATIONAL-EVALUATION</x:t>
        </x:is>
      </x:c>
      <x:c r="G169" t="inlineStr">
        <x:is>
          <x:t xml:space="preserve"/>
        </x:is>
      </x:c>
      <x:c r="H169" t="inlineStr">
        <x:is>
          <x:t xml:space="preserve">NONE</x:t>
        </x:is>
      </x:c>
      <x:c r="I169" t="inlineStr">
        <x:is>
          <x:t xml:space="preserve"/>
        </x:is>
      </x:c>
      <x:c r="J169" t="inlineStr">
        <x:is>
          <x:t xml:space="preserve">SUCCESS</x:t>
        </x:is>
      </x:c>
      <x:c r="K169" t="n">
        <x:f>IF((COUNT('Quantification_Results'!E169)=1),IFERROR(ROUND((SUM(('Quantification_Results'!E169*'Quantification_Config'!$R$6))/SUM('Quantification_Config'!$R$6)),'Quantification_Config'!$U$2),""),"")</x:f>
        <x:v>50</x:v>
      </x:c>
      <x:c r="L169" t="n">
        <x:f>IF((COUNT('Quantification_Results'!K169)=1),IFERROR(ROUND((SUM(('Quantification_Results'!K169*'Quantification_Config'!$R$5))/SUM('Quantification_Config'!$R$5)),'Quantification_Config'!$U$2),""),"")</x:f>
        <x:v>50</x:v>
      </x:c>
      <x:c r="M169" t="n">
        <x:v>1</x:v>
      </x:c>
      <x:c r="N169" t="n">
        <x:v>5</x:v>
      </x:c>
      <x:c r="O169"/>
      <x:c r="P169" t="n">
        <x:f>IF(('Quantification_Results'!M169&lt;&gt;1),"",IF(('Quantification_Results'!O169=""),IF(ISNUMBER('Quantification_Results'!N169),IF(('Quantification_Results'!N169&lt;'Quantification_Config'!$S$9),"",IF(('Quantification_Results'!N169&gt;'Quantification_Config'!$T$9),"",'Quantification_Results'!N169)),""),IF(ISNUMBER('Quantification_Results'!O169),IF(('Quantification_Results'!O169&lt;'Quantification_Config'!$S$9),"",IF(('Quantification_Results'!O169&gt;'Quantification_Config'!$T$9),"",'Quantification_Results'!O169)),"")))</x:f>
        <x:v>5</x:v>
      </x:c>
      <x:c r="Q169" t="n">
        <x:f>IF(ISNUMBER('Quantification_Results'!P169),IFERROR(ROUND(((('Quantification_Results'!P169-'Quantification_Config'!$S$9)/('Quantification_Config'!$T$9-'Quantification_Config'!$S$9))*100),'Quantification_Config'!$U$2),""),"")</x:f>
        <x:v>50</x:v>
      </x:c>
      <x:c r="R169" t="inlineStr">
        <x:is>
          <x:t xml:space="preserve">SYSTEM-TEST-ONLY-NO-NETWORK-NOT-AN-EDUCATIONAL-EVALUATION</x:t>
        </x:is>
      </x:c>
      <x:c r="S169" t="inlineStr">
        <x:is>
          <x:t xml:space="preserve"/>
        </x:is>
      </x:c>
      <x:c r="T169" t="inlineStr">
        <x:is>
          <x:t xml:space="preserve">NONE</x:t>
        </x:is>
      </x:c>
      <x:c r="U169" t="inlineStr">
        <x:is>
          <x:t xml:space="preserve"/>
        </x:is>
      </x:c>
      <x:c r="V169" t="inlineStr">
        <x:is>
          <x:t xml:space="preserve">SUCCESS</x:t>
        </x:is>
      </x:c>
      <x:c r="W169" t="n">
        <x:f>IF((COUNT('Quantification_Results'!Q169)=1),IFERROR(ROUND((SUM(('Quantification_Results'!Q169*'Quantification_Config'!$R$9))/SUM('Quantification_Config'!$R$9)),'Quantification_Config'!$U$2),""),"")</x:f>
        <x:v>50</x:v>
      </x:c>
      <x:c r="X169" t="n">
        <x:f>IF((COUNT('Quantification_Results'!W169)=1),IFERROR(ROUND((SUM(('Quantification_Results'!W169*'Quantification_Config'!$R$8))/SUM('Quantification_Config'!$R$8)),'Quantification_Config'!$U$2),""),"")</x:f>
        <x:v>50</x:v>
      </x:c>
      <x:c r="Y169" t="n">
        <x:v>0</x:v>
      </x:c>
      <x:c r="Z169"/>
      <x:c r="AA169"/>
      <x:c r="AB169">
        <x:f>IF(('Quantification_Results'!Y169&lt;&gt;1),"",IF(('Quantification_Results'!AA169=""),IF(ISNUMBER('Quantification_Results'!Z169),IF(('Quantification_Results'!Z169&lt;'Quantification_Config'!$S$12),"",IF(('Quantification_Results'!Z169&gt;'Quantification_Config'!$T$12),"",'Quantification_Results'!Z169)),""),IF(ISNUMBER('Quantification_Results'!AA169),IF(('Quantification_Results'!AA169&lt;'Quantification_Config'!$S$12),"",IF(('Quantification_Results'!AA169&gt;'Quantification_Config'!$T$12),"",'Quantification_Results'!AA169)),"")))</x:f>
      </x:c>
      <x:c r="AC169">
        <x:f>IF(ISNUMBER('Quantification_Results'!AB169),IFERROR(ROUND(((('Quantification_Results'!AB169-'Quantification_Config'!$S$12)/('Quantification_Config'!$T$12-'Quantification_Config'!$S$12))*100),'Quantification_Config'!$U$2),""),"")</x:f>
      </x:c>
      <x:c r="AD169" t="inlineStr">
        <x:is>
          <x:t xml:space="preserve"/>
        </x:is>
      </x:c>
      <x:c r="AE169" t="inlineStr">
        <x:is>
          <x:t xml:space="preserve"/>
        </x:is>
      </x:c>
      <x:c r="AF169" t="inlineStr">
        <x:is>
          <x:t xml:space="preserve"/>
        </x:is>
      </x:c>
      <x:c r="AG169" t="inlineStr">
        <x:is>
          <x:t xml:space="preserve"/>
        </x:is>
      </x:c>
      <x:c r="AH169" t="inlineStr">
        <x:is>
          <x:t xml:space="preserve">EMPTY</x:t>
        </x:is>
      </x:c>
      <x:c r="AI169">
        <x:f>IF((COUNT('Quantification_Results'!AC169)=1),IFERROR(ROUND((SUM(('Quantification_Results'!AC169*'Quantification_Config'!$R$12))/SUM('Quantification_Config'!$R$12)),'Quantification_Config'!$U$2),""),"")</x:f>
      </x:c>
      <x:c r="AJ169">
        <x:f>IF((COUNT('Quantification_Results'!AI169)=1),IFERROR(ROUND((SUM(('Quantification_Results'!AI169*'Quantification_Config'!$R$11))/SUM('Quantification_Config'!$R$11)),'Quantification_Config'!$U$2),""),"")</x:f>
      </x:c>
      <x:c r="AK169" t="n">
        <x:v>1</x:v>
      </x:c>
      <x:c r="AL169" t="n">
        <x:v>5</x:v>
      </x:c>
      <x:c r="AM169"/>
      <x:c r="AN169" t="n">
        <x:f>IF(('Quantification_Results'!AK169&lt;&gt;1),"",IF(('Quantification_Results'!AM169=""),IF(ISNUMBER('Quantification_Results'!AL169),IF(('Quantification_Results'!AL169&lt;'Quantification_Config'!$S$15),"",IF(('Quantification_Results'!AL169&gt;'Quantification_Config'!$T$15),"",'Quantification_Results'!AL169)),""),IF(ISNUMBER('Quantification_Results'!AM169),IF(('Quantification_Results'!AM169&lt;'Quantification_Config'!$S$15),"",IF(('Quantification_Results'!AM169&gt;'Quantification_Config'!$T$15),"",'Quantification_Results'!AM169)),"")))</x:f>
        <x:v>5</x:v>
      </x:c>
      <x:c r="AO169" t="n">
        <x:f>IF(ISNUMBER('Quantification_Results'!AN169),IFERROR(ROUND(((('Quantification_Results'!AN169-'Quantification_Config'!$S$15)/('Quantification_Config'!$T$15-'Quantification_Config'!$S$15))*100),'Quantification_Config'!$U$2),""),"")</x:f>
        <x:v>50</x:v>
      </x:c>
      <x:c r="AP169" t="inlineStr">
        <x:is>
          <x:t xml:space="preserve">SYSTEM-TEST-ONLY-NO-NETWORK-NOT-AN-EDUCATIONAL-EVALUATION</x:t>
        </x:is>
      </x:c>
      <x:c r="AQ169" t="inlineStr">
        <x:is>
          <x:t xml:space="preserve"/>
        </x:is>
      </x:c>
      <x:c r="AR169" t="inlineStr">
        <x:is>
          <x:t xml:space="preserve">NONE</x:t>
        </x:is>
      </x:c>
      <x:c r="AS169" t="inlineStr">
        <x:is>
          <x:t xml:space="preserve"/>
        </x:is>
      </x:c>
      <x:c r="AT169" t="inlineStr">
        <x:is>
          <x:t xml:space="preserve">SUCCESS</x:t>
        </x:is>
      </x:c>
      <x:c r="AU169" t="n">
        <x:f>IF((COUNT('Quantification_Results'!AO169)=1),IFERROR(ROUND((SUM(('Quantification_Results'!AO169*'Quantification_Config'!$R$15))/SUM('Quantification_Config'!$R$15)),'Quantification_Config'!$U$2),""),"")</x:f>
        <x:v>50</x:v>
      </x:c>
      <x:c r="AV169" t="n">
        <x:f>IF((COUNT('Quantification_Results'!AU169)=1),IFERROR(ROUND((SUM(('Quantification_Results'!AU169*'Quantification_Config'!$R$14))/SUM('Quantification_Config'!$R$14)),'Quantification_Config'!$U$2),""),"")</x:f>
        <x:v>50</x:v>
      </x:c>
      <x:c r="AW169" t="n">
        <x:v>1</x:v>
      </x:c>
      <x:c r="AX169" t="n">
        <x:v>5</x:v>
      </x:c>
      <x:c r="AY169"/>
      <x:c r="AZ169" t="n">
        <x:f>IF(('Quantification_Results'!AW169&lt;&gt;1),"",IF(('Quantification_Results'!AY169=""),IF(ISNUMBER('Quantification_Results'!AX169),IF(('Quantification_Results'!AX169&lt;'Quantification_Config'!$S$19),"",IF(('Quantification_Results'!AX169&gt;'Quantification_Config'!$T$19),"",'Quantification_Results'!AX169)),""),IF(ISNUMBER('Quantification_Results'!AY169),IF(('Quantification_Results'!AY169&lt;'Quantification_Config'!$S$19),"",IF(('Quantification_Results'!AY169&gt;'Quantification_Config'!$T$19),"",'Quantification_Results'!AY169)),"")))</x:f>
        <x:v>5</x:v>
      </x:c>
      <x:c r="BA169" t="n">
        <x:f>IF(ISNUMBER('Quantification_Results'!AZ169),IFERROR(ROUND(((('Quantification_Results'!AZ169-'Quantification_Config'!$S$19)/('Quantification_Config'!$T$19-'Quantification_Config'!$S$19))*100),'Quantification_Config'!$U$2),""),"")</x:f>
        <x:v>50</x:v>
      </x:c>
      <x:c r="BB169" t="inlineStr">
        <x:is>
          <x:t xml:space="preserve">SYSTEM-TEST-ONLY-NO-NETWORK-NOT-AN-EDUCATIONAL-EVALUATION</x:t>
        </x:is>
      </x:c>
      <x:c r="BC169" t="inlineStr">
        <x:is>
          <x:t xml:space="preserve"/>
        </x:is>
      </x:c>
      <x:c r="BD169" t="inlineStr">
        <x:is>
          <x:t xml:space="preserve">NONE</x:t>
        </x:is>
      </x:c>
      <x:c r="BE169" t="inlineStr">
        <x:is>
          <x:t xml:space="preserve"/>
        </x:is>
      </x:c>
      <x:c r="BF169" t="inlineStr">
        <x:is>
          <x:t xml:space="preserve">SUCCESS</x:t>
        </x:is>
      </x:c>
      <x:c r="BG169" t="n">
        <x:f>IF((COUNT('Quantification_Results'!BA169)=1),IFERROR(ROUND((SUM(('Quantification_Results'!BA169*'Quantification_Config'!$R$19))/SUM('Quantification_Config'!$R$19)),'Quantification_Config'!$U$2),""),"")</x:f>
        <x:v>50</x:v>
      </x:c>
      <x:c r="BH169" t="n">
        <x:f>IF((COUNT('Quantification_Results'!BG169)=1),IFERROR(ROUND((SUM(('Quantification_Results'!BG169*'Quantification_Config'!$R$18))/SUM('Quantification_Config'!$R$18)),'Quantification_Config'!$U$2),""),"")</x:f>
        <x:v>50</x:v>
      </x:c>
      <x:c r="BI169">
        <x:f>IF((COUNT('Quantification_Results'!L169,'Quantification_Results'!X169,'Quantification_Results'!AJ169,'Quantification_Results'!AV169,'Quantification_Results'!BH169)=5),IFERROR(ROUND((SUM(('Quantification_Results'!L169*'Quantification_Config'!$R$4),('Quantification_Results'!X169*'Quantification_Config'!$R$7),('Quantification_Results'!AJ169*'Quantification_Config'!$R$10),('Quantification_Results'!AV169*'Quantification_Config'!$R$13),('Quantification_Results'!BH169*'Quantification_Config'!$R$16))/SUM('Quantification_Config'!$R$4,'Quantification_Config'!$R$7,'Quantification_Config'!$R$10,'Quantification_Config'!$R$13,'Quantification_Config'!$R$16)),'Quantification_Config'!$U$2),""),"")</x:f>
      </x:c>
    </x:row>
    <x:row r="170">
      <x:c r="A170" t="n">
        <x:v>1</x:v>
      </x:c>
      <x:c r="B170" t="n">
        <x:v>5</x:v>
      </x:c>
      <x:c r="C170"/>
      <x:c r="D170" t="n">
        <x:f>IF(('Quantification_Results'!A170&lt;&gt;1),"",IF(('Quantification_Results'!C170=""),IF(ISNUMBER('Quantification_Results'!B170),IF(('Quantification_Results'!B170&lt;'Quantification_Config'!$S$6),"",IF(('Quantification_Results'!B170&gt;'Quantification_Config'!$T$6),"",'Quantification_Results'!B170)),""),IF(ISNUMBER('Quantification_Results'!C170),IF(('Quantification_Results'!C170&lt;'Quantification_Config'!$S$6),"",IF(('Quantification_Results'!C170&gt;'Quantification_Config'!$T$6),"",'Quantification_Results'!C170)),"")))</x:f>
        <x:v>5</x:v>
      </x:c>
      <x:c r="E170" t="n">
        <x:f>IF(ISNUMBER('Quantification_Results'!D170),IFERROR(ROUND(((('Quantification_Results'!D170-'Quantification_Config'!$S$6)/('Quantification_Config'!$T$6-'Quantification_Config'!$S$6))*100),'Quantification_Config'!$U$2),""),"")</x:f>
        <x:v>50</x:v>
      </x:c>
      <x:c r="F170" t="inlineStr">
        <x:is>
          <x:t xml:space="preserve">SYSTEM-TEST-ONLY-NO-NETWORK-NOT-AN-EDUCATIONAL-EVALUATION</x:t>
        </x:is>
      </x:c>
      <x:c r="G170" t="inlineStr">
        <x:is>
          <x:t xml:space="preserve"/>
        </x:is>
      </x:c>
      <x:c r="H170" t="inlineStr">
        <x:is>
          <x:t xml:space="preserve">NONE</x:t>
        </x:is>
      </x:c>
      <x:c r="I170" t="inlineStr">
        <x:is>
          <x:t xml:space="preserve"/>
        </x:is>
      </x:c>
      <x:c r="J170" t="inlineStr">
        <x:is>
          <x:t xml:space="preserve">SUCCESS</x:t>
        </x:is>
      </x:c>
      <x:c r="K170" t="n">
        <x:f>IF((COUNT('Quantification_Results'!E170)=1),IFERROR(ROUND((SUM(('Quantification_Results'!E170*'Quantification_Config'!$R$6))/SUM('Quantification_Config'!$R$6)),'Quantification_Config'!$U$2),""),"")</x:f>
        <x:v>50</x:v>
      </x:c>
      <x:c r="L170" t="n">
        <x:f>IF((COUNT('Quantification_Results'!K170)=1),IFERROR(ROUND((SUM(('Quantification_Results'!K170*'Quantification_Config'!$R$5))/SUM('Quantification_Config'!$R$5)),'Quantification_Config'!$U$2),""),"")</x:f>
        <x:v>50</x:v>
      </x:c>
      <x:c r="M170" t="n">
        <x:v>0</x:v>
      </x:c>
      <x:c r="N170"/>
      <x:c r="O170"/>
      <x:c r="P170">
        <x:f>IF(('Quantification_Results'!M170&lt;&gt;1),"",IF(('Quantification_Results'!O170=""),IF(ISNUMBER('Quantification_Results'!N170),IF(('Quantification_Results'!N170&lt;'Quantification_Config'!$S$9),"",IF(('Quantification_Results'!N170&gt;'Quantification_Config'!$T$9),"",'Quantification_Results'!N170)),""),IF(ISNUMBER('Quantification_Results'!O170),IF(('Quantification_Results'!O170&lt;'Quantification_Config'!$S$9),"",IF(('Quantification_Results'!O170&gt;'Quantification_Config'!$T$9),"",'Quantification_Results'!O170)),"")))</x:f>
      </x:c>
      <x:c r="Q170">
        <x:f>IF(ISNUMBER('Quantification_Results'!P170),IFERROR(ROUND(((('Quantification_Results'!P170-'Quantification_Config'!$S$9)/('Quantification_Config'!$T$9-'Quantification_Config'!$S$9))*100),'Quantification_Config'!$U$2),""),"")</x:f>
      </x:c>
      <x:c r="R170" t="inlineStr">
        <x:is>
          <x:t xml:space="preserve"/>
        </x:is>
      </x:c>
      <x:c r="S170" t="inlineStr">
        <x:is>
          <x:t xml:space="preserve"/>
        </x:is>
      </x:c>
      <x:c r="T170" t="inlineStr">
        <x:is>
          <x:t xml:space="preserve"/>
        </x:is>
      </x:c>
      <x:c r="U170" t="inlineStr">
        <x:is>
          <x:t xml:space="preserve"/>
        </x:is>
      </x:c>
      <x:c r="V170" t="inlineStr">
        <x:is>
          <x:t xml:space="preserve">EMPTY</x:t>
        </x:is>
      </x:c>
      <x:c r="W170">
        <x:f>IF((COUNT('Quantification_Results'!Q170)=1),IFERROR(ROUND((SUM(('Quantification_Results'!Q170*'Quantification_Config'!$R$9))/SUM('Quantification_Config'!$R$9)),'Quantification_Config'!$U$2),""),"")</x:f>
      </x:c>
      <x:c r="X170">
        <x:f>IF((COUNT('Quantification_Results'!W170)=1),IFERROR(ROUND((SUM(('Quantification_Results'!W170*'Quantification_Config'!$R$8))/SUM('Quantification_Config'!$R$8)),'Quantification_Config'!$U$2),""),"")</x:f>
      </x:c>
      <x:c r="Y170" t="n">
        <x:v>0</x:v>
      </x:c>
      <x:c r="Z170"/>
      <x:c r="AA170"/>
      <x:c r="AB170">
        <x:f>IF(('Quantification_Results'!Y170&lt;&gt;1),"",IF(('Quantification_Results'!AA170=""),IF(ISNUMBER('Quantification_Results'!Z170),IF(('Quantification_Results'!Z170&lt;'Quantification_Config'!$S$12),"",IF(('Quantification_Results'!Z170&gt;'Quantification_Config'!$T$12),"",'Quantification_Results'!Z170)),""),IF(ISNUMBER('Quantification_Results'!AA170),IF(('Quantification_Results'!AA170&lt;'Quantification_Config'!$S$12),"",IF(('Quantification_Results'!AA170&gt;'Quantification_Config'!$T$12),"",'Quantification_Results'!AA170)),"")))</x:f>
      </x:c>
      <x:c r="AC170">
        <x:f>IF(ISNUMBER('Quantification_Results'!AB170),IFERROR(ROUND(((('Quantification_Results'!AB170-'Quantification_Config'!$S$12)/('Quantification_Config'!$T$12-'Quantification_Config'!$S$12))*100),'Quantification_Config'!$U$2),""),"")</x:f>
      </x:c>
      <x:c r="AD170" t="inlineStr">
        <x:is>
          <x:t xml:space="preserve"/>
        </x:is>
      </x:c>
      <x:c r="AE170" t="inlineStr">
        <x:is>
          <x:t xml:space="preserve"/>
        </x:is>
      </x:c>
      <x:c r="AF170" t="inlineStr">
        <x:is>
          <x:t xml:space="preserve"/>
        </x:is>
      </x:c>
      <x:c r="AG170" t="inlineStr">
        <x:is>
          <x:t xml:space="preserve"/>
        </x:is>
      </x:c>
      <x:c r="AH170" t="inlineStr">
        <x:is>
          <x:t xml:space="preserve">EMPTY</x:t>
        </x:is>
      </x:c>
      <x:c r="AI170">
        <x:f>IF((COUNT('Quantification_Results'!AC170)=1),IFERROR(ROUND((SUM(('Quantification_Results'!AC170*'Quantification_Config'!$R$12))/SUM('Quantification_Config'!$R$12)),'Quantification_Config'!$U$2),""),"")</x:f>
      </x:c>
      <x:c r="AJ170">
        <x:f>IF((COUNT('Quantification_Results'!AI170)=1),IFERROR(ROUND((SUM(('Quantification_Results'!AI170*'Quantification_Config'!$R$11))/SUM('Quantification_Config'!$R$11)),'Quantification_Config'!$U$2),""),"")</x:f>
      </x:c>
      <x:c r="AK170" t="n">
        <x:v>1</x:v>
      </x:c>
      <x:c r="AL170" t="n">
        <x:v>5</x:v>
      </x:c>
      <x:c r="AM170"/>
      <x:c r="AN170" t="n">
        <x:f>IF(('Quantification_Results'!AK170&lt;&gt;1),"",IF(('Quantification_Results'!AM170=""),IF(ISNUMBER('Quantification_Results'!AL170),IF(('Quantification_Results'!AL170&lt;'Quantification_Config'!$S$15),"",IF(('Quantification_Results'!AL170&gt;'Quantification_Config'!$T$15),"",'Quantification_Results'!AL170)),""),IF(ISNUMBER('Quantification_Results'!AM170),IF(('Quantification_Results'!AM170&lt;'Quantification_Config'!$S$15),"",IF(('Quantification_Results'!AM170&gt;'Quantification_Config'!$T$15),"",'Quantification_Results'!AM170)),"")))</x:f>
        <x:v>5</x:v>
      </x:c>
      <x:c r="AO170" t="n">
        <x:f>IF(ISNUMBER('Quantification_Results'!AN170),IFERROR(ROUND(((('Quantification_Results'!AN170-'Quantification_Config'!$S$15)/('Quantification_Config'!$T$15-'Quantification_Config'!$S$15))*100),'Quantification_Config'!$U$2),""),"")</x:f>
        <x:v>50</x:v>
      </x:c>
      <x:c r="AP170" t="inlineStr">
        <x:is>
          <x:t xml:space="preserve">SYSTEM-TEST-ONLY-NO-NETWORK-NOT-AN-EDUCATIONAL-EVALUATION</x:t>
        </x:is>
      </x:c>
      <x:c r="AQ170" t="inlineStr">
        <x:is>
          <x:t xml:space="preserve"/>
        </x:is>
      </x:c>
      <x:c r="AR170" t="inlineStr">
        <x:is>
          <x:t xml:space="preserve">NONE</x:t>
        </x:is>
      </x:c>
      <x:c r="AS170" t="inlineStr">
        <x:is>
          <x:t xml:space="preserve"/>
        </x:is>
      </x:c>
      <x:c r="AT170" t="inlineStr">
        <x:is>
          <x:t xml:space="preserve">SUCCESS</x:t>
        </x:is>
      </x:c>
      <x:c r="AU170" t="n">
        <x:f>IF((COUNT('Quantification_Results'!AO170)=1),IFERROR(ROUND((SUM(('Quantification_Results'!AO170*'Quantification_Config'!$R$15))/SUM('Quantification_Config'!$R$15)),'Quantification_Config'!$U$2),""),"")</x:f>
        <x:v>50</x:v>
      </x:c>
      <x:c r="AV170" t="n">
        <x:f>IF((COUNT('Quantification_Results'!AU170)=1),IFERROR(ROUND((SUM(('Quantification_Results'!AU170*'Quantification_Config'!$R$14))/SUM('Quantification_Config'!$R$14)),'Quantification_Config'!$U$2),""),"")</x:f>
        <x:v>50</x:v>
      </x:c>
      <x:c r="AW170" t="n">
        <x:v>1</x:v>
      </x:c>
      <x:c r="AX170" t="n">
        <x:v>5</x:v>
      </x:c>
      <x:c r="AY170"/>
      <x:c r="AZ170" t="n">
        <x:f>IF(('Quantification_Results'!AW170&lt;&gt;1),"",IF(('Quantification_Results'!AY170=""),IF(ISNUMBER('Quantification_Results'!AX170),IF(('Quantification_Results'!AX170&lt;'Quantification_Config'!$S$19),"",IF(('Quantification_Results'!AX170&gt;'Quantification_Config'!$T$19),"",'Quantification_Results'!AX170)),""),IF(ISNUMBER('Quantification_Results'!AY170),IF(('Quantification_Results'!AY170&lt;'Quantification_Config'!$S$19),"",IF(('Quantification_Results'!AY170&gt;'Quantification_Config'!$T$19),"",'Quantification_Results'!AY170)),"")))</x:f>
        <x:v>5</x:v>
      </x:c>
      <x:c r="BA170" t="n">
        <x:f>IF(ISNUMBER('Quantification_Results'!AZ170),IFERROR(ROUND(((('Quantification_Results'!AZ170-'Quantification_Config'!$S$19)/('Quantification_Config'!$T$19-'Quantification_Config'!$S$19))*100),'Quantification_Config'!$U$2),""),"")</x:f>
        <x:v>50</x:v>
      </x:c>
      <x:c r="BB170" t="inlineStr">
        <x:is>
          <x:t xml:space="preserve">SYSTEM-TEST-ONLY-NO-NETWORK-NOT-AN-EDUCATIONAL-EVALUATION</x:t>
        </x:is>
      </x:c>
      <x:c r="BC170" t="inlineStr">
        <x:is>
          <x:t xml:space="preserve"/>
        </x:is>
      </x:c>
      <x:c r="BD170" t="inlineStr">
        <x:is>
          <x:t xml:space="preserve">NONE</x:t>
        </x:is>
      </x:c>
      <x:c r="BE170" t="inlineStr">
        <x:is>
          <x:t xml:space="preserve"/>
        </x:is>
      </x:c>
      <x:c r="BF170" t="inlineStr">
        <x:is>
          <x:t xml:space="preserve">SUCCESS</x:t>
        </x:is>
      </x:c>
      <x:c r="BG170" t="n">
        <x:f>IF((COUNT('Quantification_Results'!BA170)=1),IFERROR(ROUND((SUM(('Quantification_Results'!BA170*'Quantification_Config'!$R$19))/SUM('Quantification_Config'!$R$19)),'Quantification_Config'!$U$2),""),"")</x:f>
        <x:v>50</x:v>
      </x:c>
      <x:c r="BH170" t="n">
        <x:f>IF((COUNT('Quantification_Results'!BG170)=1),IFERROR(ROUND((SUM(('Quantification_Results'!BG170*'Quantification_Config'!$R$18))/SUM('Quantification_Config'!$R$18)),'Quantification_Config'!$U$2),""),"")</x:f>
        <x:v>50</x:v>
      </x:c>
      <x:c r="BI170">
        <x:f>IF((COUNT('Quantification_Results'!L170,'Quantification_Results'!X170,'Quantification_Results'!AJ170,'Quantification_Results'!AV170,'Quantification_Results'!BH170)=5),IFERROR(ROUND((SUM(('Quantification_Results'!L170*'Quantification_Config'!$R$4),('Quantification_Results'!X170*'Quantification_Config'!$R$7),('Quantification_Results'!AJ170*'Quantification_Config'!$R$10),('Quantification_Results'!AV170*'Quantification_Config'!$R$13),('Quantification_Results'!BH170*'Quantification_Config'!$R$16))/SUM('Quantification_Config'!$R$4,'Quantification_Config'!$R$7,'Quantification_Config'!$R$10,'Quantification_Config'!$R$13,'Quantification_Config'!$R$16)),'Quantification_Config'!$U$2),""),"")</x:f>
      </x:c>
    </x:row>
    <x:row r="171">
      <x:c r="A171" t="n">
        <x:v>1</x:v>
      </x:c>
      <x:c r="B171" t="n">
        <x:v>5</x:v>
      </x:c>
      <x:c r="C171"/>
      <x:c r="D171" t="n">
        <x:f>IF(('Quantification_Results'!A171&lt;&gt;1),"",IF(('Quantification_Results'!C171=""),IF(ISNUMBER('Quantification_Results'!B171),IF(('Quantification_Results'!B171&lt;'Quantification_Config'!$S$6),"",IF(('Quantification_Results'!B171&gt;'Quantification_Config'!$T$6),"",'Quantification_Results'!B171)),""),IF(ISNUMBER('Quantification_Results'!C171),IF(('Quantification_Results'!C171&lt;'Quantification_Config'!$S$6),"",IF(('Quantification_Results'!C171&gt;'Quantification_Config'!$T$6),"",'Quantification_Results'!C171)),"")))</x:f>
        <x:v>5</x:v>
      </x:c>
      <x:c r="E171" t="n">
        <x:f>IF(ISNUMBER('Quantification_Results'!D171),IFERROR(ROUND(((('Quantification_Results'!D171-'Quantification_Config'!$S$6)/('Quantification_Config'!$T$6-'Quantification_Config'!$S$6))*100),'Quantification_Config'!$U$2),""),"")</x:f>
        <x:v>50</x:v>
      </x:c>
      <x:c r="F171" t="inlineStr">
        <x:is>
          <x:t xml:space="preserve">SYSTEM-TEST-ONLY-NO-NETWORK-NOT-AN-EDUCATIONAL-EVALUATION</x:t>
        </x:is>
      </x:c>
      <x:c r="G171" t="inlineStr">
        <x:is>
          <x:t xml:space="preserve"/>
        </x:is>
      </x:c>
      <x:c r="H171" t="inlineStr">
        <x:is>
          <x:t xml:space="preserve">NONE</x:t>
        </x:is>
      </x:c>
      <x:c r="I171" t="inlineStr">
        <x:is>
          <x:t xml:space="preserve"/>
        </x:is>
      </x:c>
      <x:c r="J171" t="inlineStr">
        <x:is>
          <x:t xml:space="preserve">SUCCESS</x:t>
        </x:is>
      </x:c>
      <x:c r="K171" t="n">
        <x:f>IF((COUNT('Quantification_Results'!E171)=1),IFERROR(ROUND((SUM(('Quantification_Results'!E171*'Quantification_Config'!$R$6))/SUM('Quantification_Config'!$R$6)),'Quantification_Config'!$U$2),""),"")</x:f>
        <x:v>50</x:v>
      </x:c>
      <x:c r="L171" t="n">
        <x:f>IF((COUNT('Quantification_Results'!K171)=1),IFERROR(ROUND((SUM(('Quantification_Results'!K171*'Quantification_Config'!$R$5))/SUM('Quantification_Config'!$R$5)),'Quantification_Config'!$U$2),""),"")</x:f>
        <x:v>50</x:v>
      </x:c>
      <x:c r="M171" t="n">
        <x:v>1</x:v>
      </x:c>
      <x:c r="N171" t="n">
        <x:v>5</x:v>
      </x:c>
      <x:c r="O171"/>
      <x:c r="P171" t="n">
        <x:f>IF(('Quantification_Results'!M171&lt;&gt;1),"",IF(('Quantification_Results'!O171=""),IF(ISNUMBER('Quantification_Results'!N171),IF(('Quantification_Results'!N171&lt;'Quantification_Config'!$S$9),"",IF(('Quantification_Results'!N171&gt;'Quantification_Config'!$T$9),"",'Quantification_Results'!N171)),""),IF(ISNUMBER('Quantification_Results'!O171),IF(('Quantification_Results'!O171&lt;'Quantification_Config'!$S$9),"",IF(('Quantification_Results'!O171&gt;'Quantification_Config'!$T$9),"",'Quantification_Results'!O171)),"")))</x:f>
        <x:v>5</x:v>
      </x:c>
      <x:c r="Q171" t="n">
        <x:f>IF(ISNUMBER('Quantification_Results'!P171),IFERROR(ROUND(((('Quantification_Results'!P171-'Quantification_Config'!$S$9)/('Quantification_Config'!$T$9-'Quantification_Config'!$S$9))*100),'Quantification_Config'!$U$2),""),"")</x:f>
        <x:v>50</x:v>
      </x:c>
      <x:c r="R171" t="inlineStr">
        <x:is>
          <x:t xml:space="preserve">SYSTEM-TEST-ONLY-NO-NETWORK-NOT-AN-EDUCATIONAL-EVALUATION</x:t>
        </x:is>
      </x:c>
      <x:c r="S171" t="inlineStr">
        <x:is>
          <x:t xml:space="preserve"/>
        </x:is>
      </x:c>
      <x:c r="T171" t="inlineStr">
        <x:is>
          <x:t xml:space="preserve">NONE</x:t>
        </x:is>
      </x:c>
      <x:c r="U171" t="inlineStr">
        <x:is>
          <x:t xml:space="preserve"/>
        </x:is>
      </x:c>
      <x:c r="V171" t="inlineStr">
        <x:is>
          <x:t xml:space="preserve">SUCCESS</x:t>
        </x:is>
      </x:c>
      <x:c r="W171" t="n">
        <x:f>IF((COUNT('Quantification_Results'!Q171)=1),IFERROR(ROUND((SUM(('Quantification_Results'!Q171*'Quantification_Config'!$R$9))/SUM('Quantification_Config'!$R$9)),'Quantification_Config'!$U$2),""),"")</x:f>
        <x:v>50</x:v>
      </x:c>
      <x:c r="X171" t="n">
        <x:f>IF((COUNT('Quantification_Results'!W171)=1),IFERROR(ROUND((SUM(('Quantification_Results'!W171*'Quantification_Config'!$R$8))/SUM('Quantification_Config'!$R$8)),'Quantification_Config'!$U$2),""),"")</x:f>
        <x:v>50</x:v>
      </x:c>
      <x:c r="Y171" t="n">
        <x:v>1</x:v>
      </x:c>
      <x:c r="Z171" t="n">
        <x:v>5</x:v>
      </x:c>
      <x:c r="AA171"/>
      <x:c r="AB171" t="n">
        <x:f>IF(('Quantification_Results'!Y171&lt;&gt;1),"",IF(('Quantification_Results'!AA171=""),IF(ISNUMBER('Quantification_Results'!Z171),IF(('Quantification_Results'!Z171&lt;'Quantification_Config'!$S$12),"",IF(('Quantification_Results'!Z171&gt;'Quantification_Config'!$T$12),"",'Quantification_Results'!Z171)),""),IF(ISNUMBER('Quantification_Results'!AA171),IF(('Quantification_Results'!AA171&lt;'Quantification_Config'!$S$12),"",IF(('Quantification_Results'!AA171&gt;'Quantification_Config'!$T$12),"",'Quantification_Results'!AA171)),"")))</x:f>
        <x:v>5</x:v>
      </x:c>
      <x:c r="AC171" t="n">
        <x:f>IF(ISNUMBER('Quantification_Results'!AB171),IFERROR(ROUND(((('Quantification_Results'!AB171-'Quantification_Config'!$S$12)/('Quantification_Config'!$T$12-'Quantification_Config'!$S$12))*100),'Quantification_Config'!$U$2),""),"")</x:f>
        <x:v>50</x:v>
      </x:c>
      <x:c r="AD171" t="inlineStr">
        <x:is>
          <x:t xml:space="preserve">SYSTEM-TEST-ONLY-NO-NETWORK-NOT-AN-EDUCATIONAL-EVALUATION</x:t>
        </x:is>
      </x:c>
      <x:c r="AE171" t="inlineStr">
        <x:is>
          <x:t xml:space="preserve"/>
        </x:is>
      </x:c>
      <x:c r="AF171" t="inlineStr">
        <x:is>
          <x:t xml:space="preserve">NONE</x:t>
        </x:is>
      </x:c>
      <x:c r="AG171" t="inlineStr">
        <x:is>
          <x:t xml:space="preserve"/>
        </x:is>
      </x:c>
      <x:c r="AH171" t="inlineStr">
        <x:is>
          <x:t xml:space="preserve">SUCCESS</x:t>
        </x:is>
      </x:c>
      <x:c r="AI171" t="n">
        <x:f>IF((COUNT('Quantification_Results'!AC171)=1),IFERROR(ROUND((SUM(('Quantification_Results'!AC171*'Quantification_Config'!$R$12))/SUM('Quantification_Config'!$R$12)),'Quantification_Config'!$U$2),""),"")</x:f>
        <x:v>50</x:v>
      </x:c>
      <x:c r="AJ171" t="n">
        <x:f>IF((COUNT('Quantification_Results'!AI171)=1),IFERROR(ROUND((SUM(('Quantification_Results'!AI171*'Quantification_Config'!$R$11))/SUM('Quantification_Config'!$R$11)),'Quantification_Config'!$U$2),""),"")</x:f>
        <x:v>50</x:v>
      </x:c>
      <x:c r="AK171" t="n">
        <x:v>1</x:v>
      </x:c>
      <x:c r="AL171" t="n">
        <x:v>5</x:v>
      </x:c>
      <x:c r="AM171"/>
      <x:c r="AN171" t="n">
        <x:f>IF(('Quantification_Results'!AK171&lt;&gt;1),"",IF(('Quantification_Results'!AM171=""),IF(ISNUMBER('Quantification_Results'!AL171),IF(('Quantification_Results'!AL171&lt;'Quantification_Config'!$S$15),"",IF(('Quantification_Results'!AL171&gt;'Quantification_Config'!$T$15),"",'Quantification_Results'!AL171)),""),IF(ISNUMBER('Quantification_Results'!AM171),IF(('Quantification_Results'!AM171&lt;'Quantification_Config'!$S$15),"",IF(('Quantification_Results'!AM171&gt;'Quantification_Config'!$T$15),"",'Quantification_Results'!AM171)),"")))</x:f>
        <x:v>5</x:v>
      </x:c>
      <x:c r="AO171" t="n">
        <x:f>IF(ISNUMBER('Quantification_Results'!AN171),IFERROR(ROUND(((('Quantification_Results'!AN171-'Quantification_Config'!$S$15)/('Quantification_Config'!$T$15-'Quantification_Config'!$S$15))*100),'Quantification_Config'!$U$2),""),"")</x:f>
        <x:v>50</x:v>
      </x:c>
      <x:c r="AP171" t="inlineStr">
        <x:is>
          <x:t xml:space="preserve">SYSTEM-TEST-ONLY-NO-NETWORK-NOT-AN-EDUCATIONAL-EVALUATION</x:t>
        </x:is>
      </x:c>
      <x:c r="AQ171" t="inlineStr">
        <x:is>
          <x:t xml:space="preserve"/>
        </x:is>
      </x:c>
      <x:c r="AR171" t="inlineStr">
        <x:is>
          <x:t xml:space="preserve">NONE</x:t>
        </x:is>
      </x:c>
      <x:c r="AS171" t="inlineStr">
        <x:is>
          <x:t xml:space="preserve"/>
        </x:is>
      </x:c>
      <x:c r="AT171" t="inlineStr">
        <x:is>
          <x:t xml:space="preserve">SUCCESS</x:t>
        </x:is>
      </x:c>
      <x:c r="AU171" t="n">
        <x:f>IF((COUNT('Quantification_Results'!AO171)=1),IFERROR(ROUND((SUM(('Quantification_Results'!AO171*'Quantification_Config'!$R$15))/SUM('Quantification_Config'!$R$15)),'Quantification_Config'!$U$2),""),"")</x:f>
        <x:v>50</x:v>
      </x:c>
      <x:c r="AV171" t="n">
        <x:f>IF((COUNT('Quantification_Results'!AU171)=1),IFERROR(ROUND((SUM(('Quantification_Results'!AU171*'Quantification_Config'!$R$14))/SUM('Quantification_Config'!$R$14)),'Quantification_Config'!$U$2),""),"")</x:f>
        <x:v>50</x:v>
      </x:c>
      <x:c r="AW171" t="n">
        <x:v>1</x:v>
      </x:c>
      <x:c r="AX171" t="n">
        <x:v>5</x:v>
      </x:c>
      <x:c r="AY171"/>
      <x:c r="AZ171" t="n">
        <x:f>IF(('Quantification_Results'!AW171&lt;&gt;1),"",IF(('Quantification_Results'!AY171=""),IF(ISNUMBER('Quantification_Results'!AX171),IF(('Quantification_Results'!AX171&lt;'Quantification_Config'!$S$19),"",IF(('Quantification_Results'!AX171&gt;'Quantification_Config'!$T$19),"",'Quantification_Results'!AX171)),""),IF(ISNUMBER('Quantification_Results'!AY171),IF(('Quantification_Results'!AY171&lt;'Quantification_Config'!$S$19),"",IF(('Quantification_Results'!AY171&gt;'Quantification_Config'!$T$19),"",'Quantification_Results'!AY171)),"")))</x:f>
        <x:v>5</x:v>
      </x:c>
      <x:c r="BA171" t="n">
        <x:f>IF(ISNUMBER('Quantification_Results'!AZ171),IFERROR(ROUND(((('Quantification_Results'!AZ171-'Quantification_Config'!$S$19)/('Quantification_Config'!$T$19-'Quantification_Config'!$S$19))*100),'Quantification_Config'!$U$2),""),"")</x:f>
        <x:v>50</x:v>
      </x:c>
      <x:c r="BB171" t="inlineStr">
        <x:is>
          <x:t xml:space="preserve">SYSTEM-TEST-ONLY-NO-NETWORK-NOT-AN-EDUCATIONAL-EVALUATION</x:t>
        </x:is>
      </x:c>
      <x:c r="BC171" t="inlineStr">
        <x:is>
          <x:t xml:space="preserve"/>
        </x:is>
      </x:c>
      <x:c r="BD171" t="inlineStr">
        <x:is>
          <x:t xml:space="preserve">NONE</x:t>
        </x:is>
      </x:c>
      <x:c r="BE171" t="inlineStr">
        <x:is>
          <x:t xml:space="preserve"/>
        </x:is>
      </x:c>
      <x:c r="BF171" t="inlineStr">
        <x:is>
          <x:t xml:space="preserve">SUCCESS</x:t>
        </x:is>
      </x:c>
      <x:c r="BG171" t="n">
        <x:f>IF((COUNT('Quantification_Results'!BA171)=1),IFERROR(ROUND((SUM(('Quantification_Results'!BA171*'Quantification_Config'!$R$19))/SUM('Quantification_Config'!$R$19)),'Quantification_Config'!$U$2),""),"")</x:f>
        <x:v>50</x:v>
      </x:c>
      <x:c r="BH171" t="n">
        <x:f>IF((COUNT('Quantification_Results'!BG171)=1),IFERROR(ROUND((SUM(('Quantification_Results'!BG171*'Quantification_Config'!$R$18))/SUM('Quantification_Config'!$R$18)),'Quantification_Config'!$U$2),""),"")</x:f>
        <x:v>50</x:v>
      </x:c>
      <x:c r="BI171" t="n">
        <x:f>IF((COUNT('Quantification_Results'!L171,'Quantification_Results'!X171,'Quantification_Results'!AJ171,'Quantification_Results'!AV171,'Quantification_Results'!BH171)=5),IFERROR(ROUND((SUM(('Quantification_Results'!L171*'Quantification_Config'!$R$4),('Quantification_Results'!X171*'Quantification_Config'!$R$7),('Quantification_Results'!AJ171*'Quantification_Config'!$R$10),('Quantification_Results'!AV171*'Quantification_Config'!$R$13),('Quantification_Results'!BH171*'Quantification_Config'!$R$16))/SUM('Quantification_Config'!$R$4,'Quantification_Config'!$R$7,'Quantification_Config'!$R$10,'Quantification_Config'!$R$13,'Quantification_Config'!$R$16)),'Quantification_Config'!$U$2),""),"")</x:f>
        <x:v>50</x:v>
      </x:c>
    </x:row>
    <x:row r="172">
      <x:c r="A172" t="n">
        <x:v>1</x:v>
      </x:c>
      <x:c r="B172" t="n">
        <x:v>5</x:v>
      </x:c>
      <x:c r="C172"/>
      <x:c r="D172" t="n">
        <x:f>IF(('Quantification_Results'!A172&lt;&gt;1),"",IF(('Quantification_Results'!C172=""),IF(ISNUMBER('Quantification_Results'!B172),IF(('Quantification_Results'!B172&lt;'Quantification_Config'!$S$6),"",IF(('Quantification_Results'!B172&gt;'Quantification_Config'!$T$6),"",'Quantification_Results'!B172)),""),IF(ISNUMBER('Quantification_Results'!C172),IF(('Quantification_Results'!C172&lt;'Quantification_Config'!$S$6),"",IF(('Quantification_Results'!C172&gt;'Quantification_Config'!$T$6),"",'Quantification_Results'!C172)),"")))</x:f>
        <x:v>5</x:v>
      </x:c>
      <x:c r="E172" t="n">
        <x:f>IF(ISNUMBER('Quantification_Results'!D172),IFERROR(ROUND(((('Quantification_Results'!D172-'Quantification_Config'!$S$6)/('Quantification_Config'!$T$6-'Quantification_Config'!$S$6))*100),'Quantification_Config'!$U$2),""),"")</x:f>
        <x:v>50</x:v>
      </x:c>
      <x:c r="F172" t="inlineStr">
        <x:is>
          <x:t xml:space="preserve">SYSTEM-TEST-ONLY-NO-NETWORK-NOT-AN-EDUCATIONAL-EVALUATION</x:t>
        </x:is>
      </x:c>
      <x:c r="G172" t="inlineStr">
        <x:is>
          <x:t xml:space="preserve"/>
        </x:is>
      </x:c>
      <x:c r="H172" t="inlineStr">
        <x:is>
          <x:t xml:space="preserve">NONE</x:t>
        </x:is>
      </x:c>
      <x:c r="I172" t="inlineStr">
        <x:is>
          <x:t xml:space="preserve"/>
        </x:is>
      </x:c>
      <x:c r="J172" t="inlineStr">
        <x:is>
          <x:t xml:space="preserve">SUCCESS</x:t>
        </x:is>
      </x:c>
      <x:c r="K172" t="n">
        <x:f>IF((COUNT('Quantification_Results'!E172)=1),IFERROR(ROUND((SUM(('Quantification_Results'!E172*'Quantification_Config'!$R$6))/SUM('Quantification_Config'!$R$6)),'Quantification_Config'!$U$2),""),"")</x:f>
        <x:v>50</x:v>
      </x:c>
      <x:c r="L172" t="n">
        <x:f>IF((COUNT('Quantification_Results'!K172)=1),IFERROR(ROUND((SUM(('Quantification_Results'!K172*'Quantification_Config'!$R$5))/SUM('Quantification_Config'!$R$5)),'Quantification_Config'!$U$2),""),"")</x:f>
        <x:v>50</x:v>
      </x:c>
      <x:c r="M172" t="n">
        <x:v>1</x:v>
      </x:c>
      <x:c r="N172" t="n">
        <x:v>5</x:v>
      </x:c>
      <x:c r="O172"/>
      <x:c r="P172" t="n">
        <x:f>IF(('Quantification_Results'!M172&lt;&gt;1),"",IF(('Quantification_Results'!O172=""),IF(ISNUMBER('Quantification_Results'!N172),IF(('Quantification_Results'!N172&lt;'Quantification_Config'!$S$9),"",IF(('Quantification_Results'!N172&gt;'Quantification_Config'!$T$9),"",'Quantification_Results'!N172)),""),IF(ISNUMBER('Quantification_Results'!O172),IF(('Quantification_Results'!O172&lt;'Quantification_Config'!$S$9),"",IF(('Quantification_Results'!O172&gt;'Quantification_Config'!$T$9),"",'Quantification_Results'!O172)),"")))</x:f>
        <x:v>5</x:v>
      </x:c>
      <x:c r="Q172" t="n">
        <x:f>IF(ISNUMBER('Quantification_Results'!P172),IFERROR(ROUND(((('Quantification_Results'!P172-'Quantification_Config'!$S$9)/('Quantification_Config'!$T$9-'Quantification_Config'!$S$9))*100),'Quantification_Config'!$U$2),""),"")</x:f>
        <x:v>50</x:v>
      </x:c>
      <x:c r="R172" t="inlineStr">
        <x:is>
          <x:t xml:space="preserve">SYSTEM-TEST-ONLY-NO-NETWORK-NOT-AN-EDUCATIONAL-EVALUATION</x:t>
        </x:is>
      </x:c>
      <x:c r="S172" t="inlineStr">
        <x:is>
          <x:t xml:space="preserve"/>
        </x:is>
      </x:c>
      <x:c r="T172" t="inlineStr">
        <x:is>
          <x:t xml:space="preserve">NONE</x:t>
        </x:is>
      </x:c>
      <x:c r="U172" t="inlineStr">
        <x:is>
          <x:t xml:space="preserve"/>
        </x:is>
      </x:c>
      <x:c r="V172" t="inlineStr">
        <x:is>
          <x:t xml:space="preserve">SUCCESS</x:t>
        </x:is>
      </x:c>
      <x:c r="W172" t="n">
        <x:f>IF((COUNT('Quantification_Results'!Q172)=1),IFERROR(ROUND((SUM(('Quantification_Results'!Q172*'Quantification_Config'!$R$9))/SUM('Quantification_Config'!$R$9)),'Quantification_Config'!$U$2),""),"")</x:f>
        <x:v>50</x:v>
      </x:c>
      <x:c r="X172" t="n">
        <x:f>IF((COUNT('Quantification_Results'!W172)=1),IFERROR(ROUND((SUM(('Quantification_Results'!W172*'Quantification_Config'!$R$8))/SUM('Quantification_Config'!$R$8)),'Quantification_Config'!$U$2),""),"")</x:f>
        <x:v>50</x:v>
      </x:c>
      <x:c r="Y172" t="n">
        <x:v>1</x:v>
      </x:c>
      <x:c r="Z172" t="n">
        <x:v>5</x:v>
      </x:c>
      <x:c r="AA172"/>
      <x:c r="AB172" t="n">
        <x:f>IF(('Quantification_Results'!Y172&lt;&gt;1),"",IF(('Quantification_Results'!AA172=""),IF(ISNUMBER('Quantification_Results'!Z172),IF(('Quantification_Results'!Z172&lt;'Quantification_Config'!$S$12),"",IF(('Quantification_Results'!Z172&gt;'Quantification_Config'!$T$12),"",'Quantification_Results'!Z172)),""),IF(ISNUMBER('Quantification_Results'!AA172),IF(('Quantification_Results'!AA172&lt;'Quantification_Config'!$S$12),"",IF(('Quantification_Results'!AA172&gt;'Quantification_Config'!$T$12),"",'Quantification_Results'!AA172)),"")))</x:f>
        <x:v>5</x:v>
      </x:c>
      <x:c r="AC172" t="n">
        <x:f>IF(ISNUMBER('Quantification_Results'!AB172),IFERROR(ROUND(((('Quantification_Results'!AB172-'Quantification_Config'!$S$12)/('Quantification_Config'!$T$12-'Quantification_Config'!$S$12))*100),'Quantification_Config'!$U$2),""),"")</x:f>
        <x:v>50</x:v>
      </x:c>
      <x:c r="AD172" t="inlineStr">
        <x:is>
          <x:t xml:space="preserve">SYSTEM-TEST-ONLY-NO-NETWORK-NOT-AN-EDUCATIONAL-EVALUATION</x:t>
        </x:is>
      </x:c>
      <x:c r="AE172" t="inlineStr">
        <x:is>
          <x:t xml:space="preserve"/>
        </x:is>
      </x:c>
      <x:c r="AF172" t="inlineStr">
        <x:is>
          <x:t xml:space="preserve">NONE</x:t>
        </x:is>
      </x:c>
      <x:c r="AG172" t="inlineStr">
        <x:is>
          <x:t xml:space="preserve"/>
        </x:is>
      </x:c>
      <x:c r="AH172" t="inlineStr">
        <x:is>
          <x:t xml:space="preserve">SUCCESS</x:t>
        </x:is>
      </x:c>
      <x:c r="AI172" t="n">
        <x:f>IF((COUNT('Quantification_Results'!AC172)=1),IFERROR(ROUND((SUM(('Quantification_Results'!AC172*'Quantification_Config'!$R$12))/SUM('Quantification_Config'!$R$12)),'Quantification_Config'!$U$2),""),"")</x:f>
        <x:v>50</x:v>
      </x:c>
      <x:c r="AJ172" t="n">
        <x:f>IF((COUNT('Quantification_Results'!AI172)=1),IFERROR(ROUND((SUM(('Quantification_Results'!AI172*'Quantification_Config'!$R$11))/SUM('Quantification_Config'!$R$11)),'Quantification_Config'!$U$2),""),"")</x:f>
        <x:v>50</x:v>
      </x:c>
      <x:c r="AK172" t="n">
        <x:v>1</x:v>
      </x:c>
      <x:c r="AL172" t="n">
        <x:v>5</x:v>
      </x:c>
      <x:c r="AM172"/>
      <x:c r="AN172" t="n">
        <x:f>IF(('Quantification_Results'!AK172&lt;&gt;1),"",IF(('Quantification_Results'!AM172=""),IF(ISNUMBER('Quantification_Results'!AL172),IF(('Quantification_Results'!AL172&lt;'Quantification_Config'!$S$15),"",IF(('Quantification_Results'!AL172&gt;'Quantification_Config'!$T$15),"",'Quantification_Results'!AL172)),""),IF(ISNUMBER('Quantification_Results'!AM172),IF(('Quantification_Results'!AM172&lt;'Quantification_Config'!$S$15),"",IF(('Quantification_Results'!AM172&gt;'Quantification_Config'!$T$15),"",'Quantification_Results'!AM172)),"")))</x:f>
        <x:v>5</x:v>
      </x:c>
      <x:c r="AO172" t="n">
        <x:f>IF(ISNUMBER('Quantification_Results'!AN172),IFERROR(ROUND(((('Quantification_Results'!AN172-'Quantification_Config'!$S$15)/('Quantification_Config'!$T$15-'Quantification_Config'!$S$15))*100),'Quantification_Config'!$U$2),""),"")</x:f>
        <x:v>50</x:v>
      </x:c>
      <x:c r="AP172" t="inlineStr">
        <x:is>
          <x:t xml:space="preserve">SYSTEM-TEST-ONLY-NO-NETWORK-NOT-AN-EDUCATIONAL-EVALUATION</x:t>
        </x:is>
      </x:c>
      <x:c r="AQ172" t="inlineStr">
        <x:is>
          <x:t xml:space="preserve"/>
        </x:is>
      </x:c>
      <x:c r="AR172" t="inlineStr">
        <x:is>
          <x:t xml:space="preserve">NONE</x:t>
        </x:is>
      </x:c>
      <x:c r="AS172" t="inlineStr">
        <x:is>
          <x:t xml:space="preserve"/>
        </x:is>
      </x:c>
      <x:c r="AT172" t="inlineStr">
        <x:is>
          <x:t xml:space="preserve">SUCCESS</x:t>
        </x:is>
      </x:c>
      <x:c r="AU172" t="n">
        <x:f>IF((COUNT('Quantification_Results'!AO172)=1),IFERROR(ROUND((SUM(('Quantification_Results'!AO172*'Quantification_Config'!$R$15))/SUM('Quantification_Config'!$R$15)),'Quantification_Config'!$U$2),""),"")</x:f>
        <x:v>50</x:v>
      </x:c>
      <x:c r="AV172" t="n">
        <x:f>IF((COUNT('Quantification_Results'!AU172)=1),IFERROR(ROUND((SUM(('Quantification_Results'!AU172*'Quantification_Config'!$R$14))/SUM('Quantification_Config'!$R$14)),'Quantification_Config'!$U$2),""),"")</x:f>
        <x:v>50</x:v>
      </x:c>
      <x:c r="AW172" t="n">
        <x:v>1</x:v>
      </x:c>
      <x:c r="AX172" t="n">
        <x:v>5</x:v>
      </x:c>
      <x:c r="AY172"/>
      <x:c r="AZ172" t="n">
        <x:f>IF(('Quantification_Results'!AW172&lt;&gt;1),"",IF(('Quantification_Results'!AY172=""),IF(ISNUMBER('Quantification_Results'!AX172),IF(('Quantification_Results'!AX172&lt;'Quantification_Config'!$S$19),"",IF(('Quantification_Results'!AX172&gt;'Quantification_Config'!$T$19),"",'Quantification_Results'!AX172)),""),IF(ISNUMBER('Quantification_Results'!AY172),IF(('Quantification_Results'!AY172&lt;'Quantification_Config'!$S$19),"",IF(('Quantification_Results'!AY172&gt;'Quantification_Config'!$T$19),"",'Quantification_Results'!AY172)),"")))</x:f>
        <x:v>5</x:v>
      </x:c>
      <x:c r="BA172" t="n">
        <x:f>IF(ISNUMBER('Quantification_Results'!AZ172),IFERROR(ROUND(((('Quantification_Results'!AZ172-'Quantification_Config'!$S$19)/('Quantification_Config'!$T$19-'Quantification_Config'!$S$19))*100),'Quantification_Config'!$U$2),""),"")</x:f>
        <x:v>50</x:v>
      </x:c>
      <x:c r="BB172" t="inlineStr">
        <x:is>
          <x:t xml:space="preserve">SYSTEM-TEST-ONLY-NO-NETWORK-NOT-AN-EDUCATIONAL-EVALUATION</x:t>
        </x:is>
      </x:c>
      <x:c r="BC172" t="inlineStr">
        <x:is>
          <x:t xml:space="preserve"/>
        </x:is>
      </x:c>
      <x:c r="BD172" t="inlineStr">
        <x:is>
          <x:t xml:space="preserve">NONE</x:t>
        </x:is>
      </x:c>
      <x:c r="BE172" t="inlineStr">
        <x:is>
          <x:t xml:space="preserve"/>
        </x:is>
      </x:c>
      <x:c r="BF172" t="inlineStr">
        <x:is>
          <x:t xml:space="preserve">SUCCESS</x:t>
        </x:is>
      </x:c>
      <x:c r="BG172" t="n">
        <x:f>IF((COUNT('Quantification_Results'!BA172)=1),IFERROR(ROUND((SUM(('Quantification_Results'!BA172*'Quantification_Config'!$R$19))/SUM('Quantification_Config'!$R$19)),'Quantification_Config'!$U$2),""),"")</x:f>
        <x:v>50</x:v>
      </x:c>
      <x:c r="BH172" t="n">
        <x:f>IF((COUNT('Quantification_Results'!BG172)=1),IFERROR(ROUND((SUM(('Quantification_Results'!BG172*'Quantification_Config'!$R$18))/SUM('Quantification_Config'!$R$18)),'Quantification_Config'!$U$2),""),"")</x:f>
        <x:v>50</x:v>
      </x:c>
      <x:c r="BI172" t="n">
        <x:f>IF((COUNT('Quantification_Results'!L172,'Quantification_Results'!X172,'Quantification_Results'!AJ172,'Quantification_Results'!AV172,'Quantification_Results'!BH172)=5),IFERROR(ROUND((SUM(('Quantification_Results'!L172*'Quantification_Config'!$R$4),('Quantification_Results'!X172*'Quantification_Config'!$R$7),('Quantification_Results'!AJ172*'Quantification_Config'!$R$10),('Quantification_Results'!AV172*'Quantification_Config'!$R$13),('Quantification_Results'!BH172*'Quantification_Config'!$R$16))/SUM('Quantification_Config'!$R$4,'Quantification_Config'!$R$7,'Quantification_Config'!$R$10,'Quantification_Config'!$R$13,'Quantification_Config'!$R$16)),'Quantification_Config'!$U$2),""),"")</x:f>
        <x:v>50</x:v>
      </x:c>
    </x:row>
    <x:row r="173">
      <x:c r="A173" t="n">
        <x:v>1</x:v>
      </x:c>
      <x:c r="B173" t="n">
        <x:v>5</x:v>
      </x:c>
      <x:c r="C173"/>
      <x:c r="D173" t="n">
        <x:f>IF(('Quantification_Results'!A173&lt;&gt;1),"",IF(('Quantification_Results'!C173=""),IF(ISNUMBER('Quantification_Results'!B173),IF(('Quantification_Results'!B173&lt;'Quantification_Config'!$S$6),"",IF(('Quantification_Results'!B173&gt;'Quantification_Config'!$T$6),"",'Quantification_Results'!B173)),""),IF(ISNUMBER('Quantification_Results'!C173),IF(('Quantification_Results'!C173&lt;'Quantification_Config'!$S$6),"",IF(('Quantification_Results'!C173&gt;'Quantification_Config'!$T$6),"",'Quantification_Results'!C173)),"")))</x:f>
        <x:v>5</x:v>
      </x:c>
      <x:c r="E173" t="n">
        <x:f>IF(ISNUMBER('Quantification_Results'!D173),IFERROR(ROUND(((('Quantification_Results'!D173-'Quantification_Config'!$S$6)/('Quantification_Config'!$T$6-'Quantification_Config'!$S$6))*100),'Quantification_Config'!$U$2),""),"")</x:f>
        <x:v>50</x:v>
      </x:c>
      <x:c r="F173" t="inlineStr">
        <x:is>
          <x:t xml:space="preserve">SYSTEM-TEST-ONLY-NO-NETWORK-NOT-AN-EDUCATIONAL-EVALUATION</x:t>
        </x:is>
      </x:c>
      <x:c r="G173" t="inlineStr">
        <x:is>
          <x:t xml:space="preserve"/>
        </x:is>
      </x:c>
      <x:c r="H173" t="inlineStr">
        <x:is>
          <x:t xml:space="preserve">NONE</x:t>
        </x:is>
      </x:c>
      <x:c r="I173" t="inlineStr">
        <x:is>
          <x:t xml:space="preserve"/>
        </x:is>
      </x:c>
      <x:c r="J173" t="inlineStr">
        <x:is>
          <x:t xml:space="preserve">SUCCESS</x:t>
        </x:is>
      </x:c>
      <x:c r="K173" t="n">
        <x:f>IF((COUNT('Quantification_Results'!E173)=1),IFERROR(ROUND((SUM(('Quantification_Results'!E173*'Quantification_Config'!$R$6))/SUM('Quantification_Config'!$R$6)),'Quantification_Config'!$U$2),""),"")</x:f>
        <x:v>50</x:v>
      </x:c>
      <x:c r="L173" t="n">
        <x:f>IF((COUNT('Quantification_Results'!K173)=1),IFERROR(ROUND((SUM(('Quantification_Results'!K173*'Quantification_Config'!$R$5))/SUM('Quantification_Config'!$R$5)),'Quantification_Config'!$U$2),""),"")</x:f>
        <x:v>50</x:v>
      </x:c>
      <x:c r="M173" t="n">
        <x:v>1</x:v>
      </x:c>
      <x:c r="N173" t="n">
        <x:v>5</x:v>
      </x:c>
      <x:c r="O173"/>
      <x:c r="P173" t="n">
        <x:f>IF(('Quantification_Results'!M173&lt;&gt;1),"",IF(('Quantification_Results'!O173=""),IF(ISNUMBER('Quantification_Results'!N173),IF(('Quantification_Results'!N173&lt;'Quantification_Config'!$S$9),"",IF(('Quantification_Results'!N173&gt;'Quantification_Config'!$T$9),"",'Quantification_Results'!N173)),""),IF(ISNUMBER('Quantification_Results'!O173),IF(('Quantification_Results'!O173&lt;'Quantification_Config'!$S$9),"",IF(('Quantification_Results'!O173&gt;'Quantification_Config'!$T$9),"",'Quantification_Results'!O173)),"")))</x:f>
        <x:v>5</x:v>
      </x:c>
      <x:c r="Q173" t="n">
        <x:f>IF(ISNUMBER('Quantification_Results'!P173),IFERROR(ROUND(((('Quantification_Results'!P173-'Quantification_Config'!$S$9)/('Quantification_Config'!$T$9-'Quantification_Config'!$S$9))*100),'Quantification_Config'!$U$2),""),"")</x:f>
        <x:v>50</x:v>
      </x:c>
      <x:c r="R173" t="inlineStr">
        <x:is>
          <x:t xml:space="preserve">SYSTEM-TEST-ONLY-NO-NETWORK-NOT-AN-EDUCATIONAL-EVALUATION</x:t>
        </x:is>
      </x:c>
      <x:c r="S173" t="inlineStr">
        <x:is>
          <x:t xml:space="preserve"/>
        </x:is>
      </x:c>
      <x:c r="T173" t="inlineStr">
        <x:is>
          <x:t xml:space="preserve">NONE</x:t>
        </x:is>
      </x:c>
      <x:c r="U173" t="inlineStr">
        <x:is>
          <x:t xml:space="preserve"/>
        </x:is>
      </x:c>
      <x:c r="V173" t="inlineStr">
        <x:is>
          <x:t xml:space="preserve">SUCCESS</x:t>
        </x:is>
      </x:c>
      <x:c r="W173" t="n">
        <x:f>IF((COUNT('Quantification_Results'!Q173)=1),IFERROR(ROUND((SUM(('Quantification_Results'!Q173*'Quantification_Config'!$R$9))/SUM('Quantification_Config'!$R$9)),'Quantification_Config'!$U$2),""),"")</x:f>
        <x:v>50</x:v>
      </x:c>
      <x:c r="X173" t="n">
        <x:f>IF((COUNT('Quantification_Results'!W173)=1),IFERROR(ROUND((SUM(('Quantification_Results'!W173*'Quantification_Config'!$R$8))/SUM('Quantification_Config'!$R$8)),'Quantification_Config'!$U$2),""),"")</x:f>
        <x:v>50</x:v>
      </x:c>
      <x:c r="Y173" t="n">
        <x:v>0</x:v>
      </x:c>
      <x:c r="Z173"/>
      <x:c r="AA173"/>
      <x:c r="AB173">
        <x:f>IF(('Quantification_Results'!Y173&lt;&gt;1),"",IF(('Quantification_Results'!AA173=""),IF(ISNUMBER('Quantification_Results'!Z173),IF(('Quantification_Results'!Z173&lt;'Quantification_Config'!$S$12),"",IF(('Quantification_Results'!Z173&gt;'Quantification_Config'!$T$12),"",'Quantification_Results'!Z173)),""),IF(ISNUMBER('Quantification_Results'!AA173),IF(('Quantification_Results'!AA173&lt;'Quantification_Config'!$S$12),"",IF(('Quantification_Results'!AA173&gt;'Quantification_Config'!$T$12),"",'Quantification_Results'!AA173)),"")))</x:f>
      </x:c>
      <x:c r="AC173">
        <x:f>IF(ISNUMBER('Quantification_Results'!AB173),IFERROR(ROUND(((('Quantification_Results'!AB173-'Quantification_Config'!$S$12)/('Quantification_Config'!$T$12-'Quantification_Config'!$S$12))*100),'Quantification_Config'!$U$2),""),"")</x:f>
      </x:c>
      <x:c r="AD173" t="inlineStr">
        <x:is>
          <x:t xml:space="preserve"/>
        </x:is>
      </x:c>
      <x:c r="AE173" t="inlineStr">
        <x:is>
          <x:t xml:space="preserve"/>
        </x:is>
      </x:c>
      <x:c r="AF173" t="inlineStr">
        <x:is>
          <x:t xml:space="preserve"/>
        </x:is>
      </x:c>
      <x:c r="AG173" t="inlineStr">
        <x:is>
          <x:t xml:space="preserve"/>
        </x:is>
      </x:c>
      <x:c r="AH173" t="inlineStr">
        <x:is>
          <x:t xml:space="preserve">EMPTY</x:t>
        </x:is>
      </x:c>
      <x:c r="AI173">
        <x:f>IF((COUNT('Quantification_Results'!AC173)=1),IFERROR(ROUND((SUM(('Quantification_Results'!AC173*'Quantification_Config'!$R$12))/SUM('Quantification_Config'!$R$12)),'Quantification_Config'!$U$2),""),"")</x:f>
      </x:c>
      <x:c r="AJ173">
        <x:f>IF((COUNT('Quantification_Results'!AI173)=1),IFERROR(ROUND((SUM(('Quantification_Results'!AI173*'Quantification_Config'!$R$11))/SUM('Quantification_Config'!$R$11)),'Quantification_Config'!$U$2),""),"")</x:f>
      </x:c>
      <x:c r="AK173" t="n">
        <x:v>1</x:v>
      </x:c>
      <x:c r="AL173" t="n">
        <x:v>5</x:v>
      </x:c>
      <x:c r="AM173"/>
      <x:c r="AN173" t="n">
        <x:f>IF(('Quantification_Results'!AK173&lt;&gt;1),"",IF(('Quantification_Results'!AM173=""),IF(ISNUMBER('Quantification_Results'!AL173),IF(('Quantification_Results'!AL173&lt;'Quantification_Config'!$S$15),"",IF(('Quantification_Results'!AL173&gt;'Quantification_Config'!$T$15),"",'Quantification_Results'!AL173)),""),IF(ISNUMBER('Quantification_Results'!AM173),IF(('Quantification_Results'!AM173&lt;'Quantification_Config'!$S$15),"",IF(('Quantification_Results'!AM173&gt;'Quantification_Config'!$T$15),"",'Quantification_Results'!AM173)),"")))</x:f>
        <x:v>5</x:v>
      </x:c>
      <x:c r="AO173" t="n">
        <x:f>IF(ISNUMBER('Quantification_Results'!AN173),IFERROR(ROUND(((('Quantification_Results'!AN173-'Quantification_Config'!$S$15)/('Quantification_Config'!$T$15-'Quantification_Config'!$S$15))*100),'Quantification_Config'!$U$2),""),"")</x:f>
        <x:v>50</x:v>
      </x:c>
      <x:c r="AP173" t="inlineStr">
        <x:is>
          <x:t xml:space="preserve">SYSTEM-TEST-ONLY-NO-NETWORK-NOT-AN-EDUCATIONAL-EVALUATION</x:t>
        </x:is>
      </x:c>
      <x:c r="AQ173" t="inlineStr">
        <x:is>
          <x:t xml:space="preserve"/>
        </x:is>
      </x:c>
      <x:c r="AR173" t="inlineStr">
        <x:is>
          <x:t xml:space="preserve">NONE</x:t>
        </x:is>
      </x:c>
      <x:c r="AS173" t="inlineStr">
        <x:is>
          <x:t xml:space="preserve"/>
        </x:is>
      </x:c>
      <x:c r="AT173" t="inlineStr">
        <x:is>
          <x:t xml:space="preserve">SUCCESS</x:t>
        </x:is>
      </x:c>
      <x:c r="AU173" t="n">
        <x:f>IF((COUNT('Quantification_Results'!AO173)=1),IFERROR(ROUND((SUM(('Quantification_Results'!AO173*'Quantification_Config'!$R$15))/SUM('Quantification_Config'!$R$15)),'Quantification_Config'!$U$2),""),"")</x:f>
        <x:v>50</x:v>
      </x:c>
      <x:c r="AV173" t="n">
        <x:f>IF((COUNT('Quantification_Results'!AU173)=1),IFERROR(ROUND((SUM(('Quantification_Results'!AU173*'Quantification_Config'!$R$14))/SUM('Quantification_Config'!$R$14)),'Quantification_Config'!$U$2),""),"")</x:f>
        <x:v>50</x:v>
      </x:c>
      <x:c r="AW173" t="n">
        <x:v>1</x:v>
      </x:c>
      <x:c r="AX173" t="n">
        <x:v>5</x:v>
      </x:c>
      <x:c r="AY173"/>
      <x:c r="AZ173" t="n">
        <x:f>IF(('Quantification_Results'!AW173&lt;&gt;1),"",IF(('Quantification_Results'!AY173=""),IF(ISNUMBER('Quantification_Results'!AX173),IF(('Quantification_Results'!AX173&lt;'Quantification_Config'!$S$19),"",IF(('Quantification_Results'!AX173&gt;'Quantification_Config'!$T$19),"",'Quantification_Results'!AX173)),""),IF(ISNUMBER('Quantification_Results'!AY173),IF(('Quantification_Results'!AY173&lt;'Quantification_Config'!$S$19),"",IF(('Quantification_Results'!AY173&gt;'Quantification_Config'!$T$19),"",'Quantification_Results'!AY173)),"")))</x:f>
        <x:v>5</x:v>
      </x:c>
      <x:c r="BA173" t="n">
        <x:f>IF(ISNUMBER('Quantification_Results'!AZ173),IFERROR(ROUND(((('Quantification_Results'!AZ173-'Quantification_Config'!$S$19)/('Quantification_Config'!$T$19-'Quantification_Config'!$S$19))*100),'Quantification_Config'!$U$2),""),"")</x:f>
        <x:v>50</x:v>
      </x:c>
      <x:c r="BB173" t="inlineStr">
        <x:is>
          <x:t xml:space="preserve">SYSTEM-TEST-ONLY-NO-NETWORK-NOT-AN-EDUCATIONAL-EVALUATION</x:t>
        </x:is>
      </x:c>
      <x:c r="BC173" t="inlineStr">
        <x:is>
          <x:t xml:space="preserve"/>
        </x:is>
      </x:c>
      <x:c r="BD173" t="inlineStr">
        <x:is>
          <x:t xml:space="preserve">NONE</x:t>
        </x:is>
      </x:c>
      <x:c r="BE173" t="inlineStr">
        <x:is>
          <x:t xml:space="preserve"/>
        </x:is>
      </x:c>
      <x:c r="BF173" t="inlineStr">
        <x:is>
          <x:t xml:space="preserve">SUCCESS</x:t>
        </x:is>
      </x:c>
      <x:c r="BG173" t="n">
        <x:f>IF((COUNT('Quantification_Results'!BA173)=1),IFERROR(ROUND((SUM(('Quantification_Results'!BA173*'Quantification_Config'!$R$19))/SUM('Quantification_Config'!$R$19)),'Quantification_Config'!$U$2),""),"")</x:f>
        <x:v>50</x:v>
      </x:c>
      <x:c r="BH173" t="n">
        <x:f>IF((COUNT('Quantification_Results'!BG173)=1),IFERROR(ROUND((SUM(('Quantification_Results'!BG173*'Quantification_Config'!$R$18))/SUM('Quantification_Config'!$R$18)),'Quantification_Config'!$U$2),""),"")</x:f>
        <x:v>50</x:v>
      </x:c>
      <x:c r="BI173">
        <x:f>IF((COUNT('Quantification_Results'!L173,'Quantification_Results'!X173,'Quantification_Results'!AJ173,'Quantification_Results'!AV173,'Quantification_Results'!BH173)=5),IFERROR(ROUND((SUM(('Quantification_Results'!L173*'Quantification_Config'!$R$4),('Quantification_Results'!X173*'Quantification_Config'!$R$7),('Quantification_Results'!AJ173*'Quantification_Config'!$R$10),('Quantification_Results'!AV173*'Quantification_Config'!$R$13),('Quantification_Results'!BH173*'Quantification_Config'!$R$16))/SUM('Quantification_Config'!$R$4,'Quantification_Config'!$R$7,'Quantification_Config'!$R$10,'Quantification_Config'!$R$13,'Quantification_Config'!$R$16)),'Quantification_Config'!$U$2),""),"")</x:f>
      </x:c>
    </x:row>
    <x:row r="174">
      <x:c r="A174" t="n">
        <x:v>1</x:v>
      </x:c>
      <x:c r="B174" t="n">
        <x:v>5</x:v>
      </x:c>
      <x:c r="C174"/>
      <x:c r="D174" t="n">
        <x:f>IF(('Quantification_Results'!A174&lt;&gt;1),"",IF(('Quantification_Results'!C174=""),IF(ISNUMBER('Quantification_Results'!B174),IF(('Quantification_Results'!B174&lt;'Quantification_Config'!$S$6),"",IF(('Quantification_Results'!B174&gt;'Quantification_Config'!$T$6),"",'Quantification_Results'!B174)),""),IF(ISNUMBER('Quantification_Results'!C174),IF(('Quantification_Results'!C174&lt;'Quantification_Config'!$S$6),"",IF(('Quantification_Results'!C174&gt;'Quantification_Config'!$T$6),"",'Quantification_Results'!C174)),"")))</x:f>
        <x:v>5</x:v>
      </x:c>
      <x:c r="E174" t="n">
        <x:f>IF(ISNUMBER('Quantification_Results'!D174),IFERROR(ROUND(((('Quantification_Results'!D174-'Quantification_Config'!$S$6)/('Quantification_Config'!$T$6-'Quantification_Config'!$S$6))*100),'Quantification_Config'!$U$2),""),"")</x:f>
        <x:v>50</x:v>
      </x:c>
      <x:c r="F174" t="inlineStr">
        <x:is>
          <x:t xml:space="preserve">SYSTEM-TEST-ONLY-NO-NETWORK-NOT-AN-EDUCATIONAL-EVALUATION</x:t>
        </x:is>
      </x:c>
      <x:c r="G174" t="inlineStr">
        <x:is>
          <x:t xml:space="preserve"/>
        </x:is>
      </x:c>
      <x:c r="H174" t="inlineStr">
        <x:is>
          <x:t xml:space="preserve">NONE</x:t>
        </x:is>
      </x:c>
      <x:c r="I174" t="inlineStr">
        <x:is>
          <x:t xml:space="preserve"/>
        </x:is>
      </x:c>
      <x:c r="J174" t="inlineStr">
        <x:is>
          <x:t xml:space="preserve">SUCCESS</x:t>
        </x:is>
      </x:c>
      <x:c r="K174" t="n">
        <x:f>IF((COUNT('Quantification_Results'!E174)=1),IFERROR(ROUND((SUM(('Quantification_Results'!E174*'Quantification_Config'!$R$6))/SUM('Quantification_Config'!$R$6)),'Quantification_Config'!$U$2),""),"")</x:f>
        <x:v>50</x:v>
      </x:c>
      <x:c r="L174" t="n">
        <x:f>IF((COUNT('Quantification_Results'!K174)=1),IFERROR(ROUND((SUM(('Quantification_Results'!K174*'Quantification_Config'!$R$5))/SUM('Quantification_Config'!$R$5)),'Quantification_Config'!$U$2),""),"")</x:f>
        <x:v>50</x:v>
      </x:c>
      <x:c r="M174" t="n">
        <x:v>1</x:v>
      </x:c>
      <x:c r="N174" t="n">
        <x:v>5</x:v>
      </x:c>
      <x:c r="O174"/>
      <x:c r="P174" t="n">
        <x:f>IF(('Quantification_Results'!M174&lt;&gt;1),"",IF(('Quantification_Results'!O174=""),IF(ISNUMBER('Quantification_Results'!N174),IF(('Quantification_Results'!N174&lt;'Quantification_Config'!$S$9),"",IF(('Quantification_Results'!N174&gt;'Quantification_Config'!$T$9),"",'Quantification_Results'!N174)),""),IF(ISNUMBER('Quantification_Results'!O174),IF(('Quantification_Results'!O174&lt;'Quantification_Config'!$S$9),"",IF(('Quantification_Results'!O174&gt;'Quantification_Config'!$T$9),"",'Quantification_Results'!O174)),"")))</x:f>
        <x:v>5</x:v>
      </x:c>
      <x:c r="Q174" t="n">
        <x:f>IF(ISNUMBER('Quantification_Results'!P174),IFERROR(ROUND(((('Quantification_Results'!P174-'Quantification_Config'!$S$9)/('Quantification_Config'!$T$9-'Quantification_Config'!$S$9))*100),'Quantification_Config'!$U$2),""),"")</x:f>
        <x:v>50</x:v>
      </x:c>
      <x:c r="R174" t="inlineStr">
        <x:is>
          <x:t xml:space="preserve">SYSTEM-TEST-ONLY-NO-NETWORK-NOT-AN-EDUCATIONAL-EVALUATION</x:t>
        </x:is>
      </x:c>
      <x:c r="S174" t="inlineStr">
        <x:is>
          <x:t xml:space="preserve"/>
        </x:is>
      </x:c>
      <x:c r="T174" t="inlineStr">
        <x:is>
          <x:t xml:space="preserve">NONE</x:t>
        </x:is>
      </x:c>
      <x:c r="U174" t="inlineStr">
        <x:is>
          <x:t xml:space="preserve"/>
        </x:is>
      </x:c>
      <x:c r="V174" t="inlineStr">
        <x:is>
          <x:t xml:space="preserve">SUCCESS</x:t>
        </x:is>
      </x:c>
      <x:c r="W174" t="n">
        <x:f>IF((COUNT('Quantification_Results'!Q174)=1),IFERROR(ROUND((SUM(('Quantification_Results'!Q174*'Quantification_Config'!$R$9))/SUM('Quantification_Config'!$R$9)),'Quantification_Config'!$U$2),""),"")</x:f>
        <x:v>50</x:v>
      </x:c>
      <x:c r="X174" t="n">
        <x:f>IF((COUNT('Quantification_Results'!W174)=1),IFERROR(ROUND((SUM(('Quantification_Results'!W174*'Quantification_Config'!$R$8))/SUM('Quantification_Config'!$R$8)),'Quantification_Config'!$U$2),""),"")</x:f>
        <x:v>50</x:v>
      </x:c>
      <x:c r="Y174" t="n">
        <x:v>0</x:v>
      </x:c>
      <x:c r="Z174"/>
      <x:c r="AA174"/>
      <x:c r="AB174">
        <x:f>IF(('Quantification_Results'!Y174&lt;&gt;1),"",IF(('Quantification_Results'!AA174=""),IF(ISNUMBER('Quantification_Results'!Z174),IF(('Quantification_Results'!Z174&lt;'Quantification_Config'!$S$12),"",IF(('Quantification_Results'!Z174&gt;'Quantification_Config'!$T$12),"",'Quantification_Results'!Z174)),""),IF(ISNUMBER('Quantification_Results'!AA174),IF(('Quantification_Results'!AA174&lt;'Quantification_Config'!$S$12),"",IF(('Quantification_Results'!AA174&gt;'Quantification_Config'!$T$12),"",'Quantification_Results'!AA174)),"")))</x:f>
      </x:c>
      <x:c r="AC174">
        <x:f>IF(ISNUMBER('Quantification_Results'!AB174),IFERROR(ROUND(((('Quantification_Results'!AB174-'Quantification_Config'!$S$12)/('Quantification_Config'!$T$12-'Quantification_Config'!$S$12))*100),'Quantification_Config'!$U$2),""),"")</x:f>
      </x:c>
      <x:c r="AD174" t="inlineStr">
        <x:is>
          <x:t xml:space="preserve"/>
        </x:is>
      </x:c>
      <x:c r="AE174" t="inlineStr">
        <x:is>
          <x:t xml:space="preserve"/>
        </x:is>
      </x:c>
      <x:c r="AF174" t="inlineStr">
        <x:is>
          <x:t xml:space="preserve"/>
        </x:is>
      </x:c>
      <x:c r="AG174" t="inlineStr">
        <x:is>
          <x:t xml:space="preserve"/>
        </x:is>
      </x:c>
      <x:c r="AH174" t="inlineStr">
        <x:is>
          <x:t xml:space="preserve">EMPTY</x:t>
        </x:is>
      </x:c>
      <x:c r="AI174">
        <x:f>IF((COUNT('Quantification_Results'!AC174)=1),IFERROR(ROUND((SUM(('Quantification_Results'!AC174*'Quantification_Config'!$R$12))/SUM('Quantification_Config'!$R$12)),'Quantification_Config'!$U$2),""),"")</x:f>
      </x:c>
      <x:c r="AJ174">
        <x:f>IF((COUNT('Quantification_Results'!AI174)=1),IFERROR(ROUND((SUM(('Quantification_Results'!AI174*'Quantification_Config'!$R$11))/SUM('Quantification_Config'!$R$11)),'Quantification_Config'!$U$2),""),"")</x:f>
      </x:c>
      <x:c r="AK174" t="n">
        <x:v>1</x:v>
      </x:c>
      <x:c r="AL174" t="n">
        <x:v>5</x:v>
      </x:c>
      <x:c r="AM174"/>
      <x:c r="AN174" t="n">
        <x:f>IF(('Quantification_Results'!AK174&lt;&gt;1),"",IF(('Quantification_Results'!AM174=""),IF(ISNUMBER('Quantification_Results'!AL174),IF(('Quantification_Results'!AL174&lt;'Quantification_Config'!$S$15),"",IF(('Quantification_Results'!AL174&gt;'Quantification_Config'!$T$15),"",'Quantification_Results'!AL174)),""),IF(ISNUMBER('Quantification_Results'!AM174),IF(('Quantification_Results'!AM174&lt;'Quantification_Config'!$S$15),"",IF(('Quantification_Results'!AM174&gt;'Quantification_Config'!$T$15),"",'Quantification_Results'!AM174)),"")))</x:f>
        <x:v>5</x:v>
      </x:c>
      <x:c r="AO174" t="n">
        <x:f>IF(ISNUMBER('Quantification_Results'!AN174),IFERROR(ROUND(((('Quantification_Results'!AN174-'Quantification_Config'!$S$15)/('Quantification_Config'!$T$15-'Quantification_Config'!$S$15))*100),'Quantification_Config'!$U$2),""),"")</x:f>
        <x:v>50</x:v>
      </x:c>
      <x:c r="AP174" t="inlineStr">
        <x:is>
          <x:t xml:space="preserve">SYSTEM-TEST-ONLY-NO-NETWORK-NOT-AN-EDUCATIONAL-EVALUATION</x:t>
        </x:is>
      </x:c>
      <x:c r="AQ174" t="inlineStr">
        <x:is>
          <x:t xml:space="preserve"/>
        </x:is>
      </x:c>
      <x:c r="AR174" t="inlineStr">
        <x:is>
          <x:t xml:space="preserve">NONE</x:t>
        </x:is>
      </x:c>
      <x:c r="AS174" t="inlineStr">
        <x:is>
          <x:t xml:space="preserve"/>
        </x:is>
      </x:c>
      <x:c r="AT174" t="inlineStr">
        <x:is>
          <x:t xml:space="preserve">SUCCESS</x:t>
        </x:is>
      </x:c>
      <x:c r="AU174" t="n">
        <x:f>IF((COUNT('Quantification_Results'!AO174)=1),IFERROR(ROUND((SUM(('Quantification_Results'!AO174*'Quantification_Config'!$R$15))/SUM('Quantification_Config'!$R$15)),'Quantification_Config'!$U$2),""),"")</x:f>
        <x:v>50</x:v>
      </x:c>
      <x:c r="AV174" t="n">
        <x:f>IF((COUNT('Quantification_Results'!AU174)=1),IFERROR(ROUND((SUM(('Quantification_Results'!AU174*'Quantification_Config'!$R$14))/SUM('Quantification_Config'!$R$14)),'Quantification_Config'!$U$2),""),"")</x:f>
        <x:v>50</x:v>
      </x:c>
      <x:c r="AW174" t="n">
        <x:v>1</x:v>
      </x:c>
      <x:c r="AX174" t="n">
        <x:v>5</x:v>
      </x:c>
      <x:c r="AY174"/>
      <x:c r="AZ174" t="n">
        <x:f>IF(('Quantification_Results'!AW174&lt;&gt;1),"",IF(('Quantification_Results'!AY174=""),IF(ISNUMBER('Quantification_Results'!AX174),IF(('Quantification_Results'!AX174&lt;'Quantification_Config'!$S$19),"",IF(('Quantification_Results'!AX174&gt;'Quantification_Config'!$T$19),"",'Quantification_Results'!AX174)),""),IF(ISNUMBER('Quantification_Results'!AY174),IF(('Quantification_Results'!AY174&lt;'Quantification_Config'!$S$19),"",IF(('Quantification_Results'!AY174&gt;'Quantification_Config'!$T$19),"",'Quantification_Results'!AY174)),"")))</x:f>
        <x:v>5</x:v>
      </x:c>
      <x:c r="BA174" t="n">
        <x:f>IF(ISNUMBER('Quantification_Results'!AZ174),IFERROR(ROUND(((('Quantification_Results'!AZ174-'Quantification_Config'!$S$19)/('Quantification_Config'!$T$19-'Quantification_Config'!$S$19))*100),'Quantification_Config'!$U$2),""),"")</x:f>
        <x:v>50</x:v>
      </x:c>
      <x:c r="BB174" t="inlineStr">
        <x:is>
          <x:t xml:space="preserve">SYSTEM-TEST-ONLY-NO-NETWORK-NOT-AN-EDUCATIONAL-EVALUATION</x:t>
        </x:is>
      </x:c>
      <x:c r="BC174" t="inlineStr">
        <x:is>
          <x:t xml:space="preserve"/>
        </x:is>
      </x:c>
      <x:c r="BD174" t="inlineStr">
        <x:is>
          <x:t xml:space="preserve">NONE</x:t>
        </x:is>
      </x:c>
      <x:c r="BE174" t="inlineStr">
        <x:is>
          <x:t xml:space="preserve"/>
        </x:is>
      </x:c>
      <x:c r="BF174" t="inlineStr">
        <x:is>
          <x:t xml:space="preserve">SUCCESS</x:t>
        </x:is>
      </x:c>
      <x:c r="BG174" t="n">
        <x:f>IF((COUNT('Quantification_Results'!BA174)=1),IFERROR(ROUND((SUM(('Quantification_Results'!BA174*'Quantification_Config'!$R$19))/SUM('Quantification_Config'!$R$19)),'Quantification_Config'!$U$2),""),"")</x:f>
        <x:v>50</x:v>
      </x:c>
      <x:c r="BH174" t="n">
        <x:f>IF((COUNT('Quantification_Results'!BG174)=1),IFERROR(ROUND((SUM(('Quantification_Results'!BG174*'Quantification_Config'!$R$18))/SUM('Quantification_Config'!$R$18)),'Quantification_Config'!$U$2),""),"")</x:f>
        <x:v>50</x:v>
      </x:c>
      <x:c r="BI174">
        <x:f>IF((COUNT('Quantification_Results'!L174,'Quantification_Results'!X174,'Quantification_Results'!AJ174,'Quantification_Results'!AV174,'Quantification_Results'!BH174)=5),IFERROR(ROUND((SUM(('Quantification_Results'!L174*'Quantification_Config'!$R$4),('Quantification_Results'!X174*'Quantification_Config'!$R$7),('Quantification_Results'!AJ174*'Quantification_Config'!$R$10),('Quantification_Results'!AV174*'Quantification_Config'!$R$13),('Quantification_Results'!BH174*'Quantification_Config'!$R$16))/SUM('Quantification_Config'!$R$4,'Quantification_Config'!$R$7,'Quantification_Config'!$R$10,'Quantification_Config'!$R$13,'Quantification_Config'!$R$16)),'Quantification_Config'!$U$2),""),"")</x:f>
      </x:c>
    </x:row>
    <x:row r="175">
      <x:c r="A175" t="n">
        <x:v>1</x:v>
      </x:c>
      <x:c r="B175" t="n">
        <x:v>5</x:v>
      </x:c>
      <x:c r="C175"/>
      <x:c r="D175" t="n">
        <x:f>IF(('Quantification_Results'!A175&lt;&gt;1),"",IF(('Quantification_Results'!C175=""),IF(ISNUMBER('Quantification_Results'!B175),IF(('Quantification_Results'!B175&lt;'Quantification_Config'!$S$6),"",IF(('Quantification_Results'!B175&gt;'Quantification_Config'!$T$6),"",'Quantification_Results'!B175)),""),IF(ISNUMBER('Quantification_Results'!C175),IF(('Quantification_Results'!C175&lt;'Quantification_Config'!$S$6),"",IF(('Quantification_Results'!C175&gt;'Quantification_Config'!$T$6),"",'Quantification_Results'!C175)),"")))</x:f>
        <x:v>5</x:v>
      </x:c>
      <x:c r="E175" t="n">
        <x:f>IF(ISNUMBER('Quantification_Results'!D175),IFERROR(ROUND(((('Quantification_Results'!D175-'Quantification_Config'!$S$6)/('Quantification_Config'!$T$6-'Quantification_Config'!$S$6))*100),'Quantification_Config'!$U$2),""),"")</x:f>
        <x:v>50</x:v>
      </x:c>
      <x:c r="F175" t="inlineStr">
        <x:is>
          <x:t xml:space="preserve">SYSTEM-TEST-ONLY-NO-NETWORK-NOT-AN-EDUCATIONAL-EVALUATION</x:t>
        </x:is>
      </x:c>
      <x:c r="G175" t="inlineStr">
        <x:is>
          <x:t xml:space="preserve"/>
        </x:is>
      </x:c>
      <x:c r="H175" t="inlineStr">
        <x:is>
          <x:t xml:space="preserve">NONE</x:t>
        </x:is>
      </x:c>
      <x:c r="I175" t="inlineStr">
        <x:is>
          <x:t xml:space="preserve"/>
        </x:is>
      </x:c>
      <x:c r="J175" t="inlineStr">
        <x:is>
          <x:t xml:space="preserve">SUCCESS</x:t>
        </x:is>
      </x:c>
      <x:c r="K175" t="n">
        <x:f>IF((COUNT('Quantification_Results'!E175)=1),IFERROR(ROUND((SUM(('Quantification_Results'!E175*'Quantification_Config'!$R$6))/SUM('Quantification_Config'!$R$6)),'Quantification_Config'!$U$2),""),"")</x:f>
        <x:v>50</x:v>
      </x:c>
      <x:c r="L175" t="n">
        <x:f>IF((COUNT('Quantification_Results'!K175)=1),IFERROR(ROUND((SUM(('Quantification_Results'!K175*'Quantification_Config'!$R$5))/SUM('Quantification_Config'!$R$5)),'Quantification_Config'!$U$2),""),"")</x:f>
        <x:v>50</x:v>
      </x:c>
      <x:c r="M175" t="n">
        <x:v>0</x:v>
      </x:c>
      <x:c r="N175"/>
      <x:c r="O175"/>
      <x:c r="P175">
        <x:f>IF(('Quantification_Results'!M175&lt;&gt;1),"",IF(('Quantification_Results'!O175=""),IF(ISNUMBER('Quantification_Results'!N175),IF(('Quantification_Results'!N175&lt;'Quantification_Config'!$S$9),"",IF(('Quantification_Results'!N175&gt;'Quantification_Config'!$T$9),"",'Quantification_Results'!N175)),""),IF(ISNUMBER('Quantification_Results'!O175),IF(('Quantification_Results'!O175&lt;'Quantification_Config'!$S$9),"",IF(('Quantification_Results'!O175&gt;'Quantification_Config'!$T$9),"",'Quantification_Results'!O175)),"")))</x:f>
      </x:c>
      <x:c r="Q175">
        <x:f>IF(ISNUMBER('Quantification_Results'!P175),IFERROR(ROUND(((('Quantification_Results'!P175-'Quantification_Config'!$S$9)/('Quantification_Config'!$T$9-'Quantification_Config'!$S$9))*100),'Quantification_Config'!$U$2),""),"")</x:f>
      </x:c>
      <x:c r="R175" t="inlineStr">
        <x:is>
          <x:t xml:space="preserve"/>
        </x:is>
      </x:c>
      <x:c r="S175" t="inlineStr">
        <x:is>
          <x:t xml:space="preserve"/>
        </x:is>
      </x:c>
      <x:c r="T175" t="inlineStr">
        <x:is>
          <x:t xml:space="preserve"/>
        </x:is>
      </x:c>
      <x:c r="U175" t="inlineStr">
        <x:is>
          <x:t xml:space="preserve"/>
        </x:is>
      </x:c>
      <x:c r="V175" t="inlineStr">
        <x:is>
          <x:t xml:space="preserve">EMPTY</x:t>
        </x:is>
      </x:c>
      <x:c r="W175">
        <x:f>IF((COUNT('Quantification_Results'!Q175)=1),IFERROR(ROUND((SUM(('Quantification_Results'!Q175*'Quantification_Config'!$R$9))/SUM('Quantification_Config'!$R$9)),'Quantification_Config'!$U$2),""),"")</x:f>
      </x:c>
      <x:c r="X175">
        <x:f>IF((COUNT('Quantification_Results'!W175)=1),IFERROR(ROUND((SUM(('Quantification_Results'!W175*'Quantification_Config'!$R$8))/SUM('Quantification_Config'!$R$8)),'Quantification_Config'!$U$2),""),"")</x:f>
      </x:c>
      <x:c r="Y175" t="n">
        <x:v>0</x:v>
      </x:c>
      <x:c r="Z175"/>
      <x:c r="AA175"/>
      <x:c r="AB175">
        <x:f>IF(('Quantification_Results'!Y175&lt;&gt;1),"",IF(('Quantification_Results'!AA175=""),IF(ISNUMBER('Quantification_Results'!Z175),IF(('Quantification_Results'!Z175&lt;'Quantification_Config'!$S$12),"",IF(('Quantification_Results'!Z175&gt;'Quantification_Config'!$T$12),"",'Quantification_Results'!Z175)),""),IF(ISNUMBER('Quantification_Results'!AA175),IF(('Quantification_Results'!AA175&lt;'Quantification_Config'!$S$12),"",IF(('Quantification_Results'!AA175&gt;'Quantification_Config'!$T$12),"",'Quantification_Results'!AA175)),"")))</x:f>
      </x:c>
      <x:c r="AC175">
        <x:f>IF(ISNUMBER('Quantification_Results'!AB175),IFERROR(ROUND(((('Quantification_Results'!AB175-'Quantification_Config'!$S$12)/('Quantification_Config'!$T$12-'Quantification_Config'!$S$12))*100),'Quantification_Config'!$U$2),""),"")</x:f>
      </x:c>
      <x:c r="AD175" t="inlineStr">
        <x:is>
          <x:t xml:space="preserve"/>
        </x:is>
      </x:c>
      <x:c r="AE175" t="inlineStr">
        <x:is>
          <x:t xml:space="preserve"/>
        </x:is>
      </x:c>
      <x:c r="AF175" t="inlineStr">
        <x:is>
          <x:t xml:space="preserve"/>
        </x:is>
      </x:c>
      <x:c r="AG175" t="inlineStr">
        <x:is>
          <x:t xml:space="preserve"/>
        </x:is>
      </x:c>
      <x:c r="AH175" t="inlineStr">
        <x:is>
          <x:t xml:space="preserve">EMPTY</x:t>
        </x:is>
      </x:c>
      <x:c r="AI175">
        <x:f>IF((COUNT('Quantification_Results'!AC175)=1),IFERROR(ROUND((SUM(('Quantification_Results'!AC175*'Quantification_Config'!$R$12))/SUM('Quantification_Config'!$R$12)),'Quantification_Config'!$U$2),""),"")</x:f>
      </x:c>
      <x:c r="AJ175">
        <x:f>IF((COUNT('Quantification_Results'!AI175)=1),IFERROR(ROUND((SUM(('Quantification_Results'!AI175*'Quantification_Config'!$R$11))/SUM('Quantification_Config'!$R$11)),'Quantification_Config'!$U$2),""),"")</x:f>
      </x:c>
      <x:c r="AK175" t="n">
        <x:v>1</x:v>
      </x:c>
      <x:c r="AL175" t="n">
        <x:v>5</x:v>
      </x:c>
      <x:c r="AM175"/>
      <x:c r="AN175" t="n">
        <x:f>IF(('Quantification_Results'!AK175&lt;&gt;1),"",IF(('Quantification_Results'!AM175=""),IF(ISNUMBER('Quantification_Results'!AL175),IF(('Quantification_Results'!AL175&lt;'Quantification_Config'!$S$15),"",IF(('Quantification_Results'!AL175&gt;'Quantification_Config'!$T$15),"",'Quantification_Results'!AL175)),""),IF(ISNUMBER('Quantification_Results'!AM175),IF(('Quantification_Results'!AM175&lt;'Quantification_Config'!$S$15),"",IF(('Quantification_Results'!AM175&gt;'Quantification_Config'!$T$15),"",'Quantification_Results'!AM175)),"")))</x:f>
        <x:v>5</x:v>
      </x:c>
      <x:c r="AO175" t="n">
        <x:f>IF(ISNUMBER('Quantification_Results'!AN175),IFERROR(ROUND(((('Quantification_Results'!AN175-'Quantification_Config'!$S$15)/('Quantification_Config'!$T$15-'Quantification_Config'!$S$15))*100),'Quantification_Config'!$U$2),""),"")</x:f>
        <x:v>50</x:v>
      </x:c>
      <x:c r="AP175" t="inlineStr">
        <x:is>
          <x:t xml:space="preserve">SYSTEM-TEST-ONLY-NO-NETWORK-NOT-AN-EDUCATIONAL-EVALUATION</x:t>
        </x:is>
      </x:c>
      <x:c r="AQ175" t="inlineStr">
        <x:is>
          <x:t xml:space="preserve"/>
        </x:is>
      </x:c>
      <x:c r="AR175" t="inlineStr">
        <x:is>
          <x:t xml:space="preserve">NONE</x:t>
        </x:is>
      </x:c>
      <x:c r="AS175" t="inlineStr">
        <x:is>
          <x:t xml:space="preserve"/>
        </x:is>
      </x:c>
      <x:c r="AT175" t="inlineStr">
        <x:is>
          <x:t xml:space="preserve">SUCCESS</x:t>
        </x:is>
      </x:c>
      <x:c r="AU175" t="n">
        <x:f>IF((COUNT('Quantification_Results'!AO175)=1),IFERROR(ROUND((SUM(('Quantification_Results'!AO175*'Quantification_Config'!$R$15))/SUM('Quantification_Config'!$R$15)),'Quantification_Config'!$U$2),""),"")</x:f>
        <x:v>50</x:v>
      </x:c>
      <x:c r="AV175" t="n">
        <x:f>IF((COUNT('Quantification_Results'!AU175)=1),IFERROR(ROUND((SUM(('Quantification_Results'!AU175*'Quantification_Config'!$R$14))/SUM('Quantification_Config'!$R$14)),'Quantification_Config'!$U$2),""),"")</x:f>
        <x:v>50</x:v>
      </x:c>
      <x:c r="AW175" t="n">
        <x:v>0</x:v>
      </x:c>
      <x:c r="AX175"/>
      <x:c r="AY175"/>
      <x:c r="AZ175">
        <x:f>IF(('Quantification_Results'!AW175&lt;&gt;1),"",IF(('Quantification_Results'!AY175=""),IF(ISNUMBER('Quantification_Results'!AX175),IF(('Quantification_Results'!AX175&lt;'Quantification_Config'!$S$19),"",IF(('Quantification_Results'!AX175&gt;'Quantification_Config'!$T$19),"",'Quantification_Results'!AX175)),""),IF(ISNUMBER('Quantification_Results'!AY175),IF(('Quantification_Results'!AY175&lt;'Quantification_Config'!$S$19),"",IF(('Quantification_Results'!AY175&gt;'Quantification_Config'!$T$19),"",'Quantification_Results'!AY175)),"")))</x:f>
      </x:c>
      <x:c r="BA175">
        <x:f>IF(ISNUMBER('Quantification_Results'!AZ175),IFERROR(ROUND(((('Quantification_Results'!AZ175-'Quantification_Config'!$S$19)/('Quantification_Config'!$T$19-'Quantification_Config'!$S$19))*100),'Quantification_Config'!$U$2),""),"")</x:f>
      </x:c>
      <x:c r="BB175" t="inlineStr">
        <x:is>
          <x:t xml:space="preserve"/>
        </x:is>
      </x:c>
      <x:c r="BC175" t="inlineStr">
        <x:is>
          <x:t xml:space="preserve"/>
        </x:is>
      </x:c>
      <x:c r="BD175" t="inlineStr">
        <x:is>
          <x:t xml:space="preserve"/>
        </x:is>
      </x:c>
      <x:c r="BE175" t="inlineStr">
        <x:is>
          <x:t xml:space="preserve"/>
        </x:is>
      </x:c>
      <x:c r="BF175" t="inlineStr">
        <x:is>
          <x:t xml:space="preserve">EMPTY</x:t>
        </x:is>
      </x:c>
      <x:c r="BG175">
        <x:f>IF((COUNT('Quantification_Results'!BA175)=1),IFERROR(ROUND((SUM(('Quantification_Results'!BA175*'Quantification_Config'!$R$19))/SUM('Quantification_Config'!$R$19)),'Quantification_Config'!$U$2),""),"")</x:f>
      </x:c>
      <x:c r="BH175">
        <x:f>IF((COUNT('Quantification_Results'!BG175)=1),IFERROR(ROUND((SUM(('Quantification_Results'!BG175*'Quantification_Config'!$R$18))/SUM('Quantification_Config'!$R$18)),'Quantification_Config'!$U$2),""),"")</x:f>
      </x:c>
      <x:c r="BI175">
        <x:f>IF((COUNT('Quantification_Results'!L175,'Quantification_Results'!X175,'Quantification_Results'!AJ175,'Quantification_Results'!AV175,'Quantification_Results'!BH175)=5),IFERROR(ROUND((SUM(('Quantification_Results'!L175*'Quantification_Config'!$R$4),('Quantification_Results'!X175*'Quantification_Config'!$R$7),('Quantification_Results'!AJ175*'Quantification_Config'!$R$10),('Quantification_Results'!AV175*'Quantification_Config'!$R$13),('Quantification_Results'!BH175*'Quantification_Config'!$R$16))/SUM('Quantification_Config'!$R$4,'Quantification_Config'!$R$7,'Quantification_Config'!$R$10,'Quantification_Config'!$R$13,'Quantification_Config'!$R$16)),'Quantification_Config'!$U$2),""),"")</x:f>
      </x:c>
    </x:row>
    <x:row r="176">
      <x:c r="A176" t="n">
        <x:v>1</x:v>
      </x:c>
      <x:c r="B176" t="n">
        <x:v>5</x:v>
      </x:c>
      <x:c r="C176"/>
      <x:c r="D176" t="n">
        <x:f>IF(('Quantification_Results'!A176&lt;&gt;1),"",IF(('Quantification_Results'!C176=""),IF(ISNUMBER('Quantification_Results'!B176),IF(('Quantification_Results'!B176&lt;'Quantification_Config'!$S$6),"",IF(('Quantification_Results'!B176&gt;'Quantification_Config'!$T$6),"",'Quantification_Results'!B176)),""),IF(ISNUMBER('Quantification_Results'!C176),IF(('Quantification_Results'!C176&lt;'Quantification_Config'!$S$6),"",IF(('Quantification_Results'!C176&gt;'Quantification_Config'!$T$6),"",'Quantification_Results'!C176)),"")))</x:f>
        <x:v>5</x:v>
      </x:c>
      <x:c r="E176" t="n">
        <x:f>IF(ISNUMBER('Quantification_Results'!D176),IFERROR(ROUND(((('Quantification_Results'!D176-'Quantification_Config'!$S$6)/('Quantification_Config'!$T$6-'Quantification_Config'!$S$6))*100),'Quantification_Config'!$U$2),""),"")</x:f>
        <x:v>50</x:v>
      </x:c>
      <x:c r="F176" t="inlineStr">
        <x:is>
          <x:t xml:space="preserve">SYSTEM-TEST-ONLY-NO-NETWORK-NOT-AN-EDUCATIONAL-EVALUATION</x:t>
        </x:is>
      </x:c>
      <x:c r="G176" t="inlineStr">
        <x:is>
          <x:t xml:space="preserve"/>
        </x:is>
      </x:c>
      <x:c r="H176" t="inlineStr">
        <x:is>
          <x:t xml:space="preserve">NONE</x:t>
        </x:is>
      </x:c>
      <x:c r="I176" t="inlineStr">
        <x:is>
          <x:t xml:space="preserve"/>
        </x:is>
      </x:c>
      <x:c r="J176" t="inlineStr">
        <x:is>
          <x:t xml:space="preserve">SUCCESS</x:t>
        </x:is>
      </x:c>
      <x:c r="K176" t="n">
        <x:f>IF((COUNT('Quantification_Results'!E176)=1),IFERROR(ROUND((SUM(('Quantification_Results'!E176*'Quantification_Config'!$R$6))/SUM('Quantification_Config'!$R$6)),'Quantification_Config'!$U$2),""),"")</x:f>
        <x:v>50</x:v>
      </x:c>
      <x:c r="L176" t="n">
        <x:f>IF((COUNT('Quantification_Results'!K176)=1),IFERROR(ROUND((SUM(('Quantification_Results'!K176*'Quantification_Config'!$R$5))/SUM('Quantification_Config'!$R$5)),'Quantification_Config'!$U$2),""),"")</x:f>
        <x:v>50</x:v>
      </x:c>
      <x:c r="M176" t="n">
        <x:v>1</x:v>
      </x:c>
      <x:c r="N176" t="n">
        <x:v>5</x:v>
      </x:c>
      <x:c r="O176"/>
      <x:c r="P176" t="n">
        <x:f>IF(('Quantification_Results'!M176&lt;&gt;1),"",IF(('Quantification_Results'!O176=""),IF(ISNUMBER('Quantification_Results'!N176),IF(('Quantification_Results'!N176&lt;'Quantification_Config'!$S$9),"",IF(('Quantification_Results'!N176&gt;'Quantification_Config'!$T$9),"",'Quantification_Results'!N176)),""),IF(ISNUMBER('Quantification_Results'!O176),IF(('Quantification_Results'!O176&lt;'Quantification_Config'!$S$9),"",IF(('Quantification_Results'!O176&gt;'Quantification_Config'!$T$9),"",'Quantification_Results'!O176)),"")))</x:f>
        <x:v>5</x:v>
      </x:c>
      <x:c r="Q176" t="n">
        <x:f>IF(ISNUMBER('Quantification_Results'!P176),IFERROR(ROUND(((('Quantification_Results'!P176-'Quantification_Config'!$S$9)/('Quantification_Config'!$T$9-'Quantification_Config'!$S$9))*100),'Quantification_Config'!$U$2),""),"")</x:f>
        <x:v>50</x:v>
      </x:c>
      <x:c r="R176" t="inlineStr">
        <x:is>
          <x:t xml:space="preserve">SYSTEM-TEST-ONLY-NO-NETWORK-NOT-AN-EDUCATIONAL-EVALUATION</x:t>
        </x:is>
      </x:c>
      <x:c r="S176" t="inlineStr">
        <x:is>
          <x:t xml:space="preserve"/>
        </x:is>
      </x:c>
      <x:c r="T176" t="inlineStr">
        <x:is>
          <x:t xml:space="preserve">NONE</x:t>
        </x:is>
      </x:c>
      <x:c r="U176" t="inlineStr">
        <x:is>
          <x:t xml:space="preserve"/>
        </x:is>
      </x:c>
      <x:c r="V176" t="inlineStr">
        <x:is>
          <x:t xml:space="preserve">SUCCESS</x:t>
        </x:is>
      </x:c>
      <x:c r="W176" t="n">
        <x:f>IF((COUNT('Quantification_Results'!Q176)=1),IFERROR(ROUND((SUM(('Quantification_Results'!Q176*'Quantification_Config'!$R$9))/SUM('Quantification_Config'!$R$9)),'Quantification_Config'!$U$2),""),"")</x:f>
        <x:v>50</x:v>
      </x:c>
      <x:c r="X176" t="n">
        <x:f>IF((COUNT('Quantification_Results'!W176)=1),IFERROR(ROUND((SUM(('Quantification_Results'!W176*'Quantification_Config'!$R$8))/SUM('Quantification_Config'!$R$8)),'Quantification_Config'!$U$2),""),"")</x:f>
        <x:v>50</x:v>
      </x:c>
      <x:c r="Y176" t="n">
        <x:v>0</x:v>
      </x:c>
      <x:c r="Z176"/>
      <x:c r="AA176"/>
      <x:c r="AB176">
        <x:f>IF(('Quantification_Results'!Y176&lt;&gt;1),"",IF(('Quantification_Results'!AA176=""),IF(ISNUMBER('Quantification_Results'!Z176),IF(('Quantification_Results'!Z176&lt;'Quantification_Config'!$S$12),"",IF(('Quantification_Results'!Z176&gt;'Quantification_Config'!$T$12),"",'Quantification_Results'!Z176)),""),IF(ISNUMBER('Quantification_Results'!AA176),IF(('Quantification_Results'!AA176&lt;'Quantification_Config'!$S$12),"",IF(('Quantification_Results'!AA176&gt;'Quantification_Config'!$T$12),"",'Quantification_Results'!AA176)),"")))</x:f>
      </x:c>
      <x:c r="AC176">
        <x:f>IF(ISNUMBER('Quantification_Results'!AB176),IFERROR(ROUND(((('Quantification_Results'!AB176-'Quantification_Config'!$S$12)/('Quantification_Config'!$T$12-'Quantification_Config'!$S$12))*100),'Quantification_Config'!$U$2),""),"")</x:f>
      </x:c>
      <x:c r="AD176" t="inlineStr">
        <x:is>
          <x:t xml:space="preserve"/>
        </x:is>
      </x:c>
      <x:c r="AE176" t="inlineStr">
        <x:is>
          <x:t xml:space="preserve"/>
        </x:is>
      </x:c>
      <x:c r="AF176" t="inlineStr">
        <x:is>
          <x:t xml:space="preserve"/>
        </x:is>
      </x:c>
      <x:c r="AG176" t="inlineStr">
        <x:is>
          <x:t xml:space="preserve"/>
        </x:is>
      </x:c>
      <x:c r="AH176" t="inlineStr">
        <x:is>
          <x:t xml:space="preserve">EMPTY</x:t>
        </x:is>
      </x:c>
      <x:c r="AI176">
        <x:f>IF((COUNT('Quantification_Results'!AC176)=1),IFERROR(ROUND((SUM(('Quantification_Results'!AC176*'Quantification_Config'!$R$12))/SUM('Quantification_Config'!$R$12)),'Quantification_Config'!$U$2),""),"")</x:f>
      </x:c>
      <x:c r="AJ176">
        <x:f>IF((COUNT('Quantification_Results'!AI176)=1),IFERROR(ROUND((SUM(('Quantification_Results'!AI176*'Quantification_Config'!$R$11))/SUM('Quantification_Config'!$R$11)),'Quantification_Config'!$U$2),""),"")</x:f>
      </x:c>
      <x:c r="AK176" t="n">
        <x:v>1</x:v>
      </x:c>
      <x:c r="AL176" t="n">
        <x:v>5</x:v>
      </x:c>
      <x:c r="AM176"/>
      <x:c r="AN176" t="n">
        <x:f>IF(('Quantification_Results'!AK176&lt;&gt;1),"",IF(('Quantification_Results'!AM176=""),IF(ISNUMBER('Quantification_Results'!AL176),IF(('Quantification_Results'!AL176&lt;'Quantification_Config'!$S$15),"",IF(('Quantification_Results'!AL176&gt;'Quantification_Config'!$T$15),"",'Quantification_Results'!AL176)),""),IF(ISNUMBER('Quantification_Results'!AM176),IF(('Quantification_Results'!AM176&lt;'Quantification_Config'!$S$15),"",IF(('Quantification_Results'!AM176&gt;'Quantification_Config'!$T$15),"",'Quantification_Results'!AM176)),"")))</x:f>
        <x:v>5</x:v>
      </x:c>
      <x:c r="AO176" t="n">
        <x:f>IF(ISNUMBER('Quantification_Results'!AN176),IFERROR(ROUND(((('Quantification_Results'!AN176-'Quantification_Config'!$S$15)/('Quantification_Config'!$T$15-'Quantification_Config'!$S$15))*100),'Quantification_Config'!$U$2),""),"")</x:f>
        <x:v>50</x:v>
      </x:c>
      <x:c r="AP176" t="inlineStr">
        <x:is>
          <x:t xml:space="preserve">SYSTEM-TEST-ONLY-NO-NETWORK-NOT-AN-EDUCATIONAL-EVALUATION</x:t>
        </x:is>
      </x:c>
      <x:c r="AQ176" t="inlineStr">
        <x:is>
          <x:t xml:space="preserve"/>
        </x:is>
      </x:c>
      <x:c r="AR176" t="inlineStr">
        <x:is>
          <x:t xml:space="preserve">NONE</x:t>
        </x:is>
      </x:c>
      <x:c r="AS176" t="inlineStr">
        <x:is>
          <x:t xml:space="preserve"/>
        </x:is>
      </x:c>
      <x:c r="AT176" t="inlineStr">
        <x:is>
          <x:t xml:space="preserve">SUCCESS</x:t>
        </x:is>
      </x:c>
      <x:c r="AU176" t="n">
        <x:f>IF((COUNT('Quantification_Results'!AO176)=1),IFERROR(ROUND((SUM(('Quantification_Results'!AO176*'Quantification_Config'!$R$15))/SUM('Quantification_Config'!$R$15)),'Quantification_Config'!$U$2),""),"")</x:f>
        <x:v>50</x:v>
      </x:c>
      <x:c r="AV176" t="n">
        <x:f>IF((COUNT('Quantification_Results'!AU176)=1),IFERROR(ROUND((SUM(('Quantification_Results'!AU176*'Quantification_Config'!$R$14))/SUM('Quantification_Config'!$R$14)),'Quantification_Config'!$U$2),""),"")</x:f>
        <x:v>50</x:v>
      </x:c>
      <x:c r="AW176" t="n">
        <x:v>1</x:v>
      </x:c>
      <x:c r="AX176" t="n">
        <x:v>5</x:v>
      </x:c>
      <x:c r="AY176"/>
      <x:c r="AZ176" t="n">
        <x:f>IF(('Quantification_Results'!AW176&lt;&gt;1),"",IF(('Quantification_Results'!AY176=""),IF(ISNUMBER('Quantification_Results'!AX176),IF(('Quantification_Results'!AX176&lt;'Quantification_Config'!$S$19),"",IF(('Quantification_Results'!AX176&gt;'Quantification_Config'!$T$19),"",'Quantification_Results'!AX176)),""),IF(ISNUMBER('Quantification_Results'!AY176),IF(('Quantification_Results'!AY176&lt;'Quantification_Config'!$S$19),"",IF(('Quantification_Results'!AY176&gt;'Quantification_Config'!$T$19),"",'Quantification_Results'!AY176)),"")))</x:f>
        <x:v>5</x:v>
      </x:c>
      <x:c r="BA176" t="n">
        <x:f>IF(ISNUMBER('Quantification_Results'!AZ176),IFERROR(ROUND(((('Quantification_Results'!AZ176-'Quantification_Config'!$S$19)/('Quantification_Config'!$T$19-'Quantification_Config'!$S$19))*100),'Quantification_Config'!$U$2),""),"")</x:f>
        <x:v>50</x:v>
      </x:c>
      <x:c r="BB176" t="inlineStr">
        <x:is>
          <x:t xml:space="preserve">SYSTEM-TEST-ONLY-NO-NETWORK-NOT-AN-EDUCATIONAL-EVALUATION</x:t>
        </x:is>
      </x:c>
      <x:c r="BC176" t="inlineStr">
        <x:is>
          <x:t xml:space="preserve"/>
        </x:is>
      </x:c>
      <x:c r="BD176" t="inlineStr">
        <x:is>
          <x:t xml:space="preserve">NONE</x:t>
        </x:is>
      </x:c>
      <x:c r="BE176" t="inlineStr">
        <x:is>
          <x:t xml:space="preserve"/>
        </x:is>
      </x:c>
      <x:c r="BF176" t="inlineStr">
        <x:is>
          <x:t xml:space="preserve">SUCCESS</x:t>
        </x:is>
      </x:c>
      <x:c r="BG176" t="n">
        <x:f>IF((COUNT('Quantification_Results'!BA176)=1),IFERROR(ROUND((SUM(('Quantification_Results'!BA176*'Quantification_Config'!$R$19))/SUM('Quantification_Config'!$R$19)),'Quantification_Config'!$U$2),""),"")</x:f>
        <x:v>50</x:v>
      </x:c>
      <x:c r="BH176" t="n">
        <x:f>IF((COUNT('Quantification_Results'!BG176)=1),IFERROR(ROUND((SUM(('Quantification_Results'!BG176*'Quantification_Config'!$R$18))/SUM('Quantification_Config'!$R$18)),'Quantification_Config'!$U$2),""),"")</x:f>
        <x:v>50</x:v>
      </x:c>
      <x:c r="BI176">
        <x:f>IF((COUNT('Quantification_Results'!L176,'Quantification_Results'!X176,'Quantification_Results'!AJ176,'Quantification_Results'!AV176,'Quantification_Results'!BH176)=5),IFERROR(ROUND((SUM(('Quantification_Results'!L176*'Quantification_Config'!$R$4),('Quantification_Results'!X176*'Quantification_Config'!$R$7),('Quantification_Results'!AJ176*'Quantification_Config'!$R$10),('Quantification_Results'!AV176*'Quantification_Config'!$R$13),('Quantification_Results'!BH176*'Quantification_Config'!$R$16))/SUM('Quantification_Config'!$R$4,'Quantification_Config'!$R$7,'Quantification_Config'!$R$10,'Quantification_Config'!$R$13,'Quantification_Config'!$R$16)),'Quantification_Config'!$U$2),""),"")</x:f>
      </x:c>
    </x:row>
    <x:row r="177">
      <x:c r="A177" t="n">
        <x:v>1</x:v>
      </x:c>
      <x:c r="B177" t="n">
        <x:v>5</x:v>
      </x:c>
      <x:c r="C177"/>
      <x:c r="D177" t="n">
        <x:f>IF(('Quantification_Results'!A177&lt;&gt;1),"",IF(('Quantification_Results'!C177=""),IF(ISNUMBER('Quantification_Results'!B177),IF(('Quantification_Results'!B177&lt;'Quantification_Config'!$S$6),"",IF(('Quantification_Results'!B177&gt;'Quantification_Config'!$T$6),"",'Quantification_Results'!B177)),""),IF(ISNUMBER('Quantification_Results'!C177),IF(('Quantification_Results'!C177&lt;'Quantification_Config'!$S$6),"",IF(('Quantification_Results'!C177&gt;'Quantification_Config'!$T$6),"",'Quantification_Results'!C177)),"")))</x:f>
        <x:v>5</x:v>
      </x:c>
      <x:c r="E177" t="n">
        <x:f>IF(ISNUMBER('Quantification_Results'!D177),IFERROR(ROUND(((('Quantification_Results'!D177-'Quantification_Config'!$S$6)/('Quantification_Config'!$T$6-'Quantification_Config'!$S$6))*100),'Quantification_Config'!$U$2),""),"")</x:f>
        <x:v>50</x:v>
      </x:c>
      <x:c r="F177" t="inlineStr">
        <x:is>
          <x:t xml:space="preserve">SYSTEM-TEST-ONLY-NO-NETWORK-NOT-AN-EDUCATIONAL-EVALUATION</x:t>
        </x:is>
      </x:c>
      <x:c r="G177" t="inlineStr">
        <x:is>
          <x:t xml:space="preserve"/>
        </x:is>
      </x:c>
      <x:c r="H177" t="inlineStr">
        <x:is>
          <x:t xml:space="preserve">NONE</x:t>
        </x:is>
      </x:c>
      <x:c r="I177" t="inlineStr">
        <x:is>
          <x:t xml:space="preserve"/>
        </x:is>
      </x:c>
      <x:c r="J177" t="inlineStr">
        <x:is>
          <x:t xml:space="preserve">SUCCESS</x:t>
        </x:is>
      </x:c>
      <x:c r="K177" t="n">
        <x:f>IF((COUNT('Quantification_Results'!E177)=1),IFERROR(ROUND((SUM(('Quantification_Results'!E177*'Quantification_Config'!$R$6))/SUM('Quantification_Config'!$R$6)),'Quantification_Config'!$U$2),""),"")</x:f>
        <x:v>50</x:v>
      </x:c>
      <x:c r="L177" t="n">
        <x:f>IF((COUNT('Quantification_Results'!K177)=1),IFERROR(ROUND((SUM(('Quantification_Results'!K177*'Quantification_Config'!$R$5))/SUM('Quantification_Config'!$R$5)),'Quantification_Config'!$U$2),""),"")</x:f>
        <x:v>50</x:v>
      </x:c>
      <x:c r="M177" t="n">
        <x:v>1</x:v>
      </x:c>
      <x:c r="N177" t="n">
        <x:v>5</x:v>
      </x:c>
      <x:c r="O177"/>
      <x:c r="P177" t="n">
        <x:f>IF(('Quantification_Results'!M177&lt;&gt;1),"",IF(('Quantification_Results'!O177=""),IF(ISNUMBER('Quantification_Results'!N177),IF(('Quantification_Results'!N177&lt;'Quantification_Config'!$S$9),"",IF(('Quantification_Results'!N177&gt;'Quantification_Config'!$T$9),"",'Quantification_Results'!N177)),""),IF(ISNUMBER('Quantification_Results'!O177),IF(('Quantification_Results'!O177&lt;'Quantification_Config'!$S$9),"",IF(('Quantification_Results'!O177&gt;'Quantification_Config'!$T$9),"",'Quantification_Results'!O177)),"")))</x:f>
        <x:v>5</x:v>
      </x:c>
      <x:c r="Q177" t="n">
        <x:f>IF(ISNUMBER('Quantification_Results'!P177),IFERROR(ROUND(((('Quantification_Results'!P177-'Quantification_Config'!$S$9)/('Quantification_Config'!$T$9-'Quantification_Config'!$S$9))*100),'Quantification_Config'!$U$2),""),"")</x:f>
        <x:v>50</x:v>
      </x:c>
      <x:c r="R177" t="inlineStr">
        <x:is>
          <x:t xml:space="preserve">SYSTEM-TEST-ONLY-NO-NETWORK-NOT-AN-EDUCATIONAL-EVALUATION</x:t>
        </x:is>
      </x:c>
      <x:c r="S177" t="inlineStr">
        <x:is>
          <x:t xml:space="preserve"/>
        </x:is>
      </x:c>
      <x:c r="T177" t="inlineStr">
        <x:is>
          <x:t xml:space="preserve">NONE</x:t>
        </x:is>
      </x:c>
      <x:c r="U177" t="inlineStr">
        <x:is>
          <x:t xml:space="preserve"/>
        </x:is>
      </x:c>
      <x:c r="V177" t="inlineStr">
        <x:is>
          <x:t xml:space="preserve">SUCCESS</x:t>
        </x:is>
      </x:c>
      <x:c r="W177" t="n">
        <x:f>IF((COUNT('Quantification_Results'!Q177)=1),IFERROR(ROUND((SUM(('Quantification_Results'!Q177*'Quantification_Config'!$R$9))/SUM('Quantification_Config'!$R$9)),'Quantification_Config'!$U$2),""),"")</x:f>
        <x:v>50</x:v>
      </x:c>
      <x:c r="X177" t="n">
        <x:f>IF((COUNT('Quantification_Results'!W177)=1),IFERROR(ROUND((SUM(('Quantification_Results'!W177*'Quantification_Config'!$R$8))/SUM('Quantification_Config'!$R$8)),'Quantification_Config'!$U$2),""),"")</x:f>
        <x:v>50</x:v>
      </x:c>
      <x:c r="Y177" t="n">
        <x:v>0</x:v>
      </x:c>
      <x:c r="Z177"/>
      <x:c r="AA177"/>
      <x:c r="AB177">
        <x:f>IF(('Quantification_Results'!Y177&lt;&gt;1),"",IF(('Quantification_Results'!AA177=""),IF(ISNUMBER('Quantification_Results'!Z177),IF(('Quantification_Results'!Z177&lt;'Quantification_Config'!$S$12),"",IF(('Quantification_Results'!Z177&gt;'Quantification_Config'!$T$12),"",'Quantification_Results'!Z177)),""),IF(ISNUMBER('Quantification_Results'!AA177),IF(('Quantification_Results'!AA177&lt;'Quantification_Config'!$S$12),"",IF(('Quantification_Results'!AA177&gt;'Quantification_Config'!$T$12),"",'Quantification_Results'!AA177)),"")))</x:f>
      </x:c>
      <x:c r="AC177">
        <x:f>IF(ISNUMBER('Quantification_Results'!AB177),IFERROR(ROUND(((('Quantification_Results'!AB177-'Quantification_Config'!$S$12)/('Quantification_Config'!$T$12-'Quantification_Config'!$S$12))*100),'Quantification_Config'!$U$2),""),"")</x:f>
      </x:c>
      <x:c r="AD177" t="inlineStr">
        <x:is>
          <x:t xml:space="preserve"/>
        </x:is>
      </x:c>
      <x:c r="AE177" t="inlineStr">
        <x:is>
          <x:t xml:space="preserve"/>
        </x:is>
      </x:c>
      <x:c r="AF177" t="inlineStr">
        <x:is>
          <x:t xml:space="preserve"/>
        </x:is>
      </x:c>
      <x:c r="AG177" t="inlineStr">
        <x:is>
          <x:t xml:space="preserve"/>
        </x:is>
      </x:c>
      <x:c r="AH177" t="inlineStr">
        <x:is>
          <x:t xml:space="preserve">EMPTY</x:t>
        </x:is>
      </x:c>
      <x:c r="AI177">
        <x:f>IF((COUNT('Quantification_Results'!AC177)=1),IFERROR(ROUND((SUM(('Quantification_Results'!AC177*'Quantification_Config'!$R$12))/SUM('Quantification_Config'!$R$12)),'Quantification_Config'!$U$2),""),"")</x:f>
      </x:c>
      <x:c r="AJ177">
        <x:f>IF((COUNT('Quantification_Results'!AI177)=1),IFERROR(ROUND((SUM(('Quantification_Results'!AI177*'Quantification_Config'!$R$11))/SUM('Quantification_Config'!$R$11)),'Quantification_Config'!$U$2),""),"")</x:f>
      </x:c>
      <x:c r="AK177" t="n">
        <x:v>1</x:v>
      </x:c>
      <x:c r="AL177" t="n">
        <x:v>5</x:v>
      </x:c>
      <x:c r="AM177"/>
      <x:c r="AN177" t="n">
        <x:f>IF(('Quantification_Results'!AK177&lt;&gt;1),"",IF(('Quantification_Results'!AM177=""),IF(ISNUMBER('Quantification_Results'!AL177),IF(('Quantification_Results'!AL177&lt;'Quantification_Config'!$S$15),"",IF(('Quantification_Results'!AL177&gt;'Quantification_Config'!$T$15),"",'Quantification_Results'!AL177)),""),IF(ISNUMBER('Quantification_Results'!AM177),IF(('Quantification_Results'!AM177&lt;'Quantification_Config'!$S$15),"",IF(('Quantification_Results'!AM177&gt;'Quantification_Config'!$T$15),"",'Quantification_Results'!AM177)),"")))</x:f>
        <x:v>5</x:v>
      </x:c>
      <x:c r="AO177" t="n">
        <x:f>IF(ISNUMBER('Quantification_Results'!AN177),IFERROR(ROUND(((('Quantification_Results'!AN177-'Quantification_Config'!$S$15)/('Quantification_Config'!$T$15-'Quantification_Config'!$S$15))*100),'Quantification_Config'!$U$2),""),"")</x:f>
        <x:v>50</x:v>
      </x:c>
      <x:c r="AP177" t="inlineStr">
        <x:is>
          <x:t xml:space="preserve">SYSTEM-TEST-ONLY-NO-NETWORK-NOT-AN-EDUCATIONAL-EVALUATION</x:t>
        </x:is>
      </x:c>
      <x:c r="AQ177" t="inlineStr">
        <x:is>
          <x:t xml:space="preserve"/>
        </x:is>
      </x:c>
      <x:c r="AR177" t="inlineStr">
        <x:is>
          <x:t xml:space="preserve">NONE</x:t>
        </x:is>
      </x:c>
      <x:c r="AS177" t="inlineStr">
        <x:is>
          <x:t xml:space="preserve"/>
        </x:is>
      </x:c>
      <x:c r="AT177" t="inlineStr">
        <x:is>
          <x:t xml:space="preserve">SUCCESS</x:t>
        </x:is>
      </x:c>
      <x:c r="AU177" t="n">
        <x:f>IF((COUNT('Quantification_Results'!AO177)=1),IFERROR(ROUND((SUM(('Quantification_Results'!AO177*'Quantification_Config'!$R$15))/SUM('Quantification_Config'!$R$15)),'Quantification_Config'!$U$2),""),"")</x:f>
        <x:v>50</x:v>
      </x:c>
      <x:c r="AV177" t="n">
        <x:f>IF((COUNT('Quantification_Results'!AU177)=1),IFERROR(ROUND((SUM(('Quantification_Results'!AU177*'Quantification_Config'!$R$14))/SUM('Quantification_Config'!$R$14)),'Quantification_Config'!$U$2),""),"")</x:f>
        <x:v>50</x:v>
      </x:c>
      <x:c r="AW177" t="n">
        <x:v>1</x:v>
      </x:c>
      <x:c r="AX177" t="n">
        <x:v>5</x:v>
      </x:c>
      <x:c r="AY177"/>
      <x:c r="AZ177" t="n">
        <x:f>IF(('Quantification_Results'!AW177&lt;&gt;1),"",IF(('Quantification_Results'!AY177=""),IF(ISNUMBER('Quantification_Results'!AX177),IF(('Quantification_Results'!AX177&lt;'Quantification_Config'!$S$19),"",IF(('Quantification_Results'!AX177&gt;'Quantification_Config'!$T$19),"",'Quantification_Results'!AX177)),""),IF(ISNUMBER('Quantification_Results'!AY177),IF(('Quantification_Results'!AY177&lt;'Quantification_Config'!$S$19),"",IF(('Quantification_Results'!AY177&gt;'Quantification_Config'!$T$19),"",'Quantification_Results'!AY177)),"")))</x:f>
        <x:v>5</x:v>
      </x:c>
      <x:c r="BA177" t="n">
        <x:f>IF(ISNUMBER('Quantification_Results'!AZ177),IFERROR(ROUND(((('Quantification_Results'!AZ177-'Quantification_Config'!$S$19)/('Quantification_Config'!$T$19-'Quantification_Config'!$S$19))*100),'Quantification_Config'!$U$2),""),"")</x:f>
        <x:v>50</x:v>
      </x:c>
      <x:c r="BB177" t="inlineStr">
        <x:is>
          <x:t xml:space="preserve">SYSTEM-TEST-ONLY-NO-NETWORK-NOT-AN-EDUCATIONAL-EVALUATION</x:t>
        </x:is>
      </x:c>
      <x:c r="BC177" t="inlineStr">
        <x:is>
          <x:t xml:space="preserve"/>
        </x:is>
      </x:c>
      <x:c r="BD177" t="inlineStr">
        <x:is>
          <x:t xml:space="preserve">NONE</x:t>
        </x:is>
      </x:c>
      <x:c r="BE177" t="inlineStr">
        <x:is>
          <x:t xml:space="preserve"/>
        </x:is>
      </x:c>
      <x:c r="BF177" t="inlineStr">
        <x:is>
          <x:t xml:space="preserve">SUCCESS</x:t>
        </x:is>
      </x:c>
      <x:c r="BG177" t="n">
        <x:f>IF((COUNT('Quantification_Results'!BA177)=1),IFERROR(ROUND((SUM(('Quantification_Results'!BA177*'Quantification_Config'!$R$19))/SUM('Quantification_Config'!$R$19)),'Quantification_Config'!$U$2),""),"")</x:f>
        <x:v>50</x:v>
      </x:c>
      <x:c r="BH177" t="n">
        <x:f>IF((COUNT('Quantification_Results'!BG177)=1),IFERROR(ROUND((SUM(('Quantification_Results'!BG177*'Quantification_Config'!$R$18))/SUM('Quantification_Config'!$R$18)),'Quantification_Config'!$U$2),""),"")</x:f>
        <x:v>50</x:v>
      </x:c>
      <x:c r="BI177">
        <x:f>IF((COUNT('Quantification_Results'!L177,'Quantification_Results'!X177,'Quantification_Results'!AJ177,'Quantification_Results'!AV177,'Quantification_Results'!BH177)=5),IFERROR(ROUND((SUM(('Quantification_Results'!L177*'Quantification_Config'!$R$4),('Quantification_Results'!X177*'Quantification_Config'!$R$7),('Quantification_Results'!AJ177*'Quantification_Config'!$R$10),('Quantification_Results'!AV177*'Quantification_Config'!$R$13),('Quantification_Results'!BH177*'Quantification_Config'!$R$16))/SUM('Quantification_Config'!$R$4,'Quantification_Config'!$R$7,'Quantification_Config'!$R$10,'Quantification_Config'!$R$13,'Quantification_Config'!$R$16)),'Quantification_Config'!$U$2),""),"")</x:f>
      </x:c>
    </x:row>
    <x:row r="178">
      <x:c r="A178" t="n">
        <x:v>1</x:v>
      </x:c>
      <x:c r="B178" t="n">
        <x:v>5</x:v>
      </x:c>
      <x:c r="C178"/>
      <x:c r="D178" t="n">
        <x:f>IF(('Quantification_Results'!A178&lt;&gt;1),"",IF(('Quantification_Results'!C178=""),IF(ISNUMBER('Quantification_Results'!B178),IF(('Quantification_Results'!B178&lt;'Quantification_Config'!$S$6),"",IF(('Quantification_Results'!B178&gt;'Quantification_Config'!$T$6),"",'Quantification_Results'!B178)),""),IF(ISNUMBER('Quantification_Results'!C178),IF(('Quantification_Results'!C178&lt;'Quantification_Config'!$S$6),"",IF(('Quantification_Results'!C178&gt;'Quantification_Config'!$T$6),"",'Quantification_Results'!C178)),"")))</x:f>
        <x:v>5</x:v>
      </x:c>
      <x:c r="E178" t="n">
        <x:f>IF(ISNUMBER('Quantification_Results'!D178),IFERROR(ROUND(((('Quantification_Results'!D178-'Quantification_Config'!$S$6)/('Quantification_Config'!$T$6-'Quantification_Config'!$S$6))*100),'Quantification_Config'!$U$2),""),"")</x:f>
        <x:v>50</x:v>
      </x:c>
      <x:c r="F178" t="inlineStr">
        <x:is>
          <x:t xml:space="preserve">SYSTEM-TEST-ONLY-NO-NETWORK-NOT-AN-EDUCATIONAL-EVALUATION</x:t>
        </x:is>
      </x:c>
      <x:c r="G178" t="inlineStr">
        <x:is>
          <x:t xml:space="preserve"/>
        </x:is>
      </x:c>
      <x:c r="H178" t="inlineStr">
        <x:is>
          <x:t xml:space="preserve">NONE</x:t>
        </x:is>
      </x:c>
      <x:c r="I178" t="inlineStr">
        <x:is>
          <x:t xml:space="preserve"/>
        </x:is>
      </x:c>
      <x:c r="J178" t="inlineStr">
        <x:is>
          <x:t xml:space="preserve">SUCCESS</x:t>
        </x:is>
      </x:c>
      <x:c r="K178" t="n">
        <x:f>IF((COUNT('Quantification_Results'!E178)=1),IFERROR(ROUND((SUM(('Quantification_Results'!E178*'Quantification_Config'!$R$6))/SUM('Quantification_Config'!$R$6)),'Quantification_Config'!$U$2),""),"")</x:f>
        <x:v>50</x:v>
      </x:c>
      <x:c r="L178" t="n">
        <x:f>IF((COUNT('Quantification_Results'!K178)=1),IFERROR(ROUND((SUM(('Quantification_Results'!K178*'Quantification_Config'!$R$5))/SUM('Quantification_Config'!$R$5)),'Quantification_Config'!$U$2),""),"")</x:f>
        <x:v>50</x:v>
      </x:c>
      <x:c r="M178" t="n">
        <x:v>0</x:v>
      </x:c>
      <x:c r="N178"/>
      <x:c r="O178"/>
      <x:c r="P178">
        <x:f>IF(('Quantification_Results'!M178&lt;&gt;1),"",IF(('Quantification_Results'!O178=""),IF(ISNUMBER('Quantification_Results'!N178),IF(('Quantification_Results'!N178&lt;'Quantification_Config'!$S$9),"",IF(('Quantification_Results'!N178&gt;'Quantification_Config'!$T$9),"",'Quantification_Results'!N178)),""),IF(ISNUMBER('Quantification_Results'!O178),IF(('Quantification_Results'!O178&lt;'Quantification_Config'!$S$9),"",IF(('Quantification_Results'!O178&gt;'Quantification_Config'!$T$9),"",'Quantification_Results'!O178)),"")))</x:f>
      </x:c>
      <x:c r="Q178">
        <x:f>IF(ISNUMBER('Quantification_Results'!P178),IFERROR(ROUND(((('Quantification_Results'!P178-'Quantification_Config'!$S$9)/('Quantification_Config'!$T$9-'Quantification_Config'!$S$9))*100),'Quantification_Config'!$U$2),""),"")</x:f>
      </x:c>
      <x:c r="R178" t="inlineStr">
        <x:is>
          <x:t xml:space="preserve"/>
        </x:is>
      </x:c>
      <x:c r="S178" t="inlineStr">
        <x:is>
          <x:t xml:space="preserve"/>
        </x:is>
      </x:c>
      <x:c r="T178" t="inlineStr">
        <x:is>
          <x:t xml:space="preserve"/>
        </x:is>
      </x:c>
      <x:c r="U178" t="inlineStr">
        <x:is>
          <x:t xml:space="preserve"/>
        </x:is>
      </x:c>
      <x:c r="V178" t="inlineStr">
        <x:is>
          <x:t xml:space="preserve">EMPTY</x:t>
        </x:is>
      </x:c>
      <x:c r="W178">
        <x:f>IF((COUNT('Quantification_Results'!Q178)=1),IFERROR(ROUND((SUM(('Quantification_Results'!Q178*'Quantification_Config'!$R$9))/SUM('Quantification_Config'!$R$9)),'Quantification_Config'!$U$2),""),"")</x:f>
      </x:c>
      <x:c r="X178">
        <x:f>IF((COUNT('Quantification_Results'!W178)=1),IFERROR(ROUND((SUM(('Quantification_Results'!W178*'Quantification_Config'!$R$8))/SUM('Quantification_Config'!$R$8)),'Quantification_Config'!$U$2),""),"")</x:f>
      </x:c>
      <x:c r="Y178" t="n">
        <x:v>0</x:v>
      </x:c>
      <x:c r="Z178"/>
      <x:c r="AA178"/>
      <x:c r="AB178">
        <x:f>IF(('Quantification_Results'!Y178&lt;&gt;1),"",IF(('Quantification_Results'!AA178=""),IF(ISNUMBER('Quantification_Results'!Z178),IF(('Quantification_Results'!Z178&lt;'Quantification_Config'!$S$12),"",IF(('Quantification_Results'!Z178&gt;'Quantification_Config'!$T$12),"",'Quantification_Results'!Z178)),""),IF(ISNUMBER('Quantification_Results'!AA178),IF(('Quantification_Results'!AA178&lt;'Quantification_Config'!$S$12),"",IF(('Quantification_Results'!AA178&gt;'Quantification_Config'!$T$12),"",'Quantification_Results'!AA178)),"")))</x:f>
      </x:c>
      <x:c r="AC178">
        <x:f>IF(ISNUMBER('Quantification_Results'!AB178),IFERROR(ROUND(((('Quantification_Results'!AB178-'Quantification_Config'!$S$12)/('Quantification_Config'!$T$12-'Quantification_Config'!$S$12))*100),'Quantification_Config'!$U$2),""),"")</x:f>
      </x:c>
      <x:c r="AD178" t="inlineStr">
        <x:is>
          <x:t xml:space="preserve"/>
        </x:is>
      </x:c>
      <x:c r="AE178" t="inlineStr">
        <x:is>
          <x:t xml:space="preserve"/>
        </x:is>
      </x:c>
      <x:c r="AF178" t="inlineStr">
        <x:is>
          <x:t xml:space="preserve"/>
        </x:is>
      </x:c>
      <x:c r="AG178" t="inlineStr">
        <x:is>
          <x:t xml:space="preserve"/>
        </x:is>
      </x:c>
      <x:c r="AH178" t="inlineStr">
        <x:is>
          <x:t xml:space="preserve">EMPTY</x:t>
        </x:is>
      </x:c>
      <x:c r="AI178">
        <x:f>IF((COUNT('Quantification_Results'!AC178)=1),IFERROR(ROUND((SUM(('Quantification_Results'!AC178*'Quantification_Config'!$R$12))/SUM('Quantification_Config'!$R$12)),'Quantification_Config'!$U$2),""),"")</x:f>
      </x:c>
      <x:c r="AJ178">
        <x:f>IF((COUNT('Quantification_Results'!AI178)=1),IFERROR(ROUND((SUM(('Quantification_Results'!AI178*'Quantification_Config'!$R$11))/SUM('Quantification_Config'!$R$11)),'Quantification_Config'!$U$2),""),"")</x:f>
      </x:c>
      <x:c r="AK178" t="n">
        <x:v>1</x:v>
      </x:c>
      <x:c r="AL178" t="n">
        <x:v>5</x:v>
      </x:c>
      <x:c r="AM178"/>
      <x:c r="AN178" t="n">
        <x:f>IF(('Quantification_Results'!AK178&lt;&gt;1),"",IF(('Quantification_Results'!AM178=""),IF(ISNUMBER('Quantification_Results'!AL178),IF(('Quantification_Results'!AL178&lt;'Quantification_Config'!$S$15),"",IF(('Quantification_Results'!AL178&gt;'Quantification_Config'!$T$15),"",'Quantification_Results'!AL178)),""),IF(ISNUMBER('Quantification_Results'!AM178),IF(('Quantification_Results'!AM178&lt;'Quantification_Config'!$S$15),"",IF(('Quantification_Results'!AM178&gt;'Quantification_Config'!$T$15),"",'Quantification_Results'!AM178)),"")))</x:f>
        <x:v>5</x:v>
      </x:c>
      <x:c r="AO178" t="n">
        <x:f>IF(ISNUMBER('Quantification_Results'!AN178),IFERROR(ROUND(((('Quantification_Results'!AN178-'Quantification_Config'!$S$15)/('Quantification_Config'!$T$15-'Quantification_Config'!$S$15))*100),'Quantification_Config'!$U$2),""),"")</x:f>
        <x:v>50</x:v>
      </x:c>
      <x:c r="AP178" t="inlineStr">
        <x:is>
          <x:t xml:space="preserve">SYSTEM-TEST-ONLY-NO-NETWORK-NOT-AN-EDUCATIONAL-EVALUATION</x:t>
        </x:is>
      </x:c>
      <x:c r="AQ178" t="inlineStr">
        <x:is>
          <x:t xml:space="preserve"/>
        </x:is>
      </x:c>
      <x:c r="AR178" t="inlineStr">
        <x:is>
          <x:t xml:space="preserve">NONE</x:t>
        </x:is>
      </x:c>
      <x:c r="AS178" t="inlineStr">
        <x:is>
          <x:t xml:space="preserve"/>
        </x:is>
      </x:c>
      <x:c r="AT178" t="inlineStr">
        <x:is>
          <x:t xml:space="preserve">SUCCESS</x:t>
        </x:is>
      </x:c>
      <x:c r="AU178" t="n">
        <x:f>IF((COUNT('Quantification_Results'!AO178)=1),IFERROR(ROUND((SUM(('Quantification_Results'!AO178*'Quantification_Config'!$R$15))/SUM('Quantification_Config'!$R$15)),'Quantification_Config'!$U$2),""),"")</x:f>
        <x:v>50</x:v>
      </x:c>
      <x:c r="AV178" t="n">
        <x:f>IF((COUNT('Quantification_Results'!AU178)=1),IFERROR(ROUND((SUM(('Quantification_Results'!AU178*'Quantification_Config'!$R$14))/SUM('Quantification_Config'!$R$14)),'Quantification_Config'!$U$2),""),"")</x:f>
        <x:v>50</x:v>
      </x:c>
      <x:c r="AW178" t="n">
        <x:v>0</x:v>
      </x:c>
      <x:c r="AX178"/>
      <x:c r="AY178"/>
      <x:c r="AZ178">
        <x:f>IF(('Quantification_Results'!AW178&lt;&gt;1),"",IF(('Quantification_Results'!AY178=""),IF(ISNUMBER('Quantification_Results'!AX178),IF(('Quantification_Results'!AX178&lt;'Quantification_Config'!$S$19),"",IF(('Quantification_Results'!AX178&gt;'Quantification_Config'!$T$19),"",'Quantification_Results'!AX178)),""),IF(ISNUMBER('Quantification_Results'!AY178),IF(('Quantification_Results'!AY178&lt;'Quantification_Config'!$S$19),"",IF(('Quantification_Results'!AY178&gt;'Quantification_Config'!$T$19),"",'Quantification_Results'!AY178)),"")))</x:f>
      </x:c>
      <x:c r="BA178">
        <x:f>IF(ISNUMBER('Quantification_Results'!AZ178),IFERROR(ROUND(((('Quantification_Results'!AZ178-'Quantification_Config'!$S$19)/('Quantification_Config'!$T$19-'Quantification_Config'!$S$19))*100),'Quantification_Config'!$U$2),""),"")</x:f>
      </x:c>
      <x:c r="BB178" t="inlineStr">
        <x:is>
          <x:t xml:space="preserve"/>
        </x:is>
      </x:c>
      <x:c r="BC178" t="inlineStr">
        <x:is>
          <x:t xml:space="preserve"/>
        </x:is>
      </x:c>
      <x:c r="BD178" t="inlineStr">
        <x:is>
          <x:t xml:space="preserve"/>
        </x:is>
      </x:c>
      <x:c r="BE178" t="inlineStr">
        <x:is>
          <x:t xml:space="preserve"/>
        </x:is>
      </x:c>
      <x:c r="BF178" t="inlineStr">
        <x:is>
          <x:t xml:space="preserve">EMPTY</x:t>
        </x:is>
      </x:c>
      <x:c r="BG178">
        <x:f>IF((COUNT('Quantification_Results'!BA178)=1),IFERROR(ROUND((SUM(('Quantification_Results'!BA178*'Quantification_Config'!$R$19))/SUM('Quantification_Config'!$R$19)),'Quantification_Config'!$U$2),""),"")</x:f>
      </x:c>
      <x:c r="BH178">
        <x:f>IF((COUNT('Quantification_Results'!BG178)=1),IFERROR(ROUND((SUM(('Quantification_Results'!BG178*'Quantification_Config'!$R$18))/SUM('Quantification_Config'!$R$18)),'Quantification_Config'!$U$2),""),"")</x:f>
      </x:c>
      <x:c r="BI178">
        <x:f>IF((COUNT('Quantification_Results'!L178,'Quantification_Results'!X178,'Quantification_Results'!AJ178,'Quantification_Results'!AV178,'Quantification_Results'!BH178)=5),IFERROR(ROUND((SUM(('Quantification_Results'!L178*'Quantification_Config'!$R$4),('Quantification_Results'!X178*'Quantification_Config'!$R$7),('Quantification_Results'!AJ178*'Quantification_Config'!$R$10),('Quantification_Results'!AV178*'Quantification_Config'!$R$13),('Quantification_Results'!BH178*'Quantification_Config'!$R$16))/SUM('Quantification_Config'!$R$4,'Quantification_Config'!$R$7,'Quantification_Config'!$R$10,'Quantification_Config'!$R$13,'Quantification_Config'!$R$16)),'Quantification_Config'!$U$2),""),"")</x:f>
      </x:c>
    </x:row>
    <x:row r="179">
      <x:c r="A179" t="n">
        <x:v>1</x:v>
      </x:c>
      <x:c r="B179" t="n">
        <x:v>5</x:v>
      </x:c>
      <x:c r="C179"/>
      <x:c r="D179" t="n">
        <x:f>IF(('Quantification_Results'!A179&lt;&gt;1),"",IF(('Quantification_Results'!C179=""),IF(ISNUMBER('Quantification_Results'!B179),IF(('Quantification_Results'!B179&lt;'Quantification_Config'!$S$6),"",IF(('Quantification_Results'!B179&gt;'Quantification_Config'!$T$6),"",'Quantification_Results'!B179)),""),IF(ISNUMBER('Quantification_Results'!C179),IF(('Quantification_Results'!C179&lt;'Quantification_Config'!$S$6),"",IF(('Quantification_Results'!C179&gt;'Quantification_Config'!$T$6),"",'Quantification_Results'!C179)),"")))</x:f>
        <x:v>5</x:v>
      </x:c>
      <x:c r="E179" t="n">
        <x:f>IF(ISNUMBER('Quantification_Results'!D179),IFERROR(ROUND(((('Quantification_Results'!D179-'Quantification_Config'!$S$6)/('Quantification_Config'!$T$6-'Quantification_Config'!$S$6))*100),'Quantification_Config'!$U$2),""),"")</x:f>
        <x:v>50</x:v>
      </x:c>
      <x:c r="F179" t="inlineStr">
        <x:is>
          <x:t xml:space="preserve">SYSTEM-TEST-ONLY-NO-NETWORK-NOT-AN-EDUCATIONAL-EVALUATION</x:t>
        </x:is>
      </x:c>
      <x:c r="G179" t="inlineStr">
        <x:is>
          <x:t xml:space="preserve"/>
        </x:is>
      </x:c>
      <x:c r="H179" t="inlineStr">
        <x:is>
          <x:t xml:space="preserve">NONE</x:t>
        </x:is>
      </x:c>
      <x:c r="I179" t="inlineStr">
        <x:is>
          <x:t xml:space="preserve"/>
        </x:is>
      </x:c>
      <x:c r="J179" t="inlineStr">
        <x:is>
          <x:t xml:space="preserve">SUCCESS</x:t>
        </x:is>
      </x:c>
      <x:c r="K179" t="n">
        <x:f>IF((COUNT('Quantification_Results'!E179)=1),IFERROR(ROUND((SUM(('Quantification_Results'!E179*'Quantification_Config'!$R$6))/SUM('Quantification_Config'!$R$6)),'Quantification_Config'!$U$2),""),"")</x:f>
        <x:v>50</x:v>
      </x:c>
      <x:c r="L179" t="n">
        <x:f>IF((COUNT('Quantification_Results'!K179)=1),IFERROR(ROUND((SUM(('Quantification_Results'!K179*'Quantification_Config'!$R$5))/SUM('Quantification_Config'!$R$5)),'Quantification_Config'!$U$2),""),"")</x:f>
        <x:v>50</x:v>
      </x:c>
      <x:c r="M179" t="n">
        <x:v>1</x:v>
      </x:c>
      <x:c r="N179" t="n">
        <x:v>5</x:v>
      </x:c>
      <x:c r="O179"/>
      <x:c r="P179" t="n">
        <x:f>IF(('Quantification_Results'!M179&lt;&gt;1),"",IF(('Quantification_Results'!O179=""),IF(ISNUMBER('Quantification_Results'!N179),IF(('Quantification_Results'!N179&lt;'Quantification_Config'!$S$9),"",IF(('Quantification_Results'!N179&gt;'Quantification_Config'!$T$9),"",'Quantification_Results'!N179)),""),IF(ISNUMBER('Quantification_Results'!O179),IF(('Quantification_Results'!O179&lt;'Quantification_Config'!$S$9),"",IF(('Quantification_Results'!O179&gt;'Quantification_Config'!$T$9),"",'Quantification_Results'!O179)),"")))</x:f>
        <x:v>5</x:v>
      </x:c>
      <x:c r="Q179" t="n">
        <x:f>IF(ISNUMBER('Quantification_Results'!P179),IFERROR(ROUND(((('Quantification_Results'!P179-'Quantification_Config'!$S$9)/('Quantification_Config'!$T$9-'Quantification_Config'!$S$9))*100),'Quantification_Config'!$U$2),""),"")</x:f>
        <x:v>50</x:v>
      </x:c>
      <x:c r="R179" t="inlineStr">
        <x:is>
          <x:t xml:space="preserve">SYSTEM-TEST-ONLY-NO-NETWORK-NOT-AN-EDUCATIONAL-EVALUATION</x:t>
        </x:is>
      </x:c>
      <x:c r="S179" t="inlineStr">
        <x:is>
          <x:t xml:space="preserve"/>
        </x:is>
      </x:c>
      <x:c r="T179" t="inlineStr">
        <x:is>
          <x:t xml:space="preserve">NONE</x:t>
        </x:is>
      </x:c>
      <x:c r="U179" t="inlineStr">
        <x:is>
          <x:t xml:space="preserve"/>
        </x:is>
      </x:c>
      <x:c r="V179" t="inlineStr">
        <x:is>
          <x:t xml:space="preserve">SUCCESS</x:t>
        </x:is>
      </x:c>
      <x:c r="W179" t="n">
        <x:f>IF((COUNT('Quantification_Results'!Q179)=1),IFERROR(ROUND((SUM(('Quantification_Results'!Q179*'Quantification_Config'!$R$9))/SUM('Quantification_Config'!$R$9)),'Quantification_Config'!$U$2),""),"")</x:f>
        <x:v>50</x:v>
      </x:c>
      <x:c r="X179" t="n">
        <x:f>IF((COUNT('Quantification_Results'!W179)=1),IFERROR(ROUND((SUM(('Quantification_Results'!W179*'Quantification_Config'!$R$8))/SUM('Quantification_Config'!$R$8)),'Quantification_Config'!$U$2),""),"")</x:f>
        <x:v>50</x:v>
      </x:c>
      <x:c r="Y179" t="n">
        <x:v>0</x:v>
      </x:c>
      <x:c r="Z179"/>
      <x:c r="AA179"/>
      <x:c r="AB179">
        <x:f>IF(('Quantification_Results'!Y179&lt;&gt;1),"",IF(('Quantification_Results'!AA179=""),IF(ISNUMBER('Quantification_Results'!Z179),IF(('Quantification_Results'!Z179&lt;'Quantification_Config'!$S$12),"",IF(('Quantification_Results'!Z179&gt;'Quantification_Config'!$T$12),"",'Quantification_Results'!Z179)),""),IF(ISNUMBER('Quantification_Results'!AA179),IF(('Quantification_Results'!AA179&lt;'Quantification_Config'!$S$12),"",IF(('Quantification_Results'!AA179&gt;'Quantification_Config'!$T$12),"",'Quantification_Results'!AA179)),"")))</x:f>
      </x:c>
      <x:c r="AC179">
        <x:f>IF(ISNUMBER('Quantification_Results'!AB179),IFERROR(ROUND(((('Quantification_Results'!AB179-'Quantification_Config'!$S$12)/('Quantification_Config'!$T$12-'Quantification_Config'!$S$12))*100),'Quantification_Config'!$U$2),""),"")</x:f>
      </x:c>
      <x:c r="AD179" t="inlineStr">
        <x:is>
          <x:t xml:space="preserve"/>
        </x:is>
      </x:c>
      <x:c r="AE179" t="inlineStr">
        <x:is>
          <x:t xml:space="preserve"/>
        </x:is>
      </x:c>
      <x:c r="AF179" t="inlineStr">
        <x:is>
          <x:t xml:space="preserve"/>
        </x:is>
      </x:c>
      <x:c r="AG179" t="inlineStr">
        <x:is>
          <x:t xml:space="preserve"/>
        </x:is>
      </x:c>
      <x:c r="AH179" t="inlineStr">
        <x:is>
          <x:t xml:space="preserve">EMPTY</x:t>
        </x:is>
      </x:c>
      <x:c r="AI179">
        <x:f>IF((COUNT('Quantification_Results'!AC179)=1),IFERROR(ROUND((SUM(('Quantification_Results'!AC179*'Quantification_Config'!$R$12))/SUM('Quantification_Config'!$R$12)),'Quantification_Config'!$U$2),""),"")</x:f>
      </x:c>
      <x:c r="AJ179">
        <x:f>IF((COUNT('Quantification_Results'!AI179)=1),IFERROR(ROUND((SUM(('Quantification_Results'!AI179*'Quantification_Config'!$R$11))/SUM('Quantification_Config'!$R$11)),'Quantification_Config'!$U$2),""),"")</x:f>
      </x:c>
      <x:c r="AK179" t="n">
        <x:v>1</x:v>
      </x:c>
      <x:c r="AL179" t="n">
        <x:v>5</x:v>
      </x:c>
      <x:c r="AM179"/>
      <x:c r="AN179" t="n">
        <x:f>IF(('Quantification_Results'!AK179&lt;&gt;1),"",IF(('Quantification_Results'!AM179=""),IF(ISNUMBER('Quantification_Results'!AL179),IF(('Quantification_Results'!AL179&lt;'Quantification_Config'!$S$15),"",IF(('Quantification_Results'!AL179&gt;'Quantification_Config'!$T$15),"",'Quantification_Results'!AL179)),""),IF(ISNUMBER('Quantification_Results'!AM179),IF(('Quantification_Results'!AM179&lt;'Quantification_Config'!$S$15),"",IF(('Quantification_Results'!AM179&gt;'Quantification_Config'!$T$15),"",'Quantification_Results'!AM179)),"")))</x:f>
        <x:v>5</x:v>
      </x:c>
      <x:c r="AO179" t="n">
        <x:f>IF(ISNUMBER('Quantification_Results'!AN179),IFERROR(ROUND(((('Quantification_Results'!AN179-'Quantification_Config'!$S$15)/('Quantification_Config'!$T$15-'Quantification_Config'!$S$15))*100),'Quantification_Config'!$U$2),""),"")</x:f>
        <x:v>50</x:v>
      </x:c>
      <x:c r="AP179" t="inlineStr">
        <x:is>
          <x:t xml:space="preserve">SYSTEM-TEST-ONLY-NO-NETWORK-NOT-AN-EDUCATIONAL-EVALUATION</x:t>
        </x:is>
      </x:c>
      <x:c r="AQ179" t="inlineStr">
        <x:is>
          <x:t xml:space="preserve"/>
        </x:is>
      </x:c>
      <x:c r="AR179" t="inlineStr">
        <x:is>
          <x:t xml:space="preserve">NONE</x:t>
        </x:is>
      </x:c>
      <x:c r="AS179" t="inlineStr">
        <x:is>
          <x:t xml:space="preserve"/>
        </x:is>
      </x:c>
      <x:c r="AT179" t="inlineStr">
        <x:is>
          <x:t xml:space="preserve">SUCCESS</x:t>
        </x:is>
      </x:c>
      <x:c r="AU179" t="n">
        <x:f>IF((COUNT('Quantification_Results'!AO179)=1),IFERROR(ROUND((SUM(('Quantification_Results'!AO179*'Quantification_Config'!$R$15))/SUM('Quantification_Config'!$R$15)),'Quantification_Config'!$U$2),""),"")</x:f>
        <x:v>50</x:v>
      </x:c>
      <x:c r="AV179" t="n">
        <x:f>IF((COUNT('Quantification_Results'!AU179)=1),IFERROR(ROUND((SUM(('Quantification_Results'!AU179*'Quantification_Config'!$R$14))/SUM('Quantification_Config'!$R$14)),'Quantification_Config'!$U$2),""),"")</x:f>
        <x:v>50</x:v>
      </x:c>
      <x:c r="AW179" t="n">
        <x:v>0</x:v>
      </x:c>
      <x:c r="AX179"/>
      <x:c r="AY179"/>
      <x:c r="AZ179">
        <x:f>IF(('Quantification_Results'!AW179&lt;&gt;1),"",IF(('Quantification_Results'!AY179=""),IF(ISNUMBER('Quantification_Results'!AX179),IF(('Quantification_Results'!AX179&lt;'Quantification_Config'!$S$19),"",IF(('Quantification_Results'!AX179&gt;'Quantification_Config'!$T$19),"",'Quantification_Results'!AX179)),""),IF(ISNUMBER('Quantification_Results'!AY179),IF(('Quantification_Results'!AY179&lt;'Quantification_Config'!$S$19),"",IF(('Quantification_Results'!AY179&gt;'Quantification_Config'!$T$19),"",'Quantification_Results'!AY179)),"")))</x:f>
      </x:c>
      <x:c r="BA179">
        <x:f>IF(ISNUMBER('Quantification_Results'!AZ179),IFERROR(ROUND(((('Quantification_Results'!AZ179-'Quantification_Config'!$S$19)/('Quantification_Config'!$T$19-'Quantification_Config'!$S$19))*100),'Quantification_Config'!$U$2),""),"")</x:f>
      </x:c>
      <x:c r="BB179" t="inlineStr">
        <x:is>
          <x:t xml:space="preserve"/>
        </x:is>
      </x:c>
      <x:c r="BC179" t="inlineStr">
        <x:is>
          <x:t xml:space="preserve"/>
        </x:is>
      </x:c>
      <x:c r="BD179" t="inlineStr">
        <x:is>
          <x:t xml:space="preserve"/>
        </x:is>
      </x:c>
      <x:c r="BE179" t="inlineStr">
        <x:is>
          <x:t xml:space="preserve"/>
        </x:is>
      </x:c>
      <x:c r="BF179" t="inlineStr">
        <x:is>
          <x:t xml:space="preserve">EMPTY</x:t>
        </x:is>
      </x:c>
      <x:c r="BG179">
        <x:f>IF((COUNT('Quantification_Results'!BA179)=1),IFERROR(ROUND((SUM(('Quantification_Results'!BA179*'Quantification_Config'!$R$19))/SUM('Quantification_Config'!$R$19)),'Quantification_Config'!$U$2),""),"")</x:f>
      </x:c>
      <x:c r="BH179">
        <x:f>IF((COUNT('Quantification_Results'!BG179)=1),IFERROR(ROUND((SUM(('Quantification_Results'!BG179*'Quantification_Config'!$R$18))/SUM('Quantification_Config'!$R$18)),'Quantification_Config'!$U$2),""),"")</x:f>
      </x:c>
      <x:c r="BI179">
        <x:f>IF((COUNT('Quantification_Results'!L179,'Quantification_Results'!X179,'Quantification_Results'!AJ179,'Quantification_Results'!AV179,'Quantification_Results'!BH179)=5),IFERROR(ROUND((SUM(('Quantification_Results'!L179*'Quantification_Config'!$R$4),('Quantification_Results'!X179*'Quantification_Config'!$R$7),('Quantification_Results'!AJ179*'Quantification_Config'!$R$10),('Quantification_Results'!AV179*'Quantification_Config'!$R$13),('Quantification_Results'!BH179*'Quantification_Config'!$R$16))/SUM('Quantification_Config'!$R$4,'Quantification_Config'!$R$7,'Quantification_Config'!$R$10,'Quantification_Config'!$R$13,'Quantification_Config'!$R$16)),'Quantification_Config'!$U$2),""),"")</x:f>
      </x:c>
    </x:row>
    <x:row r="180">
      <x:c r="A180" t="n">
        <x:v>1</x:v>
      </x:c>
      <x:c r="B180" t="n">
        <x:v>5</x:v>
      </x:c>
      <x:c r="C180"/>
      <x:c r="D180" t="n">
        <x:f>IF(('Quantification_Results'!A180&lt;&gt;1),"",IF(('Quantification_Results'!C180=""),IF(ISNUMBER('Quantification_Results'!B180),IF(('Quantification_Results'!B180&lt;'Quantification_Config'!$S$6),"",IF(('Quantification_Results'!B180&gt;'Quantification_Config'!$T$6),"",'Quantification_Results'!B180)),""),IF(ISNUMBER('Quantification_Results'!C180),IF(('Quantification_Results'!C180&lt;'Quantification_Config'!$S$6),"",IF(('Quantification_Results'!C180&gt;'Quantification_Config'!$T$6),"",'Quantification_Results'!C180)),"")))</x:f>
        <x:v>5</x:v>
      </x:c>
      <x:c r="E180" t="n">
        <x:f>IF(ISNUMBER('Quantification_Results'!D180),IFERROR(ROUND(((('Quantification_Results'!D180-'Quantification_Config'!$S$6)/('Quantification_Config'!$T$6-'Quantification_Config'!$S$6))*100),'Quantification_Config'!$U$2),""),"")</x:f>
        <x:v>50</x:v>
      </x:c>
      <x:c r="F180" t="inlineStr">
        <x:is>
          <x:t xml:space="preserve">SYSTEM-TEST-ONLY-NO-NETWORK-NOT-AN-EDUCATIONAL-EVALUATION</x:t>
        </x:is>
      </x:c>
      <x:c r="G180" t="inlineStr">
        <x:is>
          <x:t xml:space="preserve"/>
        </x:is>
      </x:c>
      <x:c r="H180" t="inlineStr">
        <x:is>
          <x:t xml:space="preserve">NONE</x:t>
        </x:is>
      </x:c>
      <x:c r="I180" t="inlineStr">
        <x:is>
          <x:t xml:space="preserve"/>
        </x:is>
      </x:c>
      <x:c r="J180" t="inlineStr">
        <x:is>
          <x:t xml:space="preserve">SUCCESS</x:t>
        </x:is>
      </x:c>
      <x:c r="K180" t="n">
        <x:f>IF((COUNT('Quantification_Results'!E180)=1),IFERROR(ROUND((SUM(('Quantification_Results'!E180*'Quantification_Config'!$R$6))/SUM('Quantification_Config'!$R$6)),'Quantification_Config'!$U$2),""),"")</x:f>
        <x:v>50</x:v>
      </x:c>
      <x:c r="L180" t="n">
        <x:f>IF((COUNT('Quantification_Results'!K180)=1),IFERROR(ROUND((SUM(('Quantification_Results'!K180*'Quantification_Config'!$R$5))/SUM('Quantification_Config'!$R$5)),'Quantification_Config'!$U$2),""),"")</x:f>
        <x:v>50</x:v>
      </x:c>
      <x:c r="M180" t="n">
        <x:v>1</x:v>
      </x:c>
      <x:c r="N180" t="n">
        <x:v>5</x:v>
      </x:c>
      <x:c r="O180"/>
      <x:c r="P180" t="n">
        <x:f>IF(('Quantification_Results'!M180&lt;&gt;1),"",IF(('Quantification_Results'!O180=""),IF(ISNUMBER('Quantification_Results'!N180),IF(('Quantification_Results'!N180&lt;'Quantification_Config'!$S$9),"",IF(('Quantification_Results'!N180&gt;'Quantification_Config'!$T$9),"",'Quantification_Results'!N180)),""),IF(ISNUMBER('Quantification_Results'!O180),IF(('Quantification_Results'!O180&lt;'Quantification_Config'!$S$9),"",IF(('Quantification_Results'!O180&gt;'Quantification_Config'!$T$9),"",'Quantification_Results'!O180)),"")))</x:f>
        <x:v>5</x:v>
      </x:c>
      <x:c r="Q180" t="n">
        <x:f>IF(ISNUMBER('Quantification_Results'!P180),IFERROR(ROUND(((('Quantification_Results'!P180-'Quantification_Config'!$S$9)/('Quantification_Config'!$T$9-'Quantification_Config'!$S$9))*100),'Quantification_Config'!$U$2),""),"")</x:f>
        <x:v>50</x:v>
      </x:c>
      <x:c r="R180" t="inlineStr">
        <x:is>
          <x:t xml:space="preserve">SYSTEM-TEST-ONLY-NO-NETWORK-NOT-AN-EDUCATIONAL-EVALUATION</x:t>
        </x:is>
      </x:c>
      <x:c r="S180" t="inlineStr">
        <x:is>
          <x:t xml:space="preserve"/>
        </x:is>
      </x:c>
      <x:c r="T180" t="inlineStr">
        <x:is>
          <x:t xml:space="preserve">NONE</x:t>
        </x:is>
      </x:c>
      <x:c r="U180" t="inlineStr">
        <x:is>
          <x:t xml:space="preserve"/>
        </x:is>
      </x:c>
      <x:c r="V180" t="inlineStr">
        <x:is>
          <x:t xml:space="preserve">SUCCESS</x:t>
        </x:is>
      </x:c>
      <x:c r="W180" t="n">
        <x:f>IF((COUNT('Quantification_Results'!Q180)=1),IFERROR(ROUND((SUM(('Quantification_Results'!Q180*'Quantification_Config'!$R$9))/SUM('Quantification_Config'!$R$9)),'Quantification_Config'!$U$2),""),"")</x:f>
        <x:v>50</x:v>
      </x:c>
      <x:c r="X180" t="n">
        <x:f>IF((COUNT('Quantification_Results'!W180)=1),IFERROR(ROUND((SUM(('Quantification_Results'!W180*'Quantification_Config'!$R$8))/SUM('Quantification_Config'!$R$8)),'Quantification_Config'!$U$2),""),"")</x:f>
        <x:v>50</x:v>
      </x:c>
      <x:c r="Y180" t="n">
        <x:v>0</x:v>
      </x:c>
      <x:c r="Z180"/>
      <x:c r="AA180"/>
      <x:c r="AB180">
        <x:f>IF(('Quantification_Results'!Y180&lt;&gt;1),"",IF(('Quantification_Results'!AA180=""),IF(ISNUMBER('Quantification_Results'!Z180),IF(('Quantification_Results'!Z180&lt;'Quantification_Config'!$S$12),"",IF(('Quantification_Results'!Z180&gt;'Quantification_Config'!$T$12),"",'Quantification_Results'!Z180)),""),IF(ISNUMBER('Quantification_Results'!AA180),IF(('Quantification_Results'!AA180&lt;'Quantification_Config'!$S$12),"",IF(('Quantification_Results'!AA180&gt;'Quantification_Config'!$T$12),"",'Quantification_Results'!AA180)),"")))</x:f>
      </x:c>
      <x:c r="AC180">
        <x:f>IF(ISNUMBER('Quantification_Results'!AB180),IFERROR(ROUND(((('Quantification_Results'!AB180-'Quantification_Config'!$S$12)/('Quantification_Config'!$T$12-'Quantification_Config'!$S$12))*100),'Quantification_Config'!$U$2),""),"")</x:f>
      </x:c>
      <x:c r="AD180" t="inlineStr">
        <x:is>
          <x:t xml:space="preserve"/>
        </x:is>
      </x:c>
      <x:c r="AE180" t="inlineStr">
        <x:is>
          <x:t xml:space="preserve"/>
        </x:is>
      </x:c>
      <x:c r="AF180" t="inlineStr">
        <x:is>
          <x:t xml:space="preserve"/>
        </x:is>
      </x:c>
      <x:c r="AG180" t="inlineStr">
        <x:is>
          <x:t xml:space="preserve"/>
        </x:is>
      </x:c>
      <x:c r="AH180" t="inlineStr">
        <x:is>
          <x:t xml:space="preserve">EMPTY</x:t>
        </x:is>
      </x:c>
      <x:c r="AI180">
        <x:f>IF((COUNT('Quantification_Results'!AC180)=1),IFERROR(ROUND((SUM(('Quantification_Results'!AC180*'Quantification_Config'!$R$12))/SUM('Quantification_Config'!$R$12)),'Quantification_Config'!$U$2),""),"")</x:f>
      </x:c>
      <x:c r="AJ180">
        <x:f>IF((COUNT('Quantification_Results'!AI180)=1),IFERROR(ROUND((SUM(('Quantification_Results'!AI180*'Quantification_Config'!$R$11))/SUM('Quantification_Config'!$R$11)),'Quantification_Config'!$U$2),""),"")</x:f>
      </x:c>
      <x:c r="AK180" t="n">
        <x:v>1</x:v>
      </x:c>
      <x:c r="AL180" t="n">
        <x:v>5</x:v>
      </x:c>
      <x:c r="AM180"/>
      <x:c r="AN180" t="n">
        <x:f>IF(('Quantification_Results'!AK180&lt;&gt;1),"",IF(('Quantification_Results'!AM180=""),IF(ISNUMBER('Quantification_Results'!AL180),IF(('Quantification_Results'!AL180&lt;'Quantification_Config'!$S$15),"",IF(('Quantification_Results'!AL180&gt;'Quantification_Config'!$T$15),"",'Quantification_Results'!AL180)),""),IF(ISNUMBER('Quantification_Results'!AM180),IF(('Quantification_Results'!AM180&lt;'Quantification_Config'!$S$15),"",IF(('Quantification_Results'!AM180&gt;'Quantification_Config'!$T$15),"",'Quantification_Results'!AM180)),"")))</x:f>
        <x:v>5</x:v>
      </x:c>
      <x:c r="AO180" t="n">
        <x:f>IF(ISNUMBER('Quantification_Results'!AN180),IFERROR(ROUND(((('Quantification_Results'!AN180-'Quantification_Config'!$S$15)/('Quantification_Config'!$T$15-'Quantification_Config'!$S$15))*100),'Quantification_Config'!$U$2),""),"")</x:f>
        <x:v>50</x:v>
      </x:c>
      <x:c r="AP180" t="inlineStr">
        <x:is>
          <x:t xml:space="preserve">SYSTEM-TEST-ONLY-NO-NETWORK-NOT-AN-EDUCATIONAL-EVALUATION</x:t>
        </x:is>
      </x:c>
      <x:c r="AQ180" t="inlineStr">
        <x:is>
          <x:t xml:space="preserve"/>
        </x:is>
      </x:c>
      <x:c r="AR180" t="inlineStr">
        <x:is>
          <x:t xml:space="preserve">NONE</x:t>
        </x:is>
      </x:c>
      <x:c r="AS180" t="inlineStr">
        <x:is>
          <x:t xml:space="preserve"/>
        </x:is>
      </x:c>
      <x:c r="AT180" t="inlineStr">
        <x:is>
          <x:t xml:space="preserve">SUCCESS</x:t>
        </x:is>
      </x:c>
      <x:c r="AU180" t="n">
        <x:f>IF((COUNT('Quantification_Results'!AO180)=1),IFERROR(ROUND((SUM(('Quantification_Results'!AO180*'Quantification_Config'!$R$15))/SUM('Quantification_Config'!$R$15)),'Quantification_Config'!$U$2),""),"")</x:f>
        <x:v>50</x:v>
      </x:c>
      <x:c r="AV180" t="n">
        <x:f>IF((COUNT('Quantification_Results'!AU180)=1),IFERROR(ROUND((SUM(('Quantification_Results'!AU180*'Quantification_Config'!$R$14))/SUM('Quantification_Config'!$R$14)),'Quantification_Config'!$U$2),""),"")</x:f>
        <x:v>50</x:v>
      </x:c>
      <x:c r="AW180" t="n">
        <x:v>0</x:v>
      </x:c>
      <x:c r="AX180"/>
      <x:c r="AY180"/>
      <x:c r="AZ180">
        <x:f>IF(('Quantification_Results'!AW180&lt;&gt;1),"",IF(('Quantification_Results'!AY180=""),IF(ISNUMBER('Quantification_Results'!AX180),IF(('Quantification_Results'!AX180&lt;'Quantification_Config'!$S$19),"",IF(('Quantification_Results'!AX180&gt;'Quantification_Config'!$T$19),"",'Quantification_Results'!AX180)),""),IF(ISNUMBER('Quantification_Results'!AY180),IF(('Quantification_Results'!AY180&lt;'Quantification_Config'!$S$19),"",IF(('Quantification_Results'!AY180&gt;'Quantification_Config'!$T$19),"",'Quantification_Results'!AY180)),"")))</x:f>
      </x:c>
      <x:c r="BA180">
        <x:f>IF(ISNUMBER('Quantification_Results'!AZ180),IFERROR(ROUND(((('Quantification_Results'!AZ180-'Quantification_Config'!$S$19)/('Quantification_Config'!$T$19-'Quantification_Config'!$S$19))*100),'Quantification_Config'!$U$2),""),"")</x:f>
      </x:c>
      <x:c r="BB180" t="inlineStr">
        <x:is>
          <x:t xml:space="preserve"/>
        </x:is>
      </x:c>
      <x:c r="BC180" t="inlineStr">
        <x:is>
          <x:t xml:space="preserve"/>
        </x:is>
      </x:c>
      <x:c r="BD180" t="inlineStr">
        <x:is>
          <x:t xml:space="preserve"/>
        </x:is>
      </x:c>
      <x:c r="BE180" t="inlineStr">
        <x:is>
          <x:t xml:space="preserve"/>
        </x:is>
      </x:c>
      <x:c r="BF180" t="inlineStr">
        <x:is>
          <x:t xml:space="preserve">EMPTY</x:t>
        </x:is>
      </x:c>
      <x:c r="BG180">
        <x:f>IF((COUNT('Quantification_Results'!BA180)=1),IFERROR(ROUND((SUM(('Quantification_Results'!BA180*'Quantification_Config'!$R$19))/SUM('Quantification_Config'!$R$19)),'Quantification_Config'!$U$2),""),"")</x:f>
      </x:c>
      <x:c r="BH180">
        <x:f>IF((COUNT('Quantification_Results'!BG180)=1),IFERROR(ROUND((SUM(('Quantification_Results'!BG180*'Quantification_Config'!$R$18))/SUM('Quantification_Config'!$R$18)),'Quantification_Config'!$U$2),""),"")</x:f>
      </x:c>
      <x:c r="BI180">
        <x:f>IF((COUNT('Quantification_Results'!L180,'Quantification_Results'!X180,'Quantification_Results'!AJ180,'Quantification_Results'!AV180,'Quantification_Results'!BH180)=5),IFERROR(ROUND((SUM(('Quantification_Results'!L180*'Quantification_Config'!$R$4),('Quantification_Results'!X180*'Quantification_Config'!$R$7),('Quantification_Results'!AJ180*'Quantification_Config'!$R$10),('Quantification_Results'!AV180*'Quantification_Config'!$R$13),('Quantification_Results'!BH180*'Quantification_Config'!$R$16))/SUM('Quantification_Config'!$R$4,'Quantification_Config'!$R$7,'Quantification_Config'!$R$10,'Quantification_Config'!$R$13,'Quantification_Config'!$R$16)),'Quantification_Config'!$U$2),""),"")</x:f>
      </x:c>
    </x:row>
    <x:row r="181">
      <x:c r="A181" t="n">
        <x:v>1</x:v>
      </x:c>
      <x:c r="B181" t="n">
        <x:v>5</x:v>
      </x:c>
      <x:c r="C181"/>
      <x:c r="D181" t="n">
        <x:f>IF(('Quantification_Results'!A181&lt;&gt;1),"",IF(('Quantification_Results'!C181=""),IF(ISNUMBER('Quantification_Results'!B181),IF(('Quantification_Results'!B181&lt;'Quantification_Config'!$S$6),"",IF(('Quantification_Results'!B181&gt;'Quantification_Config'!$T$6),"",'Quantification_Results'!B181)),""),IF(ISNUMBER('Quantification_Results'!C181),IF(('Quantification_Results'!C181&lt;'Quantification_Config'!$S$6),"",IF(('Quantification_Results'!C181&gt;'Quantification_Config'!$T$6),"",'Quantification_Results'!C181)),"")))</x:f>
        <x:v>5</x:v>
      </x:c>
      <x:c r="E181" t="n">
        <x:f>IF(ISNUMBER('Quantification_Results'!D181),IFERROR(ROUND(((('Quantification_Results'!D181-'Quantification_Config'!$S$6)/('Quantification_Config'!$T$6-'Quantification_Config'!$S$6))*100),'Quantification_Config'!$U$2),""),"")</x:f>
        <x:v>50</x:v>
      </x:c>
      <x:c r="F181" t="inlineStr">
        <x:is>
          <x:t xml:space="preserve">SYSTEM-TEST-ONLY-NO-NETWORK-NOT-AN-EDUCATIONAL-EVALUATION</x:t>
        </x:is>
      </x:c>
      <x:c r="G181" t="inlineStr">
        <x:is>
          <x:t xml:space="preserve"/>
        </x:is>
      </x:c>
      <x:c r="H181" t="inlineStr">
        <x:is>
          <x:t xml:space="preserve">NONE</x:t>
        </x:is>
      </x:c>
      <x:c r="I181" t="inlineStr">
        <x:is>
          <x:t xml:space="preserve"/>
        </x:is>
      </x:c>
      <x:c r="J181" t="inlineStr">
        <x:is>
          <x:t xml:space="preserve">SUCCESS</x:t>
        </x:is>
      </x:c>
      <x:c r="K181" t="n">
        <x:f>IF((COUNT('Quantification_Results'!E181)=1),IFERROR(ROUND((SUM(('Quantification_Results'!E181*'Quantification_Config'!$R$6))/SUM('Quantification_Config'!$R$6)),'Quantification_Config'!$U$2),""),"")</x:f>
        <x:v>50</x:v>
      </x:c>
      <x:c r="L181" t="n">
        <x:f>IF((COUNT('Quantification_Results'!K181)=1),IFERROR(ROUND((SUM(('Quantification_Results'!K181*'Quantification_Config'!$R$5))/SUM('Quantification_Config'!$R$5)),'Quantification_Config'!$U$2),""),"")</x:f>
        <x:v>50</x:v>
      </x:c>
      <x:c r="M181" t="n">
        <x:v>1</x:v>
      </x:c>
      <x:c r="N181" t="n">
        <x:v>5</x:v>
      </x:c>
      <x:c r="O181"/>
      <x:c r="P181" t="n">
        <x:f>IF(('Quantification_Results'!M181&lt;&gt;1),"",IF(('Quantification_Results'!O181=""),IF(ISNUMBER('Quantification_Results'!N181),IF(('Quantification_Results'!N181&lt;'Quantification_Config'!$S$9),"",IF(('Quantification_Results'!N181&gt;'Quantification_Config'!$T$9),"",'Quantification_Results'!N181)),""),IF(ISNUMBER('Quantification_Results'!O181),IF(('Quantification_Results'!O181&lt;'Quantification_Config'!$S$9),"",IF(('Quantification_Results'!O181&gt;'Quantification_Config'!$T$9),"",'Quantification_Results'!O181)),"")))</x:f>
        <x:v>5</x:v>
      </x:c>
      <x:c r="Q181" t="n">
        <x:f>IF(ISNUMBER('Quantification_Results'!P181),IFERROR(ROUND(((('Quantification_Results'!P181-'Quantification_Config'!$S$9)/('Quantification_Config'!$T$9-'Quantification_Config'!$S$9))*100),'Quantification_Config'!$U$2),""),"")</x:f>
        <x:v>50</x:v>
      </x:c>
      <x:c r="R181" t="inlineStr">
        <x:is>
          <x:t xml:space="preserve">SYSTEM-TEST-ONLY-NO-NETWORK-NOT-AN-EDUCATIONAL-EVALUATION</x:t>
        </x:is>
      </x:c>
      <x:c r="S181" t="inlineStr">
        <x:is>
          <x:t xml:space="preserve"/>
        </x:is>
      </x:c>
      <x:c r="T181" t="inlineStr">
        <x:is>
          <x:t xml:space="preserve">NONE</x:t>
        </x:is>
      </x:c>
      <x:c r="U181" t="inlineStr">
        <x:is>
          <x:t xml:space="preserve"/>
        </x:is>
      </x:c>
      <x:c r="V181" t="inlineStr">
        <x:is>
          <x:t xml:space="preserve">SUCCESS</x:t>
        </x:is>
      </x:c>
      <x:c r="W181" t="n">
        <x:f>IF((COUNT('Quantification_Results'!Q181)=1),IFERROR(ROUND((SUM(('Quantification_Results'!Q181*'Quantification_Config'!$R$9))/SUM('Quantification_Config'!$R$9)),'Quantification_Config'!$U$2),""),"")</x:f>
        <x:v>50</x:v>
      </x:c>
      <x:c r="X181" t="n">
        <x:f>IF((COUNT('Quantification_Results'!W181)=1),IFERROR(ROUND((SUM(('Quantification_Results'!W181*'Quantification_Config'!$R$8))/SUM('Quantification_Config'!$R$8)),'Quantification_Config'!$U$2),""),"")</x:f>
        <x:v>50</x:v>
      </x:c>
      <x:c r="Y181" t="n">
        <x:v>1</x:v>
      </x:c>
      <x:c r="Z181" t="n">
        <x:v>5</x:v>
      </x:c>
      <x:c r="AA181"/>
      <x:c r="AB181" t="n">
        <x:f>IF(('Quantification_Results'!Y181&lt;&gt;1),"",IF(('Quantification_Results'!AA181=""),IF(ISNUMBER('Quantification_Results'!Z181),IF(('Quantification_Results'!Z181&lt;'Quantification_Config'!$S$12),"",IF(('Quantification_Results'!Z181&gt;'Quantification_Config'!$T$12),"",'Quantification_Results'!Z181)),""),IF(ISNUMBER('Quantification_Results'!AA181),IF(('Quantification_Results'!AA181&lt;'Quantification_Config'!$S$12),"",IF(('Quantification_Results'!AA181&gt;'Quantification_Config'!$T$12),"",'Quantification_Results'!AA181)),"")))</x:f>
        <x:v>5</x:v>
      </x:c>
      <x:c r="AC181" t="n">
        <x:f>IF(ISNUMBER('Quantification_Results'!AB181),IFERROR(ROUND(((('Quantification_Results'!AB181-'Quantification_Config'!$S$12)/('Quantification_Config'!$T$12-'Quantification_Config'!$S$12))*100),'Quantification_Config'!$U$2),""),"")</x:f>
        <x:v>50</x:v>
      </x:c>
      <x:c r="AD181" t="inlineStr">
        <x:is>
          <x:t xml:space="preserve">SYSTEM-TEST-ONLY-NO-NETWORK-NOT-AN-EDUCATIONAL-EVALUATION</x:t>
        </x:is>
      </x:c>
      <x:c r="AE181" t="inlineStr">
        <x:is>
          <x:t xml:space="preserve"/>
        </x:is>
      </x:c>
      <x:c r="AF181" t="inlineStr">
        <x:is>
          <x:t xml:space="preserve">NONE</x:t>
        </x:is>
      </x:c>
      <x:c r="AG181" t="inlineStr">
        <x:is>
          <x:t xml:space="preserve"/>
        </x:is>
      </x:c>
      <x:c r="AH181" t="inlineStr">
        <x:is>
          <x:t xml:space="preserve">SUCCESS</x:t>
        </x:is>
      </x:c>
      <x:c r="AI181" t="n">
        <x:f>IF((COUNT('Quantification_Results'!AC181)=1),IFERROR(ROUND((SUM(('Quantification_Results'!AC181*'Quantification_Config'!$R$12))/SUM('Quantification_Config'!$R$12)),'Quantification_Config'!$U$2),""),"")</x:f>
        <x:v>50</x:v>
      </x:c>
      <x:c r="AJ181" t="n">
        <x:f>IF((COUNT('Quantification_Results'!AI181)=1),IFERROR(ROUND((SUM(('Quantification_Results'!AI181*'Quantification_Config'!$R$11))/SUM('Quantification_Config'!$R$11)),'Quantification_Config'!$U$2),""),"")</x:f>
        <x:v>50</x:v>
      </x:c>
      <x:c r="AK181" t="n">
        <x:v>1</x:v>
      </x:c>
      <x:c r="AL181" t="n">
        <x:v>5</x:v>
      </x:c>
      <x:c r="AM181"/>
      <x:c r="AN181" t="n">
        <x:f>IF(('Quantification_Results'!AK181&lt;&gt;1),"",IF(('Quantification_Results'!AM181=""),IF(ISNUMBER('Quantification_Results'!AL181),IF(('Quantification_Results'!AL181&lt;'Quantification_Config'!$S$15),"",IF(('Quantification_Results'!AL181&gt;'Quantification_Config'!$T$15),"",'Quantification_Results'!AL181)),""),IF(ISNUMBER('Quantification_Results'!AM181),IF(('Quantification_Results'!AM181&lt;'Quantification_Config'!$S$15),"",IF(('Quantification_Results'!AM181&gt;'Quantification_Config'!$T$15),"",'Quantification_Results'!AM181)),"")))</x:f>
        <x:v>5</x:v>
      </x:c>
      <x:c r="AO181" t="n">
        <x:f>IF(ISNUMBER('Quantification_Results'!AN181),IFERROR(ROUND(((('Quantification_Results'!AN181-'Quantification_Config'!$S$15)/('Quantification_Config'!$T$15-'Quantification_Config'!$S$15))*100),'Quantification_Config'!$U$2),""),"")</x:f>
        <x:v>50</x:v>
      </x:c>
      <x:c r="AP181" t="inlineStr">
        <x:is>
          <x:t xml:space="preserve">SYSTEM-TEST-ONLY-NO-NETWORK-NOT-AN-EDUCATIONAL-EVALUATION</x:t>
        </x:is>
      </x:c>
      <x:c r="AQ181" t="inlineStr">
        <x:is>
          <x:t xml:space="preserve"/>
        </x:is>
      </x:c>
      <x:c r="AR181" t="inlineStr">
        <x:is>
          <x:t xml:space="preserve">NONE</x:t>
        </x:is>
      </x:c>
      <x:c r="AS181" t="inlineStr">
        <x:is>
          <x:t xml:space="preserve"/>
        </x:is>
      </x:c>
      <x:c r="AT181" t="inlineStr">
        <x:is>
          <x:t xml:space="preserve">SUCCESS</x:t>
        </x:is>
      </x:c>
      <x:c r="AU181" t="n">
        <x:f>IF((COUNT('Quantification_Results'!AO181)=1),IFERROR(ROUND((SUM(('Quantification_Results'!AO181*'Quantification_Config'!$R$15))/SUM('Quantification_Config'!$R$15)),'Quantification_Config'!$U$2),""),"")</x:f>
        <x:v>50</x:v>
      </x:c>
      <x:c r="AV181" t="n">
        <x:f>IF((COUNT('Quantification_Results'!AU181)=1),IFERROR(ROUND((SUM(('Quantification_Results'!AU181*'Quantification_Config'!$R$14))/SUM('Quantification_Config'!$R$14)),'Quantification_Config'!$U$2),""),"")</x:f>
        <x:v>50</x:v>
      </x:c>
      <x:c r="AW181" t="n">
        <x:v>1</x:v>
      </x:c>
      <x:c r="AX181" t="n">
        <x:v>5</x:v>
      </x:c>
      <x:c r="AY181"/>
      <x:c r="AZ181" t="n">
        <x:f>IF(('Quantification_Results'!AW181&lt;&gt;1),"",IF(('Quantification_Results'!AY181=""),IF(ISNUMBER('Quantification_Results'!AX181),IF(('Quantification_Results'!AX181&lt;'Quantification_Config'!$S$19),"",IF(('Quantification_Results'!AX181&gt;'Quantification_Config'!$T$19),"",'Quantification_Results'!AX181)),""),IF(ISNUMBER('Quantification_Results'!AY181),IF(('Quantification_Results'!AY181&lt;'Quantification_Config'!$S$19),"",IF(('Quantification_Results'!AY181&gt;'Quantification_Config'!$T$19),"",'Quantification_Results'!AY181)),"")))</x:f>
        <x:v>5</x:v>
      </x:c>
      <x:c r="BA181" t="n">
        <x:f>IF(ISNUMBER('Quantification_Results'!AZ181),IFERROR(ROUND(((('Quantification_Results'!AZ181-'Quantification_Config'!$S$19)/('Quantification_Config'!$T$19-'Quantification_Config'!$S$19))*100),'Quantification_Config'!$U$2),""),"")</x:f>
        <x:v>50</x:v>
      </x:c>
      <x:c r="BB181" t="inlineStr">
        <x:is>
          <x:t xml:space="preserve">SYSTEM-TEST-ONLY-NO-NETWORK-NOT-AN-EDUCATIONAL-EVALUATION</x:t>
        </x:is>
      </x:c>
      <x:c r="BC181" t="inlineStr">
        <x:is>
          <x:t xml:space="preserve"/>
        </x:is>
      </x:c>
      <x:c r="BD181" t="inlineStr">
        <x:is>
          <x:t xml:space="preserve">NONE</x:t>
        </x:is>
      </x:c>
      <x:c r="BE181" t="inlineStr">
        <x:is>
          <x:t xml:space="preserve"/>
        </x:is>
      </x:c>
      <x:c r="BF181" t="inlineStr">
        <x:is>
          <x:t xml:space="preserve">SUCCESS</x:t>
        </x:is>
      </x:c>
      <x:c r="BG181" t="n">
        <x:f>IF((COUNT('Quantification_Results'!BA181)=1),IFERROR(ROUND((SUM(('Quantification_Results'!BA181*'Quantification_Config'!$R$19))/SUM('Quantification_Config'!$R$19)),'Quantification_Config'!$U$2),""),"")</x:f>
        <x:v>50</x:v>
      </x:c>
      <x:c r="BH181" t="n">
        <x:f>IF((COUNT('Quantification_Results'!BG181)=1),IFERROR(ROUND((SUM(('Quantification_Results'!BG181*'Quantification_Config'!$R$18))/SUM('Quantification_Config'!$R$18)),'Quantification_Config'!$U$2),""),"")</x:f>
        <x:v>50</x:v>
      </x:c>
      <x:c r="BI181" t="n">
        <x:f>IF((COUNT('Quantification_Results'!L181,'Quantification_Results'!X181,'Quantification_Results'!AJ181,'Quantification_Results'!AV181,'Quantification_Results'!BH181)=5),IFERROR(ROUND((SUM(('Quantification_Results'!L181*'Quantification_Config'!$R$4),('Quantification_Results'!X181*'Quantification_Config'!$R$7),('Quantification_Results'!AJ181*'Quantification_Config'!$R$10),('Quantification_Results'!AV181*'Quantification_Config'!$R$13),('Quantification_Results'!BH181*'Quantification_Config'!$R$16))/SUM('Quantification_Config'!$R$4,'Quantification_Config'!$R$7,'Quantification_Config'!$R$10,'Quantification_Config'!$R$13,'Quantification_Config'!$R$16)),'Quantification_Config'!$U$2),""),"")</x:f>
        <x:v>50</x:v>
      </x:c>
    </x:row>
    <x:row r="182">
      <x:c r="A182" t="n">
        <x:v>1</x:v>
      </x:c>
      <x:c r="B182" t="n">
        <x:v>5</x:v>
      </x:c>
      <x:c r="C182"/>
      <x:c r="D182" t="n">
        <x:f>IF(('Quantification_Results'!A182&lt;&gt;1),"",IF(('Quantification_Results'!C182=""),IF(ISNUMBER('Quantification_Results'!B182),IF(('Quantification_Results'!B182&lt;'Quantification_Config'!$S$6),"",IF(('Quantification_Results'!B182&gt;'Quantification_Config'!$T$6),"",'Quantification_Results'!B182)),""),IF(ISNUMBER('Quantification_Results'!C182),IF(('Quantification_Results'!C182&lt;'Quantification_Config'!$S$6),"",IF(('Quantification_Results'!C182&gt;'Quantification_Config'!$T$6),"",'Quantification_Results'!C182)),"")))</x:f>
        <x:v>5</x:v>
      </x:c>
      <x:c r="E182" t="n">
        <x:f>IF(ISNUMBER('Quantification_Results'!D182),IFERROR(ROUND(((('Quantification_Results'!D182-'Quantification_Config'!$S$6)/('Quantification_Config'!$T$6-'Quantification_Config'!$S$6))*100),'Quantification_Config'!$U$2),""),"")</x:f>
        <x:v>50</x:v>
      </x:c>
      <x:c r="F182" t="inlineStr">
        <x:is>
          <x:t xml:space="preserve">SYSTEM-TEST-ONLY-NO-NETWORK-NOT-AN-EDUCATIONAL-EVALUATION</x:t>
        </x:is>
      </x:c>
      <x:c r="G182" t="inlineStr">
        <x:is>
          <x:t xml:space="preserve"/>
        </x:is>
      </x:c>
      <x:c r="H182" t="inlineStr">
        <x:is>
          <x:t xml:space="preserve">NONE</x:t>
        </x:is>
      </x:c>
      <x:c r="I182" t="inlineStr">
        <x:is>
          <x:t xml:space="preserve"/>
        </x:is>
      </x:c>
      <x:c r="J182" t="inlineStr">
        <x:is>
          <x:t xml:space="preserve">SUCCESS</x:t>
        </x:is>
      </x:c>
      <x:c r="K182" t="n">
        <x:f>IF((COUNT('Quantification_Results'!E182)=1),IFERROR(ROUND((SUM(('Quantification_Results'!E182*'Quantification_Config'!$R$6))/SUM('Quantification_Config'!$R$6)),'Quantification_Config'!$U$2),""),"")</x:f>
        <x:v>50</x:v>
      </x:c>
      <x:c r="L182" t="n">
        <x:f>IF((COUNT('Quantification_Results'!K182)=1),IFERROR(ROUND((SUM(('Quantification_Results'!K182*'Quantification_Config'!$R$5))/SUM('Quantification_Config'!$R$5)),'Quantification_Config'!$U$2),""),"")</x:f>
        <x:v>50</x:v>
      </x:c>
      <x:c r="M182" t="n">
        <x:v>0</x:v>
      </x:c>
      <x:c r="N182"/>
      <x:c r="O182"/>
      <x:c r="P182">
        <x:f>IF(('Quantification_Results'!M182&lt;&gt;1),"",IF(('Quantification_Results'!O182=""),IF(ISNUMBER('Quantification_Results'!N182),IF(('Quantification_Results'!N182&lt;'Quantification_Config'!$S$9),"",IF(('Quantification_Results'!N182&gt;'Quantification_Config'!$T$9),"",'Quantification_Results'!N182)),""),IF(ISNUMBER('Quantification_Results'!O182),IF(('Quantification_Results'!O182&lt;'Quantification_Config'!$S$9),"",IF(('Quantification_Results'!O182&gt;'Quantification_Config'!$T$9),"",'Quantification_Results'!O182)),"")))</x:f>
      </x:c>
      <x:c r="Q182">
        <x:f>IF(ISNUMBER('Quantification_Results'!P182),IFERROR(ROUND(((('Quantification_Results'!P182-'Quantification_Config'!$S$9)/('Quantification_Config'!$T$9-'Quantification_Config'!$S$9))*100),'Quantification_Config'!$U$2),""),"")</x:f>
      </x:c>
      <x:c r="R182" t="inlineStr">
        <x:is>
          <x:t xml:space="preserve"/>
        </x:is>
      </x:c>
      <x:c r="S182" t="inlineStr">
        <x:is>
          <x:t xml:space="preserve"/>
        </x:is>
      </x:c>
      <x:c r="T182" t="inlineStr">
        <x:is>
          <x:t xml:space="preserve"/>
        </x:is>
      </x:c>
      <x:c r="U182" t="inlineStr">
        <x:is>
          <x:t xml:space="preserve"/>
        </x:is>
      </x:c>
      <x:c r="V182" t="inlineStr">
        <x:is>
          <x:t xml:space="preserve">EMPTY</x:t>
        </x:is>
      </x:c>
      <x:c r="W182">
        <x:f>IF((COUNT('Quantification_Results'!Q182)=1),IFERROR(ROUND((SUM(('Quantification_Results'!Q182*'Quantification_Config'!$R$9))/SUM('Quantification_Config'!$R$9)),'Quantification_Config'!$U$2),""),"")</x:f>
      </x:c>
      <x:c r="X182">
        <x:f>IF((COUNT('Quantification_Results'!W182)=1),IFERROR(ROUND((SUM(('Quantification_Results'!W182*'Quantification_Config'!$R$8))/SUM('Quantification_Config'!$R$8)),'Quantification_Config'!$U$2),""),"")</x:f>
      </x:c>
      <x:c r="Y182" t="n">
        <x:v>1</x:v>
      </x:c>
      <x:c r="Z182" t="n">
        <x:v>5</x:v>
      </x:c>
      <x:c r="AA182"/>
      <x:c r="AB182" t="n">
        <x:f>IF(('Quantification_Results'!Y182&lt;&gt;1),"",IF(('Quantification_Results'!AA182=""),IF(ISNUMBER('Quantification_Results'!Z182),IF(('Quantification_Results'!Z182&lt;'Quantification_Config'!$S$12),"",IF(('Quantification_Results'!Z182&gt;'Quantification_Config'!$T$12),"",'Quantification_Results'!Z182)),""),IF(ISNUMBER('Quantification_Results'!AA182),IF(('Quantification_Results'!AA182&lt;'Quantification_Config'!$S$12),"",IF(('Quantification_Results'!AA182&gt;'Quantification_Config'!$T$12),"",'Quantification_Results'!AA182)),"")))</x:f>
        <x:v>5</x:v>
      </x:c>
      <x:c r="AC182" t="n">
        <x:f>IF(ISNUMBER('Quantification_Results'!AB182),IFERROR(ROUND(((('Quantification_Results'!AB182-'Quantification_Config'!$S$12)/('Quantification_Config'!$T$12-'Quantification_Config'!$S$12))*100),'Quantification_Config'!$U$2),""),"")</x:f>
        <x:v>50</x:v>
      </x:c>
      <x:c r="AD182" t="inlineStr">
        <x:is>
          <x:t xml:space="preserve">SYSTEM-TEST-ONLY-NO-NETWORK-NOT-AN-EDUCATIONAL-EVALUATION</x:t>
        </x:is>
      </x:c>
      <x:c r="AE182" t="inlineStr">
        <x:is>
          <x:t xml:space="preserve"/>
        </x:is>
      </x:c>
      <x:c r="AF182" t="inlineStr">
        <x:is>
          <x:t xml:space="preserve">NONE</x:t>
        </x:is>
      </x:c>
      <x:c r="AG182" t="inlineStr">
        <x:is>
          <x:t xml:space="preserve"/>
        </x:is>
      </x:c>
      <x:c r="AH182" t="inlineStr">
        <x:is>
          <x:t xml:space="preserve">SUCCESS</x:t>
        </x:is>
      </x:c>
      <x:c r="AI182" t="n">
        <x:f>IF((COUNT('Quantification_Results'!AC182)=1),IFERROR(ROUND((SUM(('Quantification_Results'!AC182*'Quantification_Config'!$R$12))/SUM('Quantification_Config'!$R$12)),'Quantification_Config'!$U$2),""),"")</x:f>
        <x:v>50</x:v>
      </x:c>
      <x:c r="AJ182" t="n">
        <x:f>IF((COUNT('Quantification_Results'!AI182)=1),IFERROR(ROUND((SUM(('Quantification_Results'!AI182*'Quantification_Config'!$R$11))/SUM('Quantification_Config'!$R$11)),'Quantification_Config'!$U$2),""),"")</x:f>
        <x:v>50</x:v>
      </x:c>
      <x:c r="AK182" t="n">
        <x:v>1</x:v>
      </x:c>
      <x:c r="AL182" t="n">
        <x:v>5</x:v>
      </x:c>
      <x:c r="AM182"/>
      <x:c r="AN182" t="n">
        <x:f>IF(('Quantification_Results'!AK182&lt;&gt;1),"",IF(('Quantification_Results'!AM182=""),IF(ISNUMBER('Quantification_Results'!AL182),IF(('Quantification_Results'!AL182&lt;'Quantification_Config'!$S$15),"",IF(('Quantification_Results'!AL182&gt;'Quantification_Config'!$T$15),"",'Quantification_Results'!AL182)),""),IF(ISNUMBER('Quantification_Results'!AM182),IF(('Quantification_Results'!AM182&lt;'Quantification_Config'!$S$15),"",IF(('Quantification_Results'!AM182&gt;'Quantification_Config'!$T$15),"",'Quantification_Results'!AM182)),"")))</x:f>
        <x:v>5</x:v>
      </x:c>
      <x:c r="AO182" t="n">
        <x:f>IF(ISNUMBER('Quantification_Results'!AN182),IFERROR(ROUND(((('Quantification_Results'!AN182-'Quantification_Config'!$S$15)/('Quantification_Config'!$T$15-'Quantification_Config'!$S$15))*100),'Quantification_Config'!$U$2),""),"")</x:f>
        <x:v>50</x:v>
      </x:c>
      <x:c r="AP182" t="inlineStr">
        <x:is>
          <x:t xml:space="preserve">SYSTEM-TEST-ONLY-NO-NETWORK-NOT-AN-EDUCATIONAL-EVALUATION</x:t>
        </x:is>
      </x:c>
      <x:c r="AQ182" t="inlineStr">
        <x:is>
          <x:t xml:space="preserve"/>
        </x:is>
      </x:c>
      <x:c r="AR182" t="inlineStr">
        <x:is>
          <x:t xml:space="preserve">NONE</x:t>
        </x:is>
      </x:c>
      <x:c r="AS182" t="inlineStr">
        <x:is>
          <x:t xml:space="preserve"/>
        </x:is>
      </x:c>
      <x:c r="AT182" t="inlineStr">
        <x:is>
          <x:t xml:space="preserve">SUCCESS</x:t>
        </x:is>
      </x:c>
      <x:c r="AU182" t="n">
        <x:f>IF((COUNT('Quantification_Results'!AO182)=1),IFERROR(ROUND((SUM(('Quantification_Results'!AO182*'Quantification_Config'!$R$15))/SUM('Quantification_Config'!$R$15)),'Quantification_Config'!$U$2),""),"")</x:f>
        <x:v>50</x:v>
      </x:c>
      <x:c r="AV182" t="n">
        <x:f>IF((COUNT('Quantification_Results'!AU182)=1),IFERROR(ROUND((SUM(('Quantification_Results'!AU182*'Quantification_Config'!$R$14))/SUM('Quantification_Config'!$R$14)),'Quantification_Config'!$U$2),""),"")</x:f>
        <x:v>50</x:v>
      </x:c>
      <x:c r="AW182" t="n">
        <x:v>0</x:v>
      </x:c>
      <x:c r="AX182"/>
      <x:c r="AY182"/>
      <x:c r="AZ182">
        <x:f>IF(('Quantification_Results'!AW182&lt;&gt;1),"",IF(('Quantification_Results'!AY182=""),IF(ISNUMBER('Quantification_Results'!AX182),IF(('Quantification_Results'!AX182&lt;'Quantification_Config'!$S$19),"",IF(('Quantification_Results'!AX182&gt;'Quantification_Config'!$T$19),"",'Quantification_Results'!AX182)),""),IF(ISNUMBER('Quantification_Results'!AY182),IF(('Quantification_Results'!AY182&lt;'Quantification_Config'!$S$19),"",IF(('Quantification_Results'!AY182&gt;'Quantification_Config'!$T$19),"",'Quantification_Results'!AY182)),"")))</x:f>
      </x:c>
      <x:c r="BA182">
        <x:f>IF(ISNUMBER('Quantification_Results'!AZ182),IFERROR(ROUND(((('Quantification_Results'!AZ182-'Quantification_Config'!$S$19)/('Quantification_Config'!$T$19-'Quantification_Config'!$S$19))*100),'Quantification_Config'!$U$2),""),"")</x:f>
      </x:c>
      <x:c r="BB182" t="inlineStr">
        <x:is>
          <x:t xml:space="preserve"/>
        </x:is>
      </x:c>
      <x:c r="BC182" t="inlineStr">
        <x:is>
          <x:t xml:space="preserve"/>
        </x:is>
      </x:c>
      <x:c r="BD182" t="inlineStr">
        <x:is>
          <x:t xml:space="preserve"/>
        </x:is>
      </x:c>
      <x:c r="BE182" t="inlineStr">
        <x:is>
          <x:t xml:space="preserve"/>
        </x:is>
      </x:c>
      <x:c r="BF182" t="inlineStr">
        <x:is>
          <x:t xml:space="preserve">EMPTY</x:t>
        </x:is>
      </x:c>
      <x:c r="BG182">
        <x:f>IF((COUNT('Quantification_Results'!BA182)=1),IFERROR(ROUND((SUM(('Quantification_Results'!BA182*'Quantification_Config'!$R$19))/SUM('Quantification_Config'!$R$19)),'Quantification_Config'!$U$2),""),"")</x:f>
      </x:c>
      <x:c r="BH182">
        <x:f>IF((COUNT('Quantification_Results'!BG182)=1),IFERROR(ROUND((SUM(('Quantification_Results'!BG182*'Quantification_Config'!$R$18))/SUM('Quantification_Config'!$R$18)),'Quantification_Config'!$U$2),""),"")</x:f>
      </x:c>
      <x:c r="BI182">
        <x:f>IF((COUNT('Quantification_Results'!L182,'Quantification_Results'!X182,'Quantification_Results'!AJ182,'Quantification_Results'!AV182,'Quantification_Results'!BH182)=5),IFERROR(ROUND((SUM(('Quantification_Results'!L182*'Quantification_Config'!$R$4),('Quantification_Results'!X182*'Quantification_Config'!$R$7),('Quantification_Results'!AJ182*'Quantification_Config'!$R$10),('Quantification_Results'!AV182*'Quantification_Config'!$R$13),('Quantification_Results'!BH182*'Quantification_Config'!$R$16))/SUM('Quantification_Config'!$R$4,'Quantification_Config'!$R$7,'Quantification_Config'!$R$10,'Quantification_Config'!$R$13,'Quantification_Config'!$R$16)),'Quantification_Config'!$U$2),""),"")</x:f>
      </x:c>
    </x:row>
    <x:row r="183">
      <x:c r="A183" t="n">
        <x:v>1</x:v>
      </x:c>
      <x:c r="B183" t="n">
        <x:v>5</x:v>
      </x:c>
      <x:c r="C183"/>
      <x:c r="D183" t="n">
        <x:f>IF(('Quantification_Results'!A183&lt;&gt;1),"",IF(('Quantification_Results'!C183=""),IF(ISNUMBER('Quantification_Results'!B183),IF(('Quantification_Results'!B183&lt;'Quantification_Config'!$S$6),"",IF(('Quantification_Results'!B183&gt;'Quantification_Config'!$T$6),"",'Quantification_Results'!B183)),""),IF(ISNUMBER('Quantification_Results'!C183),IF(('Quantification_Results'!C183&lt;'Quantification_Config'!$S$6),"",IF(('Quantification_Results'!C183&gt;'Quantification_Config'!$T$6),"",'Quantification_Results'!C183)),"")))</x:f>
        <x:v>5</x:v>
      </x:c>
      <x:c r="E183" t="n">
        <x:f>IF(ISNUMBER('Quantification_Results'!D183),IFERROR(ROUND(((('Quantification_Results'!D183-'Quantification_Config'!$S$6)/('Quantification_Config'!$T$6-'Quantification_Config'!$S$6))*100),'Quantification_Config'!$U$2),""),"")</x:f>
        <x:v>50</x:v>
      </x:c>
      <x:c r="F183" t="inlineStr">
        <x:is>
          <x:t xml:space="preserve">SYSTEM-TEST-ONLY-NO-NETWORK-NOT-AN-EDUCATIONAL-EVALUATION</x:t>
        </x:is>
      </x:c>
      <x:c r="G183" t="inlineStr">
        <x:is>
          <x:t xml:space="preserve"/>
        </x:is>
      </x:c>
      <x:c r="H183" t="inlineStr">
        <x:is>
          <x:t xml:space="preserve">NONE</x:t>
        </x:is>
      </x:c>
      <x:c r="I183" t="inlineStr">
        <x:is>
          <x:t xml:space="preserve"/>
        </x:is>
      </x:c>
      <x:c r="J183" t="inlineStr">
        <x:is>
          <x:t xml:space="preserve">SUCCESS</x:t>
        </x:is>
      </x:c>
      <x:c r="K183" t="n">
        <x:f>IF((COUNT('Quantification_Results'!E183)=1),IFERROR(ROUND((SUM(('Quantification_Results'!E183*'Quantification_Config'!$R$6))/SUM('Quantification_Config'!$R$6)),'Quantification_Config'!$U$2),""),"")</x:f>
        <x:v>50</x:v>
      </x:c>
      <x:c r="L183" t="n">
        <x:f>IF((COUNT('Quantification_Results'!K183)=1),IFERROR(ROUND((SUM(('Quantification_Results'!K183*'Quantification_Config'!$R$5))/SUM('Quantification_Config'!$R$5)),'Quantification_Config'!$U$2),""),"")</x:f>
        <x:v>50</x:v>
      </x:c>
      <x:c r="M183" t="n">
        <x:v>1</x:v>
      </x:c>
      <x:c r="N183" t="n">
        <x:v>5</x:v>
      </x:c>
      <x:c r="O183"/>
      <x:c r="P183" t="n">
        <x:f>IF(('Quantification_Results'!M183&lt;&gt;1),"",IF(('Quantification_Results'!O183=""),IF(ISNUMBER('Quantification_Results'!N183),IF(('Quantification_Results'!N183&lt;'Quantification_Config'!$S$9),"",IF(('Quantification_Results'!N183&gt;'Quantification_Config'!$T$9),"",'Quantification_Results'!N183)),""),IF(ISNUMBER('Quantification_Results'!O183),IF(('Quantification_Results'!O183&lt;'Quantification_Config'!$S$9),"",IF(('Quantification_Results'!O183&gt;'Quantification_Config'!$T$9),"",'Quantification_Results'!O183)),"")))</x:f>
        <x:v>5</x:v>
      </x:c>
      <x:c r="Q183" t="n">
        <x:f>IF(ISNUMBER('Quantification_Results'!P183),IFERROR(ROUND(((('Quantification_Results'!P183-'Quantification_Config'!$S$9)/('Quantification_Config'!$T$9-'Quantification_Config'!$S$9))*100),'Quantification_Config'!$U$2),""),"")</x:f>
        <x:v>50</x:v>
      </x:c>
      <x:c r="R183" t="inlineStr">
        <x:is>
          <x:t xml:space="preserve">SYSTEM-TEST-ONLY-NO-NETWORK-NOT-AN-EDUCATIONAL-EVALUATION</x:t>
        </x:is>
      </x:c>
      <x:c r="S183" t="inlineStr">
        <x:is>
          <x:t xml:space="preserve"/>
        </x:is>
      </x:c>
      <x:c r="T183" t="inlineStr">
        <x:is>
          <x:t xml:space="preserve">NONE</x:t>
        </x:is>
      </x:c>
      <x:c r="U183" t="inlineStr">
        <x:is>
          <x:t xml:space="preserve"/>
        </x:is>
      </x:c>
      <x:c r="V183" t="inlineStr">
        <x:is>
          <x:t xml:space="preserve">SUCCESS</x:t>
        </x:is>
      </x:c>
      <x:c r="W183" t="n">
        <x:f>IF((COUNT('Quantification_Results'!Q183)=1),IFERROR(ROUND((SUM(('Quantification_Results'!Q183*'Quantification_Config'!$R$9))/SUM('Quantification_Config'!$R$9)),'Quantification_Config'!$U$2),""),"")</x:f>
        <x:v>50</x:v>
      </x:c>
      <x:c r="X183" t="n">
        <x:f>IF((COUNT('Quantification_Results'!W183)=1),IFERROR(ROUND((SUM(('Quantification_Results'!W183*'Quantification_Config'!$R$8))/SUM('Quantification_Config'!$R$8)),'Quantification_Config'!$U$2),""),"")</x:f>
        <x:v>50</x:v>
      </x:c>
      <x:c r="Y183" t="n">
        <x:v>0</x:v>
      </x:c>
      <x:c r="Z183"/>
      <x:c r="AA183"/>
      <x:c r="AB183">
        <x:f>IF(('Quantification_Results'!Y183&lt;&gt;1),"",IF(('Quantification_Results'!AA183=""),IF(ISNUMBER('Quantification_Results'!Z183),IF(('Quantification_Results'!Z183&lt;'Quantification_Config'!$S$12),"",IF(('Quantification_Results'!Z183&gt;'Quantification_Config'!$T$12),"",'Quantification_Results'!Z183)),""),IF(ISNUMBER('Quantification_Results'!AA183),IF(('Quantification_Results'!AA183&lt;'Quantification_Config'!$S$12),"",IF(('Quantification_Results'!AA183&gt;'Quantification_Config'!$T$12),"",'Quantification_Results'!AA183)),"")))</x:f>
      </x:c>
      <x:c r="AC183">
        <x:f>IF(ISNUMBER('Quantification_Results'!AB183),IFERROR(ROUND(((('Quantification_Results'!AB183-'Quantification_Config'!$S$12)/('Quantification_Config'!$T$12-'Quantification_Config'!$S$12))*100),'Quantification_Config'!$U$2),""),"")</x:f>
      </x:c>
      <x:c r="AD183" t="inlineStr">
        <x:is>
          <x:t xml:space="preserve"/>
        </x:is>
      </x:c>
      <x:c r="AE183" t="inlineStr">
        <x:is>
          <x:t xml:space="preserve"/>
        </x:is>
      </x:c>
      <x:c r="AF183" t="inlineStr">
        <x:is>
          <x:t xml:space="preserve"/>
        </x:is>
      </x:c>
      <x:c r="AG183" t="inlineStr">
        <x:is>
          <x:t xml:space="preserve"/>
        </x:is>
      </x:c>
      <x:c r="AH183" t="inlineStr">
        <x:is>
          <x:t xml:space="preserve">EMPTY</x:t>
        </x:is>
      </x:c>
      <x:c r="AI183">
        <x:f>IF((COUNT('Quantification_Results'!AC183)=1),IFERROR(ROUND((SUM(('Quantification_Results'!AC183*'Quantification_Config'!$R$12))/SUM('Quantification_Config'!$R$12)),'Quantification_Config'!$U$2),""),"")</x:f>
      </x:c>
      <x:c r="AJ183">
        <x:f>IF((COUNT('Quantification_Results'!AI183)=1),IFERROR(ROUND((SUM(('Quantification_Results'!AI183*'Quantification_Config'!$R$11))/SUM('Quantification_Config'!$R$11)),'Quantification_Config'!$U$2),""),"")</x:f>
      </x:c>
      <x:c r="AK183" t="n">
        <x:v>1</x:v>
      </x:c>
      <x:c r="AL183" t="n">
        <x:v>5</x:v>
      </x:c>
      <x:c r="AM183"/>
      <x:c r="AN183" t="n">
        <x:f>IF(('Quantification_Results'!AK183&lt;&gt;1),"",IF(('Quantification_Results'!AM183=""),IF(ISNUMBER('Quantification_Results'!AL183),IF(('Quantification_Results'!AL183&lt;'Quantification_Config'!$S$15),"",IF(('Quantification_Results'!AL183&gt;'Quantification_Config'!$T$15),"",'Quantification_Results'!AL183)),""),IF(ISNUMBER('Quantification_Results'!AM183),IF(('Quantification_Results'!AM183&lt;'Quantification_Config'!$S$15),"",IF(('Quantification_Results'!AM183&gt;'Quantification_Config'!$T$15),"",'Quantification_Results'!AM183)),"")))</x:f>
        <x:v>5</x:v>
      </x:c>
      <x:c r="AO183" t="n">
        <x:f>IF(ISNUMBER('Quantification_Results'!AN183),IFERROR(ROUND(((('Quantification_Results'!AN183-'Quantification_Config'!$S$15)/('Quantification_Config'!$T$15-'Quantification_Config'!$S$15))*100),'Quantification_Config'!$U$2),""),"")</x:f>
        <x:v>50</x:v>
      </x:c>
      <x:c r="AP183" t="inlineStr">
        <x:is>
          <x:t xml:space="preserve">SYSTEM-TEST-ONLY-NO-NETWORK-NOT-AN-EDUCATIONAL-EVALUATION</x:t>
        </x:is>
      </x:c>
      <x:c r="AQ183" t="inlineStr">
        <x:is>
          <x:t xml:space="preserve"/>
        </x:is>
      </x:c>
      <x:c r="AR183" t="inlineStr">
        <x:is>
          <x:t xml:space="preserve">NONE</x:t>
        </x:is>
      </x:c>
      <x:c r="AS183" t="inlineStr">
        <x:is>
          <x:t xml:space="preserve"/>
        </x:is>
      </x:c>
      <x:c r="AT183" t="inlineStr">
        <x:is>
          <x:t xml:space="preserve">SUCCESS</x:t>
        </x:is>
      </x:c>
      <x:c r="AU183" t="n">
        <x:f>IF((COUNT('Quantification_Results'!AO183)=1),IFERROR(ROUND((SUM(('Quantification_Results'!AO183*'Quantification_Config'!$R$15))/SUM('Quantification_Config'!$R$15)),'Quantification_Config'!$U$2),""),"")</x:f>
        <x:v>50</x:v>
      </x:c>
      <x:c r="AV183" t="n">
        <x:f>IF((COUNT('Quantification_Results'!AU183)=1),IFERROR(ROUND((SUM(('Quantification_Results'!AU183*'Quantification_Config'!$R$14))/SUM('Quantification_Config'!$R$14)),'Quantification_Config'!$U$2),""),"")</x:f>
        <x:v>50</x:v>
      </x:c>
      <x:c r="AW183" t="n">
        <x:v>1</x:v>
      </x:c>
      <x:c r="AX183" t="n">
        <x:v>5</x:v>
      </x:c>
      <x:c r="AY183"/>
      <x:c r="AZ183" t="n">
        <x:f>IF(('Quantification_Results'!AW183&lt;&gt;1),"",IF(('Quantification_Results'!AY183=""),IF(ISNUMBER('Quantification_Results'!AX183),IF(('Quantification_Results'!AX183&lt;'Quantification_Config'!$S$19),"",IF(('Quantification_Results'!AX183&gt;'Quantification_Config'!$T$19),"",'Quantification_Results'!AX183)),""),IF(ISNUMBER('Quantification_Results'!AY183),IF(('Quantification_Results'!AY183&lt;'Quantification_Config'!$S$19),"",IF(('Quantification_Results'!AY183&gt;'Quantification_Config'!$T$19),"",'Quantification_Results'!AY183)),"")))</x:f>
        <x:v>5</x:v>
      </x:c>
      <x:c r="BA183" t="n">
        <x:f>IF(ISNUMBER('Quantification_Results'!AZ183),IFERROR(ROUND(((('Quantification_Results'!AZ183-'Quantification_Config'!$S$19)/('Quantification_Config'!$T$19-'Quantification_Config'!$S$19))*100),'Quantification_Config'!$U$2),""),"")</x:f>
        <x:v>50</x:v>
      </x:c>
      <x:c r="BB183" t="inlineStr">
        <x:is>
          <x:t xml:space="preserve">SYSTEM-TEST-ONLY-NO-NETWORK-NOT-AN-EDUCATIONAL-EVALUATION</x:t>
        </x:is>
      </x:c>
      <x:c r="BC183" t="inlineStr">
        <x:is>
          <x:t xml:space="preserve"/>
        </x:is>
      </x:c>
      <x:c r="BD183" t="inlineStr">
        <x:is>
          <x:t xml:space="preserve">NONE</x:t>
        </x:is>
      </x:c>
      <x:c r="BE183" t="inlineStr">
        <x:is>
          <x:t xml:space="preserve"/>
        </x:is>
      </x:c>
      <x:c r="BF183" t="inlineStr">
        <x:is>
          <x:t xml:space="preserve">SUCCESS</x:t>
        </x:is>
      </x:c>
      <x:c r="BG183" t="n">
        <x:f>IF((COUNT('Quantification_Results'!BA183)=1),IFERROR(ROUND((SUM(('Quantification_Results'!BA183*'Quantification_Config'!$R$19))/SUM('Quantification_Config'!$R$19)),'Quantification_Config'!$U$2),""),"")</x:f>
        <x:v>50</x:v>
      </x:c>
      <x:c r="BH183" t="n">
        <x:f>IF((COUNT('Quantification_Results'!BG183)=1),IFERROR(ROUND((SUM(('Quantification_Results'!BG183*'Quantification_Config'!$R$18))/SUM('Quantification_Config'!$R$18)),'Quantification_Config'!$U$2),""),"")</x:f>
        <x:v>50</x:v>
      </x:c>
      <x:c r="BI183">
        <x:f>IF((COUNT('Quantification_Results'!L183,'Quantification_Results'!X183,'Quantification_Results'!AJ183,'Quantification_Results'!AV183,'Quantification_Results'!BH183)=5),IFERROR(ROUND((SUM(('Quantification_Results'!L183*'Quantification_Config'!$R$4),('Quantification_Results'!X183*'Quantification_Config'!$R$7),('Quantification_Results'!AJ183*'Quantification_Config'!$R$10),('Quantification_Results'!AV183*'Quantification_Config'!$R$13),('Quantification_Results'!BH183*'Quantification_Config'!$R$16))/SUM('Quantification_Config'!$R$4,'Quantification_Config'!$R$7,'Quantification_Config'!$R$10,'Quantification_Config'!$R$13,'Quantification_Config'!$R$16)),'Quantification_Config'!$U$2),""),"")</x:f>
      </x:c>
    </x:row>
    <x:row r="184">
      <x:c r="A184" t="n">
        <x:v>1</x:v>
      </x:c>
      <x:c r="B184" t="n">
        <x:v>5</x:v>
      </x:c>
      <x:c r="C184"/>
      <x:c r="D184" t="n">
        <x:f>IF(('Quantification_Results'!A184&lt;&gt;1),"",IF(('Quantification_Results'!C184=""),IF(ISNUMBER('Quantification_Results'!B184),IF(('Quantification_Results'!B184&lt;'Quantification_Config'!$S$6),"",IF(('Quantification_Results'!B184&gt;'Quantification_Config'!$T$6),"",'Quantification_Results'!B184)),""),IF(ISNUMBER('Quantification_Results'!C184),IF(('Quantification_Results'!C184&lt;'Quantification_Config'!$S$6),"",IF(('Quantification_Results'!C184&gt;'Quantification_Config'!$T$6),"",'Quantification_Results'!C184)),"")))</x:f>
        <x:v>5</x:v>
      </x:c>
      <x:c r="E184" t="n">
        <x:f>IF(ISNUMBER('Quantification_Results'!D184),IFERROR(ROUND(((('Quantification_Results'!D184-'Quantification_Config'!$S$6)/('Quantification_Config'!$T$6-'Quantification_Config'!$S$6))*100),'Quantification_Config'!$U$2),""),"")</x:f>
        <x:v>50</x:v>
      </x:c>
      <x:c r="F184" t="inlineStr">
        <x:is>
          <x:t xml:space="preserve">SYSTEM-TEST-ONLY-NO-NETWORK-NOT-AN-EDUCATIONAL-EVALUATION</x:t>
        </x:is>
      </x:c>
      <x:c r="G184" t="inlineStr">
        <x:is>
          <x:t xml:space="preserve"/>
        </x:is>
      </x:c>
      <x:c r="H184" t="inlineStr">
        <x:is>
          <x:t xml:space="preserve">NONE</x:t>
        </x:is>
      </x:c>
      <x:c r="I184" t="inlineStr">
        <x:is>
          <x:t xml:space="preserve"/>
        </x:is>
      </x:c>
      <x:c r="J184" t="inlineStr">
        <x:is>
          <x:t xml:space="preserve">SUCCESS</x:t>
        </x:is>
      </x:c>
      <x:c r="K184" t="n">
        <x:f>IF((COUNT('Quantification_Results'!E184)=1),IFERROR(ROUND((SUM(('Quantification_Results'!E184*'Quantification_Config'!$R$6))/SUM('Quantification_Config'!$R$6)),'Quantification_Config'!$U$2),""),"")</x:f>
        <x:v>50</x:v>
      </x:c>
      <x:c r="L184" t="n">
        <x:f>IF((COUNT('Quantification_Results'!K184)=1),IFERROR(ROUND((SUM(('Quantification_Results'!K184*'Quantification_Config'!$R$5))/SUM('Quantification_Config'!$R$5)),'Quantification_Config'!$U$2),""),"")</x:f>
        <x:v>50</x:v>
      </x:c>
      <x:c r="M184" t="n">
        <x:v>1</x:v>
      </x:c>
      <x:c r="N184" t="n">
        <x:v>5</x:v>
      </x:c>
      <x:c r="O184"/>
      <x:c r="P184" t="n">
        <x:f>IF(('Quantification_Results'!M184&lt;&gt;1),"",IF(('Quantification_Results'!O184=""),IF(ISNUMBER('Quantification_Results'!N184),IF(('Quantification_Results'!N184&lt;'Quantification_Config'!$S$9),"",IF(('Quantification_Results'!N184&gt;'Quantification_Config'!$T$9),"",'Quantification_Results'!N184)),""),IF(ISNUMBER('Quantification_Results'!O184),IF(('Quantification_Results'!O184&lt;'Quantification_Config'!$S$9),"",IF(('Quantification_Results'!O184&gt;'Quantification_Config'!$T$9),"",'Quantification_Results'!O184)),"")))</x:f>
        <x:v>5</x:v>
      </x:c>
      <x:c r="Q184" t="n">
        <x:f>IF(ISNUMBER('Quantification_Results'!P184),IFERROR(ROUND(((('Quantification_Results'!P184-'Quantification_Config'!$S$9)/('Quantification_Config'!$T$9-'Quantification_Config'!$S$9))*100),'Quantification_Config'!$U$2),""),"")</x:f>
        <x:v>50</x:v>
      </x:c>
      <x:c r="R184" t="inlineStr">
        <x:is>
          <x:t xml:space="preserve">SYSTEM-TEST-ONLY-NO-NETWORK-NOT-AN-EDUCATIONAL-EVALUATION</x:t>
        </x:is>
      </x:c>
      <x:c r="S184" t="inlineStr">
        <x:is>
          <x:t xml:space="preserve"/>
        </x:is>
      </x:c>
      <x:c r="T184" t="inlineStr">
        <x:is>
          <x:t xml:space="preserve">NONE</x:t>
        </x:is>
      </x:c>
      <x:c r="U184" t="inlineStr">
        <x:is>
          <x:t xml:space="preserve"/>
        </x:is>
      </x:c>
      <x:c r="V184" t="inlineStr">
        <x:is>
          <x:t xml:space="preserve">SUCCESS</x:t>
        </x:is>
      </x:c>
      <x:c r="W184" t="n">
        <x:f>IF((COUNT('Quantification_Results'!Q184)=1),IFERROR(ROUND((SUM(('Quantification_Results'!Q184*'Quantification_Config'!$R$9))/SUM('Quantification_Config'!$R$9)),'Quantification_Config'!$U$2),""),"")</x:f>
        <x:v>50</x:v>
      </x:c>
      <x:c r="X184" t="n">
        <x:f>IF((COUNT('Quantification_Results'!W184)=1),IFERROR(ROUND((SUM(('Quantification_Results'!W184*'Quantification_Config'!$R$8))/SUM('Quantification_Config'!$R$8)),'Quantification_Config'!$U$2),""),"")</x:f>
        <x:v>50</x:v>
      </x:c>
      <x:c r="Y184" t="n">
        <x:v>0</x:v>
      </x:c>
      <x:c r="Z184"/>
      <x:c r="AA184"/>
      <x:c r="AB184">
        <x:f>IF(('Quantification_Results'!Y184&lt;&gt;1),"",IF(('Quantification_Results'!AA184=""),IF(ISNUMBER('Quantification_Results'!Z184),IF(('Quantification_Results'!Z184&lt;'Quantification_Config'!$S$12),"",IF(('Quantification_Results'!Z184&gt;'Quantification_Config'!$T$12),"",'Quantification_Results'!Z184)),""),IF(ISNUMBER('Quantification_Results'!AA184),IF(('Quantification_Results'!AA184&lt;'Quantification_Config'!$S$12),"",IF(('Quantification_Results'!AA184&gt;'Quantification_Config'!$T$12),"",'Quantification_Results'!AA184)),"")))</x:f>
      </x:c>
      <x:c r="AC184">
        <x:f>IF(ISNUMBER('Quantification_Results'!AB184),IFERROR(ROUND(((('Quantification_Results'!AB184-'Quantification_Config'!$S$12)/('Quantification_Config'!$T$12-'Quantification_Config'!$S$12))*100),'Quantification_Config'!$U$2),""),"")</x:f>
      </x:c>
      <x:c r="AD184" t="inlineStr">
        <x:is>
          <x:t xml:space="preserve"/>
        </x:is>
      </x:c>
      <x:c r="AE184" t="inlineStr">
        <x:is>
          <x:t xml:space="preserve"/>
        </x:is>
      </x:c>
      <x:c r="AF184" t="inlineStr">
        <x:is>
          <x:t xml:space="preserve"/>
        </x:is>
      </x:c>
      <x:c r="AG184" t="inlineStr">
        <x:is>
          <x:t xml:space="preserve"/>
        </x:is>
      </x:c>
      <x:c r="AH184" t="inlineStr">
        <x:is>
          <x:t xml:space="preserve">EMPTY</x:t>
        </x:is>
      </x:c>
      <x:c r="AI184">
        <x:f>IF((COUNT('Quantification_Results'!AC184)=1),IFERROR(ROUND((SUM(('Quantification_Results'!AC184*'Quantification_Config'!$R$12))/SUM('Quantification_Config'!$R$12)),'Quantification_Config'!$U$2),""),"")</x:f>
      </x:c>
      <x:c r="AJ184">
        <x:f>IF((COUNT('Quantification_Results'!AI184)=1),IFERROR(ROUND((SUM(('Quantification_Results'!AI184*'Quantification_Config'!$R$11))/SUM('Quantification_Config'!$R$11)),'Quantification_Config'!$U$2),""),"")</x:f>
      </x:c>
      <x:c r="AK184" t="n">
        <x:v>1</x:v>
      </x:c>
      <x:c r="AL184" t="n">
        <x:v>5</x:v>
      </x:c>
      <x:c r="AM184"/>
      <x:c r="AN184" t="n">
        <x:f>IF(('Quantification_Results'!AK184&lt;&gt;1),"",IF(('Quantification_Results'!AM184=""),IF(ISNUMBER('Quantification_Results'!AL184),IF(('Quantification_Results'!AL184&lt;'Quantification_Config'!$S$15),"",IF(('Quantification_Results'!AL184&gt;'Quantification_Config'!$T$15),"",'Quantification_Results'!AL184)),""),IF(ISNUMBER('Quantification_Results'!AM184),IF(('Quantification_Results'!AM184&lt;'Quantification_Config'!$S$15),"",IF(('Quantification_Results'!AM184&gt;'Quantification_Config'!$T$15),"",'Quantification_Results'!AM184)),"")))</x:f>
        <x:v>5</x:v>
      </x:c>
      <x:c r="AO184" t="n">
        <x:f>IF(ISNUMBER('Quantification_Results'!AN184),IFERROR(ROUND(((('Quantification_Results'!AN184-'Quantification_Config'!$S$15)/('Quantification_Config'!$T$15-'Quantification_Config'!$S$15))*100),'Quantification_Config'!$U$2),""),"")</x:f>
        <x:v>50</x:v>
      </x:c>
      <x:c r="AP184" t="inlineStr">
        <x:is>
          <x:t xml:space="preserve">SYSTEM-TEST-ONLY-NO-NETWORK-NOT-AN-EDUCATIONAL-EVALUATION</x:t>
        </x:is>
      </x:c>
      <x:c r="AQ184" t="inlineStr">
        <x:is>
          <x:t xml:space="preserve"/>
        </x:is>
      </x:c>
      <x:c r="AR184" t="inlineStr">
        <x:is>
          <x:t xml:space="preserve">NONE</x:t>
        </x:is>
      </x:c>
      <x:c r="AS184" t="inlineStr">
        <x:is>
          <x:t xml:space="preserve"/>
        </x:is>
      </x:c>
      <x:c r="AT184" t="inlineStr">
        <x:is>
          <x:t xml:space="preserve">SUCCESS</x:t>
        </x:is>
      </x:c>
      <x:c r="AU184" t="n">
        <x:f>IF((COUNT('Quantification_Results'!AO184)=1),IFERROR(ROUND((SUM(('Quantification_Results'!AO184*'Quantification_Config'!$R$15))/SUM('Quantification_Config'!$R$15)),'Quantification_Config'!$U$2),""),"")</x:f>
        <x:v>50</x:v>
      </x:c>
      <x:c r="AV184" t="n">
        <x:f>IF((COUNT('Quantification_Results'!AU184)=1),IFERROR(ROUND((SUM(('Quantification_Results'!AU184*'Quantification_Config'!$R$14))/SUM('Quantification_Config'!$R$14)),'Quantification_Config'!$U$2),""),"")</x:f>
        <x:v>50</x:v>
      </x:c>
      <x:c r="AW184" t="n">
        <x:v>1</x:v>
      </x:c>
      <x:c r="AX184" t="n">
        <x:v>5</x:v>
      </x:c>
      <x:c r="AY184"/>
      <x:c r="AZ184" t="n">
        <x:f>IF(('Quantification_Results'!AW184&lt;&gt;1),"",IF(('Quantification_Results'!AY184=""),IF(ISNUMBER('Quantification_Results'!AX184),IF(('Quantification_Results'!AX184&lt;'Quantification_Config'!$S$19),"",IF(('Quantification_Results'!AX184&gt;'Quantification_Config'!$T$19),"",'Quantification_Results'!AX184)),""),IF(ISNUMBER('Quantification_Results'!AY184),IF(('Quantification_Results'!AY184&lt;'Quantification_Config'!$S$19),"",IF(('Quantification_Results'!AY184&gt;'Quantification_Config'!$T$19),"",'Quantification_Results'!AY184)),"")))</x:f>
        <x:v>5</x:v>
      </x:c>
      <x:c r="BA184" t="n">
        <x:f>IF(ISNUMBER('Quantification_Results'!AZ184),IFERROR(ROUND(((('Quantification_Results'!AZ184-'Quantification_Config'!$S$19)/('Quantification_Config'!$T$19-'Quantification_Config'!$S$19))*100),'Quantification_Config'!$U$2),""),"")</x:f>
        <x:v>50</x:v>
      </x:c>
      <x:c r="BB184" t="inlineStr">
        <x:is>
          <x:t xml:space="preserve">SYSTEM-TEST-ONLY-NO-NETWORK-NOT-AN-EDUCATIONAL-EVALUATION</x:t>
        </x:is>
      </x:c>
      <x:c r="BC184" t="inlineStr">
        <x:is>
          <x:t xml:space="preserve"/>
        </x:is>
      </x:c>
      <x:c r="BD184" t="inlineStr">
        <x:is>
          <x:t xml:space="preserve">NONE</x:t>
        </x:is>
      </x:c>
      <x:c r="BE184" t="inlineStr">
        <x:is>
          <x:t xml:space="preserve"/>
        </x:is>
      </x:c>
      <x:c r="BF184" t="inlineStr">
        <x:is>
          <x:t xml:space="preserve">SUCCESS</x:t>
        </x:is>
      </x:c>
      <x:c r="BG184" t="n">
        <x:f>IF((COUNT('Quantification_Results'!BA184)=1),IFERROR(ROUND((SUM(('Quantification_Results'!BA184*'Quantification_Config'!$R$19))/SUM('Quantification_Config'!$R$19)),'Quantification_Config'!$U$2),""),"")</x:f>
        <x:v>50</x:v>
      </x:c>
      <x:c r="BH184" t="n">
        <x:f>IF((COUNT('Quantification_Results'!BG184)=1),IFERROR(ROUND((SUM(('Quantification_Results'!BG184*'Quantification_Config'!$R$18))/SUM('Quantification_Config'!$R$18)),'Quantification_Config'!$U$2),""),"")</x:f>
        <x:v>50</x:v>
      </x:c>
      <x:c r="BI184">
        <x:f>IF((COUNT('Quantification_Results'!L184,'Quantification_Results'!X184,'Quantification_Results'!AJ184,'Quantification_Results'!AV184,'Quantification_Results'!BH184)=5),IFERROR(ROUND((SUM(('Quantification_Results'!L184*'Quantification_Config'!$R$4),('Quantification_Results'!X184*'Quantification_Config'!$R$7),('Quantification_Results'!AJ184*'Quantification_Config'!$R$10),('Quantification_Results'!AV184*'Quantification_Config'!$R$13),('Quantification_Results'!BH184*'Quantification_Config'!$R$16))/SUM('Quantification_Config'!$R$4,'Quantification_Config'!$R$7,'Quantification_Config'!$R$10,'Quantification_Config'!$R$13,'Quantification_Config'!$R$16)),'Quantification_Config'!$U$2),""),"")</x:f>
      </x:c>
    </x:row>
    <x:row r="185">
      <x:c r="A185" t="n">
        <x:v>1</x:v>
      </x:c>
      <x:c r="B185" t="n">
        <x:v>5</x:v>
      </x:c>
      <x:c r="C185"/>
      <x:c r="D185" t="n">
        <x:f>IF(('Quantification_Results'!A185&lt;&gt;1),"",IF(('Quantification_Results'!C185=""),IF(ISNUMBER('Quantification_Results'!B185),IF(('Quantification_Results'!B185&lt;'Quantification_Config'!$S$6),"",IF(('Quantification_Results'!B185&gt;'Quantification_Config'!$T$6),"",'Quantification_Results'!B185)),""),IF(ISNUMBER('Quantification_Results'!C185),IF(('Quantification_Results'!C185&lt;'Quantification_Config'!$S$6),"",IF(('Quantification_Results'!C185&gt;'Quantification_Config'!$T$6),"",'Quantification_Results'!C185)),"")))</x:f>
        <x:v>5</x:v>
      </x:c>
      <x:c r="E185" t="n">
        <x:f>IF(ISNUMBER('Quantification_Results'!D185),IFERROR(ROUND(((('Quantification_Results'!D185-'Quantification_Config'!$S$6)/('Quantification_Config'!$T$6-'Quantification_Config'!$S$6))*100),'Quantification_Config'!$U$2),""),"")</x:f>
        <x:v>50</x:v>
      </x:c>
      <x:c r="F185" t="inlineStr">
        <x:is>
          <x:t xml:space="preserve">SYSTEM-TEST-ONLY-NO-NETWORK-NOT-AN-EDUCATIONAL-EVALUATION</x:t>
        </x:is>
      </x:c>
      <x:c r="G185" t="inlineStr">
        <x:is>
          <x:t xml:space="preserve"/>
        </x:is>
      </x:c>
      <x:c r="H185" t="inlineStr">
        <x:is>
          <x:t xml:space="preserve">NONE</x:t>
        </x:is>
      </x:c>
      <x:c r="I185" t="inlineStr">
        <x:is>
          <x:t xml:space="preserve"/>
        </x:is>
      </x:c>
      <x:c r="J185" t="inlineStr">
        <x:is>
          <x:t xml:space="preserve">SUCCESS</x:t>
        </x:is>
      </x:c>
      <x:c r="K185" t="n">
        <x:f>IF((COUNT('Quantification_Results'!E185)=1),IFERROR(ROUND((SUM(('Quantification_Results'!E185*'Quantification_Config'!$R$6))/SUM('Quantification_Config'!$R$6)),'Quantification_Config'!$U$2),""),"")</x:f>
        <x:v>50</x:v>
      </x:c>
      <x:c r="L185" t="n">
        <x:f>IF((COUNT('Quantification_Results'!K185)=1),IFERROR(ROUND((SUM(('Quantification_Results'!K185*'Quantification_Config'!$R$5))/SUM('Quantification_Config'!$R$5)),'Quantification_Config'!$U$2),""),"")</x:f>
        <x:v>50</x:v>
      </x:c>
      <x:c r="M185" t="n">
        <x:v>1</x:v>
      </x:c>
      <x:c r="N185" t="n">
        <x:v>5</x:v>
      </x:c>
      <x:c r="O185"/>
      <x:c r="P185" t="n">
        <x:f>IF(('Quantification_Results'!M185&lt;&gt;1),"",IF(('Quantification_Results'!O185=""),IF(ISNUMBER('Quantification_Results'!N185),IF(('Quantification_Results'!N185&lt;'Quantification_Config'!$S$9),"",IF(('Quantification_Results'!N185&gt;'Quantification_Config'!$T$9),"",'Quantification_Results'!N185)),""),IF(ISNUMBER('Quantification_Results'!O185),IF(('Quantification_Results'!O185&lt;'Quantification_Config'!$S$9),"",IF(('Quantification_Results'!O185&gt;'Quantification_Config'!$T$9),"",'Quantification_Results'!O185)),"")))</x:f>
        <x:v>5</x:v>
      </x:c>
      <x:c r="Q185" t="n">
        <x:f>IF(ISNUMBER('Quantification_Results'!P185),IFERROR(ROUND(((('Quantification_Results'!P185-'Quantification_Config'!$S$9)/('Quantification_Config'!$T$9-'Quantification_Config'!$S$9))*100),'Quantification_Config'!$U$2),""),"")</x:f>
        <x:v>50</x:v>
      </x:c>
      <x:c r="R185" t="inlineStr">
        <x:is>
          <x:t xml:space="preserve">SYSTEM-TEST-ONLY-NO-NETWORK-NOT-AN-EDUCATIONAL-EVALUATION</x:t>
        </x:is>
      </x:c>
      <x:c r="S185" t="inlineStr">
        <x:is>
          <x:t xml:space="preserve"/>
        </x:is>
      </x:c>
      <x:c r="T185" t="inlineStr">
        <x:is>
          <x:t xml:space="preserve">NONE</x:t>
        </x:is>
      </x:c>
      <x:c r="U185" t="inlineStr">
        <x:is>
          <x:t xml:space="preserve"/>
        </x:is>
      </x:c>
      <x:c r="V185" t="inlineStr">
        <x:is>
          <x:t xml:space="preserve">SUCCESS</x:t>
        </x:is>
      </x:c>
      <x:c r="W185" t="n">
        <x:f>IF((COUNT('Quantification_Results'!Q185)=1),IFERROR(ROUND((SUM(('Quantification_Results'!Q185*'Quantification_Config'!$R$9))/SUM('Quantification_Config'!$R$9)),'Quantification_Config'!$U$2),""),"")</x:f>
        <x:v>50</x:v>
      </x:c>
      <x:c r="X185" t="n">
        <x:f>IF((COUNT('Quantification_Results'!W185)=1),IFERROR(ROUND((SUM(('Quantification_Results'!W185*'Quantification_Config'!$R$8))/SUM('Quantification_Config'!$R$8)),'Quantification_Config'!$U$2),""),"")</x:f>
        <x:v>50</x:v>
      </x:c>
      <x:c r="Y185" t="n">
        <x:v>1</x:v>
      </x:c>
      <x:c r="Z185" t="n">
        <x:v>5</x:v>
      </x:c>
      <x:c r="AA185"/>
      <x:c r="AB185" t="n">
        <x:f>IF(('Quantification_Results'!Y185&lt;&gt;1),"",IF(('Quantification_Results'!AA185=""),IF(ISNUMBER('Quantification_Results'!Z185),IF(('Quantification_Results'!Z185&lt;'Quantification_Config'!$S$12),"",IF(('Quantification_Results'!Z185&gt;'Quantification_Config'!$T$12),"",'Quantification_Results'!Z185)),""),IF(ISNUMBER('Quantification_Results'!AA185),IF(('Quantification_Results'!AA185&lt;'Quantification_Config'!$S$12),"",IF(('Quantification_Results'!AA185&gt;'Quantification_Config'!$T$12),"",'Quantification_Results'!AA185)),"")))</x:f>
        <x:v>5</x:v>
      </x:c>
      <x:c r="AC185" t="n">
        <x:f>IF(ISNUMBER('Quantification_Results'!AB185),IFERROR(ROUND(((('Quantification_Results'!AB185-'Quantification_Config'!$S$12)/('Quantification_Config'!$T$12-'Quantification_Config'!$S$12))*100),'Quantification_Config'!$U$2),""),"")</x:f>
        <x:v>50</x:v>
      </x:c>
      <x:c r="AD185" t="inlineStr">
        <x:is>
          <x:t xml:space="preserve">SYSTEM-TEST-ONLY-NO-NETWORK-NOT-AN-EDUCATIONAL-EVALUATION</x:t>
        </x:is>
      </x:c>
      <x:c r="AE185" t="inlineStr">
        <x:is>
          <x:t xml:space="preserve"/>
        </x:is>
      </x:c>
      <x:c r="AF185" t="inlineStr">
        <x:is>
          <x:t xml:space="preserve">NONE</x:t>
        </x:is>
      </x:c>
      <x:c r="AG185" t="inlineStr">
        <x:is>
          <x:t xml:space="preserve"/>
        </x:is>
      </x:c>
      <x:c r="AH185" t="inlineStr">
        <x:is>
          <x:t xml:space="preserve">SUCCESS</x:t>
        </x:is>
      </x:c>
      <x:c r="AI185" t="n">
        <x:f>IF((COUNT('Quantification_Results'!AC185)=1),IFERROR(ROUND((SUM(('Quantification_Results'!AC185*'Quantification_Config'!$R$12))/SUM('Quantification_Config'!$R$12)),'Quantification_Config'!$U$2),""),"")</x:f>
        <x:v>50</x:v>
      </x:c>
      <x:c r="AJ185" t="n">
        <x:f>IF((COUNT('Quantification_Results'!AI185)=1),IFERROR(ROUND((SUM(('Quantification_Results'!AI185*'Quantification_Config'!$R$11))/SUM('Quantification_Config'!$R$11)),'Quantification_Config'!$U$2),""),"")</x:f>
        <x:v>50</x:v>
      </x:c>
      <x:c r="AK185" t="n">
        <x:v>1</x:v>
      </x:c>
      <x:c r="AL185" t="n">
        <x:v>5</x:v>
      </x:c>
      <x:c r="AM185"/>
      <x:c r="AN185" t="n">
        <x:f>IF(('Quantification_Results'!AK185&lt;&gt;1),"",IF(('Quantification_Results'!AM185=""),IF(ISNUMBER('Quantification_Results'!AL185),IF(('Quantification_Results'!AL185&lt;'Quantification_Config'!$S$15),"",IF(('Quantification_Results'!AL185&gt;'Quantification_Config'!$T$15),"",'Quantification_Results'!AL185)),""),IF(ISNUMBER('Quantification_Results'!AM185),IF(('Quantification_Results'!AM185&lt;'Quantification_Config'!$S$15),"",IF(('Quantification_Results'!AM185&gt;'Quantification_Config'!$T$15),"",'Quantification_Results'!AM185)),"")))</x:f>
        <x:v>5</x:v>
      </x:c>
      <x:c r="AO185" t="n">
        <x:f>IF(ISNUMBER('Quantification_Results'!AN185),IFERROR(ROUND(((('Quantification_Results'!AN185-'Quantification_Config'!$S$15)/('Quantification_Config'!$T$15-'Quantification_Config'!$S$15))*100),'Quantification_Config'!$U$2),""),"")</x:f>
        <x:v>50</x:v>
      </x:c>
      <x:c r="AP185" t="inlineStr">
        <x:is>
          <x:t xml:space="preserve">SYSTEM-TEST-ONLY-NO-NETWORK-NOT-AN-EDUCATIONAL-EVALUATION</x:t>
        </x:is>
      </x:c>
      <x:c r="AQ185" t="inlineStr">
        <x:is>
          <x:t xml:space="preserve"/>
        </x:is>
      </x:c>
      <x:c r="AR185" t="inlineStr">
        <x:is>
          <x:t xml:space="preserve">NONE</x:t>
        </x:is>
      </x:c>
      <x:c r="AS185" t="inlineStr">
        <x:is>
          <x:t xml:space="preserve"/>
        </x:is>
      </x:c>
      <x:c r="AT185" t="inlineStr">
        <x:is>
          <x:t xml:space="preserve">SUCCESS</x:t>
        </x:is>
      </x:c>
      <x:c r="AU185" t="n">
        <x:f>IF((COUNT('Quantification_Results'!AO185)=1),IFERROR(ROUND((SUM(('Quantification_Results'!AO185*'Quantification_Config'!$R$15))/SUM('Quantification_Config'!$R$15)),'Quantification_Config'!$U$2),""),"")</x:f>
        <x:v>50</x:v>
      </x:c>
      <x:c r="AV185" t="n">
        <x:f>IF((COUNT('Quantification_Results'!AU185)=1),IFERROR(ROUND((SUM(('Quantification_Results'!AU185*'Quantification_Config'!$R$14))/SUM('Quantification_Config'!$R$14)),'Quantification_Config'!$U$2),""),"")</x:f>
        <x:v>50</x:v>
      </x:c>
      <x:c r="AW185" t="n">
        <x:v>1</x:v>
      </x:c>
      <x:c r="AX185" t="n">
        <x:v>5</x:v>
      </x:c>
      <x:c r="AY185"/>
      <x:c r="AZ185" t="n">
        <x:f>IF(('Quantification_Results'!AW185&lt;&gt;1),"",IF(('Quantification_Results'!AY185=""),IF(ISNUMBER('Quantification_Results'!AX185),IF(('Quantification_Results'!AX185&lt;'Quantification_Config'!$S$19),"",IF(('Quantification_Results'!AX185&gt;'Quantification_Config'!$T$19),"",'Quantification_Results'!AX185)),""),IF(ISNUMBER('Quantification_Results'!AY185),IF(('Quantification_Results'!AY185&lt;'Quantification_Config'!$S$19),"",IF(('Quantification_Results'!AY185&gt;'Quantification_Config'!$T$19),"",'Quantification_Results'!AY185)),"")))</x:f>
        <x:v>5</x:v>
      </x:c>
      <x:c r="BA185" t="n">
        <x:f>IF(ISNUMBER('Quantification_Results'!AZ185),IFERROR(ROUND(((('Quantification_Results'!AZ185-'Quantification_Config'!$S$19)/('Quantification_Config'!$T$19-'Quantification_Config'!$S$19))*100),'Quantification_Config'!$U$2),""),"")</x:f>
        <x:v>50</x:v>
      </x:c>
      <x:c r="BB185" t="inlineStr">
        <x:is>
          <x:t xml:space="preserve">SYSTEM-TEST-ONLY-NO-NETWORK-NOT-AN-EDUCATIONAL-EVALUATION</x:t>
        </x:is>
      </x:c>
      <x:c r="BC185" t="inlineStr">
        <x:is>
          <x:t xml:space="preserve"/>
        </x:is>
      </x:c>
      <x:c r="BD185" t="inlineStr">
        <x:is>
          <x:t xml:space="preserve">NONE</x:t>
        </x:is>
      </x:c>
      <x:c r="BE185" t="inlineStr">
        <x:is>
          <x:t xml:space="preserve"/>
        </x:is>
      </x:c>
      <x:c r="BF185" t="inlineStr">
        <x:is>
          <x:t xml:space="preserve">SUCCESS</x:t>
        </x:is>
      </x:c>
      <x:c r="BG185" t="n">
        <x:f>IF((COUNT('Quantification_Results'!BA185)=1),IFERROR(ROUND((SUM(('Quantification_Results'!BA185*'Quantification_Config'!$R$19))/SUM('Quantification_Config'!$R$19)),'Quantification_Config'!$U$2),""),"")</x:f>
        <x:v>50</x:v>
      </x:c>
      <x:c r="BH185" t="n">
        <x:f>IF((COUNT('Quantification_Results'!BG185)=1),IFERROR(ROUND((SUM(('Quantification_Results'!BG185*'Quantification_Config'!$R$18))/SUM('Quantification_Config'!$R$18)),'Quantification_Config'!$U$2),""),"")</x:f>
        <x:v>50</x:v>
      </x:c>
      <x:c r="BI185" t="n">
        <x:f>IF((COUNT('Quantification_Results'!L185,'Quantification_Results'!X185,'Quantification_Results'!AJ185,'Quantification_Results'!AV185,'Quantification_Results'!BH185)=5),IFERROR(ROUND((SUM(('Quantification_Results'!L185*'Quantification_Config'!$R$4),('Quantification_Results'!X185*'Quantification_Config'!$R$7),('Quantification_Results'!AJ185*'Quantification_Config'!$R$10),('Quantification_Results'!AV185*'Quantification_Config'!$R$13),('Quantification_Results'!BH185*'Quantification_Config'!$R$16))/SUM('Quantification_Config'!$R$4,'Quantification_Config'!$R$7,'Quantification_Config'!$R$10,'Quantification_Config'!$R$13,'Quantification_Config'!$R$16)),'Quantification_Config'!$U$2),""),"")</x:f>
        <x:v>50</x:v>
      </x:c>
    </x:row>
    <x:row r="186">
      <x:c r="A186" t="n">
        <x:v>1</x:v>
      </x:c>
      <x:c r="B186" t="n">
        <x:v>5</x:v>
      </x:c>
      <x:c r="C186"/>
      <x:c r="D186" t="n">
        <x:f>IF(('Quantification_Results'!A186&lt;&gt;1),"",IF(('Quantification_Results'!C186=""),IF(ISNUMBER('Quantification_Results'!B186),IF(('Quantification_Results'!B186&lt;'Quantification_Config'!$S$6),"",IF(('Quantification_Results'!B186&gt;'Quantification_Config'!$T$6),"",'Quantification_Results'!B186)),""),IF(ISNUMBER('Quantification_Results'!C186),IF(('Quantification_Results'!C186&lt;'Quantification_Config'!$S$6),"",IF(('Quantification_Results'!C186&gt;'Quantification_Config'!$T$6),"",'Quantification_Results'!C186)),"")))</x:f>
        <x:v>5</x:v>
      </x:c>
      <x:c r="E186" t="n">
        <x:f>IF(ISNUMBER('Quantification_Results'!D186),IFERROR(ROUND(((('Quantification_Results'!D186-'Quantification_Config'!$S$6)/('Quantification_Config'!$T$6-'Quantification_Config'!$S$6))*100),'Quantification_Config'!$U$2),""),"")</x:f>
        <x:v>50</x:v>
      </x:c>
      <x:c r="F186" t="inlineStr">
        <x:is>
          <x:t xml:space="preserve">SYSTEM-TEST-ONLY-NO-NETWORK-NOT-AN-EDUCATIONAL-EVALUATION</x:t>
        </x:is>
      </x:c>
      <x:c r="G186" t="inlineStr">
        <x:is>
          <x:t xml:space="preserve"/>
        </x:is>
      </x:c>
      <x:c r="H186" t="inlineStr">
        <x:is>
          <x:t xml:space="preserve">NONE</x:t>
        </x:is>
      </x:c>
      <x:c r="I186" t="inlineStr">
        <x:is>
          <x:t xml:space="preserve"/>
        </x:is>
      </x:c>
      <x:c r="J186" t="inlineStr">
        <x:is>
          <x:t xml:space="preserve">SUCCESS</x:t>
        </x:is>
      </x:c>
      <x:c r="K186" t="n">
        <x:f>IF((COUNT('Quantification_Results'!E186)=1),IFERROR(ROUND((SUM(('Quantification_Results'!E186*'Quantification_Config'!$R$6))/SUM('Quantification_Config'!$R$6)),'Quantification_Config'!$U$2),""),"")</x:f>
        <x:v>50</x:v>
      </x:c>
      <x:c r="L186" t="n">
        <x:f>IF((COUNT('Quantification_Results'!K186)=1),IFERROR(ROUND((SUM(('Quantification_Results'!K186*'Quantification_Config'!$R$5))/SUM('Quantification_Config'!$R$5)),'Quantification_Config'!$U$2),""),"")</x:f>
        <x:v>50</x:v>
      </x:c>
      <x:c r="M186" t="n">
        <x:v>0</x:v>
      </x:c>
      <x:c r="N186"/>
      <x:c r="O186"/>
      <x:c r="P186">
        <x:f>IF(('Quantification_Results'!M186&lt;&gt;1),"",IF(('Quantification_Results'!O186=""),IF(ISNUMBER('Quantification_Results'!N186),IF(('Quantification_Results'!N186&lt;'Quantification_Config'!$S$9),"",IF(('Quantification_Results'!N186&gt;'Quantification_Config'!$T$9),"",'Quantification_Results'!N186)),""),IF(ISNUMBER('Quantification_Results'!O186),IF(('Quantification_Results'!O186&lt;'Quantification_Config'!$S$9),"",IF(('Quantification_Results'!O186&gt;'Quantification_Config'!$T$9),"",'Quantification_Results'!O186)),"")))</x:f>
      </x:c>
      <x:c r="Q186">
        <x:f>IF(ISNUMBER('Quantification_Results'!P186),IFERROR(ROUND(((('Quantification_Results'!P186-'Quantification_Config'!$S$9)/('Quantification_Config'!$T$9-'Quantification_Config'!$S$9))*100),'Quantification_Config'!$U$2),""),"")</x:f>
      </x:c>
      <x:c r="R186" t="inlineStr">
        <x:is>
          <x:t xml:space="preserve"/>
        </x:is>
      </x:c>
      <x:c r="S186" t="inlineStr">
        <x:is>
          <x:t xml:space="preserve"/>
        </x:is>
      </x:c>
      <x:c r="T186" t="inlineStr">
        <x:is>
          <x:t xml:space="preserve"/>
        </x:is>
      </x:c>
      <x:c r="U186" t="inlineStr">
        <x:is>
          <x:t xml:space="preserve"/>
        </x:is>
      </x:c>
      <x:c r="V186" t="inlineStr">
        <x:is>
          <x:t xml:space="preserve">EMPTY</x:t>
        </x:is>
      </x:c>
      <x:c r="W186">
        <x:f>IF((COUNT('Quantification_Results'!Q186)=1),IFERROR(ROUND((SUM(('Quantification_Results'!Q186*'Quantification_Config'!$R$9))/SUM('Quantification_Config'!$R$9)),'Quantification_Config'!$U$2),""),"")</x:f>
      </x:c>
      <x:c r="X186">
        <x:f>IF((COUNT('Quantification_Results'!W186)=1),IFERROR(ROUND((SUM(('Quantification_Results'!W186*'Quantification_Config'!$R$8))/SUM('Quantification_Config'!$R$8)),'Quantification_Config'!$U$2),""),"")</x:f>
      </x:c>
      <x:c r="Y186" t="n">
        <x:v>0</x:v>
      </x:c>
      <x:c r="Z186"/>
      <x:c r="AA186"/>
      <x:c r="AB186">
        <x:f>IF(('Quantification_Results'!Y186&lt;&gt;1),"",IF(('Quantification_Results'!AA186=""),IF(ISNUMBER('Quantification_Results'!Z186),IF(('Quantification_Results'!Z186&lt;'Quantification_Config'!$S$12),"",IF(('Quantification_Results'!Z186&gt;'Quantification_Config'!$T$12),"",'Quantification_Results'!Z186)),""),IF(ISNUMBER('Quantification_Results'!AA186),IF(('Quantification_Results'!AA186&lt;'Quantification_Config'!$S$12),"",IF(('Quantification_Results'!AA186&gt;'Quantification_Config'!$T$12),"",'Quantification_Results'!AA186)),"")))</x:f>
      </x:c>
      <x:c r="AC186">
        <x:f>IF(ISNUMBER('Quantification_Results'!AB186),IFERROR(ROUND(((('Quantification_Results'!AB186-'Quantification_Config'!$S$12)/('Quantification_Config'!$T$12-'Quantification_Config'!$S$12))*100),'Quantification_Config'!$U$2),""),"")</x:f>
      </x:c>
      <x:c r="AD186" t="inlineStr">
        <x:is>
          <x:t xml:space="preserve"/>
        </x:is>
      </x:c>
      <x:c r="AE186" t="inlineStr">
        <x:is>
          <x:t xml:space="preserve"/>
        </x:is>
      </x:c>
      <x:c r="AF186" t="inlineStr">
        <x:is>
          <x:t xml:space="preserve"/>
        </x:is>
      </x:c>
      <x:c r="AG186" t="inlineStr">
        <x:is>
          <x:t xml:space="preserve"/>
        </x:is>
      </x:c>
      <x:c r="AH186" t="inlineStr">
        <x:is>
          <x:t xml:space="preserve">EMPTY</x:t>
        </x:is>
      </x:c>
      <x:c r="AI186">
        <x:f>IF((COUNT('Quantification_Results'!AC186)=1),IFERROR(ROUND((SUM(('Quantification_Results'!AC186*'Quantification_Config'!$R$12))/SUM('Quantification_Config'!$R$12)),'Quantification_Config'!$U$2),""),"")</x:f>
      </x:c>
      <x:c r="AJ186">
        <x:f>IF((COUNT('Quantification_Results'!AI186)=1),IFERROR(ROUND((SUM(('Quantification_Results'!AI186*'Quantification_Config'!$R$11))/SUM('Quantification_Config'!$R$11)),'Quantification_Config'!$U$2),""),"")</x:f>
      </x:c>
      <x:c r="AK186" t="n">
        <x:v>1</x:v>
      </x:c>
      <x:c r="AL186" t="n">
        <x:v>5</x:v>
      </x:c>
      <x:c r="AM186"/>
      <x:c r="AN186" t="n">
        <x:f>IF(('Quantification_Results'!AK186&lt;&gt;1),"",IF(('Quantification_Results'!AM186=""),IF(ISNUMBER('Quantification_Results'!AL186),IF(('Quantification_Results'!AL186&lt;'Quantification_Config'!$S$15),"",IF(('Quantification_Results'!AL186&gt;'Quantification_Config'!$T$15),"",'Quantification_Results'!AL186)),""),IF(ISNUMBER('Quantification_Results'!AM186),IF(('Quantification_Results'!AM186&lt;'Quantification_Config'!$S$15),"",IF(('Quantification_Results'!AM186&gt;'Quantification_Config'!$T$15),"",'Quantification_Results'!AM186)),"")))</x:f>
        <x:v>5</x:v>
      </x:c>
      <x:c r="AO186" t="n">
        <x:f>IF(ISNUMBER('Quantification_Results'!AN186),IFERROR(ROUND(((('Quantification_Results'!AN186-'Quantification_Config'!$S$15)/('Quantification_Config'!$T$15-'Quantification_Config'!$S$15))*100),'Quantification_Config'!$U$2),""),"")</x:f>
        <x:v>50</x:v>
      </x:c>
      <x:c r="AP186" t="inlineStr">
        <x:is>
          <x:t xml:space="preserve">SYSTEM-TEST-ONLY-NO-NETWORK-NOT-AN-EDUCATIONAL-EVALUATION</x:t>
        </x:is>
      </x:c>
      <x:c r="AQ186" t="inlineStr">
        <x:is>
          <x:t xml:space="preserve"/>
        </x:is>
      </x:c>
      <x:c r="AR186" t="inlineStr">
        <x:is>
          <x:t xml:space="preserve">NONE</x:t>
        </x:is>
      </x:c>
      <x:c r="AS186" t="inlineStr">
        <x:is>
          <x:t xml:space="preserve"/>
        </x:is>
      </x:c>
      <x:c r="AT186" t="inlineStr">
        <x:is>
          <x:t xml:space="preserve">SUCCESS</x:t>
        </x:is>
      </x:c>
      <x:c r="AU186" t="n">
        <x:f>IF((COUNT('Quantification_Results'!AO186)=1),IFERROR(ROUND((SUM(('Quantification_Results'!AO186*'Quantification_Config'!$R$15))/SUM('Quantification_Config'!$R$15)),'Quantification_Config'!$U$2),""),"")</x:f>
        <x:v>50</x:v>
      </x:c>
      <x:c r="AV186" t="n">
        <x:f>IF((COUNT('Quantification_Results'!AU186)=1),IFERROR(ROUND((SUM(('Quantification_Results'!AU186*'Quantification_Config'!$R$14))/SUM('Quantification_Config'!$R$14)),'Quantification_Config'!$U$2),""),"")</x:f>
        <x:v>50</x:v>
      </x:c>
      <x:c r="AW186" t="n">
        <x:v>0</x:v>
      </x:c>
      <x:c r="AX186"/>
      <x:c r="AY186"/>
      <x:c r="AZ186">
        <x:f>IF(('Quantification_Results'!AW186&lt;&gt;1),"",IF(('Quantification_Results'!AY186=""),IF(ISNUMBER('Quantification_Results'!AX186),IF(('Quantification_Results'!AX186&lt;'Quantification_Config'!$S$19),"",IF(('Quantification_Results'!AX186&gt;'Quantification_Config'!$T$19),"",'Quantification_Results'!AX186)),""),IF(ISNUMBER('Quantification_Results'!AY186),IF(('Quantification_Results'!AY186&lt;'Quantification_Config'!$S$19),"",IF(('Quantification_Results'!AY186&gt;'Quantification_Config'!$T$19),"",'Quantification_Results'!AY186)),"")))</x:f>
      </x:c>
      <x:c r="BA186">
        <x:f>IF(ISNUMBER('Quantification_Results'!AZ186),IFERROR(ROUND(((('Quantification_Results'!AZ186-'Quantification_Config'!$S$19)/('Quantification_Config'!$T$19-'Quantification_Config'!$S$19))*100),'Quantification_Config'!$U$2),""),"")</x:f>
      </x:c>
      <x:c r="BB186" t="inlineStr">
        <x:is>
          <x:t xml:space="preserve"/>
        </x:is>
      </x:c>
      <x:c r="BC186" t="inlineStr">
        <x:is>
          <x:t xml:space="preserve"/>
        </x:is>
      </x:c>
      <x:c r="BD186" t="inlineStr">
        <x:is>
          <x:t xml:space="preserve"/>
        </x:is>
      </x:c>
      <x:c r="BE186" t="inlineStr">
        <x:is>
          <x:t xml:space="preserve"/>
        </x:is>
      </x:c>
      <x:c r="BF186" t="inlineStr">
        <x:is>
          <x:t xml:space="preserve">EMPTY</x:t>
        </x:is>
      </x:c>
      <x:c r="BG186">
        <x:f>IF((COUNT('Quantification_Results'!BA186)=1),IFERROR(ROUND((SUM(('Quantification_Results'!BA186*'Quantification_Config'!$R$19))/SUM('Quantification_Config'!$R$19)),'Quantification_Config'!$U$2),""),"")</x:f>
      </x:c>
      <x:c r="BH186">
        <x:f>IF((COUNT('Quantification_Results'!BG186)=1),IFERROR(ROUND((SUM(('Quantification_Results'!BG186*'Quantification_Config'!$R$18))/SUM('Quantification_Config'!$R$18)),'Quantification_Config'!$U$2),""),"")</x:f>
      </x:c>
      <x:c r="BI186">
        <x:f>IF((COUNT('Quantification_Results'!L186,'Quantification_Results'!X186,'Quantification_Results'!AJ186,'Quantification_Results'!AV186,'Quantification_Results'!BH186)=5),IFERROR(ROUND((SUM(('Quantification_Results'!L186*'Quantification_Config'!$R$4),('Quantification_Results'!X186*'Quantification_Config'!$R$7),('Quantification_Results'!AJ186*'Quantification_Config'!$R$10),('Quantification_Results'!AV186*'Quantification_Config'!$R$13),('Quantification_Results'!BH186*'Quantification_Config'!$R$16))/SUM('Quantification_Config'!$R$4,'Quantification_Config'!$R$7,'Quantification_Config'!$R$10,'Quantification_Config'!$R$13,'Quantification_Config'!$R$16)),'Quantification_Config'!$U$2),""),"")</x:f>
      </x:c>
    </x:row>
    <x:row r="187">
      <x:c r="A187" t="n">
        <x:v>1</x:v>
      </x:c>
      <x:c r="B187" t="n">
        <x:v>5</x:v>
      </x:c>
      <x:c r="C187"/>
      <x:c r="D187" t="n">
        <x:f>IF(('Quantification_Results'!A187&lt;&gt;1),"",IF(('Quantification_Results'!C187=""),IF(ISNUMBER('Quantification_Results'!B187),IF(('Quantification_Results'!B187&lt;'Quantification_Config'!$S$6),"",IF(('Quantification_Results'!B187&gt;'Quantification_Config'!$T$6),"",'Quantification_Results'!B187)),""),IF(ISNUMBER('Quantification_Results'!C187),IF(('Quantification_Results'!C187&lt;'Quantification_Config'!$S$6),"",IF(('Quantification_Results'!C187&gt;'Quantification_Config'!$T$6),"",'Quantification_Results'!C187)),"")))</x:f>
        <x:v>5</x:v>
      </x:c>
      <x:c r="E187" t="n">
        <x:f>IF(ISNUMBER('Quantification_Results'!D187),IFERROR(ROUND(((('Quantification_Results'!D187-'Quantification_Config'!$S$6)/('Quantification_Config'!$T$6-'Quantification_Config'!$S$6))*100),'Quantification_Config'!$U$2),""),"")</x:f>
        <x:v>50</x:v>
      </x:c>
      <x:c r="F187" t="inlineStr">
        <x:is>
          <x:t xml:space="preserve">SYSTEM-TEST-ONLY-NO-NETWORK-NOT-AN-EDUCATIONAL-EVALUATION</x:t>
        </x:is>
      </x:c>
      <x:c r="G187" t="inlineStr">
        <x:is>
          <x:t xml:space="preserve"/>
        </x:is>
      </x:c>
      <x:c r="H187" t="inlineStr">
        <x:is>
          <x:t xml:space="preserve">NONE</x:t>
        </x:is>
      </x:c>
      <x:c r="I187" t="inlineStr">
        <x:is>
          <x:t xml:space="preserve"/>
        </x:is>
      </x:c>
      <x:c r="J187" t="inlineStr">
        <x:is>
          <x:t xml:space="preserve">SUCCESS</x:t>
        </x:is>
      </x:c>
      <x:c r="K187" t="n">
        <x:f>IF((COUNT('Quantification_Results'!E187)=1),IFERROR(ROUND((SUM(('Quantification_Results'!E187*'Quantification_Config'!$R$6))/SUM('Quantification_Config'!$R$6)),'Quantification_Config'!$U$2),""),"")</x:f>
        <x:v>50</x:v>
      </x:c>
      <x:c r="L187" t="n">
        <x:f>IF((COUNT('Quantification_Results'!K187)=1),IFERROR(ROUND((SUM(('Quantification_Results'!K187*'Quantification_Config'!$R$5))/SUM('Quantification_Config'!$R$5)),'Quantification_Config'!$U$2),""),"")</x:f>
        <x:v>50</x:v>
      </x:c>
      <x:c r="M187" t="n">
        <x:v>1</x:v>
      </x:c>
      <x:c r="N187" t="n">
        <x:v>5</x:v>
      </x:c>
      <x:c r="O187"/>
      <x:c r="P187" t="n">
        <x:f>IF(('Quantification_Results'!M187&lt;&gt;1),"",IF(('Quantification_Results'!O187=""),IF(ISNUMBER('Quantification_Results'!N187),IF(('Quantification_Results'!N187&lt;'Quantification_Config'!$S$9),"",IF(('Quantification_Results'!N187&gt;'Quantification_Config'!$T$9),"",'Quantification_Results'!N187)),""),IF(ISNUMBER('Quantification_Results'!O187),IF(('Quantification_Results'!O187&lt;'Quantification_Config'!$S$9),"",IF(('Quantification_Results'!O187&gt;'Quantification_Config'!$T$9),"",'Quantification_Results'!O187)),"")))</x:f>
        <x:v>5</x:v>
      </x:c>
      <x:c r="Q187" t="n">
        <x:f>IF(ISNUMBER('Quantification_Results'!P187),IFERROR(ROUND(((('Quantification_Results'!P187-'Quantification_Config'!$S$9)/('Quantification_Config'!$T$9-'Quantification_Config'!$S$9))*100),'Quantification_Config'!$U$2),""),"")</x:f>
        <x:v>50</x:v>
      </x:c>
      <x:c r="R187" t="inlineStr">
        <x:is>
          <x:t xml:space="preserve">SYSTEM-TEST-ONLY-NO-NETWORK-NOT-AN-EDUCATIONAL-EVALUATION</x:t>
        </x:is>
      </x:c>
      <x:c r="S187" t="inlineStr">
        <x:is>
          <x:t xml:space="preserve"/>
        </x:is>
      </x:c>
      <x:c r="T187" t="inlineStr">
        <x:is>
          <x:t xml:space="preserve">NONE</x:t>
        </x:is>
      </x:c>
      <x:c r="U187" t="inlineStr">
        <x:is>
          <x:t xml:space="preserve"/>
        </x:is>
      </x:c>
      <x:c r="V187" t="inlineStr">
        <x:is>
          <x:t xml:space="preserve">SUCCESS</x:t>
        </x:is>
      </x:c>
      <x:c r="W187" t="n">
        <x:f>IF((COUNT('Quantification_Results'!Q187)=1),IFERROR(ROUND((SUM(('Quantification_Results'!Q187*'Quantification_Config'!$R$9))/SUM('Quantification_Config'!$R$9)),'Quantification_Config'!$U$2),""),"")</x:f>
        <x:v>50</x:v>
      </x:c>
      <x:c r="X187" t="n">
        <x:f>IF((COUNT('Quantification_Results'!W187)=1),IFERROR(ROUND((SUM(('Quantification_Results'!W187*'Quantification_Config'!$R$8))/SUM('Quantification_Config'!$R$8)),'Quantification_Config'!$U$2),""),"")</x:f>
        <x:v>50</x:v>
      </x:c>
      <x:c r="Y187" t="n">
        <x:v>0</x:v>
      </x:c>
      <x:c r="Z187"/>
      <x:c r="AA187"/>
      <x:c r="AB187">
        <x:f>IF(('Quantification_Results'!Y187&lt;&gt;1),"",IF(('Quantification_Results'!AA187=""),IF(ISNUMBER('Quantification_Results'!Z187),IF(('Quantification_Results'!Z187&lt;'Quantification_Config'!$S$12),"",IF(('Quantification_Results'!Z187&gt;'Quantification_Config'!$T$12),"",'Quantification_Results'!Z187)),""),IF(ISNUMBER('Quantification_Results'!AA187),IF(('Quantification_Results'!AA187&lt;'Quantification_Config'!$S$12),"",IF(('Quantification_Results'!AA187&gt;'Quantification_Config'!$T$12),"",'Quantification_Results'!AA187)),"")))</x:f>
      </x:c>
      <x:c r="AC187">
        <x:f>IF(ISNUMBER('Quantification_Results'!AB187),IFERROR(ROUND(((('Quantification_Results'!AB187-'Quantification_Config'!$S$12)/('Quantification_Config'!$T$12-'Quantification_Config'!$S$12))*100),'Quantification_Config'!$U$2),""),"")</x:f>
      </x:c>
      <x:c r="AD187" t="inlineStr">
        <x:is>
          <x:t xml:space="preserve"/>
        </x:is>
      </x:c>
      <x:c r="AE187" t="inlineStr">
        <x:is>
          <x:t xml:space="preserve"/>
        </x:is>
      </x:c>
      <x:c r="AF187" t="inlineStr">
        <x:is>
          <x:t xml:space="preserve"/>
        </x:is>
      </x:c>
      <x:c r="AG187" t="inlineStr">
        <x:is>
          <x:t xml:space="preserve"/>
        </x:is>
      </x:c>
      <x:c r="AH187" t="inlineStr">
        <x:is>
          <x:t xml:space="preserve">EMPTY</x:t>
        </x:is>
      </x:c>
      <x:c r="AI187">
        <x:f>IF((COUNT('Quantification_Results'!AC187)=1),IFERROR(ROUND((SUM(('Quantification_Results'!AC187*'Quantification_Config'!$R$12))/SUM('Quantification_Config'!$R$12)),'Quantification_Config'!$U$2),""),"")</x:f>
      </x:c>
      <x:c r="AJ187">
        <x:f>IF((COUNT('Quantification_Results'!AI187)=1),IFERROR(ROUND((SUM(('Quantification_Results'!AI187*'Quantification_Config'!$R$11))/SUM('Quantification_Config'!$R$11)),'Quantification_Config'!$U$2),""),"")</x:f>
      </x:c>
      <x:c r="AK187" t="n">
        <x:v>1</x:v>
      </x:c>
      <x:c r="AL187" t="n">
        <x:v>5</x:v>
      </x:c>
      <x:c r="AM187"/>
      <x:c r="AN187" t="n">
        <x:f>IF(('Quantification_Results'!AK187&lt;&gt;1),"",IF(('Quantification_Results'!AM187=""),IF(ISNUMBER('Quantification_Results'!AL187),IF(('Quantification_Results'!AL187&lt;'Quantification_Config'!$S$15),"",IF(('Quantification_Results'!AL187&gt;'Quantification_Config'!$T$15),"",'Quantification_Results'!AL187)),""),IF(ISNUMBER('Quantification_Results'!AM187),IF(('Quantification_Results'!AM187&lt;'Quantification_Config'!$S$15),"",IF(('Quantification_Results'!AM187&gt;'Quantification_Config'!$T$15),"",'Quantification_Results'!AM187)),"")))</x:f>
        <x:v>5</x:v>
      </x:c>
      <x:c r="AO187" t="n">
        <x:f>IF(ISNUMBER('Quantification_Results'!AN187),IFERROR(ROUND(((('Quantification_Results'!AN187-'Quantification_Config'!$S$15)/('Quantification_Config'!$T$15-'Quantification_Config'!$S$15))*100),'Quantification_Config'!$U$2),""),"")</x:f>
        <x:v>50</x:v>
      </x:c>
      <x:c r="AP187" t="inlineStr">
        <x:is>
          <x:t xml:space="preserve">SYSTEM-TEST-ONLY-NO-NETWORK-NOT-AN-EDUCATIONAL-EVALUATION</x:t>
        </x:is>
      </x:c>
      <x:c r="AQ187" t="inlineStr">
        <x:is>
          <x:t xml:space="preserve"/>
        </x:is>
      </x:c>
      <x:c r="AR187" t="inlineStr">
        <x:is>
          <x:t xml:space="preserve">NONE</x:t>
        </x:is>
      </x:c>
      <x:c r="AS187" t="inlineStr">
        <x:is>
          <x:t xml:space="preserve"/>
        </x:is>
      </x:c>
      <x:c r="AT187" t="inlineStr">
        <x:is>
          <x:t xml:space="preserve">SUCCESS</x:t>
        </x:is>
      </x:c>
      <x:c r="AU187" t="n">
        <x:f>IF((COUNT('Quantification_Results'!AO187)=1),IFERROR(ROUND((SUM(('Quantification_Results'!AO187*'Quantification_Config'!$R$15))/SUM('Quantification_Config'!$R$15)),'Quantification_Config'!$U$2),""),"")</x:f>
        <x:v>50</x:v>
      </x:c>
      <x:c r="AV187" t="n">
        <x:f>IF((COUNT('Quantification_Results'!AU187)=1),IFERROR(ROUND((SUM(('Quantification_Results'!AU187*'Quantification_Config'!$R$14))/SUM('Quantification_Config'!$R$14)),'Quantification_Config'!$U$2),""),"")</x:f>
        <x:v>50</x:v>
      </x:c>
      <x:c r="AW187" t="n">
        <x:v>1</x:v>
      </x:c>
      <x:c r="AX187" t="n">
        <x:v>5</x:v>
      </x:c>
      <x:c r="AY187"/>
      <x:c r="AZ187" t="n">
        <x:f>IF(('Quantification_Results'!AW187&lt;&gt;1),"",IF(('Quantification_Results'!AY187=""),IF(ISNUMBER('Quantification_Results'!AX187),IF(('Quantification_Results'!AX187&lt;'Quantification_Config'!$S$19),"",IF(('Quantification_Results'!AX187&gt;'Quantification_Config'!$T$19),"",'Quantification_Results'!AX187)),""),IF(ISNUMBER('Quantification_Results'!AY187),IF(('Quantification_Results'!AY187&lt;'Quantification_Config'!$S$19),"",IF(('Quantification_Results'!AY187&gt;'Quantification_Config'!$T$19),"",'Quantification_Results'!AY187)),"")))</x:f>
        <x:v>5</x:v>
      </x:c>
      <x:c r="BA187" t="n">
        <x:f>IF(ISNUMBER('Quantification_Results'!AZ187),IFERROR(ROUND(((('Quantification_Results'!AZ187-'Quantification_Config'!$S$19)/('Quantification_Config'!$T$19-'Quantification_Config'!$S$19))*100),'Quantification_Config'!$U$2),""),"")</x:f>
        <x:v>50</x:v>
      </x:c>
      <x:c r="BB187" t="inlineStr">
        <x:is>
          <x:t xml:space="preserve">SYSTEM-TEST-ONLY-NO-NETWORK-NOT-AN-EDUCATIONAL-EVALUATION</x:t>
        </x:is>
      </x:c>
      <x:c r="BC187" t="inlineStr">
        <x:is>
          <x:t xml:space="preserve"/>
        </x:is>
      </x:c>
      <x:c r="BD187" t="inlineStr">
        <x:is>
          <x:t xml:space="preserve">NONE</x:t>
        </x:is>
      </x:c>
      <x:c r="BE187" t="inlineStr">
        <x:is>
          <x:t xml:space="preserve"/>
        </x:is>
      </x:c>
      <x:c r="BF187" t="inlineStr">
        <x:is>
          <x:t xml:space="preserve">SUCCESS</x:t>
        </x:is>
      </x:c>
      <x:c r="BG187" t="n">
        <x:f>IF((COUNT('Quantification_Results'!BA187)=1),IFERROR(ROUND((SUM(('Quantification_Results'!BA187*'Quantification_Config'!$R$19))/SUM('Quantification_Config'!$R$19)),'Quantification_Config'!$U$2),""),"")</x:f>
        <x:v>50</x:v>
      </x:c>
      <x:c r="BH187" t="n">
        <x:f>IF((COUNT('Quantification_Results'!BG187)=1),IFERROR(ROUND((SUM(('Quantification_Results'!BG187*'Quantification_Config'!$R$18))/SUM('Quantification_Config'!$R$18)),'Quantification_Config'!$U$2),""),"")</x:f>
        <x:v>50</x:v>
      </x:c>
      <x:c r="BI187">
        <x:f>IF((COUNT('Quantification_Results'!L187,'Quantification_Results'!X187,'Quantification_Results'!AJ187,'Quantification_Results'!AV187,'Quantification_Results'!BH187)=5),IFERROR(ROUND((SUM(('Quantification_Results'!L187*'Quantification_Config'!$R$4),('Quantification_Results'!X187*'Quantification_Config'!$R$7),('Quantification_Results'!AJ187*'Quantification_Config'!$R$10),('Quantification_Results'!AV187*'Quantification_Config'!$R$13),('Quantification_Results'!BH187*'Quantification_Config'!$R$16))/SUM('Quantification_Config'!$R$4,'Quantification_Config'!$R$7,'Quantification_Config'!$R$10,'Quantification_Config'!$R$13,'Quantification_Config'!$R$16)),'Quantification_Config'!$U$2),""),"")</x:f>
      </x:c>
    </x:row>
    <x:row r="188">
      <x:c r="A188" t="n">
        <x:v>1</x:v>
      </x:c>
      <x:c r="B188" t="n">
        <x:v>5</x:v>
      </x:c>
      <x:c r="C188"/>
      <x:c r="D188" t="n">
        <x:f>IF(('Quantification_Results'!A188&lt;&gt;1),"",IF(('Quantification_Results'!C188=""),IF(ISNUMBER('Quantification_Results'!B188),IF(('Quantification_Results'!B188&lt;'Quantification_Config'!$S$6),"",IF(('Quantification_Results'!B188&gt;'Quantification_Config'!$T$6),"",'Quantification_Results'!B188)),""),IF(ISNUMBER('Quantification_Results'!C188),IF(('Quantification_Results'!C188&lt;'Quantification_Config'!$S$6),"",IF(('Quantification_Results'!C188&gt;'Quantification_Config'!$T$6),"",'Quantification_Results'!C188)),"")))</x:f>
        <x:v>5</x:v>
      </x:c>
      <x:c r="E188" t="n">
        <x:f>IF(ISNUMBER('Quantification_Results'!D188),IFERROR(ROUND(((('Quantification_Results'!D188-'Quantification_Config'!$S$6)/('Quantification_Config'!$T$6-'Quantification_Config'!$S$6))*100),'Quantification_Config'!$U$2),""),"")</x:f>
        <x:v>50</x:v>
      </x:c>
      <x:c r="F188" t="inlineStr">
        <x:is>
          <x:t xml:space="preserve">SYSTEM-TEST-ONLY-NO-NETWORK-NOT-AN-EDUCATIONAL-EVALUATION</x:t>
        </x:is>
      </x:c>
      <x:c r="G188" t="inlineStr">
        <x:is>
          <x:t xml:space="preserve"/>
        </x:is>
      </x:c>
      <x:c r="H188" t="inlineStr">
        <x:is>
          <x:t xml:space="preserve">NONE</x:t>
        </x:is>
      </x:c>
      <x:c r="I188" t="inlineStr">
        <x:is>
          <x:t xml:space="preserve"/>
        </x:is>
      </x:c>
      <x:c r="J188" t="inlineStr">
        <x:is>
          <x:t xml:space="preserve">SUCCESS</x:t>
        </x:is>
      </x:c>
      <x:c r="K188" t="n">
        <x:f>IF((COUNT('Quantification_Results'!E188)=1),IFERROR(ROUND((SUM(('Quantification_Results'!E188*'Quantification_Config'!$R$6))/SUM('Quantification_Config'!$R$6)),'Quantification_Config'!$U$2),""),"")</x:f>
        <x:v>50</x:v>
      </x:c>
      <x:c r="L188" t="n">
        <x:f>IF((COUNT('Quantification_Results'!K188)=1),IFERROR(ROUND((SUM(('Quantification_Results'!K188*'Quantification_Config'!$R$5))/SUM('Quantification_Config'!$R$5)),'Quantification_Config'!$U$2),""),"")</x:f>
        <x:v>50</x:v>
      </x:c>
      <x:c r="M188" t="n">
        <x:v>1</x:v>
      </x:c>
      <x:c r="N188" t="n">
        <x:v>5</x:v>
      </x:c>
      <x:c r="O188"/>
      <x:c r="P188" t="n">
        <x:f>IF(('Quantification_Results'!M188&lt;&gt;1),"",IF(('Quantification_Results'!O188=""),IF(ISNUMBER('Quantification_Results'!N188),IF(('Quantification_Results'!N188&lt;'Quantification_Config'!$S$9),"",IF(('Quantification_Results'!N188&gt;'Quantification_Config'!$T$9),"",'Quantification_Results'!N188)),""),IF(ISNUMBER('Quantification_Results'!O188),IF(('Quantification_Results'!O188&lt;'Quantification_Config'!$S$9),"",IF(('Quantification_Results'!O188&gt;'Quantification_Config'!$T$9),"",'Quantification_Results'!O188)),"")))</x:f>
        <x:v>5</x:v>
      </x:c>
      <x:c r="Q188" t="n">
        <x:f>IF(ISNUMBER('Quantification_Results'!P188),IFERROR(ROUND(((('Quantification_Results'!P188-'Quantification_Config'!$S$9)/('Quantification_Config'!$T$9-'Quantification_Config'!$S$9))*100),'Quantification_Config'!$U$2),""),"")</x:f>
        <x:v>50</x:v>
      </x:c>
      <x:c r="R188" t="inlineStr">
        <x:is>
          <x:t xml:space="preserve">SYSTEM-TEST-ONLY-NO-NETWORK-NOT-AN-EDUCATIONAL-EVALUATION</x:t>
        </x:is>
      </x:c>
      <x:c r="S188" t="inlineStr">
        <x:is>
          <x:t xml:space="preserve"/>
        </x:is>
      </x:c>
      <x:c r="T188" t="inlineStr">
        <x:is>
          <x:t xml:space="preserve">NONE</x:t>
        </x:is>
      </x:c>
      <x:c r="U188" t="inlineStr">
        <x:is>
          <x:t xml:space="preserve"/>
        </x:is>
      </x:c>
      <x:c r="V188" t="inlineStr">
        <x:is>
          <x:t xml:space="preserve">SUCCESS</x:t>
        </x:is>
      </x:c>
      <x:c r="W188" t="n">
        <x:f>IF((COUNT('Quantification_Results'!Q188)=1),IFERROR(ROUND((SUM(('Quantification_Results'!Q188*'Quantification_Config'!$R$9))/SUM('Quantification_Config'!$R$9)),'Quantification_Config'!$U$2),""),"")</x:f>
        <x:v>50</x:v>
      </x:c>
      <x:c r="X188" t="n">
        <x:f>IF((COUNT('Quantification_Results'!W188)=1),IFERROR(ROUND((SUM(('Quantification_Results'!W188*'Quantification_Config'!$R$8))/SUM('Quantification_Config'!$R$8)),'Quantification_Config'!$U$2),""),"")</x:f>
        <x:v>50</x:v>
      </x:c>
      <x:c r="Y188" t="n">
        <x:v>1</x:v>
      </x:c>
      <x:c r="Z188" t="n">
        <x:v>5</x:v>
      </x:c>
      <x:c r="AA188"/>
      <x:c r="AB188" t="n">
        <x:f>IF(('Quantification_Results'!Y188&lt;&gt;1),"",IF(('Quantification_Results'!AA188=""),IF(ISNUMBER('Quantification_Results'!Z188),IF(('Quantification_Results'!Z188&lt;'Quantification_Config'!$S$12),"",IF(('Quantification_Results'!Z188&gt;'Quantification_Config'!$T$12),"",'Quantification_Results'!Z188)),""),IF(ISNUMBER('Quantification_Results'!AA188),IF(('Quantification_Results'!AA188&lt;'Quantification_Config'!$S$12),"",IF(('Quantification_Results'!AA188&gt;'Quantification_Config'!$T$12),"",'Quantification_Results'!AA188)),"")))</x:f>
        <x:v>5</x:v>
      </x:c>
      <x:c r="AC188" t="n">
        <x:f>IF(ISNUMBER('Quantification_Results'!AB188),IFERROR(ROUND(((('Quantification_Results'!AB188-'Quantification_Config'!$S$12)/('Quantification_Config'!$T$12-'Quantification_Config'!$S$12))*100),'Quantification_Config'!$U$2),""),"")</x:f>
        <x:v>50</x:v>
      </x:c>
      <x:c r="AD188" t="inlineStr">
        <x:is>
          <x:t xml:space="preserve">SYSTEM-TEST-ONLY-NO-NETWORK-NOT-AN-EDUCATIONAL-EVALUATION</x:t>
        </x:is>
      </x:c>
      <x:c r="AE188" t="inlineStr">
        <x:is>
          <x:t xml:space="preserve"/>
        </x:is>
      </x:c>
      <x:c r="AF188" t="inlineStr">
        <x:is>
          <x:t xml:space="preserve">NONE</x:t>
        </x:is>
      </x:c>
      <x:c r="AG188" t="inlineStr">
        <x:is>
          <x:t xml:space="preserve"/>
        </x:is>
      </x:c>
      <x:c r="AH188" t="inlineStr">
        <x:is>
          <x:t xml:space="preserve">SUCCESS</x:t>
        </x:is>
      </x:c>
      <x:c r="AI188" t="n">
        <x:f>IF((COUNT('Quantification_Results'!AC188)=1),IFERROR(ROUND((SUM(('Quantification_Results'!AC188*'Quantification_Config'!$R$12))/SUM('Quantification_Config'!$R$12)),'Quantification_Config'!$U$2),""),"")</x:f>
        <x:v>50</x:v>
      </x:c>
      <x:c r="AJ188" t="n">
        <x:f>IF((COUNT('Quantification_Results'!AI188)=1),IFERROR(ROUND((SUM(('Quantification_Results'!AI188*'Quantification_Config'!$R$11))/SUM('Quantification_Config'!$R$11)),'Quantification_Config'!$U$2),""),"")</x:f>
        <x:v>50</x:v>
      </x:c>
      <x:c r="AK188" t="n">
        <x:v>1</x:v>
      </x:c>
      <x:c r="AL188" t="n">
        <x:v>5</x:v>
      </x:c>
      <x:c r="AM188"/>
      <x:c r="AN188" t="n">
        <x:f>IF(('Quantification_Results'!AK188&lt;&gt;1),"",IF(('Quantification_Results'!AM188=""),IF(ISNUMBER('Quantification_Results'!AL188),IF(('Quantification_Results'!AL188&lt;'Quantification_Config'!$S$15),"",IF(('Quantification_Results'!AL188&gt;'Quantification_Config'!$T$15),"",'Quantification_Results'!AL188)),""),IF(ISNUMBER('Quantification_Results'!AM188),IF(('Quantification_Results'!AM188&lt;'Quantification_Config'!$S$15),"",IF(('Quantification_Results'!AM188&gt;'Quantification_Config'!$T$15),"",'Quantification_Results'!AM188)),"")))</x:f>
        <x:v>5</x:v>
      </x:c>
      <x:c r="AO188" t="n">
        <x:f>IF(ISNUMBER('Quantification_Results'!AN188),IFERROR(ROUND(((('Quantification_Results'!AN188-'Quantification_Config'!$S$15)/('Quantification_Config'!$T$15-'Quantification_Config'!$S$15))*100),'Quantification_Config'!$U$2),""),"")</x:f>
        <x:v>50</x:v>
      </x:c>
      <x:c r="AP188" t="inlineStr">
        <x:is>
          <x:t xml:space="preserve">SYSTEM-TEST-ONLY-NO-NETWORK-NOT-AN-EDUCATIONAL-EVALUATION</x:t>
        </x:is>
      </x:c>
      <x:c r="AQ188" t="inlineStr">
        <x:is>
          <x:t xml:space="preserve"/>
        </x:is>
      </x:c>
      <x:c r="AR188" t="inlineStr">
        <x:is>
          <x:t xml:space="preserve">NONE</x:t>
        </x:is>
      </x:c>
      <x:c r="AS188" t="inlineStr">
        <x:is>
          <x:t xml:space="preserve"/>
        </x:is>
      </x:c>
      <x:c r="AT188" t="inlineStr">
        <x:is>
          <x:t xml:space="preserve">SUCCESS</x:t>
        </x:is>
      </x:c>
      <x:c r="AU188" t="n">
        <x:f>IF((COUNT('Quantification_Results'!AO188)=1),IFERROR(ROUND((SUM(('Quantification_Results'!AO188*'Quantification_Config'!$R$15))/SUM('Quantification_Config'!$R$15)),'Quantification_Config'!$U$2),""),"")</x:f>
        <x:v>50</x:v>
      </x:c>
      <x:c r="AV188" t="n">
        <x:f>IF((COUNT('Quantification_Results'!AU188)=1),IFERROR(ROUND((SUM(('Quantification_Results'!AU188*'Quantification_Config'!$R$14))/SUM('Quantification_Config'!$R$14)),'Quantification_Config'!$U$2),""),"")</x:f>
        <x:v>50</x:v>
      </x:c>
      <x:c r="AW188" t="n">
        <x:v>1</x:v>
      </x:c>
      <x:c r="AX188" t="n">
        <x:v>5</x:v>
      </x:c>
      <x:c r="AY188"/>
      <x:c r="AZ188" t="n">
        <x:f>IF(('Quantification_Results'!AW188&lt;&gt;1),"",IF(('Quantification_Results'!AY188=""),IF(ISNUMBER('Quantification_Results'!AX188),IF(('Quantification_Results'!AX188&lt;'Quantification_Config'!$S$19),"",IF(('Quantification_Results'!AX188&gt;'Quantification_Config'!$T$19),"",'Quantification_Results'!AX188)),""),IF(ISNUMBER('Quantification_Results'!AY188),IF(('Quantification_Results'!AY188&lt;'Quantification_Config'!$S$19),"",IF(('Quantification_Results'!AY188&gt;'Quantification_Config'!$T$19),"",'Quantification_Results'!AY188)),"")))</x:f>
        <x:v>5</x:v>
      </x:c>
      <x:c r="BA188" t="n">
        <x:f>IF(ISNUMBER('Quantification_Results'!AZ188),IFERROR(ROUND(((('Quantification_Results'!AZ188-'Quantification_Config'!$S$19)/('Quantification_Config'!$T$19-'Quantification_Config'!$S$19))*100),'Quantification_Config'!$U$2),""),"")</x:f>
        <x:v>50</x:v>
      </x:c>
      <x:c r="BB188" t="inlineStr">
        <x:is>
          <x:t xml:space="preserve">SYSTEM-TEST-ONLY-NO-NETWORK-NOT-AN-EDUCATIONAL-EVALUATION</x:t>
        </x:is>
      </x:c>
      <x:c r="BC188" t="inlineStr">
        <x:is>
          <x:t xml:space="preserve"/>
        </x:is>
      </x:c>
      <x:c r="BD188" t="inlineStr">
        <x:is>
          <x:t xml:space="preserve">NONE</x:t>
        </x:is>
      </x:c>
      <x:c r="BE188" t="inlineStr">
        <x:is>
          <x:t xml:space="preserve"/>
        </x:is>
      </x:c>
      <x:c r="BF188" t="inlineStr">
        <x:is>
          <x:t xml:space="preserve">SUCCESS</x:t>
        </x:is>
      </x:c>
      <x:c r="BG188" t="n">
        <x:f>IF((COUNT('Quantification_Results'!BA188)=1),IFERROR(ROUND((SUM(('Quantification_Results'!BA188*'Quantification_Config'!$R$19))/SUM('Quantification_Config'!$R$19)),'Quantification_Config'!$U$2),""),"")</x:f>
        <x:v>50</x:v>
      </x:c>
      <x:c r="BH188" t="n">
        <x:f>IF((COUNT('Quantification_Results'!BG188)=1),IFERROR(ROUND((SUM(('Quantification_Results'!BG188*'Quantification_Config'!$R$18))/SUM('Quantification_Config'!$R$18)),'Quantification_Config'!$U$2),""),"")</x:f>
        <x:v>50</x:v>
      </x:c>
      <x:c r="BI188" t="n">
        <x:f>IF((COUNT('Quantification_Results'!L188,'Quantification_Results'!X188,'Quantification_Results'!AJ188,'Quantification_Results'!AV188,'Quantification_Results'!BH188)=5),IFERROR(ROUND((SUM(('Quantification_Results'!L188*'Quantification_Config'!$R$4),('Quantification_Results'!X188*'Quantification_Config'!$R$7),('Quantification_Results'!AJ188*'Quantification_Config'!$R$10),('Quantification_Results'!AV188*'Quantification_Config'!$R$13),('Quantification_Results'!BH188*'Quantification_Config'!$R$16))/SUM('Quantification_Config'!$R$4,'Quantification_Config'!$R$7,'Quantification_Config'!$R$10,'Quantification_Config'!$R$13,'Quantification_Config'!$R$16)),'Quantification_Config'!$U$2),""),"")</x:f>
        <x:v>50</x:v>
      </x:c>
    </x:row>
    <x:row r="189">
      <x:c r="A189" t="n">
        <x:v>1</x:v>
      </x:c>
      <x:c r="B189" t="n">
        <x:v>5</x:v>
      </x:c>
      <x:c r="C189"/>
      <x:c r="D189" t="n">
        <x:f>IF(('Quantification_Results'!A189&lt;&gt;1),"",IF(('Quantification_Results'!C189=""),IF(ISNUMBER('Quantification_Results'!B189),IF(('Quantification_Results'!B189&lt;'Quantification_Config'!$S$6),"",IF(('Quantification_Results'!B189&gt;'Quantification_Config'!$T$6),"",'Quantification_Results'!B189)),""),IF(ISNUMBER('Quantification_Results'!C189),IF(('Quantification_Results'!C189&lt;'Quantification_Config'!$S$6),"",IF(('Quantification_Results'!C189&gt;'Quantification_Config'!$T$6),"",'Quantification_Results'!C189)),"")))</x:f>
        <x:v>5</x:v>
      </x:c>
      <x:c r="E189" t="n">
        <x:f>IF(ISNUMBER('Quantification_Results'!D189),IFERROR(ROUND(((('Quantification_Results'!D189-'Quantification_Config'!$S$6)/('Quantification_Config'!$T$6-'Quantification_Config'!$S$6))*100),'Quantification_Config'!$U$2),""),"")</x:f>
        <x:v>50</x:v>
      </x:c>
      <x:c r="F189" t="inlineStr">
        <x:is>
          <x:t xml:space="preserve">SYSTEM-TEST-ONLY-NO-NETWORK-NOT-AN-EDUCATIONAL-EVALUATION</x:t>
        </x:is>
      </x:c>
      <x:c r="G189" t="inlineStr">
        <x:is>
          <x:t xml:space="preserve"/>
        </x:is>
      </x:c>
      <x:c r="H189" t="inlineStr">
        <x:is>
          <x:t xml:space="preserve">NONE</x:t>
        </x:is>
      </x:c>
      <x:c r="I189" t="inlineStr">
        <x:is>
          <x:t xml:space="preserve"/>
        </x:is>
      </x:c>
      <x:c r="J189" t="inlineStr">
        <x:is>
          <x:t xml:space="preserve">SUCCESS</x:t>
        </x:is>
      </x:c>
      <x:c r="K189" t="n">
        <x:f>IF((COUNT('Quantification_Results'!E189)=1),IFERROR(ROUND((SUM(('Quantification_Results'!E189*'Quantification_Config'!$R$6))/SUM('Quantification_Config'!$R$6)),'Quantification_Config'!$U$2),""),"")</x:f>
        <x:v>50</x:v>
      </x:c>
      <x:c r="L189" t="n">
        <x:f>IF((COUNT('Quantification_Results'!K189)=1),IFERROR(ROUND((SUM(('Quantification_Results'!K189*'Quantification_Config'!$R$5))/SUM('Quantification_Config'!$R$5)),'Quantification_Config'!$U$2),""),"")</x:f>
        <x:v>50</x:v>
      </x:c>
      <x:c r="M189" t="n">
        <x:v>1</x:v>
      </x:c>
      <x:c r="N189" t="n">
        <x:v>5</x:v>
      </x:c>
      <x:c r="O189"/>
      <x:c r="P189" t="n">
        <x:f>IF(('Quantification_Results'!M189&lt;&gt;1),"",IF(('Quantification_Results'!O189=""),IF(ISNUMBER('Quantification_Results'!N189),IF(('Quantification_Results'!N189&lt;'Quantification_Config'!$S$9),"",IF(('Quantification_Results'!N189&gt;'Quantification_Config'!$T$9),"",'Quantification_Results'!N189)),""),IF(ISNUMBER('Quantification_Results'!O189),IF(('Quantification_Results'!O189&lt;'Quantification_Config'!$S$9),"",IF(('Quantification_Results'!O189&gt;'Quantification_Config'!$T$9),"",'Quantification_Results'!O189)),"")))</x:f>
        <x:v>5</x:v>
      </x:c>
      <x:c r="Q189" t="n">
        <x:f>IF(ISNUMBER('Quantification_Results'!P189),IFERROR(ROUND(((('Quantification_Results'!P189-'Quantification_Config'!$S$9)/('Quantification_Config'!$T$9-'Quantification_Config'!$S$9))*100),'Quantification_Config'!$U$2),""),"")</x:f>
        <x:v>50</x:v>
      </x:c>
      <x:c r="R189" t="inlineStr">
        <x:is>
          <x:t xml:space="preserve">SYSTEM-TEST-ONLY-NO-NETWORK-NOT-AN-EDUCATIONAL-EVALUATION</x:t>
        </x:is>
      </x:c>
      <x:c r="S189" t="inlineStr">
        <x:is>
          <x:t xml:space="preserve"/>
        </x:is>
      </x:c>
      <x:c r="T189" t="inlineStr">
        <x:is>
          <x:t xml:space="preserve">NONE</x:t>
        </x:is>
      </x:c>
      <x:c r="U189" t="inlineStr">
        <x:is>
          <x:t xml:space="preserve"/>
        </x:is>
      </x:c>
      <x:c r="V189" t="inlineStr">
        <x:is>
          <x:t xml:space="preserve">SUCCESS</x:t>
        </x:is>
      </x:c>
      <x:c r="W189" t="n">
        <x:f>IF((COUNT('Quantification_Results'!Q189)=1),IFERROR(ROUND((SUM(('Quantification_Results'!Q189*'Quantification_Config'!$R$9))/SUM('Quantification_Config'!$R$9)),'Quantification_Config'!$U$2),""),"")</x:f>
        <x:v>50</x:v>
      </x:c>
      <x:c r="X189" t="n">
        <x:f>IF((COUNT('Quantification_Results'!W189)=1),IFERROR(ROUND((SUM(('Quantification_Results'!W189*'Quantification_Config'!$R$8))/SUM('Quantification_Config'!$R$8)),'Quantification_Config'!$U$2),""),"")</x:f>
        <x:v>50</x:v>
      </x:c>
      <x:c r="Y189" t="n">
        <x:v>0</x:v>
      </x:c>
      <x:c r="Z189"/>
      <x:c r="AA189"/>
      <x:c r="AB189">
        <x:f>IF(('Quantification_Results'!Y189&lt;&gt;1),"",IF(('Quantification_Results'!AA189=""),IF(ISNUMBER('Quantification_Results'!Z189),IF(('Quantification_Results'!Z189&lt;'Quantification_Config'!$S$12),"",IF(('Quantification_Results'!Z189&gt;'Quantification_Config'!$T$12),"",'Quantification_Results'!Z189)),""),IF(ISNUMBER('Quantification_Results'!AA189),IF(('Quantification_Results'!AA189&lt;'Quantification_Config'!$S$12),"",IF(('Quantification_Results'!AA189&gt;'Quantification_Config'!$T$12),"",'Quantification_Results'!AA189)),"")))</x:f>
      </x:c>
      <x:c r="AC189">
        <x:f>IF(ISNUMBER('Quantification_Results'!AB189),IFERROR(ROUND(((('Quantification_Results'!AB189-'Quantification_Config'!$S$12)/('Quantification_Config'!$T$12-'Quantification_Config'!$S$12))*100),'Quantification_Config'!$U$2),""),"")</x:f>
      </x:c>
      <x:c r="AD189" t="inlineStr">
        <x:is>
          <x:t xml:space="preserve"/>
        </x:is>
      </x:c>
      <x:c r="AE189" t="inlineStr">
        <x:is>
          <x:t xml:space="preserve"/>
        </x:is>
      </x:c>
      <x:c r="AF189" t="inlineStr">
        <x:is>
          <x:t xml:space="preserve"/>
        </x:is>
      </x:c>
      <x:c r="AG189" t="inlineStr">
        <x:is>
          <x:t xml:space="preserve"/>
        </x:is>
      </x:c>
      <x:c r="AH189" t="inlineStr">
        <x:is>
          <x:t xml:space="preserve">EMPTY</x:t>
        </x:is>
      </x:c>
      <x:c r="AI189">
        <x:f>IF((COUNT('Quantification_Results'!AC189)=1),IFERROR(ROUND((SUM(('Quantification_Results'!AC189*'Quantification_Config'!$R$12))/SUM('Quantification_Config'!$R$12)),'Quantification_Config'!$U$2),""),"")</x:f>
      </x:c>
      <x:c r="AJ189">
        <x:f>IF((COUNT('Quantification_Results'!AI189)=1),IFERROR(ROUND((SUM(('Quantification_Results'!AI189*'Quantification_Config'!$R$11))/SUM('Quantification_Config'!$R$11)),'Quantification_Config'!$U$2),""),"")</x:f>
      </x:c>
      <x:c r="AK189" t="n">
        <x:v>1</x:v>
      </x:c>
      <x:c r="AL189" t="n">
        <x:v>5</x:v>
      </x:c>
      <x:c r="AM189"/>
      <x:c r="AN189" t="n">
        <x:f>IF(('Quantification_Results'!AK189&lt;&gt;1),"",IF(('Quantification_Results'!AM189=""),IF(ISNUMBER('Quantification_Results'!AL189),IF(('Quantification_Results'!AL189&lt;'Quantification_Config'!$S$15),"",IF(('Quantification_Results'!AL189&gt;'Quantification_Config'!$T$15),"",'Quantification_Results'!AL189)),""),IF(ISNUMBER('Quantification_Results'!AM189),IF(('Quantification_Results'!AM189&lt;'Quantification_Config'!$S$15),"",IF(('Quantification_Results'!AM189&gt;'Quantification_Config'!$T$15),"",'Quantification_Results'!AM189)),"")))</x:f>
        <x:v>5</x:v>
      </x:c>
      <x:c r="AO189" t="n">
        <x:f>IF(ISNUMBER('Quantification_Results'!AN189),IFERROR(ROUND(((('Quantification_Results'!AN189-'Quantification_Config'!$S$15)/('Quantification_Config'!$T$15-'Quantification_Config'!$S$15))*100),'Quantification_Config'!$U$2),""),"")</x:f>
        <x:v>50</x:v>
      </x:c>
      <x:c r="AP189" t="inlineStr">
        <x:is>
          <x:t xml:space="preserve">SYSTEM-TEST-ONLY-NO-NETWORK-NOT-AN-EDUCATIONAL-EVALUATION</x:t>
        </x:is>
      </x:c>
      <x:c r="AQ189" t="inlineStr">
        <x:is>
          <x:t xml:space="preserve"/>
        </x:is>
      </x:c>
      <x:c r="AR189" t="inlineStr">
        <x:is>
          <x:t xml:space="preserve">NONE</x:t>
        </x:is>
      </x:c>
      <x:c r="AS189" t="inlineStr">
        <x:is>
          <x:t xml:space="preserve"/>
        </x:is>
      </x:c>
      <x:c r="AT189" t="inlineStr">
        <x:is>
          <x:t xml:space="preserve">SUCCESS</x:t>
        </x:is>
      </x:c>
      <x:c r="AU189" t="n">
        <x:f>IF((COUNT('Quantification_Results'!AO189)=1),IFERROR(ROUND((SUM(('Quantification_Results'!AO189*'Quantification_Config'!$R$15))/SUM('Quantification_Config'!$R$15)),'Quantification_Config'!$U$2),""),"")</x:f>
        <x:v>50</x:v>
      </x:c>
      <x:c r="AV189" t="n">
        <x:f>IF((COUNT('Quantification_Results'!AU189)=1),IFERROR(ROUND((SUM(('Quantification_Results'!AU189*'Quantification_Config'!$R$14))/SUM('Quantification_Config'!$R$14)),'Quantification_Config'!$U$2),""),"")</x:f>
        <x:v>50</x:v>
      </x:c>
      <x:c r="AW189" t="n">
        <x:v>1</x:v>
      </x:c>
      <x:c r="AX189" t="n">
        <x:v>5</x:v>
      </x:c>
      <x:c r="AY189"/>
      <x:c r="AZ189" t="n">
        <x:f>IF(('Quantification_Results'!AW189&lt;&gt;1),"",IF(('Quantification_Results'!AY189=""),IF(ISNUMBER('Quantification_Results'!AX189),IF(('Quantification_Results'!AX189&lt;'Quantification_Config'!$S$19),"",IF(('Quantification_Results'!AX189&gt;'Quantification_Config'!$T$19),"",'Quantification_Results'!AX189)),""),IF(ISNUMBER('Quantification_Results'!AY189),IF(('Quantification_Results'!AY189&lt;'Quantification_Config'!$S$19),"",IF(('Quantification_Results'!AY189&gt;'Quantification_Config'!$T$19),"",'Quantification_Results'!AY189)),"")))</x:f>
        <x:v>5</x:v>
      </x:c>
      <x:c r="BA189" t="n">
        <x:f>IF(ISNUMBER('Quantification_Results'!AZ189),IFERROR(ROUND(((('Quantification_Results'!AZ189-'Quantification_Config'!$S$19)/('Quantification_Config'!$T$19-'Quantification_Config'!$S$19))*100),'Quantification_Config'!$U$2),""),"")</x:f>
        <x:v>50</x:v>
      </x:c>
      <x:c r="BB189" t="inlineStr">
        <x:is>
          <x:t xml:space="preserve">SYSTEM-TEST-ONLY-NO-NETWORK-NOT-AN-EDUCATIONAL-EVALUATION</x:t>
        </x:is>
      </x:c>
      <x:c r="BC189" t="inlineStr">
        <x:is>
          <x:t xml:space="preserve"/>
        </x:is>
      </x:c>
      <x:c r="BD189" t="inlineStr">
        <x:is>
          <x:t xml:space="preserve">NONE</x:t>
        </x:is>
      </x:c>
      <x:c r="BE189" t="inlineStr">
        <x:is>
          <x:t xml:space="preserve"/>
        </x:is>
      </x:c>
      <x:c r="BF189" t="inlineStr">
        <x:is>
          <x:t xml:space="preserve">SUCCESS</x:t>
        </x:is>
      </x:c>
      <x:c r="BG189" t="n">
        <x:f>IF((COUNT('Quantification_Results'!BA189)=1),IFERROR(ROUND((SUM(('Quantification_Results'!BA189*'Quantification_Config'!$R$19))/SUM('Quantification_Config'!$R$19)),'Quantification_Config'!$U$2),""),"")</x:f>
        <x:v>50</x:v>
      </x:c>
      <x:c r="BH189" t="n">
        <x:f>IF((COUNT('Quantification_Results'!BG189)=1),IFERROR(ROUND((SUM(('Quantification_Results'!BG189*'Quantification_Config'!$R$18))/SUM('Quantification_Config'!$R$18)),'Quantification_Config'!$U$2),""),"")</x:f>
        <x:v>50</x:v>
      </x:c>
      <x:c r="BI189">
        <x:f>IF((COUNT('Quantification_Results'!L189,'Quantification_Results'!X189,'Quantification_Results'!AJ189,'Quantification_Results'!AV189,'Quantification_Results'!BH189)=5),IFERROR(ROUND((SUM(('Quantification_Results'!L189*'Quantification_Config'!$R$4),('Quantification_Results'!X189*'Quantification_Config'!$R$7),('Quantification_Results'!AJ189*'Quantification_Config'!$R$10),('Quantification_Results'!AV189*'Quantification_Config'!$R$13),('Quantification_Results'!BH189*'Quantification_Config'!$R$16))/SUM('Quantification_Config'!$R$4,'Quantification_Config'!$R$7,'Quantification_Config'!$R$10,'Quantification_Config'!$R$13,'Quantification_Config'!$R$16)),'Quantification_Config'!$U$2),""),"")</x:f>
      </x:c>
    </x:row>
    <x:row r="190">
      <x:c r="A190" t="n">
        <x:v>1</x:v>
      </x:c>
      <x:c r="B190" t="n">
        <x:v>5</x:v>
      </x:c>
      <x:c r="C190"/>
      <x:c r="D190" t="n">
        <x:f>IF(('Quantification_Results'!A190&lt;&gt;1),"",IF(('Quantification_Results'!C190=""),IF(ISNUMBER('Quantification_Results'!B190),IF(('Quantification_Results'!B190&lt;'Quantification_Config'!$S$6),"",IF(('Quantification_Results'!B190&gt;'Quantification_Config'!$T$6),"",'Quantification_Results'!B190)),""),IF(ISNUMBER('Quantification_Results'!C190),IF(('Quantification_Results'!C190&lt;'Quantification_Config'!$S$6),"",IF(('Quantification_Results'!C190&gt;'Quantification_Config'!$T$6),"",'Quantification_Results'!C190)),"")))</x:f>
        <x:v>5</x:v>
      </x:c>
      <x:c r="E190" t="n">
        <x:f>IF(ISNUMBER('Quantification_Results'!D190),IFERROR(ROUND(((('Quantification_Results'!D190-'Quantification_Config'!$S$6)/('Quantification_Config'!$T$6-'Quantification_Config'!$S$6))*100),'Quantification_Config'!$U$2),""),"")</x:f>
        <x:v>50</x:v>
      </x:c>
      <x:c r="F190" t="inlineStr">
        <x:is>
          <x:t xml:space="preserve">SYSTEM-TEST-ONLY-NO-NETWORK-NOT-AN-EDUCATIONAL-EVALUATION</x:t>
        </x:is>
      </x:c>
      <x:c r="G190" t="inlineStr">
        <x:is>
          <x:t xml:space="preserve"/>
        </x:is>
      </x:c>
      <x:c r="H190" t="inlineStr">
        <x:is>
          <x:t xml:space="preserve">NONE</x:t>
        </x:is>
      </x:c>
      <x:c r="I190" t="inlineStr">
        <x:is>
          <x:t xml:space="preserve"/>
        </x:is>
      </x:c>
      <x:c r="J190" t="inlineStr">
        <x:is>
          <x:t xml:space="preserve">SUCCESS</x:t>
        </x:is>
      </x:c>
      <x:c r="K190" t="n">
        <x:f>IF((COUNT('Quantification_Results'!E190)=1),IFERROR(ROUND((SUM(('Quantification_Results'!E190*'Quantification_Config'!$R$6))/SUM('Quantification_Config'!$R$6)),'Quantification_Config'!$U$2),""),"")</x:f>
        <x:v>50</x:v>
      </x:c>
      <x:c r="L190" t="n">
        <x:f>IF((COUNT('Quantification_Results'!K190)=1),IFERROR(ROUND((SUM(('Quantification_Results'!K190*'Quantification_Config'!$R$5))/SUM('Quantification_Config'!$R$5)),'Quantification_Config'!$U$2),""),"")</x:f>
        <x:v>50</x:v>
      </x:c>
      <x:c r="M190" t="n">
        <x:v>1</x:v>
      </x:c>
      <x:c r="N190" t="n">
        <x:v>5</x:v>
      </x:c>
      <x:c r="O190"/>
      <x:c r="P190" t="n">
        <x:f>IF(('Quantification_Results'!M190&lt;&gt;1),"",IF(('Quantification_Results'!O190=""),IF(ISNUMBER('Quantification_Results'!N190),IF(('Quantification_Results'!N190&lt;'Quantification_Config'!$S$9),"",IF(('Quantification_Results'!N190&gt;'Quantification_Config'!$T$9),"",'Quantification_Results'!N190)),""),IF(ISNUMBER('Quantification_Results'!O190),IF(('Quantification_Results'!O190&lt;'Quantification_Config'!$S$9),"",IF(('Quantification_Results'!O190&gt;'Quantification_Config'!$T$9),"",'Quantification_Results'!O190)),"")))</x:f>
        <x:v>5</x:v>
      </x:c>
      <x:c r="Q190" t="n">
        <x:f>IF(ISNUMBER('Quantification_Results'!P190),IFERROR(ROUND(((('Quantification_Results'!P190-'Quantification_Config'!$S$9)/('Quantification_Config'!$T$9-'Quantification_Config'!$S$9))*100),'Quantification_Config'!$U$2),""),"")</x:f>
        <x:v>50</x:v>
      </x:c>
      <x:c r="R190" t="inlineStr">
        <x:is>
          <x:t xml:space="preserve">SYSTEM-TEST-ONLY-NO-NETWORK-NOT-AN-EDUCATIONAL-EVALUATION</x:t>
        </x:is>
      </x:c>
      <x:c r="S190" t="inlineStr">
        <x:is>
          <x:t xml:space="preserve"/>
        </x:is>
      </x:c>
      <x:c r="T190" t="inlineStr">
        <x:is>
          <x:t xml:space="preserve">NONE</x:t>
        </x:is>
      </x:c>
      <x:c r="U190" t="inlineStr">
        <x:is>
          <x:t xml:space="preserve"/>
        </x:is>
      </x:c>
      <x:c r="V190" t="inlineStr">
        <x:is>
          <x:t xml:space="preserve">SUCCESS</x:t>
        </x:is>
      </x:c>
      <x:c r="W190" t="n">
        <x:f>IF((COUNT('Quantification_Results'!Q190)=1),IFERROR(ROUND((SUM(('Quantification_Results'!Q190*'Quantification_Config'!$R$9))/SUM('Quantification_Config'!$R$9)),'Quantification_Config'!$U$2),""),"")</x:f>
        <x:v>50</x:v>
      </x:c>
      <x:c r="X190" t="n">
        <x:f>IF((COUNT('Quantification_Results'!W190)=1),IFERROR(ROUND((SUM(('Quantification_Results'!W190*'Quantification_Config'!$R$8))/SUM('Quantification_Config'!$R$8)),'Quantification_Config'!$U$2),""),"")</x:f>
        <x:v>50</x:v>
      </x:c>
      <x:c r="Y190" t="n">
        <x:v>0</x:v>
      </x:c>
      <x:c r="Z190"/>
      <x:c r="AA190"/>
      <x:c r="AB190">
        <x:f>IF(('Quantification_Results'!Y190&lt;&gt;1),"",IF(('Quantification_Results'!AA190=""),IF(ISNUMBER('Quantification_Results'!Z190),IF(('Quantification_Results'!Z190&lt;'Quantification_Config'!$S$12),"",IF(('Quantification_Results'!Z190&gt;'Quantification_Config'!$T$12),"",'Quantification_Results'!Z190)),""),IF(ISNUMBER('Quantification_Results'!AA190),IF(('Quantification_Results'!AA190&lt;'Quantification_Config'!$S$12),"",IF(('Quantification_Results'!AA190&gt;'Quantification_Config'!$T$12),"",'Quantification_Results'!AA190)),"")))</x:f>
      </x:c>
      <x:c r="AC190">
        <x:f>IF(ISNUMBER('Quantification_Results'!AB190),IFERROR(ROUND(((('Quantification_Results'!AB190-'Quantification_Config'!$S$12)/('Quantification_Config'!$T$12-'Quantification_Config'!$S$12))*100),'Quantification_Config'!$U$2),""),"")</x:f>
      </x:c>
      <x:c r="AD190" t="inlineStr">
        <x:is>
          <x:t xml:space="preserve"/>
        </x:is>
      </x:c>
      <x:c r="AE190" t="inlineStr">
        <x:is>
          <x:t xml:space="preserve"/>
        </x:is>
      </x:c>
      <x:c r="AF190" t="inlineStr">
        <x:is>
          <x:t xml:space="preserve"/>
        </x:is>
      </x:c>
      <x:c r="AG190" t="inlineStr">
        <x:is>
          <x:t xml:space="preserve"/>
        </x:is>
      </x:c>
      <x:c r="AH190" t="inlineStr">
        <x:is>
          <x:t xml:space="preserve">EMPTY</x:t>
        </x:is>
      </x:c>
      <x:c r="AI190">
        <x:f>IF((COUNT('Quantification_Results'!AC190)=1),IFERROR(ROUND((SUM(('Quantification_Results'!AC190*'Quantification_Config'!$R$12))/SUM('Quantification_Config'!$R$12)),'Quantification_Config'!$U$2),""),"")</x:f>
      </x:c>
      <x:c r="AJ190">
        <x:f>IF((COUNT('Quantification_Results'!AI190)=1),IFERROR(ROUND((SUM(('Quantification_Results'!AI190*'Quantification_Config'!$R$11))/SUM('Quantification_Config'!$R$11)),'Quantification_Config'!$U$2),""),"")</x:f>
      </x:c>
      <x:c r="AK190" t="n">
        <x:v>1</x:v>
      </x:c>
      <x:c r="AL190" t="n">
        <x:v>5</x:v>
      </x:c>
      <x:c r="AM190"/>
      <x:c r="AN190" t="n">
        <x:f>IF(('Quantification_Results'!AK190&lt;&gt;1),"",IF(('Quantification_Results'!AM190=""),IF(ISNUMBER('Quantification_Results'!AL190),IF(('Quantification_Results'!AL190&lt;'Quantification_Config'!$S$15),"",IF(('Quantification_Results'!AL190&gt;'Quantification_Config'!$T$15),"",'Quantification_Results'!AL190)),""),IF(ISNUMBER('Quantification_Results'!AM190),IF(('Quantification_Results'!AM190&lt;'Quantification_Config'!$S$15),"",IF(('Quantification_Results'!AM190&gt;'Quantification_Config'!$T$15),"",'Quantification_Results'!AM190)),"")))</x:f>
        <x:v>5</x:v>
      </x:c>
      <x:c r="AO190" t="n">
        <x:f>IF(ISNUMBER('Quantification_Results'!AN190),IFERROR(ROUND(((('Quantification_Results'!AN190-'Quantification_Config'!$S$15)/('Quantification_Config'!$T$15-'Quantification_Config'!$S$15))*100),'Quantification_Config'!$U$2),""),"")</x:f>
        <x:v>50</x:v>
      </x:c>
      <x:c r="AP190" t="inlineStr">
        <x:is>
          <x:t xml:space="preserve">SYSTEM-TEST-ONLY-NO-NETWORK-NOT-AN-EDUCATIONAL-EVALUATION</x:t>
        </x:is>
      </x:c>
      <x:c r="AQ190" t="inlineStr">
        <x:is>
          <x:t xml:space="preserve"/>
        </x:is>
      </x:c>
      <x:c r="AR190" t="inlineStr">
        <x:is>
          <x:t xml:space="preserve">NONE</x:t>
        </x:is>
      </x:c>
      <x:c r="AS190" t="inlineStr">
        <x:is>
          <x:t xml:space="preserve"/>
        </x:is>
      </x:c>
      <x:c r="AT190" t="inlineStr">
        <x:is>
          <x:t xml:space="preserve">SUCCESS</x:t>
        </x:is>
      </x:c>
      <x:c r="AU190" t="n">
        <x:f>IF((COUNT('Quantification_Results'!AO190)=1),IFERROR(ROUND((SUM(('Quantification_Results'!AO190*'Quantification_Config'!$R$15))/SUM('Quantification_Config'!$R$15)),'Quantification_Config'!$U$2),""),"")</x:f>
        <x:v>50</x:v>
      </x:c>
      <x:c r="AV190" t="n">
        <x:f>IF((COUNT('Quantification_Results'!AU190)=1),IFERROR(ROUND((SUM(('Quantification_Results'!AU190*'Quantification_Config'!$R$14))/SUM('Quantification_Config'!$R$14)),'Quantification_Config'!$U$2),""),"")</x:f>
        <x:v>50</x:v>
      </x:c>
      <x:c r="AW190" t="n">
        <x:v>1</x:v>
      </x:c>
      <x:c r="AX190" t="n">
        <x:v>5</x:v>
      </x:c>
      <x:c r="AY190"/>
      <x:c r="AZ190" t="n">
        <x:f>IF(('Quantification_Results'!AW190&lt;&gt;1),"",IF(('Quantification_Results'!AY190=""),IF(ISNUMBER('Quantification_Results'!AX190),IF(('Quantification_Results'!AX190&lt;'Quantification_Config'!$S$19),"",IF(('Quantification_Results'!AX190&gt;'Quantification_Config'!$T$19),"",'Quantification_Results'!AX190)),""),IF(ISNUMBER('Quantification_Results'!AY190),IF(('Quantification_Results'!AY190&lt;'Quantification_Config'!$S$19),"",IF(('Quantification_Results'!AY190&gt;'Quantification_Config'!$T$19),"",'Quantification_Results'!AY190)),"")))</x:f>
        <x:v>5</x:v>
      </x:c>
      <x:c r="BA190" t="n">
        <x:f>IF(ISNUMBER('Quantification_Results'!AZ190),IFERROR(ROUND(((('Quantification_Results'!AZ190-'Quantification_Config'!$S$19)/('Quantification_Config'!$T$19-'Quantification_Config'!$S$19))*100),'Quantification_Config'!$U$2),""),"")</x:f>
        <x:v>50</x:v>
      </x:c>
      <x:c r="BB190" t="inlineStr">
        <x:is>
          <x:t xml:space="preserve">SYSTEM-TEST-ONLY-NO-NETWORK-NOT-AN-EDUCATIONAL-EVALUATION</x:t>
        </x:is>
      </x:c>
      <x:c r="BC190" t="inlineStr">
        <x:is>
          <x:t xml:space="preserve"/>
        </x:is>
      </x:c>
      <x:c r="BD190" t="inlineStr">
        <x:is>
          <x:t xml:space="preserve">NONE</x:t>
        </x:is>
      </x:c>
      <x:c r="BE190" t="inlineStr">
        <x:is>
          <x:t xml:space="preserve"/>
        </x:is>
      </x:c>
      <x:c r="BF190" t="inlineStr">
        <x:is>
          <x:t xml:space="preserve">SUCCESS</x:t>
        </x:is>
      </x:c>
      <x:c r="BG190" t="n">
        <x:f>IF((COUNT('Quantification_Results'!BA190)=1),IFERROR(ROUND((SUM(('Quantification_Results'!BA190*'Quantification_Config'!$R$19))/SUM('Quantification_Config'!$R$19)),'Quantification_Config'!$U$2),""),"")</x:f>
        <x:v>50</x:v>
      </x:c>
      <x:c r="BH190" t="n">
        <x:f>IF((COUNT('Quantification_Results'!BG190)=1),IFERROR(ROUND((SUM(('Quantification_Results'!BG190*'Quantification_Config'!$R$18))/SUM('Quantification_Config'!$R$18)),'Quantification_Config'!$U$2),""),"")</x:f>
        <x:v>50</x:v>
      </x:c>
      <x:c r="BI190">
        <x:f>IF((COUNT('Quantification_Results'!L190,'Quantification_Results'!X190,'Quantification_Results'!AJ190,'Quantification_Results'!AV190,'Quantification_Results'!BH190)=5),IFERROR(ROUND((SUM(('Quantification_Results'!L190*'Quantification_Config'!$R$4),('Quantification_Results'!X190*'Quantification_Config'!$R$7),('Quantification_Results'!AJ190*'Quantification_Config'!$R$10),('Quantification_Results'!AV190*'Quantification_Config'!$R$13),('Quantification_Results'!BH190*'Quantification_Config'!$R$16))/SUM('Quantification_Config'!$R$4,'Quantification_Config'!$R$7,'Quantification_Config'!$R$10,'Quantification_Config'!$R$13,'Quantification_Config'!$R$16)),'Quantification_Config'!$U$2),""),"")</x:f>
      </x:c>
    </x:row>
    <x:row r="191">
      <x:c r="A191" t="n">
        <x:v>1</x:v>
      </x:c>
      <x:c r="B191" t="n">
        <x:v>5</x:v>
      </x:c>
      <x:c r="C191"/>
      <x:c r="D191" t="n">
        <x:f>IF(('Quantification_Results'!A191&lt;&gt;1),"",IF(('Quantification_Results'!C191=""),IF(ISNUMBER('Quantification_Results'!B191),IF(('Quantification_Results'!B191&lt;'Quantification_Config'!$S$6),"",IF(('Quantification_Results'!B191&gt;'Quantification_Config'!$T$6),"",'Quantification_Results'!B191)),""),IF(ISNUMBER('Quantification_Results'!C191),IF(('Quantification_Results'!C191&lt;'Quantification_Config'!$S$6),"",IF(('Quantification_Results'!C191&gt;'Quantification_Config'!$T$6),"",'Quantification_Results'!C191)),"")))</x:f>
        <x:v>5</x:v>
      </x:c>
      <x:c r="E191" t="n">
        <x:f>IF(ISNUMBER('Quantification_Results'!D191),IFERROR(ROUND(((('Quantification_Results'!D191-'Quantification_Config'!$S$6)/('Quantification_Config'!$T$6-'Quantification_Config'!$S$6))*100),'Quantification_Config'!$U$2),""),"")</x:f>
        <x:v>50</x:v>
      </x:c>
      <x:c r="F191" t="inlineStr">
        <x:is>
          <x:t xml:space="preserve">SYSTEM-TEST-ONLY-NO-NETWORK-NOT-AN-EDUCATIONAL-EVALUATION</x:t>
        </x:is>
      </x:c>
      <x:c r="G191" t="inlineStr">
        <x:is>
          <x:t xml:space="preserve"/>
        </x:is>
      </x:c>
      <x:c r="H191" t="inlineStr">
        <x:is>
          <x:t xml:space="preserve">NONE</x:t>
        </x:is>
      </x:c>
      <x:c r="I191" t="inlineStr">
        <x:is>
          <x:t xml:space="preserve"/>
        </x:is>
      </x:c>
      <x:c r="J191" t="inlineStr">
        <x:is>
          <x:t xml:space="preserve">SUCCESS</x:t>
        </x:is>
      </x:c>
      <x:c r="K191" t="n">
        <x:f>IF((COUNT('Quantification_Results'!E191)=1),IFERROR(ROUND((SUM(('Quantification_Results'!E191*'Quantification_Config'!$R$6))/SUM('Quantification_Config'!$R$6)),'Quantification_Config'!$U$2),""),"")</x:f>
        <x:v>50</x:v>
      </x:c>
      <x:c r="L191" t="n">
        <x:f>IF((COUNT('Quantification_Results'!K191)=1),IFERROR(ROUND((SUM(('Quantification_Results'!K191*'Quantification_Config'!$R$5))/SUM('Quantification_Config'!$R$5)),'Quantification_Config'!$U$2),""),"")</x:f>
        <x:v>50</x:v>
      </x:c>
      <x:c r="M191" t="n">
        <x:v>1</x:v>
      </x:c>
      <x:c r="N191" t="n">
        <x:v>5</x:v>
      </x:c>
      <x:c r="O191"/>
      <x:c r="P191" t="n">
        <x:f>IF(('Quantification_Results'!M191&lt;&gt;1),"",IF(('Quantification_Results'!O191=""),IF(ISNUMBER('Quantification_Results'!N191),IF(('Quantification_Results'!N191&lt;'Quantification_Config'!$S$9),"",IF(('Quantification_Results'!N191&gt;'Quantification_Config'!$T$9),"",'Quantification_Results'!N191)),""),IF(ISNUMBER('Quantification_Results'!O191),IF(('Quantification_Results'!O191&lt;'Quantification_Config'!$S$9),"",IF(('Quantification_Results'!O191&gt;'Quantification_Config'!$T$9),"",'Quantification_Results'!O191)),"")))</x:f>
        <x:v>5</x:v>
      </x:c>
      <x:c r="Q191" t="n">
        <x:f>IF(ISNUMBER('Quantification_Results'!P191),IFERROR(ROUND(((('Quantification_Results'!P191-'Quantification_Config'!$S$9)/('Quantification_Config'!$T$9-'Quantification_Config'!$S$9))*100),'Quantification_Config'!$U$2),""),"")</x:f>
        <x:v>50</x:v>
      </x:c>
      <x:c r="R191" t="inlineStr">
        <x:is>
          <x:t xml:space="preserve">SYSTEM-TEST-ONLY-NO-NETWORK-NOT-AN-EDUCATIONAL-EVALUATION</x:t>
        </x:is>
      </x:c>
      <x:c r="S191" t="inlineStr">
        <x:is>
          <x:t xml:space="preserve"/>
        </x:is>
      </x:c>
      <x:c r="T191" t="inlineStr">
        <x:is>
          <x:t xml:space="preserve">NONE</x:t>
        </x:is>
      </x:c>
      <x:c r="U191" t="inlineStr">
        <x:is>
          <x:t xml:space="preserve"/>
        </x:is>
      </x:c>
      <x:c r="V191" t="inlineStr">
        <x:is>
          <x:t xml:space="preserve">SUCCESS</x:t>
        </x:is>
      </x:c>
      <x:c r="W191" t="n">
        <x:f>IF((COUNT('Quantification_Results'!Q191)=1),IFERROR(ROUND((SUM(('Quantification_Results'!Q191*'Quantification_Config'!$R$9))/SUM('Quantification_Config'!$R$9)),'Quantification_Config'!$U$2),""),"")</x:f>
        <x:v>50</x:v>
      </x:c>
      <x:c r="X191" t="n">
        <x:f>IF((COUNT('Quantification_Results'!W191)=1),IFERROR(ROUND((SUM(('Quantification_Results'!W191*'Quantification_Config'!$R$8))/SUM('Quantification_Config'!$R$8)),'Quantification_Config'!$U$2),""),"")</x:f>
        <x:v>50</x:v>
      </x:c>
      <x:c r="Y191" t="n">
        <x:v>0</x:v>
      </x:c>
      <x:c r="Z191"/>
      <x:c r="AA191"/>
      <x:c r="AB191">
        <x:f>IF(('Quantification_Results'!Y191&lt;&gt;1),"",IF(('Quantification_Results'!AA191=""),IF(ISNUMBER('Quantification_Results'!Z191),IF(('Quantification_Results'!Z191&lt;'Quantification_Config'!$S$12),"",IF(('Quantification_Results'!Z191&gt;'Quantification_Config'!$T$12),"",'Quantification_Results'!Z191)),""),IF(ISNUMBER('Quantification_Results'!AA191),IF(('Quantification_Results'!AA191&lt;'Quantification_Config'!$S$12),"",IF(('Quantification_Results'!AA191&gt;'Quantification_Config'!$T$12),"",'Quantification_Results'!AA191)),"")))</x:f>
      </x:c>
      <x:c r="AC191">
        <x:f>IF(ISNUMBER('Quantification_Results'!AB191),IFERROR(ROUND(((('Quantification_Results'!AB191-'Quantification_Config'!$S$12)/('Quantification_Config'!$T$12-'Quantification_Config'!$S$12))*100),'Quantification_Config'!$U$2),""),"")</x:f>
      </x:c>
      <x:c r="AD191" t="inlineStr">
        <x:is>
          <x:t xml:space="preserve"/>
        </x:is>
      </x:c>
      <x:c r="AE191" t="inlineStr">
        <x:is>
          <x:t xml:space="preserve"/>
        </x:is>
      </x:c>
      <x:c r="AF191" t="inlineStr">
        <x:is>
          <x:t xml:space="preserve"/>
        </x:is>
      </x:c>
      <x:c r="AG191" t="inlineStr">
        <x:is>
          <x:t xml:space="preserve"/>
        </x:is>
      </x:c>
      <x:c r="AH191" t="inlineStr">
        <x:is>
          <x:t xml:space="preserve">EMPTY</x:t>
        </x:is>
      </x:c>
      <x:c r="AI191">
        <x:f>IF((COUNT('Quantification_Results'!AC191)=1),IFERROR(ROUND((SUM(('Quantification_Results'!AC191*'Quantification_Config'!$R$12))/SUM('Quantification_Config'!$R$12)),'Quantification_Config'!$U$2),""),"")</x:f>
      </x:c>
      <x:c r="AJ191">
        <x:f>IF((COUNT('Quantification_Results'!AI191)=1),IFERROR(ROUND((SUM(('Quantification_Results'!AI191*'Quantification_Config'!$R$11))/SUM('Quantification_Config'!$R$11)),'Quantification_Config'!$U$2),""),"")</x:f>
      </x:c>
      <x:c r="AK191" t="n">
        <x:v>1</x:v>
      </x:c>
      <x:c r="AL191" t="n">
        <x:v>5</x:v>
      </x:c>
      <x:c r="AM191"/>
      <x:c r="AN191" t="n">
        <x:f>IF(('Quantification_Results'!AK191&lt;&gt;1),"",IF(('Quantification_Results'!AM191=""),IF(ISNUMBER('Quantification_Results'!AL191),IF(('Quantification_Results'!AL191&lt;'Quantification_Config'!$S$15),"",IF(('Quantification_Results'!AL191&gt;'Quantification_Config'!$T$15),"",'Quantification_Results'!AL191)),""),IF(ISNUMBER('Quantification_Results'!AM191),IF(('Quantification_Results'!AM191&lt;'Quantification_Config'!$S$15),"",IF(('Quantification_Results'!AM191&gt;'Quantification_Config'!$T$15),"",'Quantification_Results'!AM191)),"")))</x:f>
        <x:v>5</x:v>
      </x:c>
      <x:c r="AO191" t="n">
        <x:f>IF(ISNUMBER('Quantification_Results'!AN191),IFERROR(ROUND(((('Quantification_Results'!AN191-'Quantification_Config'!$S$15)/('Quantification_Config'!$T$15-'Quantification_Config'!$S$15))*100),'Quantification_Config'!$U$2),""),"")</x:f>
        <x:v>50</x:v>
      </x:c>
      <x:c r="AP191" t="inlineStr">
        <x:is>
          <x:t xml:space="preserve">SYSTEM-TEST-ONLY-NO-NETWORK-NOT-AN-EDUCATIONAL-EVALUATION</x:t>
        </x:is>
      </x:c>
      <x:c r="AQ191" t="inlineStr">
        <x:is>
          <x:t xml:space="preserve"/>
        </x:is>
      </x:c>
      <x:c r="AR191" t="inlineStr">
        <x:is>
          <x:t xml:space="preserve">NONE</x:t>
        </x:is>
      </x:c>
      <x:c r="AS191" t="inlineStr">
        <x:is>
          <x:t xml:space="preserve"/>
        </x:is>
      </x:c>
      <x:c r="AT191" t="inlineStr">
        <x:is>
          <x:t xml:space="preserve">SUCCESS</x:t>
        </x:is>
      </x:c>
      <x:c r="AU191" t="n">
        <x:f>IF((COUNT('Quantification_Results'!AO191)=1),IFERROR(ROUND((SUM(('Quantification_Results'!AO191*'Quantification_Config'!$R$15))/SUM('Quantification_Config'!$R$15)),'Quantification_Config'!$U$2),""),"")</x:f>
        <x:v>50</x:v>
      </x:c>
      <x:c r="AV191" t="n">
        <x:f>IF((COUNT('Quantification_Results'!AU191)=1),IFERROR(ROUND((SUM(('Quantification_Results'!AU191*'Quantification_Config'!$R$14))/SUM('Quantification_Config'!$R$14)),'Quantification_Config'!$U$2),""),"")</x:f>
        <x:v>50</x:v>
      </x:c>
      <x:c r="AW191" t="n">
        <x:v>0</x:v>
      </x:c>
      <x:c r="AX191"/>
      <x:c r="AY191"/>
      <x:c r="AZ191">
        <x:f>IF(('Quantification_Results'!AW191&lt;&gt;1),"",IF(('Quantification_Results'!AY191=""),IF(ISNUMBER('Quantification_Results'!AX191),IF(('Quantification_Results'!AX191&lt;'Quantification_Config'!$S$19),"",IF(('Quantification_Results'!AX191&gt;'Quantification_Config'!$T$19),"",'Quantification_Results'!AX191)),""),IF(ISNUMBER('Quantification_Results'!AY191),IF(('Quantification_Results'!AY191&lt;'Quantification_Config'!$S$19),"",IF(('Quantification_Results'!AY191&gt;'Quantification_Config'!$T$19),"",'Quantification_Results'!AY191)),"")))</x:f>
      </x:c>
      <x:c r="BA191">
        <x:f>IF(ISNUMBER('Quantification_Results'!AZ191),IFERROR(ROUND(((('Quantification_Results'!AZ191-'Quantification_Config'!$S$19)/('Quantification_Config'!$T$19-'Quantification_Config'!$S$19))*100),'Quantification_Config'!$U$2),""),"")</x:f>
      </x:c>
      <x:c r="BB191" t="inlineStr">
        <x:is>
          <x:t xml:space="preserve"/>
        </x:is>
      </x:c>
      <x:c r="BC191" t="inlineStr">
        <x:is>
          <x:t xml:space="preserve"/>
        </x:is>
      </x:c>
      <x:c r="BD191" t="inlineStr">
        <x:is>
          <x:t xml:space="preserve"/>
        </x:is>
      </x:c>
      <x:c r="BE191" t="inlineStr">
        <x:is>
          <x:t xml:space="preserve"/>
        </x:is>
      </x:c>
      <x:c r="BF191" t="inlineStr">
        <x:is>
          <x:t xml:space="preserve">EMPTY</x:t>
        </x:is>
      </x:c>
      <x:c r="BG191">
        <x:f>IF((COUNT('Quantification_Results'!BA191)=1),IFERROR(ROUND((SUM(('Quantification_Results'!BA191*'Quantification_Config'!$R$19))/SUM('Quantification_Config'!$R$19)),'Quantification_Config'!$U$2),""),"")</x:f>
      </x:c>
      <x:c r="BH191">
        <x:f>IF((COUNT('Quantification_Results'!BG191)=1),IFERROR(ROUND((SUM(('Quantification_Results'!BG191*'Quantification_Config'!$R$18))/SUM('Quantification_Config'!$R$18)),'Quantification_Config'!$U$2),""),"")</x:f>
      </x:c>
      <x:c r="BI191">
        <x:f>IF((COUNT('Quantification_Results'!L191,'Quantification_Results'!X191,'Quantification_Results'!AJ191,'Quantification_Results'!AV191,'Quantification_Results'!BH191)=5),IFERROR(ROUND((SUM(('Quantification_Results'!L191*'Quantification_Config'!$R$4),('Quantification_Results'!X191*'Quantification_Config'!$R$7),('Quantification_Results'!AJ191*'Quantification_Config'!$R$10),('Quantification_Results'!AV191*'Quantification_Config'!$R$13),('Quantification_Results'!BH191*'Quantification_Config'!$R$16))/SUM('Quantification_Config'!$R$4,'Quantification_Config'!$R$7,'Quantification_Config'!$R$10,'Quantification_Config'!$R$13,'Quantification_Config'!$R$16)),'Quantification_Config'!$U$2),""),"")</x:f>
      </x:c>
    </x:row>
    <x:row r="192">
      <x:c r="A192" t="n">
        <x:v>1</x:v>
      </x:c>
      <x:c r="B192" t="n">
        <x:v>5</x:v>
      </x:c>
      <x:c r="C192"/>
      <x:c r="D192" t="n">
        <x:f>IF(('Quantification_Results'!A192&lt;&gt;1),"",IF(('Quantification_Results'!C192=""),IF(ISNUMBER('Quantification_Results'!B192),IF(('Quantification_Results'!B192&lt;'Quantification_Config'!$S$6),"",IF(('Quantification_Results'!B192&gt;'Quantification_Config'!$T$6),"",'Quantification_Results'!B192)),""),IF(ISNUMBER('Quantification_Results'!C192),IF(('Quantification_Results'!C192&lt;'Quantification_Config'!$S$6),"",IF(('Quantification_Results'!C192&gt;'Quantification_Config'!$T$6),"",'Quantification_Results'!C192)),"")))</x:f>
        <x:v>5</x:v>
      </x:c>
      <x:c r="E192" t="n">
        <x:f>IF(ISNUMBER('Quantification_Results'!D192),IFERROR(ROUND(((('Quantification_Results'!D192-'Quantification_Config'!$S$6)/('Quantification_Config'!$T$6-'Quantification_Config'!$S$6))*100),'Quantification_Config'!$U$2),""),"")</x:f>
        <x:v>50</x:v>
      </x:c>
      <x:c r="F192" t="inlineStr">
        <x:is>
          <x:t xml:space="preserve">SYSTEM-TEST-ONLY-NO-NETWORK-NOT-AN-EDUCATIONAL-EVALUATION</x:t>
        </x:is>
      </x:c>
      <x:c r="G192" t="inlineStr">
        <x:is>
          <x:t xml:space="preserve"/>
        </x:is>
      </x:c>
      <x:c r="H192" t="inlineStr">
        <x:is>
          <x:t xml:space="preserve">NONE</x:t>
        </x:is>
      </x:c>
      <x:c r="I192" t="inlineStr">
        <x:is>
          <x:t xml:space="preserve"/>
        </x:is>
      </x:c>
      <x:c r="J192" t="inlineStr">
        <x:is>
          <x:t xml:space="preserve">SUCCESS</x:t>
        </x:is>
      </x:c>
      <x:c r="K192" t="n">
        <x:f>IF((COUNT('Quantification_Results'!E192)=1),IFERROR(ROUND((SUM(('Quantification_Results'!E192*'Quantification_Config'!$R$6))/SUM('Quantification_Config'!$R$6)),'Quantification_Config'!$U$2),""),"")</x:f>
        <x:v>50</x:v>
      </x:c>
      <x:c r="L192" t="n">
        <x:f>IF((COUNT('Quantification_Results'!K192)=1),IFERROR(ROUND((SUM(('Quantification_Results'!K192*'Quantification_Config'!$R$5))/SUM('Quantification_Config'!$R$5)),'Quantification_Config'!$U$2),""),"")</x:f>
        <x:v>50</x:v>
      </x:c>
      <x:c r="M192" t="n">
        <x:v>1</x:v>
      </x:c>
      <x:c r="N192" t="n">
        <x:v>5</x:v>
      </x:c>
      <x:c r="O192"/>
      <x:c r="P192" t="n">
        <x:f>IF(('Quantification_Results'!M192&lt;&gt;1),"",IF(('Quantification_Results'!O192=""),IF(ISNUMBER('Quantification_Results'!N192),IF(('Quantification_Results'!N192&lt;'Quantification_Config'!$S$9),"",IF(('Quantification_Results'!N192&gt;'Quantification_Config'!$T$9),"",'Quantification_Results'!N192)),""),IF(ISNUMBER('Quantification_Results'!O192),IF(('Quantification_Results'!O192&lt;'Quantification_Config'!$S$9),"",IF(('Quantification_Results'!O192&gt;'Quantification_Config'!$T$9),"",'Quantification_Results'!O192)),"")))</x:f>
        <x:v>5</x:v>
      </x:c>
      <x:c r="Q192" t="n">
        <x:f>IF(ISNUMBER('Quantification_Results'!P192),IFERROR(ROUND(((('Quantification_Results'!P192-'Quantification_Config'!$S$9)/('Quantification_Config'!$T$9-'Quantification_Config'!$S$9))*100),'Quantification_Config'!$U$2),""),"")</x:f>
        <x:v>50</x:v>
      </x:c>
      <x:c r="R192" t="inlineStr">
        <x:is>
          <x:t xml:space="preserve">SYSTEM-TEST-ONLY-NO-NETWORK-NOT-AN-EDUCATIONAL-EVALUATION</x:t>
        </x:is>
      </x:c>
      <x:c r="S192" t="inlineStr">
        <x:is>
          <x:t xml:space="preserve"/>
        </x:is>
      </x:c>
      <x:c r="T192" t="inlineStr">
        <x:is>
          <x:t xml:space="preserve">NONE</x:t>
        </x:is>
      </x:c>
      <x:c r="U192" t="inlineStr">
        <x:is>
          <x:t xml:space="preserve"/>
        </x:is>
      </x:c>
      <x:c r="V192" t="inlineStr">
        <x:is>
          <x:t xml:space="preserve">SUCCESS</x:t>
        </x:is>
      </x:c>
      <x:c r="W192" t="n">
        <x:f>IF((COUNT('Quantification_Results'!Q192)=1),IFERROR(ROUND((SUM(('Quantification_Results'!Q192*'Quantification_Config'!$R$9))/SUM('Quantification_Config'!$R$9)),'Quantification_Config'!$U$2),""),"")</x:f>
        <x:v>50</x:v>
      </x:c>
      <x:c r="X192" t="n">
        <x:f>IF((COUNT('Quantification_Results'!W192)=1),IFERROR(ROUND((SUM(('Quantification_Results'!W192*'Quantification_Config'!$R$8))/SUM('Quantification_Config'!$R$8)),'Quantification_Config'!$U$2),""),"")</x:f>
        <x:v>50</x:v>
      </x:c>
      <x:c r="Y192" t="n">
        <x:v>0</x:v>
      </x:c>
      <x:c r="Z192"/>
      <x:c r="AA192"/>
      <x:c r="AB192">
        <x:f>IF(('Quantification_Results'!Y192&lt;&gt;1),"",IF(('Quantification_Results'!AA192=""),IF(ISNUMBER('Quantification_Results'!Z192),IF(('Quantification_Results'!Z192&lt;'Quantification_Config'!$S$12),"",IF(('Quantification_Results'!Z192&gt;'Quantification_Config'!$T$12),"",'Quantification_Results'!Z192)),""),IF(ISNUMBER('Quantification_Results'!AA192),IF(('Quantification_Results'!AA192&lt;'Quantification_Config'!$S$12),"",IF(('Quantification_Results'!AA192&gt;'Quantification_Config'!$T$12),"",'Quantification_Results'!AA192)),"")))</x:f>
      </x:c>
      <x:c r="AC192">
        <x:f>IF(ISNUMBER('Quantification_Results'!AB192),IFERROR(ROUND(((('Quantification_Results'!AB192-'Quantification_Config'!$S$12)/('Quantification_Config'!$T$12-'Quantification_Config'!$S$12))*100),'Quantification_Config'!$U$2),""),"")</x:f>
      </x:c>
      <x:c r="AD192" t="inlineStr">
        <x:is>
          <x:t xml:space="preserve"/>
        </x:is>
      </x:c>
      <x:c r="AE192" t="inlineStr">
        <x:is>
          <x:t xml:space="preserve"/>
        </x:is>
      </x:c>
      <x:c r="AF192" t="inlineStr">
        <x:is>
          <x:t xml:space="preserve"/>
        </x:is>
      </x:c>
      <x:c r="AG192" t="inlineStr">
        <x:is>
          <x:t xml:space="preserve"/>
        </x:is>
      </x:c>
      <x:c r="AH192" t="inlineStr">
        <x:is>
          <x:t xml:space="preserve">EMPTY</x:t>
        </x:is>
      </x:c>
      <x:c r="AI192">
        <x:f>IF((COUNT('Quantification_Results'!AC192)=1),IFERROR(ROUND((SUM(('Quantification_Results'!AC192*'Quantification_Config'!$R$12))/SUM('Quantification_Config'!$R$12)),'Quantification_Config'!$U$2),""),"")</x:f>
      </x:c>
      <x:c r="AJ192">
        <x:f>IF((COUNT('Quantification_Results'!AI192)=1),IFERROR(ROUND((SUM(('Quantification_Results'!AI192*'Quantification_Config'!$R$11))/SUM('Quantification_Config'!$R$11)),'Quantification_Config'!$U$2),""),"")</x:f>
      </x:c>
      <x:c r="AK192" t="n">
        <x:v>1</x:v>
      </x:c>
      <x:c r="AL192" t="n">
        <x:v>5</x:v>
      </x:c>
      <x:c r="AM192"/>
      <x:c r="AN192" t="n">
        <x:f>IF(('Quantification_Results'!AK192&lt;&gt;1),"",IF(('Quantification_Results'!AM192=""),IF(ISNUMBER('Quantification_Results'!AL192),IF(('Quantification_Results'!AL192&lt;'Quantification_Config'!$S$15),"",IF(('Quantification_Results'!AL192&gt;'Quantification_Config'!$T$15),"",'Quantification_Results'!AL192)),""),IF(ISNUMBER('Quantification_Results'!AM192),IF(('Quantification_Results'!AM192&lt;'Quantification_Config'!$S$15),"",IF(('Quantification_Results'!AM192&gt;'Quantification_Config'!$T$15),"",'Quantification_Results'!AM192)),"")))</x:f>
        <x:v>5</x:v>
      </x:c>
      <x:c r="AO192" t="n">
        <x:f>IF(ISNUMBER('Quantification_Results'!AN192),IFERROR(ROUND(((('Quantification_Results'!AN192-'Quantification_Config'!$S$15)/('Quantification_Config'!$T$15-'Quantification_Config'!$S$15))*100),'Quantification_Config'!$U$2),""),"")</x:f>
        <x:v>50</x:v>
      </x:c>
      <x:c r="AP192" t="inlineStr">
        <x:is>
          <x:t xml:space="preserve">SYSTEM-TEST-ONLY-NO-NETWORK-NOT-AN-EDUCATIONAL-EVALUATION</x:t>
        </x:is>
      </x:c>
      <x:c r="AQ192" t="inlineStr">
        <x:is>
          <x:t xml:space="preserve"/>
        </x:is>
      </x:c>
      <x:c r="AR192" t="inlineStr">
        <x:is>
          <x:t xml:space="preserve">NONE</x:t>
        </x:is>
      </x:c>
      <x:c r="AS192" t="inlineStr">
        <x:is>
          <x:t xml:space="preserve"/>
        </x:is>
      </x:c>
      <x:c r="AT192" t="inlineStr">
        <x:is>
          <x:t xml:space="preserve">SUCCESS</x:t>
        </x:is>
      </x:c>
      <x:c r="AU192" t="n">
        <x:f>IF((COUNT('Quantification_Results'!AO192)=1),IFERROR(ROUND((SUM(('Quantification_Results'!AO192*'Quantification_Config'!$R$15))/SUM('Quantification_Config'!$R$15)),'Quantification_Config'!$U$2),""),"")</x:f>
        <x:v>50</x:v>
      </x:c>
      <x:c r="AV192" t="n">
        <x:f>IF((COUNT('Quantification_Results'!AU192)=1),IFERROR(ROUND((SUM(('Quantification_Results'!AU192*'Quantification_Config'!$R$14))/SUM('Quantification_Config'!$R$14)),'Quantification_Config'!$U$2),""),"")</x:f>
        <x:v>50</x:v>
      </x:c>
      <x:c r="AW192" t="n">
        <x:v>1</x:v>
      </x:c>
      <x:c r="AX192" t="n">
        <x:v>5</x:v>
      </x:c>
      <x:c r="AY192"/>
      <x:c r="AZ192" t="n">
        <x:f>IF(('Quantification_Results'!AW192&lt;&gt;1),"",IF(('Quantification_Results'!AY192=""),IF(ISNUMBER('Quantification_Results'!AX192),IF(('Quantification_Results'!AX192&lt;'Quantification_Config'!$S$19),"",IF(('Quantification_Results'!AX192&gt;'Quantification_Config'!$T$19),"",'Quantification_Results'!AX192)),""),IF(ISNUMBER('Quantification_Results'!AY192),IF(('Quantification_Results'!AY192&lt;'Quantification_Config'!$S$19),"",IF(('Quantification_Results'!AY192&gt;'Quantification_Config'!$T$19),"",'Quantification_Results'!AY192)),"")))</x:f>
        <x:v>5</x:v>
      </x:c>
      <x:c r="BA192" t="n">
        <x:f>IF(ISNUMBER('Quantification_Results'!AZ192),IFERROR(ROUND(((('Quantification_Results'!AZ192-'Quantification_Config'!$S$19)/('Quantification_Config'!$T$19-'Quantification_Config'!$S$19))*100),'Quantification_Config'!$U$2),""),"")</x:f>
        <x:v>50</x:v>
      </x:c>
      <x:c r="BB192" t="inlineStr">
        <x:is>
          <x:t xml:space="preserve">SYSTEM-TEST-ONLY-NO-NETWORK-NOT-AN-EDUCATIONAL-EVALUATION</x:t>
        </x:is>
      </x:c>
      <x:c r="BC192" t="inlineStr">
        <x:is>
          <x:t xml:space="preserve"/>
        </x:is>
      </x:c>
      <x:c r="BD192" t="inlineStr">
        <x:is>
          <x:t xml:space="preserve">NONE</x:t>
        </x:is>
      </x:c>
      <x:c r="BE192" t="inlineStr">
        <x:is>
          <x:t xml:space="preserve"/>
        </x:is>
      </x:c>
      <x:c r="BF192" t="inlineStr">
        <x:is>
          <x:t xml:space="preserve">SUCCESS</x:t>
        </x:is>
      </x:c>
      <x:c r="BG192" t="n">
        <x:f>IF((COUNT('Quantification_Results'!BA192)=1),IFERROR(ROUND((SUM(('Quantification_Results'!BA192*'Quantification_Config'!$R$19))/SUM('Quantification_Config'!$R$19)),'Quantification_Config'!$U$2),""),"")</x:f>
        <x:v>50</x:v>
      </x:c>
      <x:c r="BH192" t="n">
        <x:f>IF((COUNT('Quantification_Results'!BG192)=1),IFERROR(ROUND((SUM(('Quantification_Results'!BG192*'Quantification_Config'!$R$18))/SUM('Quantification_Config'!$R$18)),'Quantification_Config'!$U$2),""),"")</x:f>
        <x:v>50</x:v>
      </x:c>
      <x:c r="BI192">
        <x:f>IF((COUNT('Quantification_Results'!L192,'Quantification_Results'!X192,'Quantification_Results'!AJ192,'Quantification_Results'!AV192,'Quantification_Results'!BH192)=5),IFERROR(ROUND((SUM(('Quantification_Results'!L192*'Quantification_Config'!$R$4),('Quantification_Results'!X192*'Quantification_Config'!$R$7),('Quantification_Results'!AJ192*'Quantification_Config'!$R$10),('Quantification_Results'!AV192*'Quantification_Config'!$R$13),('Quantification_Results'!BH192*'Quantification_Config'!$R$16))/SUM('Quantification_Config'!$R$4,'Quantification_Config'!$R$7,'Quantification_Config'!$R$10,'Quantification_Config'!$R$13,'Quantification_Config'!$R$16)),'Quantification_Config'!$U$2),""),"")</x:f>
      </x:c>
    </x:row>
    <x:row r="193">
      <x:c r="A193" t="n">
        <x:v>1</x:v>
      </x:c>
      <x:c r="B193" t="n">
        <x:v>5</x:v>
      </x:c>
      <x:c r="C193"/>
      <x:c r="D193" t="n">
        <x:f>IF(('Quantification_Results'!A193&lt;&gt;1),"",IF(('Quantification_Results'!C193=""),IF(ISNUMBER('Quantification_Results'!B193),IF(('Quantification_Results'!B193&lt;'Quantification_Config'!$S$6),"",IF(('Quantification_Results'!B193&gt;'Quantification_Config'!$T$6),"",'Quantification_Results'!B193)),""),IF(ISNUMBER('Quantification_Results'!C193),IF(('Quantification_Results'!C193&lt;'Quantification_Config'!$S$6),"",IF(('Quantification_Results'!C193&gt;'Quantification_Config'!$T$6),"",'Quantification_Results'!C193)),"")))</x:f>
        <x:v>5</x:v>
      </x:c>
      <x:c r="E193" t="n">
        <x:f>IF(ISNUMBER('Quantification_Results'!D193),IFERROR(ROUND(((('Quantification_Results'!D193-'Quantification_Config'!$S$6)/('Quantification_Config'!$T$6-'Quantification_Config'!$S$6))*100),'Quantification_Config'!$U$2),""),"")</x:f>
        <x:v>50</x:v>
      </x:c>
      <x:c r="F193" t="inlineStr">
        <x:is>
          <x:t xml:space="preserve">SYSTEM-TEST-ONLY-NO-NETWORK-NOT-AN-EDUCATIONAL-EVALUATION</x:t>
        </x:is>
      </x:c>
      <x:c r="G193" t="inlineStr">
        <x:is>
          <x:t xml:space="preserve"/>
        </x:is>
      </x:c>
      <x:c r="H193" t="inlineStr">
        <x:is>
          <x:t xml:space="preserve">NONE</x:t>
        </x:is>
      </x:c>
      <x:c r="I193" t="inlineStr">
        <x:is>
          <x:t xml:space="preserve"/>
        </x:is>
      </x:c>
      <x:c r="J193" t="inlineStr">
        <x:is>
          <x:t xml:space="preserve">SUCCESS</x:t>
        </x:is>
      </x:c>
      <x:c r="K193" t="n">
        <x:f>IF((COUNT('Quantification_Results'!E193)=1),IFERROR(ROUND((SUM(('Quantification_Results'!E193*'Quantification_Config'!$R$6))/SUM('Quantification_Config'!$R$6)),'Quantification_Config'!$U$2),""),"")</x:f>
        <x:v>50</x:v>
      </x:c>
      <x:c r="L193" t="n">
        <x:f>IF((COUNT('Quantification_Results'!K193)=1),IFERROR(ROUND((SUM(('Quantification_Results'!K193*'Quantification_Config'!$R$5))/SUM('Quantification_Config'!$R$5)),'Quantification_Config'!$U$2),""),"")</x:f>
        <x:v>50</x:v>
      </x:c>
      <x:c r="M193" t="n">
        <x:v>1</x:v>
      </x:c>
      <x:c r="N193" t="n">
        <x:v>5</x:v>
      </x:c>
      <x:c r="O193"/>
      <x:c r="P193" t="n">
        <x:f>IF(('Quantification_Results'!M193&lt;&gt;1),"",IF(('Quantification_Results'!O193=""),IF(ISNUMBER('Quantification_Results'!N193),IF(('Quantification_Results'!N193&lt;'Quantification_Config'!$S$9),"",IF(('Quantification_Results'!N193&gt;'Quantification_Config'!$T$9),"",'Quantification_Results'!N193)),""),IF(ISNUMBER('Quantification_Results'!O193),IF(('Quantification_Results'!O193&lt;'Quantification_Config'!$S$9),"",IF(('Quantification_Results'!O193&gt;'Quantification_Config'!$T$9),"",'Quantification_Results'!O193)),"")))</x:f>
        <x:v>5</x:v>
      </x:c>
      <x:c r="Q193" t="n">
        <x:f>IF(ISNUMBER('Quantification_Results'!P193),IFERROR(ROUND(((('Quantification_Results'!P193-'Quantification_Config'!$S$9)/('Quantification_Config'!$T$9-'Quantification_Config'!$S$9))*100),'Quantification_Config'!$U$2),""),"")</x:f>
        <x:v>50</x:v>
      </x:c>
      <x:c r="R193" t="inlineStr">
        <x:is>
          <x:t xml:space="preserve">SYSTEM-TEST-ONLY-NO-NETWORK-NOT-AN-EDUCATIONAL-EVALUATION</x:t>
        </x:is>
      </x:c>
      <x:c r="S193" t="inlineStr">
        <x:is>
          <x:t xml:space="preserve"/>
        </x:is>
      </x:c>
      <x:c r="T193" t="inlineStr">
        <x:is>
          <x:t xml:space="preserve">NONE</x:t>
        </x:is>
      </x:c>
      <x:c r="U193" t="inlineStr">
        <x:is>
          <x:t xml:space="preserve"/>
        </x:is>
      </x:c>
      <x:c r="V193" t="inlineStr">
        <x:is>
          <x:t xml:space="preserve">SUCCESS</x:t>
        </x:is>
      </x:c>
      <x:c r="W193" t="n">
        <x:f>IF((COUNT('Quantification_Results'!Q193)=1),IFERROR(ROUND((SUM(('Quantification_Results'!Q193*'Quantification_Config'!$R$9))/SUM('Quantification_Config'!$R$9)),'Quantification_Config'!$U$2),""),"")</x:f>
        <x:v>50</x:v>
      </x:c>
      <x:c r="X193" t="n">
        <x:f>IF((COUNT('Quantification_Results'!W193)=1),IFERROR(ROUND((SUM(('Quantification_Results'!W193*'Quantification_Config'!$R$8))/SUM('Quantification_Config'!$R$8)),'Quantification_Config'!$U$2),""),"")</x:f>
        <x:v>50</x:v>
      </x:c>
      <x:c r="Y193" t="n">
        <x:v>1</x:v>
      </x:c>
      <x:c r="Z193" t="n">
        <x:v>5</x:v>
      </x:c>
      <x:c r="AA193"/>
      <x:c r="AB193" t="n">
        <x:f>IF(('Quantification_Results'!Y193&lt;&gt;1),"",IF(('Quantification_Results'!AA193=""),IF(ISNUMBER('Quantification_Results'!Z193),IF(('Quantification_Results'!Z193&lt;'Quantification_Config'!$S$12),"",IF(('Quantification_Results'!Z193&gt;'Quantification_Config'!$T$12),"",'Quantification_Results'!Z193)),""),IF(ISNUMBER('Quantification_Results'!AA193),IF(('Quantification_Results'!AA193&lt;'Quantification_Config'!$S$12),"",IF(('Quantification_Results'!AA193&gt;'Quantification_Config'!$T$12),"",'Quantification_Results'!AA193)),"")))</x:f>
        <x:v>5</x:v>
      </x:c>
      <x:c r="AC193" t="n">
        <x:f>IF(ISNUMBER('Quantification_Results'!AB193),IFERROR(ROUND(((('Quantification_Results'!AB193-'Quantification_Config'!$S$12)/('Quantification_Config'!$T$12-'Quantification_Config'!$S$12))*100),'Quantification_Config'!$U$2),""),"")</x:f>
        <x:v>50</x:v>
      </x:c>
      <x:c r="AD193" t="inlineStr">
        <x:is>
          <x:t xml:space="preserve">SYSTEM-TEST-ONLY-NO-NETWORK-NOT-AN-EDUCATIONAL-EVALUATION</x:t>
        </x:is>
      </x:c>
      <x:c r="AE193" t="inlineStr">
        <x:is>
          <x:t xml:space="preserve"/>
        </x:is>
      </x:c>
      <x:c r="AF193" t="inlineStr">
        <x:is>
          <x:t xml:space="preserve">NONE</x:t>
        </x:is>
      </x:c>
      <x:c r="AG193" t="inlineStr">
        <x:is>
          <x:t xml:space="preserve"/>
        </x:is>
      </x:c>
      <x:c r="AH193" t="inlineStr">
        <x:is>
          <x:t xml:space="preserve">SUCCESS</x:t>
        </x:is>
      </x:c>
      <x:c r="AI193" t="n">
        <x:f>IF((COUNT('Quantification_Results'!AC193)=1),IFERROR(ROUND((SUM(('Quantification_Results'!AC193*'Quantification_Config'!$R$12))/SUM('Quantification_Config'!$R$12)),'Quantification_Config'!$U$2),""),"")</x:f>
        <x:v>50</x:v>
      </x:c>
      <x:c r="AJ193" t="n">
        <x:f>IF((COUNT('Quantification_Results'!AI193)=1),IFERROR(ROUND((SUM(('Quantification_Results'!AI193*'Quantification_Config'!$R$11))/SUM('Quantification_Config'!$R$11)),'Quantification_Config'!$U$2),""),"")</x:f>
        <x:v>50</x:v>
      </x:c>
      <x:c r="AK193" t="n">
        <x:v>1</x:v>
      </x:c>
      <x:c r="AL193" t="n">
        <x:v>5</x:v>
      </x:c>
      <x:c r="AM193"/>
      <x:c r="AN193" t="n">
        <x:f>IF(('Quantification_Results'!AK193&lt;&gt;1),"",IF(('Quantification_Results'!AM193=""),IF(ISNUMBER('Quantification_Results'!AL193),IF(('Quantification_Results'!AL193&lt;'Quantification_Config'!$S$15),"",IF(('Quantification_Results'!AL193&gt;'Quantification_Config'!$T$15),"",'Quantification_Results'!AL193)),""),IF(ISNUMBER('Quantification_Results'!AM193),IF(('Quantification_Results'!AM193&lt;'Quantification_Config'!$S$15),"",IF(('Quantification_Results'!AM193&gt;'Quantification_Config'!$T$15),"",'Quantification_Results'!AM193)),"")))</x:f>
        <x:v>5</x:v>
      </x:c>
      <x:c r="AO193" t="n">
        <x:f>IF(ISNUMBER('Quantification_Results'!AN193),IFERROR(ROUND(((('Quantification_Results'!AN193-'Quantification_Config'!$S$15)/('Quantification_Config'!$T$15-'Quantification_Config'!$S$15))*100),'Quantification_Config'!$U$2),""),"")</x:f>
        <x:v>50</x:v>
      </x:c>
      <x:c r="AP193" t="inlineStr">
        <x:is>
          <x:t xml:space="preserve">SYSTEM-TEST-ONLY-NO-NETWORK-NOT-AN-EDUCATIONAL-EVALUATION</x:t>
        </x:is>
      </x:c>
      <x:c r="AQ193" t="inlineStr">
        <x:is>
          <x:t xml:space="preserve"/>
        </x:is>
      </x:c>
      <x:c r="AR193" t="inlineStr">
        <x:is>
          <x:t xml:space="preserve">NONE</x:t>
        </x:is>
      </x:c>
      <x:c r="AS193" t="inlineStr">
        <x:is>
          <x:t xml:space="preserve"/>
        </x:is>
      </x:c>
      <x:c r="AT193" t="inlineStr">
        <x:is>
          <x:t xml:space="preserve">SUCCESS</x:t>
        </x:is>
      </x:c>
      <x:c r="AU193" t="n">
        <x:f>IF((COUNT('Quantification_Results'!AO193)=1),IFERROR(ROUND((SUM(('Quantification_Results'!AO193*'Quantification_Config'!$R$15))/SUM('Quantification_Config'!$R$15)),'Quantification_Config'!$U$2),""),"")</x:f>
        <x:v>50</x:v>
      </x:c>
      <x:c r="AV193" t="n">
        <x:f>IF((COUNT('Quantification_Results'!AU193)=1),IFERROR(ROUND((SUM(('Quantification_Results'!AU193*'Quantification_Config'!$R$14))/SUM('Quantification_Config'!$R$14)),'Quantification_Config'!$U$2),""),"")</x:f>
        <x:v>50</x:v>
      </x:c>
      <x:c r="AW193" t="n">
        <x:v>1</x:v>
      </x:c>
      <x:c r="AX193" t="n">
        <x:v>5</x:v>
      </x:c>
      <x:c r="AY193"/>
      <x:c r="AZ193" t="n">
        <x:f>IF(('Quantification_Results'!AW193&lt;&gt;1),"",IF(('Quantification_Results'!AY193=""),IF(ISNUMBER('Quantification_Results'!AX193),IF(('Quantification_Results'!AX193&lt;'Quantification_Config'!$S$19),"",IF(('Quantification_Results'!AX193&gt;'Quantification_Config'!$T$19),"",'Quantification_Results'!AX193)),""),IF(ISNUMBER('Quantification_Results'!AY193),IF(('Quantification_Results'!AY193&lt;'Quantification_Config'!$S$19),"",IF(('Quantification_Results'!AY193&gt;'Quantification_Config'!$T$19),"",'Quantification_Results'!AY193)),"")))</x:f>
        <x:v>5</x:v>
      </x:c>
      <x:c r="BA193" t="n">
        <x:f>IF(ISNUMBER('Quantification_Results'!AZ193),IFERROR(ROUND(((('Quantification_Results'!AZ193-'Quantification_Config'!$S$19)/('Quantification_Config'!$T$19-'Quantification_Config'!$S$19))*100),'Quantification_Config'!$U$2),""),"")</x:f>
        <x:v>50</x:v>
      </x:c>
      <x:c r="BB193" t="inlineStr">
        <x:is>
          <x:t xml:space="preserve">SYSTEM-TEST-ONLY-NO-NETWORK-NOT-AN-EDUCATIONAL-EVALUATION</x:t>
        </x:is>
      </x:c>
      <x:c r="BC193" t="inlineStr">
        <x:is>
          <x:t xml:space="preserve"/>
        </x:is>
      </x:c>
      <x:c r="BD193" t="inlineStr">
        <x:is>
          <x:t xml:space="preserve">NONE</x:t>
        </x:is>
      </x:c>
      <x:c r="BE193" t="inlineStr">
        <x:is>
          <x:t xml:space="preserve"/>
        </x:is>
      </x:c>
      <x:c r="BF193" t="inlineStr">
        <x:is>
          <x:t xml:space="preserve">SUCCESS</x:t>
        </x:is>
      </x:c>
      <x:c r="BG193" t="n">
        <x:f>IF((COUNT('Quantification_Results'!BA193)=1),IFERROR(ROUND((SUM(('Quantification_Results'!BA193*'Quantification_Config'!$R$19))/SUM('Quantification_Config'!$R$19)),'Quantification_Config'!$U$2),""),"")</x:f>
        <x:v>50</x:v>
      </x:c>
      <x:c r="BH193" t="n">
        <x:f>IF((COUNT('Quantification_Results'!BG193)=1),IFERROR(ROUND((SUM(('Quantification_Results'!BG193*'Quantification_Config'!$R$18))/SUM('Quantification_Config'!$R$18)),'Quantification_Config'!$U$2),""),"")</x:f>
        <x:v>50</x:v>
      </x:c>
      <x:c r="BI193" t="n">
        <x:f>IF((COUNT('Quantification_Results'!L193,'Quantification_Results'!X193,'Quantification_Results'!AJ193,'Quantification_Results'!AV193,'Quantification_Results'!BH193)=5),IFERROR(ROUND((SUM(('Quantification_Results'!L193*'Quantification_Config'!$R$4),('Quantification_Results'!X193*'Quantification_Config'!$R$7),('Quantification_Results'!AJ193*'Quantification_Config'!$R$10),('Quantification_Results'!AV193*'Quantification_Config'!$R$13),('Quantification_Results'!BH193*'Quantification_Config'!$R$16))/SUM('Quantification_Config'!$R$4,'Quantification_Config'!$R$7,'Quantification_Config'!$R$10,'Quantification_Config'!$R$13,'Quantification_Config'!$R$16)),'Quantification_Config'!$U$2),""),"")</x:f>
        <x:v>50</x:v>
      </x:c>
    </x:row>
    <x:row r="194">
      <x:c r="A194" t="n">
        <x:v>1</x:v>
      </x:c>
      <x:c r="B194" t="n">
        <x:v>5</x:v>
      </x:c>
      <x:c r="C194"/>
      <x:c r="D194" t="n">
        <x:f>IF(('Quantification_Results'!A194&lt;&gt;1),"",IF(('Quantification_Results'!C194=""),IF(ISNUMBER('Quantification_Results'!B194),IF(('Quantification_Results'!B194&lt;'Quantification_Config'!$S$6),"",IF(('Quantification_Results'!B194&gt;'Quantification_Config'!$T$6),"",'Quantification_Results'!B194)),""),IF(ISNUMBER('Quantification_Results'!C194),IF(('Quantification_Results'!C194&lt;'Quantification_Config'!$S$6),"",IF(('Quantification_Results'!C194&gt;'Quantification_Config'!$T$6),"",'Quantification_Results'!C194)),"")))</x:f>
        <x:v>5</x:v>
      </x:c>
      <x:c r="E194" t="n">
        <x:f>IF(ISNUMBER('Quantification_Results'!D194),IFERROR(ROUND(((('Quantification_Results'!D194-'Quantification_Config'!$S$6)/('Quantification_Config'!$T$6-'Quantification_Config'!$S$6))*100),'Quantification_Config'!$U$2),""),"")</x:f>
        <x:v>50</x:v>
      </x:c>
      <x:c r="F194" t="inlineStr">
        <x:is>
          <x:t xml:space="preserve">SYSTEM-TEST-ONLY-NO-NETWORK-NOT-AN-EDUCATIONAL-EVALUATION</x:t>
        </x:is>
      </x:c>
      <x:c r="G194" t="inlineStr">
        <x:is>
          <x:t xml:space="preserve"/>
        </x:is>
      </x:c>
      <x:c r="H194" t="inlineStr">
        <x:is>
          <x:t xml:space="preserve">NONE</x:t>
        </x:is>
      </x:c>
      <x:c r="I194" t="inlineStr">
        <x:is>
          <x:t xml:space="preserve"/>
        </x:is>
      </x:c>
      <x:c r="J194" t="inlineStr">
        <x:is>
          <x:t xml:space="preserve">SUCCESS</x:t>
        </x:is>
      </x:c>
      <x:c r="K194" t="n">
        <x:f>IF((COUNT('Quantification_Results'!E194)=1),IFERROR(ROUND((SUM(('Quantification_Results'!E194*'Quantification_Config'!$R$6))/SUM('Quantification_Config'!$R$6)),'Quantification_Config'!$U$2),""),"")</x:f>
        <x:v>50</x:v>
      </x:c>
      <x:c r="L194" t="n">
        <x:f>IF((COUNT('Quantification_Results'!K194)=1),IFERROR(ROUND((SUM(('Quantification_Results'!K194*'Quantification_Config'!$R$5))/SUM('Quantification_Config'!$R$5)),'Quantification_Config'!$U$2),""),"")</x:f>
        <x:v>50</x:v>
      </x:c>
      <x:c r="M194" t="n">
        <x:v>1</x:v>
      </x:c>
      <x:c r="N194" t="n">
        <x:v>5</x:v>
      </x:c>
      <x:c r="O194"/>
      <x:c r="P194" t="n">
        <x:f>IF(('Quantification_Results'!M194&lt;&gt;1),"",IF(('Quantification_Results'!O194=""),IF(ISNUMBER('Quantification_Results'!N194),IF(('Quantification_Results'!N194&lt;'Quantification_Config'!$S$9),"",IF(('Quantification_Results'!N194&gt;'Quantification_Config'!$T$9),"",'Quantification_Results'!N194)),""),IF(ISNUMBER('Quantification_Results'!O194),IF(('Quantification_Results'!O194&lt;'Quantification_Config'!$S$9),"",IF(('Quantification_Results'!O194&gt;'Quantification_Config'!$T$9),"",'Quantification_Results'!O194)),"")))</x:f>
        <x:v>5</x:v>
      </x:c>
      <x:c r="Q194" t="n">
        <x:f>IF(ISNUMBER('Quantification_Results'!P194),IFERROR(ROUND(((('Quantification_Results'!P194-'Quantification_Config'!$S$9)/('Quantification_Config'!$T$9-'Quantification_Config'!$S$9))*100),'Quantification_Config'!$U$2),""),"")</x:f>
        <x:v>50</x:v>
      </x:c>
      <x:c r="R194" t="inlineStr">
        <x:is>
          <x:t xml:space="preserve">SYSTEM-TEST-ONLY-NO-NETWORK-NOT-AN-EDUCATIONAL-EVALUATION</x:t>
        </x:is>
      </x:c>
      <x:c r="S194" t="inlineStr">
        <x:is>
          <x:t xml:space="preserve"/>
        </x:is>
      </x:c>
      <x:c r="T194" t="inlineStr">
        <x:is>
          <x:t xml:space="preserve">NONE</x:t>
        </x:is>
      </x:c>
      <x:c r="U194" t="inlineStr">
        <x:is>
          <x:t xml:space="preserve"/>
        </x:is>
      </x:c>
      <x:c r="V194" t="inlineStr">
        <x:is>
          <x:t xml:space="preserve">SUCCESS</x:t>
        </x:is>
      </x:c>
      <x:c r="W194" t="n">
        <x:f>IF((COUNT('Quantification_Results'!Q194)=1),IFERROR(ROUND((SUM(('Quantification_Results'!Q194*'Quantification_Config'!$R$9))/SUM('Quantification_Config'!$R$9)),'Quantification_Config'!$U$2),""),"")</x:f>
        <x:v>50</x:v>
      </x:c>
      <x:c r="X194" t="n">
        <x:f>IF((COUNT('Quantification_Results'!W194)=1),IFERROR(ROUND((SUM(('Quantification_Results'!W194*'Quantification_Config'!$R$8))/SUM('Quantification_Config'!$R$8)),'Quantification_Config'!$U$2),""),"")</x:f>
        <x:v>50</x:v>
      </x:c>
      <x:c r="Y194" t="n">
        <x:v>0</x:v>
      </x:c>
      <x:c r="Z194"/>
      <x:c r="AA194"/>
      <x:c r="AB194">
        <x:f>IF(('Quantification_Results'!Y194&lt;&gt;1),"",IF(('Quantification_Results'!AA194=""),IF(ISNUMBER('Quantification_Results'!Z194),IF(('Quantification_Results'!Z194&lt;'Quantification_Config'!$S$12),"",IF(('Quantification_Results'!Z194&gt;'Quantification_Config'!$T$12),"",'Quantification_Results'!Z194)),""),IF(ISNUMBER('Quantification_Results'!AA194),IF(('Quantification_Results'!AA194&lt;'Quantification_Config'!$S$12),"",IF(('Quantification_Results'!AA194&gt;'Quantification_Config'!$T$12),"",'Quantification_Results'!AA194)),"")))</x:f>
      </x:c>
      <x:c r="AC194">
        <x:f>IF(ISNUMBER('Quantification_Results'!AB194),IFERROR(ROUND(((('Quantification_Results'!AB194-'Quantification_Config'!$S$12)/('Quantification_Config'!$T$12-'Quantification_Config'!$S$12))*100),'Quantification_Config'!$U$2),""),"")</x:f>
      </x:c>
      <x:c r="AD194" t="inlineStr">
        <x:is>
          <x:t xml:space="preserve"/>
        </x:is>
      </x:c>
      <x:c r="AE194" t="inlineStr">
        <x:is>
          <x:t xml:space="preserve"/>
        </x:is>
      </x:c>
      <x:c r="AF194" t="inlineStr">
        <x:is>
          <x:t xml:space="preserve"/>
        </x:is>
      </x:c>
      <x:c r="AG194" t="inlineStr">
        <x:is>
          <x:t xml:space="preserve"/>
        </x:is>
      </x:c>
      <x:c r="AH194" t="inlineStr">
        <x:is>
          <x:t xml:space="preserve">EMPTY</x:t>
        </x:is>
      </x:c>
      <x:c r="AI194">
        <x:f>IF((COUNT('Quantification_Results'!AC194)=1),IFERROR(ROUND((SUM(('Quantification_Results'!AC194*'Quantification_Config'!$R$12))/SUM('Quantification_Config'!$R$12)),'Quantification_Config'!$U$2),""),"")</x:f>
      </x:c>
      <x:c r="AJ194">
        <x:f>IF((COUNT('Quantification_Results'!AI194)=1),IFERROR(ROUND((SUM(('Quantification_Results'!AI194*'Quantification_Config'!$R$11))/SUM('Quantification_Config'!$R$11)),'Quantification_Config'!$U$2),""),"")</x:f>
      </x:c>
      <x:c r="AK194" t="n">
        <x:v>1</x:v>
      </x:c>
      <x:c r="AL194" t="n">
        <x:v>5</x:v>
      </x:c>
      <x:c r="AM194"/>
      <x:c r="AN194" t="n">
        <x:f>IF(('Quantification_Results'!AK194&lt;&gt;1),"",IF(('Quantification_Results'!AM194=""),IF(ISNUMBER('Quantification_Results'!AL194),IF(('Quantification_Results'!AL194&lt;'Quantification_Config'!$S$15),"",IF(('Quantification_Results'!AL194&gt;'Quantification_Config'!$T$15),"",'Quantification_Results'!AL194)),""),IF(ISNUMBER('Quantification_Results'!AM194),IF(('Quantification_Results'!AM194&lt;'Quantification_Config'!$S$15),"",IF(('Quantification_Results'!AM194&gt;'Quantification_Config'!$T$15),"",'Quantification_Results'!AM194)),"")))</x:f>
        <x:v>5</x:v>
      </x:c>
      <x:c r="AO194" t="n">
        <x:f>IF(ISNUMBER('Quantification_Results'!AN194),IFERROR(ROUND(((('Quantification_Results'!AN194-'Quantification_Config'!$S$15)/('Quantification_Config'!$T$15-'Quantification_Config'!$S$15))*100),'Quantification_Config'!$U$2),""),"")</x:f>
        <x:v>50</x:v>
      </x:c>
      <x:c r="AP194" t="inlineStr">
        <x:is>
          <x:t xml:space="preserve">SYSTEM-TEST-ONLY-NO-NETWORK-NOT-AN-EDUCATIONAL-EVALUATION</x:t>
        </x:is>
      </x:c>
      <x:c r="AQ194" t="inlineStr">
        <x:is>
          <x:t xml:space="preserve"/>
        </x:is>
      </x:c>
      <x:c r="AR194" t="inlineStr">
        <x:is>
          <x:t xml:space="preserve">NONE</x:t>
        </x:is>
      </x:c>
      <x:c r="AS194" t="inlineStr">
        <x:is>
          <x:t xml:space="preserve"/>
        </x:is>
      </x:c>
      <x:c r="AT194" t="inlineStr">
        <x:is>
          <x:t xml:space="preserve">SUCCESS</x:t>
        </x:is>
      </x:c>
      <x:c r="AU194" t="n">
        <x:f>IF((COUNT('Quantification_Results'!AO194)=1),IFERROR(ROUND((SUM(('Quantification_Results'!AO194*'Quantification_Config'!$R$15))/SUM('Quantification_Config'!$R$15)),'Quantification_Config'!$U$2),""),"")</x:f>
        <x:v>50</x:v>
      </x:c>
      <x:c r="AV194" t="n">
        <x:f>IF((COUNT('Quantification_Results'!AU194)=1),IFERROR(ROUND((SUM(('Quantification_Results'!AU194*'Quantification_Config'!$R$14))/SUM('Quantification_Config'!$R$14)),'Quantification_Config'!$U$2),""),"")</x:f>
        <x:v>50</x:v>
      </x:c>
      <x:c r="AW194" t="n">
        <x:v>1</x:v>
      </x:c>
      <x:c r="AX194" t="n">
        <x:v>5</x:v>
      </x:c>
      <x:c r="AY194"/>
      <x:c r="AZ194" t="n">
        <x:f>IF(('Quantification_Results'!AW194&lt;&gt;1),"",IF(('Quantification_Results'!AY194=""),IF(ISNUMBER('Quantification_Results'!AX194),IF(('Quantification_Results'!AX194&lt;'Quantification_Config'!$S$19),"",IF(('Quantification_Results'!AX194&gt;'Quantification_Config'!$T$19),"",'Quantification_Results'!AX194)),""),IF(ISNUMBER('Quantification_Results'!AY194),IF(('Quantification_Results'!AY194&lt;'Quantification_Config'!$S$19),"",IF(('Quantification_Results'!AY194&gt;'Quantification_Config'!$T$19),"",'Quantification_Results'!AY194)),"")))</x:f>
        <x:v>5</x:v>
      </x:c>
      <x:c r="BA194" t="n">
        <x:f>IF(ISNUMBER('Quantification_Results'!AZ194),IFERROR(ROUND(((('Quantification_Results'!AZ194-'Quantification_Config'!$S$19)/('Quantification_Config'!$T$19-'Quantification_Config'!$S$19))*100),'Quantification_Config'!$U$2),""),"")</x:f>
        <x:v>50</x:v>
      </x:c>
      <x:c r="BB194" t="inlineStr">
        <x:is>
          <x:t xml:space="preserve">SYSTEM-TEST-ONLY-NO-NETWORK-NOT-AN-EDUCATIONAL-EVALUATION</x:t>
        </x:is>
      </x:c>
      <x:c r="BC194" t="inlineStr">
        <x:is>
          <x:t xml:space="preserve"/>
        </x:is>
      </x:c>
      <x:c r="BD194" t="inlineStr">
        <x:is>
          <x:t xml:space="preserve">NONE</x:t>
        </x:is>
      </x:c>
      <x:c r="BE194" t="inlineStr">
        <x:is>
          <x:t xml:space="preserve"/>
        </x:is>
      </x:c>
      <x:c r="BF194" t="inlineStr">
        <x:is>
          <x:t xml:space="preserve">SUCCESS</x:t>
        </x:is>
      </x:c>
      <x:c r="BG194" t="n">
        <x:f>IF((COUNT('Quantification_Results'!BA194)=1),IFERROR(ROUND((SUM(('Quantification_Results'!BA194*'Quantification_Config'!$R$19))/SUM('Quantification_Config'!$R$19)),'Quantification_Config'!$U$2),""),"")</x:f>
        <x:v>50</x:v>
      </x:c>
      <x:c r="BH194" t="n">
        <x:f>IF((COUNT('Quantification_Results'!BG194)=1),IFERROR(ROUND((SUM(('Quantification_Results'!BG194*'Quantification_Config'!$R$18))/SUM('Quantification_Config'!$R$18)),'Quantification_Config'!$U$2),""),"")</x:f>
        <x:v>50</x:v>
      </x:c>
      <x:c r="BI194">
        <x:f>IF((COUNT('Quantification_Results'!L194,'Quantification_Results'!X194,'Quantification_Results'!AJ194,'Quantification_Results'!AV194,'Quantification_Results'!BH194)=5),IFERROR(ROUND((SUM(('Quantification_Results'!L194*'Quantification_Config'!$R$4),('Quantification_Results'!X194*'Quantification_Config'!$R$7),('Quantification_Results'!AJ194*'Quantification_Config'!$R$10),('Quantification_Results'!AV194*'Quantification_Config'!$R$13),('Quantification_Results'!BH194*'Quantification_Config'!$R$16))/SUM('Quantification_Config'!$R$4,'Quantification_Config'!$R$7,'Quantification_Config'!$R$10,'Quantification_Config'!$R$13,'Quantification_Config'!$R$16)),'Quantification_Config'!$U$2),""),"")</x:f>
      </x:c>
    </x:row>
    <x:row r="195">
      <x:c r="A195" t="n">
        <x:v>1</x:v>
      </x:c>
      <x:c r="B195" t="n">
        <x:v>5</x:v>
      </x:c>
      <x:c r="C195"/>
      <x:c r="D195" t="n">
        <x:f>IF(('Quantification_Results'!A195&lt;&gt;1),"",IF(('Quantification_Results'!C195=""),IF(ISNUMBER('Quantification_Results'!B195),IF(('Quantification_Results'!B195&lt;'Quantification_Config'!$S$6),"",IF(('Quantification_Results'!B195&gt;'Quantification_Config'!$T$6),"",'Quantification_Results'!B195)),""),IF(ISNUMBER('Quantification_Results'!C195),IF(('Quantification_Results'!C195&lt;'Quantification_Config'!$S$6),"",IF(('Quantification_Results'!C195&gt;'Quantification_Config'!$T$6),"",'Quantification_Results'!C195)),"")))</x:f>
        <x:v>5</x:v>
      </x:c>
      <x:c r="E195" t="n">
        <x:f>IF(ISNUMBER('Quantification_Results'!D195),IFERROR(ROUND(((('Quantification_Results'!D195-'Quantification_Config'!$S$6)/('Quantification_Config'!$T$6-'Quantification_Config'!$S$6))*100),'Quantification_Config'!$U$2),""),"")</x:f>
        <x:v>50</x:v>
      </x:c>
      <x:c r="F195" t="inlineStr">
        <x:is>
          <x:t xml:space="preserve">SYSTEM-TEST-ONLY-NO-NETWORK-NOT-AN-EDUCATIONAL-EVALUATION</x:t>
        </x:is>
      </x:c>
      <x:c r="G195" t="inlineStr">
        <x:is>
          <x:t xml:space="preserve"/>
        </x:is>
      </x:c>
      <x:c r="H195" t="inlineStr">
        <x:is>
          <x:t xml:space="preserve">NONE</x:t>
        </x:is>
      </x:c>
      <x:c r="I195" t="inlineStr">
        <x:is>
          <x:t xml:space="preserve"/>
        </x:is>
      </x:c>
      <x:c r="J195" t="inlineStr">
        <x:is>
          <x:t xml:space="preserve">SUCCESS</x:t>
        </x:is>
      </x:c>
      <x:c r="K195" t="n">
        <x:f>IF((COUNT('Quantification_Results'!E195)=1),IFERROR(ROUND((SUM(('Quantification_Results'!E195*'Quantification_Config'!$R$6))/SUM('Quantification_Config'!$R$6)),'Quantification_Config'!$U$2),""),"")</x:f>
        <x:v>50</x:v>
      </x:c>
      <x:c r="L195" t="n">
        <x:f>IF((COUNT('Quantification_Results'!K195)=1),IFERROR(ROUND((SUM(('Quantification_Results'!K195*'Quantification_Config'!$R$5))/SUM('Quantification_Config'!$R$5)),'Quantification_Config'!$U$2),""),"")</x:f>
        <x:v>50</x:v>
      </x:c>
      <x:c r="M195" t="n">
        <x:v>0</x:v>
      </x:c>
      <x:c r="N195"/>
      <x:c r="O195"/>
      <x:c r="P195">
        <x:f>IF(('Quantification_Results'!M195&lt;&gt;1),"",IF(('Quantification_Results'!O195=""),IF(ISNUMBER('Quantification_Results'!N195),IF(('Quantification_Results'!N195&lt;'Quantification_Config'!$S$9),"",IF(('Quantification_Results'!N195&gt;'Quantification_Config'!$T$9),"",'Quantification_Results'!N195)),""),IF(ISNUMBER('Quantification_Results'!O195),IF(('Quantification_Results'!O195&lt;'Quantification_Config'!$S$9),"",IF(('Quantification_Results'!O195&gt;'Quantification_Config'!$T$9),"",'Quantification_Results'!O195)),"")))</x:f>
      </x:c>
      <x:c r="Q195">
        <x:f>IF(ISNUMBER('Quantification_Results'!P195),IFERROR(ROUND(((('Quantification_Results'!P195-'Quantification_Config'!$S$9)/('Quantification_Config'!$T$9-'Quantification_Config'!$S$9))*100),'Quantification_Config'!$U$2),""),"")</x:f>
      </x:c>
      <x:c r="R195" t="inlineStr">
        <x:is>
          <x:t xml:space="preserve"/>
        </x:is>
      </x:c>
      <x:c r="S195" t="inlineStr">
        <x:is>
          <x:t xml:space="preserve"/>
        </x:is>
      </x:c>
      <x:c r="T195" t="inlineStr">
        <x:is>
          <x:t xml:space="preserve"/>
        </x:is>
      </x:c>
      <x:c r="U195" t="inlineStr">
        <x:is>
          <x:t xml:space="preserve"/>
        </x:is>
      </x:c>
      <x:c r="V195" t="inlineStr">
        <x:is>
          <x:t xml:space="preserve">EMPTY</x:t>
        </x:is>
      </x:c>
      <x:c r="W195">
        <x:f>IF((COUNT('Quantification_Results'!Q195)=1),IFERROR(ROUND((SUM(('Quantification_Results'!Q195*'Quantification_Config'!$R$9))/SUM('Quantification_Config'!$R$9)),'Quantification_Config'!$U$2),""),"")</x:f>
      </x:c>
      <x:c r="X195">
        <x:f>IF((COUNT('Quantification_Results'!W195)=1),IFERROR(ROUND((SUM(('Quantification_Results'!W195*'Quantification_Config'!$R$8))/SUM('Quantification_Config'!$R$8)),'Quantification_Config'!$U$2),""),"")</x:f>
      </x:c>
      <x:c r="Y195" t="n">
        <x:v>0</x:v>
      </x:c>
      <x:c r="Z195"/>
      <x:c r="AA195"/>
      <x:c r="AB195">
        <x:f>IF(('Quantification_Results'!Y195&lt;&gt;1),"",IF(('Quantification_Results'!AA195=""),IF(ISNUMBER('Quantification_Results'!Z195),IF(('Quantification_Results'!Z195&lt;'Quantification_Config'!$S$12),"",IF(('Quantification_Results'!Z195&gt;'Quantification_Config'!$T$12),"",'Quantification_Results'!Z195)),""),IF(ISNUMBER('Quantification_Results'!AA195),IF(('Quantification_Results'!AA195&lt;'Quantification_Config'!$S$12),"",IF(('Quantification_Results'!AA195&gt;'Quantification_Config'!$T$12),"",'Quantification_Results'!AA195)),"")))</x:f>
      </x:c>
      <x:c r="AC195">
        <x:f>IF(ISNUMBER('Quantification_Results'!AB195),IFERROR(ROUND(((('Quantification_Results'!AB195-'Quantification_Config'!$S$12)/('Quantification_Config'!$T$12-'Quantification_Config'!$S$12))*100),'Quantification_Config'!$U$2),""),"")</x:f>
      </x:c>
      <x:c r="AD195" t="inlineStr">
        <x:is>
          <x:t xml:space="preserve"/>
        </x:is>
      </x:c>
      <x:c r="AE195" t="inlineStr">
        <x:is>
          <x:t xml:space="preserve"/>
        </x:is>
      </x:c>
      <x:c r="AF195" t="inlineStr">
        <x:is>
          <x:t xml:space="preserve"/>
        </x:is>
      </x:c>
      <x:c r="AG195" t="inlineStr">
        <x:is>
          <x:t xml:space="preserve"/>
        </x:is>
      </x:c>
      <x:c r="AH195" t="inlineStr">
        <x:is>
          <x:t xml:space="preserve">EMPTY</x:t>
        </x:is>
      </x:c>
      <x:c r="AI195">
        <x:f>IF((COUNT('Quantification_Results'!AC195)=1),IFERROR(ROUND((SUM(('Quantification_Results'!AC195*'Quantification_Config'!$R$12))/SUM('Quantification_Config'!$R$12)),'Quantification_Config'!$U$2),""),"")</x:f>
      </x:c>
      <x:c r="AJ195">
        <x:f>IF((COUNT('Quantification_Results'!AI195)=1),IFERROR(ROUND((SUM(('Quantification_Results'!AI195*'Quantification_Config'!$R$11))/SUM('Quantification_Config'!$R$11)),'Quantification_Config'!$U$2),""),"")</x:f>
      </x:c>
      <x:c r="AK195" t="n">
        <x:v>1</x:v>
      </x:c>
      <x:c r="AL195" t="n">
        <x:v>5</x:v>
      </x:c>
      <x:c r="AM195"/>
      <x:c r="AN195" t="n">
        <x:f>IF(('Quantification_Results'!AK195&lt;&gt;1),"",IF(('Quantification_Results'!AM195=""),IF(ISNUMBER('Quantification_Results'!AL195),IF(('Quantification_Results'!AL195&lt;'Quantification_Config'!$S$15),"",IF(('Quantification_Results'!AL195&gt;'Quantification_Config'!$T$15),"",'Quantification_Results'!AL195)),""),IF(ISNUMBER('Quantification_Results'!AM195),IF(('Quantification_Results'!AM195&lt;'Quantification_Config'!$S$15),"",IF(('Quantification_Results'!AM195&gt;'Quantification_Config'!$T$15),"",'Quantification_Results'!AM195)),"")))</x:f>
        <x:v>5</x:v>
      </x:c>
      <x:c r="AO195" t="n">
        <x:f>IF(ISNUMBER('Quantification_Results'!AN195),IFERROR(ROUND(((('Quantification_Results'!AN195-'Quantification_Config'!$S$15)/('Quantification_Config'!$T$15-'Quantification_Config'!$S$15))*100),'Quantification_Config'!$U$2),""),"")</x:f>
        <x:v>50</x:v>
      </x:c>
      <x:c r="AP195" t="inlineStr">
        <x:is>
          <x:t xml:space="preserve">SYSTEM-TEST-ONLY-NO-NETWORK-NOT-AN-EDUCATIONAL-EVALUATION</x:t>
        </x:is>
      </x:c>
      <x:c r="AQ195" t="inlineStr">
        <x:is>
          <x:t xml:space="preserve"/>
        </x:is>
      </x:c>
      <x:c r="AR195" t="inlineStr">
        <x:is>
          <x:t xml:space="preserve">NONE</x:t>
        </x:is>
      </x:c>
      <x:c r="AS195" t="inlineStr">
        <x:is>
          <x:t xml:space="preserve"/>
        </x:is>
      </x:c>
      <x:c r="AT195" t="inlineStr">
        <x:is>
          <x:t xml:space="preserve">SUCCESS</x:t>
        </x:is>
      </x:c>
      <x:c r="AU195" t="n">
        <x:f>IF((COUNT('Quantification_Results'!AO195)=1),IFERROR(ROUND((SUM(('Quantification_Results'!AO195*'Quantification_Config'!$R$15))/SUM('Quantification_Config'!$R$15)),'Quantification_Config'!$U$2),""),"")</x:f>
        <x:v>50</x:v>
      </x:c>
      <x:c r="AV195" t="n">
        <x:f>IF((COUNT('Quantification_Results'!AU195)=1),IFERROR(ROUND((SUM(('Quantification_Results'!AU195*'Quantification_Config'!$R$14))/SUM('Quantification_Config'!$R$14)),'Quantification_Config'!$U$2),""),"")</x:f>
        <x:v>50</x:v>
      </x:c>
      <x:c r="AW195" t="n">
        <x:v>0</x:v>
      </x:c>
      <x:c r="AX195"/>
      <x:c r="AY195"/>
      <x:c r="AZ195">
        <x:f>IF(('Quantification_Results'!AW195&lt;&gt;1),"",IF(('Quantification_Results'!AY195=""),IF(ISNUMBER('Quantification_Results'!AX195),IF(('Quantification_Results'!AX195&lt;'Quantification_Config'!$S$19),"",IF(('Quantification_Results'!AX195&gt;'Quantification_Config'!$T$19),"",'Quantification_Results'!AX195)),""),IF(ISNUMBER('Quantification_Results'!AY195),IF(('Quantification_Results'!AY195&lt;'Quantification_Config'!$S$19),"",IF(('Quantification_Results'!AY195&gt;'Quantification_Config'!$T$19),"",'Quantification_Results'!AY195)),"")))</x:f>
      </x:c>
      <x:c r="BA195">
        <x:f>IF(ISNUMBER('Quantification_Results'!AZ195),IFERROR(ROUND(((('Quantification_Results'!AZ195-'Quantification_Config'!$S$19)/('Quantification_Config'!$T$19-'Quantification_Config'!$S$19))*100),'Quantification_Config'!$U$2),""),"")</x:f>
      </x:c>
      <x:c r="BB195" t="inlineStr">
        <x:is>
          <x:t xml:space="preserve"/>
        </x:is>
      </x:c>
      <x:c r="BC195" t="inlineStr">
        <x:is>
          <x:t xml:space="preserve"/>
        </x:is>
      </x:c>
      <x:c r="BD195" t="inlineStr">
        <x:is>
          <x:t xml:space="preserve"/>
        </x:is>
      </x:c>
      <x:c r="BE195" t="inlineStr">
        <x:is>
          <x:t xml:space="preserve"/>
        </x:is>
      </x:c>
      <x:c r="BF195" t="inlineStr">
        <x:is>
          <x:t xml:space="preserve">EMPTY</x:t>
        </x:is>
      </x:c>
      <x:c r="BG195">
        <x:f>IF((COUNT('Quantification_Results'!BA195)=1),IFERROR(ROUND((SUM(('Quantification_Results'!BA195*'Quantification_Config'!$R$19))/SUM('Quantification_Config'!$R$19)),'Quantification_Config'!$U$2),""),"")</x:f>
      </x:c>
      <x:c r="BH195">
        <x:f>IF((COUNT('Quantification_Results'!BG195)=1),IFERROR(ROUND((SUM(('Quantification_Results'!BG195*'Quantification_Config'!$R$18))/SUM('Quantification_Config'!$R$18)),'Quantification_Config'!$U$2),""),"")</x:f>
      </x:c>
      <x:c r="BI195">
        <x:f>IF((COUNT('Quantification_Results'!L195,'Quantification_Results'!X195,'Quantification_Results'!AJ195,'Quantification_Results'!AV195,'Quantification_Results'!BH195)=5),IFERROR(ROUND((SUM(('Quantification_Results'!L195*'Quantification_Config'!$R$4),('Quantification_Results'!X195*'Quantification_Config'!$R$7),('Quantification_Results'!AJ195*'Quantification_Config'!$R$10),('Quantification_Results'!AV195*'Quantification_Config'!$R$13),('Quantification_Results'!BH195*'Quantification_Config'!$R$16))/SUM('Quantification_Config'!$R$4,'Quantification_Config'!$R$7,'Quantification_Config'!$R$10,'Quantification_Config'!$R$13,'Quantification_Config'!$R$16)),'Quantification_Config'!$U$2),""),"")</x:f>
      </x:c>
    </x:row>
    <x:row r="196">
      <x:c r="A196" t="n">
        <x:v>1</x:v>
      </x:c>
      <x:c r="B196" t="n">
        <x:v>5</x:v>
      </x:c>
      <x:c r="C196"/>
      <x:c r="D196" t="n">
        <x:f>IF(('Quantification_Results'!A196&lt;&gt;1),"",IF(('Quantification_Results'!C196=""),IF(ISNUMBER('Quantification_Results'!B196),IF(('Quantification_Results'!B196&lt;'Quantification_Config'!$S$6),"",IF(('Quantification_Results'!B196&gt;'Quantification_Config'!$T$6),"",'Quantification_Results'!B196)),""),IF(ISNUMBER('Quantification_Results'!C196),IF(('Quantification_Results'!C196&lt;'Quantification_Config'!$S$6),"",IF(('Quantification_Results'!C196&gt;'Quantification_Config'!$T$6),"",'Quantification_Results'!C196)),"")))</x:f>
        <x:v>5</x:v>
      </x:c>
      <x:c r="E196" t="n">
        <x:f>IF(ISNUMBER('Quantification_Results'!D196),IFERROR(ROUND(((('Quantification_Results'!D196-'Quantification_Config'!$S$6)/('Quantification_Config'!$T$6-'Quantification_Config'!$S$6))*100),'Quantification_Config'!$U$2),""),"")</x:f>
        <x:v>50</x:v>
      </x:c>
      <x:c r="F196" t="inlineStr">
        <x:is>
          <x:t xml:space="preserve">SYSTEM-TEST-ONLY-NO-NETWORK-NOT-AN-EDUCATIONAL-EVALUATION</x:t>
        </x:is>
      </x:c>
      <x:c r="G196" t="inlineStr">
        <x:is>
          <x:t xml:space="preserve"/>
        </x:is>
      </x:c>
      <x:c r="H196" t="inlineStr">
        <x:is>
          <x:t xml:space="preserve">NONE</x:t>
        </x:is>
      </x:c>
      <x:c r="I196" t="inlineStr">
        <x:is>
          <x:t xml:space="preserve"/>
        </x:is>
      </x:c>
      <x:c r="J196" t="inlineStr">
        <x:is>
          <x:t xml:space="preserve">SUCCESS</x:t>
        </x:is>
      </x:c>
      <x:c r="K196" t="n">
        <x:f>IF((COUNT('Quantification_Results'!E196)=1),IFERROR(ROUND((SUM(('Quantification_Results'!E196*'Quantification_Config'!$R$6))/SUM('Quantification_Config'!$R$6)),'Quantification_Config'!$U$2),""),"")</x:f>
        <x:v>50</x:v>
      </x:c>
      <x:c r="L196" t="n">
        <x:f>IF((COUNT('Quantification_Results'!K196)=1),IFERROR(ROUND((SUM(('Quantification_Results'!K196*'Quantification_Config'!$R$5))/SUM('Quantification_Config'!$R$5)),'Quantification_Config'!$U$2),""),"")</x:f>
        <x:v>50</x:v>
      </x:c>
      <x:c r="M196" t="n">
        <x:v>0</x:v>
      </x:c>
      <x:c r="N196"/>
      <x:c r="O196"/>
      <x:c r="P196">
        <x:f>IF(('Quantification_Results'!M196&lt;&gt;1),"",IF(('Quantification_Results'!O196=""),IF(ISNUMBER('Quantification_Results'!N196),IF(('Quantification_Results'!N196&lt;'Quantification_Config'!$S$9),"",IF(('Quantification_Results'!N196&gt;'Quantification_Config'!$T$9),"",'Quantification_Results'!N196)),""),IF(ISNUMBER('Quantification_Results'!O196),IF(('Quantification_Results'!O196&lt;'Quantification_Config'!$S$9),"",IF(('Quantification_Results'!O196&gt;'Quantification_Config'!$T$9),"",'Quantification_Results'!O196)),"")))</x:f>
      </x:c>
      <x:c r="Q196">
        <x:f>IF(ISNUMBER('Quantification_Results'!P196),IFERROR(ROUND(((('Quantification_Results'!P196-'Quantification_Config'!$S$9)/('Quantification_Config'!$T$9-'Quantification_Config'!$S$9))*100),'Quantification_Config'!$U$2),""),"")</x:f>
      </x:c>
      <x:c r="R196" t="inlineStr">
        <x:is>
          <x:t xml:space="preserve"/>
        </x:is>
      </x:c>
      <x:c r="S196" t="inlineStr">
        <x:is>
          <x:t xml:space="preserve"/>
        </x:is>
      </x:c>
      <x:c r="T196" t="inlineStr">
        <x:is>
          <x:t xml:space="preserve"/>
        </x:is>
      </x:c>
      <x:c r="U196" t="inlineStr">
        <x:is>
          <x:t xml:space="preserve"/>
        </x:is>
      </x:c>
      <x:c r="V196" t="inlineStr">
        <x:is>
          <x:t xml:space="preserve">EMPTY</x:t>
        </x:is>
      </x:c>
      <x:c r="W196">
        <x:f>IF((COUNT('Quantification_Results'!Q196)=1),IFERROR(ROUND((SUM(('Quantification_Results'!Q196*'Quantification_Config'!$R$9))/SUM('Quantification_Config'!$R$9)),'Quantification_Config'!$U$2),""),"")</x:f>
      </x:c>
      <x:c r="X196">
        <x:f>IF((COUNT('Quantification_Results'!W196)=1),IFERROR(ROUND((SUM(('Quantification_Results'!W196*'Quantification_Config'!$R$8))/SUM('Quantification_Config'!$R$8)),'Quantification_Config'!$U$2),""),"")</x:f>
      </x:c>
      <x:c r="Y196" t="n">
        <x:v>0</x:v>
      </x:c>
      <x:c r="Z196"/>
      <x:c r="AA196"/>
      <x:c r="AB196">
        <x:f>IF(('Quantification_Results'!Y196&lt;&gt;1),"",IF(('Quantification_Results'!AA196=""),IF(ISNUMBER('Quantification_Results'!Z196),IF(('Quantification_Results'!Z196&lt;'Quantification_Config'!$S$12),"",IF(('Quantification_Results'!Z196&gt;'Quantification_Config'!$T$12),"",'Quantification_Results'!Z196)),""),IF(ISNUMBER('Quantification_Results'!AA196),IF(('Quantification_Results'!AA196&lt;'Quantification_Config'!$S$12),"",IF(('Quantification_Results'!AA196&gt;'Quantification_Config'!$T$12),"",'Quantification_Results'!AA196)),"")))</x:f>
      </x:c>
      <x:c r="AC196">
        <x:f>IF(ISNUMBER('Quantification_Results'!AB196),IFERROR(ROUND(((('Quantification_Results'!AB196-'Quantification_Config'!$S$12)/('Quantification_Config'!$T$12-'Quantification_Config'!$S$12))*100),'Quantification_Config'!$U$2),""),"")</x:f>
      </x:c>
      <x:c r="AD196" t="inlineStr">
        <x:is>
          <x:t xml:space="preserve"/>
        </x:is>
      </x:c>
      <x:c r="AE196" t="inlineStr">
        <x:is>
          <x:t xml:space="preserve"/>
        </x:is>
      </x:c>
      <x:c r="AF196" t="inlineStr">
        <x:is>
          <x:t xml:space="preserve"/>
        </x:is>
      </x:c>
      <x:c r="AG196" t="inlineStr">
        <x:is>
          <x:t xml:space="preserve"/>
        </x:is>
      </x:c>
      <x:c r="AH196" t="inlineStr">
        <x:is>
          <x:t xml:space="preserve">EMPTY</x:t>
        </x:is>
      </x:c>
      <x:c r="AI196">
        <x:f>IF((COUNT('Quantification_Results'!AC196)=1),IFERROR(ROUND((SUM(('Quantification_Results'!AC196*'Quantification_Config'!$R$12))/SUM('Quantification_Config'!$R$12)),'Quantification_Config'!$U$2),""),"")</x:f>
      </x:c>
      <x:c r="AJ196">
        <x:f>IF((COUNT('Quantification_Results'!AI196)=1),IFERROR(ROUND((SUM(('Quantification_Results'!AI196*'Quantification_Config'!$R$11))/SUM('Quantification_Config'!$R$11)),'Quantification_Config'!$U$2),""),"")</x:f>
      </x:c>
      <x:c r="AK196" t="n">
        <x:v>1</x:v>
      </x:c>
      <x:c r="AL196" t="n">
        <x:v>5</x:v>
      </x:c>
      <x:c r="AM196"/>
      <x:c r="AN196" t="n">
        <x:f>IF(('Quantification_Results'!AK196&lt;&gt;1),"",IF(('Quantification_Results'!AM196=""),IF(ISNUMBER('Quantification_Results'!AL196),IF(('Quantification_Results'!AL196&lt;'Quantification_Config'!$S$15),"",IF(('Quantification_Results'!AL196&gt;'Quantification_Config'!$T$15),"",'Quantification_Results'!AL196)),""),IF(ISNUMBER('Quantification_Results'!AM196),IF(('Quantification_Results'!AM196&lt;'Quantification_Config'!$S$15),"",IF(('Quantification_Results'!AM196&gt;'Quantification_Config'!$T$15),"",'Quantification_Results'!AM196)),"")))</x:f>
        <x:v>5</x:v>
      </x:c>
      <x:c r="AO196" t="n">
        <x:f>IF(ISNUMBER('Quantification_Results'!AN196),IFERROR(ROUND(((('Quantification_Results'!AN196-'Quantification_Config'!$S$15)/('Quantification_Config'!$T$15-'Quantification_Config'!$S$15))*100),'Quantification_Config'!$U$2),""),"")</x:f>
        <x:v>50</x:v>
      </x:c>
      <x:c r="AP196" t="inlineStr">
        <x:is>
          <x:t xml:space="preserve">SYSTEM-TEST-ONLY-NO-NETWORK-NOT-AN-EDUCATIONAL-EVALUATION</x:t>
        </x:is>
      </x:c>
      <x:c r="AQ196" t="inlineStr">
        <x:is>
          <x:t xml:space="preserve"/>
        </x:is>
      </x:c>
      <x:c r="AR196" t="inlineStr">
        <x:is>
          <x:t xml:space="preserve">NONE</x:t>
        </x:is>
      </x:c>
      <x:c r="AS196" t="inlineStr">
        <x:is>
          <x:t xml:space="preserve"/>
        </x:is>
      </x:c>
      <x:c r="AT196" t="inlineStr">
        <x:is>
          <x:t xml:space="preserve">SUCCESS</x:t>
        </x:is>
      </x:c>
      <x:c r="AU196" t="n">
        <x:f>IF((COUNT('Quantification_Results'!AO196)=1),IFERROR(ROUND((SUM(('Quantification_Results'!AO196*'Quantification_Config'!$R$15))/SUM('Quantification_Config'!$R$15)),'Quantification_Config'!$U$2),""),"")</x:f>
        <x:v>50</x:v>
      </x:c>
      <x:c r="AV196" t="n">
        <x:f>IF((COUNT('Quantification_Results'!AU196)=1),IFERROR(ROUND((SUM(('Quantification_Results'!AU196*'Quantification_Config'!$R$14))/SUM('Quantification_Config'!$R$14)),'Quantification_Config'!$U$2),""),"")</x:f>
        <x:v>50</x:v>
      </x:c>
      <x:c r="AW196" t="n">
        <x:v>0</x:v>
      </x:c>
      <x:c r="AX196"/>
      <x:c r="AY196"/>
      <x:c r="AZ196">
        <x:f>IF(('Quantification_Results'!AW196&lt;&gt;1),"",IF(('Quantification_Results'!AY196=""),IF(ISNUMBER('Quantification_Results'!AX196),IF(('Quantification_Results'!AX196&lt;'Quantification_Config'!$S$19),"",IF(('Quantification_Results'!AX196&gt;'Quantification_Config'!$T$19),"",'Quantification_Results'!AX196)),""),IF(ISNUMBER('Quantification_Results'!AY196),IF(('Quantification_Results'!AY196&lt;'Quantification_Config'!$S$19),"",IF(('Quantification_Results'!AY196&gt;'Quantification_Config'!$T$19),"",'Quantification_Results'!AY196)),"")))</x:f>
      </x:c>
      <x:c r="BA196">
        <x:f>IF(ISNUMBER('Quantification_Results'!AZ196),IFERROR(ROUND(((('Quantification_Results'!AZ196-'Quantification_Config'!$S$19)/('Quantification_Config'!$T$19-'Quantification_Config'!$S$19))*100),'Quantification_Config'!$U$2),""),"")</x:f>
      </x:c>
      <x:c r="BB196" t="inlineStr">
        <x:is>
          <x:t xml:space="preserve"/>
        </x:is>
      </x:c>
      <x:c r="BC196" t="inlineStr">
        <x:is>
          <x:t xml:space="preserve"/>
        </x:is>
      </x:c>
      <x:c r="BD196" t="inlineStr">
        <x:is>
          <x:t xml:space="preserve"/>
        </x:is>
      </x:c>
      <x:c r="BE196" t="inlineStr">
        <x:is>
          <x:t xml:space="preserve"/>
        </x:is>
      </x:c>
      <x:c r="BF196" t="inlineStr">
        <x:is>
          <x:t xml:space="preserve">EMPTY</x:t>
        </x:is>
      </x:c>
      <x:c r="BG196">
        <x:f>IF((COUNT('Quantification_Results'!BA196)=1),IFERROR(ROUND((SUM(('Quantification_Results'!BA196*'Quantification_Config'!$R$19))/SUM('Quantification_Config'!$R$19)),'Quantification_Config'!$U$2),""),"")</x:f>
      </x:c>
      <x:c r="BH196">
        <x:f>IF((COUNT('Quantification_Results'!BG196)=1),IFERROR(ROUND((SUM(('Quantification_Results'!BG196*'Quantification_Config'!$R$18))/SUM('Quantification_Config'!$R$18)),'Quantification_Config'!$U$2),""),"")</x:f>
      </x:c>
      <x:c r="BI196">
        <x:f>IF((COUNT('Quantification_Results'!L196,'Quantification_Results'!X196,'Quantification_Results'!AJ196,'Quantification_Results'!AV196,'Quantification_Results'!BH196)=5),IFERROR(ROUND((SUM(('Quantification_Results'!L196*'Quantification_Config'!$R$4),('Quantification_Results'!X196*'Quantification_Config'!$R$7),('Quantification_Results'!AJ196*'Quantification_Config'!$R$10),('Quantification_Results'!AV196*'Quantification_Config'!$R$13),('Quantification_Results'!BH196*'Quantification_Config'!$R$16))/SUM('Quantification_Config'!$R$4,'Quantification_Config'!$R$7,'Quantification_Config'!$R$10,'Quantification_Config'!$R$13,'Quantification_Config'!$R$16)),'Quantification_Config'!$U$2),""),"")</x:f>
      </x:c>
    </x:row>
    <x:row r="197">
      <x:c r="A197" t="n">
        <x:v>1</x:v>
      </x:c>
      <x:c r="B197" t="n">
        <x:v>5</x:v>
      </x:c>
      <x:c r="C197"/>
      <x:c r="D197" t="n">
        <x:f>IF(('Quantification_Results'!A197&lt;&gt;1),"",IF(('Quantification_Results'!C197=""),IF(ISNUMBER('Quantification_Results'!B197),IF(('Quantification_Results'!B197&lt;'Quantification_Config'!$S$6),"",IF(('Quantification_Results'!B197&gt;'Quantification_Config'!$T$6),"",'Quantification_Results'!B197)),""),IF(ISNUMBER('Quantification_Results'!C197),IF(('Quantification_Results'!C197&lt;'Quantification_Config'!$S$6),"",IF(('Quantification_Results'!C197&gt;'Quantification_Config'!$T$6),"",'Quantification_Results'!C197)),"")))</x:f>
        <x:v>5</x:v>
      </x:c>
      <x:c r="E197" t="n">
        <x:f>IF(ISNUMBER('Quantification_Results'!D197),IFERROR(ROUND(((('Quantification_Results'!D197-'Quantification_Config'!$S$6)/('Quantification_Config'!$T$6-'Quantification_Config'!$S$6))*100),'Quantification_Config'!$U$2),""),"")</x:f>
        <x:v>50</x:v>
      </x:c>
      <x:c r="F197" t="inlineStr">
        <x:is>
          <x:t xml:space="preserve">SYSTEM-TEST-ONLY-NO-NETWORK-NOT-AN-EDUCATIONAL-EVALUATION</x:t>
        </x:is>
      </x:c>
      <x:c r="G197" t="inlineStr">
        <x:is>
          <x:t xml:space="preserve"/>
        </x:is>
      </x:c>
      <x:c r="H197" t="inlineStr">
        <x:is>
          <x:t xml:space="preserve">NONE</x:t>
        </x:is>
      </x:c>
      <x:c r="I197" t="inlineStr">
        <x:is>
          <x:t xml:space="preserve"/>
        </x:is>
      </x:c>
      <x:c r="J197" t="inlineStr">
        <x:is>
          <x:t xml:space="preserve">SUCCESS</x:t>
        </x:is>
      </x:c>
      <x:c r="K197" t="n">
        <x:f>IF((COUNT('Quantification_Results'!E197)=1),IFERROR(ROUND((SUM(('Quantification_Results'!E197*'Quantification_Config'!$R$6))/SUM('Quantification_Config'!$R$6)),'Quantification_Config'!$U$2),""),"")</x:f>
        <x:v>50</x:v>
      </x:c>
      <x:c r="L197" t="n">
        <x:f>IF((COUNT('Quantification_Results'!K197)=1),IFERROR(ROUND((SUM(('Quantification_Results'!K197*'Quantification_Config'!$R$5))/SUM('Quantification_Config'!$R$5)),'Quantification_Config'!$U$2),""),"")</x:f>
        <x:v>50</x:v>
      </x:c>
      <x:c r="M197" t="n">
        <x:v>0</x:v>
      </x:c>
      <x:c r="N197"/>
      <x:c r="O197"/>
      <x:c r="P197">
        <x:f>IF(('Quantification_Results'!M197&lt;&gt;1),"",IF(('Quantification_Results'!O197=""),IF(ISNUMBER('Quantification_Results'!N197),IF(('Quantification_Results'!N197&lt;'Quantification_Config'!$S$9),"",IF(('Quantification_Results'!N197&gt;'Quantification_Config'!$T$9),"",'Quantification_Results'!N197)),""),IF(ISNUMBER('Quantification_Results'!O197),IF(('Quantification_Results'!O197&lt;'Quantification_Config'!$S$9),"",IF(('Quantification_Results'!O197&gt;'Quantification_Config'!$T$9),"",'Quantification_Results'!O197)),"")))</x:f>
      </x:c>
      <x:c r="Q197">
        <x:f>IF(ISNUMBER('Quantification_Results'!P197),IFERROR(ROUND(((('Quantification_Results'!P197-'Quantification_Config'!$S$9)/('Quantification_Config'!$T$9-'Quantification_Config'!$S$9))*100),'Quantification_Config'!$U$2),""),"")</x:f>
      </x:c>
      <x:c r="R197" t="inlineStr">
        <x:is>
          <x:t xml:space="preserve"/>
        </x:is>
      </x:c>
      <x:c r="S197" t="inlineStr">
        <x:is>
          <x:t xml:space="preserve"/>
        </x:is>
      </x:c>
      <x:c r="T197" t="inlineStr">
        <x:is>
          <x:t xml:space="preserve"/>
        </x:is>
      </x:c>
      <x:c r="U197" t="inlineStr">
        <x:is>
          <x:t xml:space="preserve"/>
        </x:is>
      </x:c>
      <x:c r="V197" t="inlineStr">
        <x:is>
          <x:t xml:space="preserve">EMPTY</x:t>
        </x:is>
      </x:c>
      <x:c r="W197">
        <x:f>IF((COUNT('Quantification_Results'!Q197)=1),IFERROR(ROUND((SUM(('Quantification_Results'!Q197*'Quantification_Config'!$R$9))/SUM('Quantification_Config'!$R$9)),'Quantification_Config'!$U$2),""),"")</x:f>
      </x:c>
      <x:c r="X197">
        <x:f>IF((COUNT('Quantification_Results'!W197)=1),IFERROR(ROUND((SUM(('Quantification_Results'!W197*'Quantification_Config'!$R$8))/SUM('Quantification_Config'!$R$8)),'Quantification_Config'!$U$2),""),"")</x:f>
      </x:c>
      <x:c r="Y197" t="n">
        <x:v>0</x:v>
      </x:c>
      <x:c r="Z197"/>
      <x:c r="AA197"/>
      <x:c r="AB197">
        <x:f>IF(('Quantification_Results'!Y197&lt;&gt;1),"",IF(('Quantification_Results'!AA197=""),IF(ISNUMBER('Quantification_Results'!Z197),IF(('Quantification_Results'!Z197&lt;'Quantification_Config'!$S$12),"",IF(('Quantification_Results'!Z197&gt;'Quantification_Config'!$T$12),"",'Quantification_Results'!Z197)),""),IF(ISNUMBER('Quantification_Results'!AA197),IF(('Quantification_Results'!AA197&lt;'Quantification_Config'!$S$12),"",IF(('Quantification_Results'!AA197&gt;'Quantification_Config'!$T$12),"",'Quantification_Results'!AA197)),"")))</x:f>
      </x:c>
      <x:c r="AC197">
        <x:f>IF(ISNUMBER('Quantification_Results'!AB197),IFERROR(ROUND(((('Quantification_Results'!AB197-'Quantification_Config'!$S$12)/('Quantification_Config'!$T$12-'Quantification_Config'!$S$12))*100),'Quantification_Config'!$U$2),""),"")</x:f>
      </x:c>
      <x:c r="AD197" t="inlineStr">
        <x:is>
          <x:t xml:space="preserve"/>
        </x:is>
      </x:c>
      <x:c r="AE197" t="inlineStr">
        <x:is>
          <x:t xml:space="preserve"/>
        </x:is>
      </x:c>
      <x:c r="AF197" t="inlineStr">
        <x:is>
          <x:t xml:space="preserve"/>
        </x:is>
      </x:c>
      <x:c r="AG197" t="inlineStr">
        <x:is>
          <x:t xml:space="preserve"/>
        </x:is>
      </x:c>
      <x:c r="AH197" t="inlineStr">
        <x:is>
          <x:t xml:space="preserve">EMPTY</x:t>
        </x:is>
      </x:c>
      <x:c r="AI197">
        <x:f>IF((COUNT('Quantification_Results'!AC197)=1),IFERROR(ROUND((SUM(('Quantification_Results'!AC197*'Quantification_Config'!$R$12))/SUM('Quantification_Config'!$R$12)),'Quantification_Config'!$U$2),""),"")</x:f>
      </x:c>
      <x:c r="AJ197">
        <x:f>IF((COUNT('Quantification_Results'!AI197)=1),IFERROR(ROUND((SUM(('Quantification_Results'!AI197*'Quantification_Config'!$R$11))/SUM('Quantification_Config'!$R$11)),'Quantification_Config'!$U$2),""),"")</x:f>
      </x:c>
      <x:c r="AK197" t="n">
        <x:v>1</x:v>
      </x:c>
      <x:c r="AL197" t="n">
        <x:v>5</x:v>
      </x:c>
      <x:c r="AM197"/>
      <x:c r="AN197" t="n">
        <x:f>IF(('Quantification_Results'!AK197&lt;&gt;1),"",IF(('Quantification_Results'!AM197=""),IF(ISNUMBER('Quantification_Results'!AL197),IF(('Quantification_Results'!AL197&lt;'Quantification_Config'!$S$15),"",IF(('Quantification_Results'!AL197&gt;'Quantification_Config'!$T$15),"",'Quantification_Results'!AL197)),""),IF(ISNUMBER('Quantification_Results'!AM197),IF(('Quantification_Results'!AM197&lt;'Quantification_Config'!$S$15),"",IF(('Quantification_Results'!AM197&gt;'Quantification_Config'!$T$15),"",'Quantification_Results'!AM197)),"")))</x:f>
        <x:v>5</x:v>
      </x:c>
      <x:c r="AO197" t="n">
        <x:f>IF(ISNUMBER('Quantification_Results'!AN197),IFERROR(ROUND(((('Quantification_Results'!AN197-'Quantification_Config'!$S$15)/('Quantification_Config'!$T$15-'Quantification_Config'!$S$15))*100),'Quantification_Config'!$U$2),""),"")</x:f>
        <x:v>50</x:v>
      </x:c>
      <x:c r="AP197" t="inlineStr">
        <x:is>
          <x:t xml:space="preserve">SYSTEM-TEST-ONLY-NO-NETWORK-NOT-AN-EDUCATIONAL-EVALUATION</x:t>
        </x:is>
      </x:c>
      <x:c r="AQ197" t="inlineStr">
        <x:is>
          <x:t xml:space="preserve"/>
        </x:is>
      </x:c>
      <x:c r="AR197" t="inlineStr">
        <x:is>
          <x:t xml:space="preserve">NONE</x:t>
        </x:is>
      </x:c>
      <x:c r="AS197" t="inlineStr">
        <x:is>
          <x:t xml:space="preserve"/>
        </x:is>
      </x:c>
      <x:c r="AT197" t="inlineStr">
        <x:is>
          <x:t xml:space="preserve">SUCCESS</x:t>
        </x:is>
      </x:c>
      <x:c r="AU197" t="n">
        <x:f>IF((COUNT('Quantification_Results'!AO197)=1),IFERROR(ROUND((SUM(('Quantification_Results'!AO197*'Quantification_Config'!$R$15))/SUM('Quantification_Config'!$R$15)),'Quantification_Config'!$U$2),""),"")</x:f>
        <x:v>50</x:v>
      </x:c>
      <x:c r="AV197" t="n">
        <x:f>IF((COUNT('Quantification_Results'!AU197)=1),IFERROR(ROUND((SUM(('Quantification_Results'!AU197*'Quantification_Config'!$R$14))/SUM('Quantification_Config'!$R$14)),'Quantification_Config'!$U$2),""),"")</x:f>
        <x:v>50</x:v>
      </x:c>
      <x:c r="AW197" t="n">
        <x:v>0</x:v>
      </x:c>
      <x:c r="AX197"/>
      <x:c r="AY197"/>
      <x:c r="AZ197">
        <x:f>IF(('Quantification_Results'!AW197&lt;&gt;1),"",IF(('Quantification_Results'!AY197=""),IF(ISNUMBER('Quantification_Results'!AX197),IF(('Quantification_Results'!AX197&lt;'Quantification_Config'!$S$19),"",IF(('Quantification_Results'!AX197&gt;'Quantification_Config'!$T$19),"",'Quantification_Results'!AX197)),""),IF(ISNUMBER('Quantification_Results'!AY197),IF(('Quantification_Results'!AY197&lt;'Quantification_Config'!$S$19),"",IF(('Quantification_Results'!AY197&gt;'Quantification_Config'!$T$19),"",'Quantification_Results'!AY197)),"")))</x:f>
      </x:c>
      <x:c r="BA197">
        <x:f>IF(ISNUMBER('Quantification_Results'!AZ197),IFERROR(ROUND(((('Quantification_Results'!AZ197-'Quantification_Config'!$S$19)/('Quantification_Config'!$T$19-'Quantification_Config'!$S$19))*100),'Quantification_Config'!$U$2),""),"")</x:f>
      </x:c>
      <x:c r="BB197" t="inlineStr">
        <x:is>
          <x:t xml:space="preserve"/>
        </x:is>
      </x:c>
      <x:c r="BC197" t="inlineStr">
        <x:is>
          <x:t xml:space="preserve"/>
        </x:is>
      </x:c>
      <x:c r="BD197" t="inlineStr">
        <x:is>
          <x:t xml:space="preserve"/>
        </x:is>
      </x:c>
      <x:c r="BE197" t="inlineStr">
        <x:is>
          <x:t xml:space="preserve"/>
        </x:is>
      </x:c>
      <x:c r="BF197" t="inlineStr">
        <x:is>
          <x:t xml:space="preserve">EMPTY</x:t>
        </x:is>
      </x:c>
      <x:c r="BG197">
        <x:f>IF((COUNT('Quantification_Results'!BA197)=1),IFERROR(ROUND((SUM(('Quantification_Results'!BA197*'Quantification_Config'!$R$19))/SUM('Quantification_Config'!$R$19)),'Quantification_Config'!$U$2),""),"")</x:f>
      </x:c>
      <x:c r="BH197">
        <x:f>IF((COUNT('Quantification_Results'!BG197)=1),IFERROR(ROUND((SUM(('Quantification_Results'!BG197*'Quantification_Config'!$R$18))/SUM('Quantification_Config'!$R$18)),'Quantification_Config'!$U$2),""),"")</x:f>
      </x:c>
      <x:c r="BI197">
        <x:f>IF((COUNT('Quantification_Results'!L197,'Quantification_Results'!X197,'Quantification_Results'!AJ197,'Quantification_Results'!AV197,'Quantification_Results'!BH197)=5),IFERROR(ROUND((SUM(('Quantification_Results'!L197*'Quantification_Config'!$R$4),('Quantification_Results'!X197*'Quantification_Config'!$R$7),('Quantification_Results'!AJ197*'Quantification_Config'!$R$10),('Quantification_Results'!AV197*'Quantification_Config'!$R$13),('Quantification_Results'!BH197*'Quantification_Config'!$R$16))/SUM('Quantification_Config'!$R$4,'Quantification_Config'!$R$7,'Quantification_Config'!$R$10,'Quantification_Config'!$R$13,'Quantification_Config'!$R$16)),'Quantification_Config'!$U$2),""),"")</x:f>
      </x:c>
    </x:row>
    <x:row r="198">
      <x:c r="A198" t="n">
        <x:v>1</x:v>
      </x:c>
      <x:c r="B198" t="n">
        <x:v>5</x:v>
      </x:c>
      <x:c r="C198"/>
      <x:c r="D198" t="n">
        <x:f>IF(('Quantification_Results'!A198&lt;&gt;1),"",IF(('Quantification_Results'!C198=""),IF(ISNUMBER('Quantification_Results'!B198),IF(('Quantification_Results'!B198&lt;'Quantification_Config'!$S$6),"",IF(('Quantification_Results'!B198&gt;'Quantification_Config'!$T$6),"",'Quantification_Results'!B198)),""),IF(ISNUMBER('Quantification_Results'!C198),IF(('Quantification_Results'!C198&lt;'Quantification_Config'!$S$6),"",IF(('Quantification_Results'!C198&gt;'Quantification_Config'!$T$6),"",'Quantification_Results'!C198)),"")))</x:f>
        <x:v>5</x:v>
      </x:c>
      <x:c r="E198" t="n">
        <x:f>IF(ISNUMBER('Quantification_Results'!D198),IFERROR(ROUND(((('Quantification_Results'!D198-'Quantification_Config'!$S$6)/('Quantification_Config'!$T$6-'Quantification_Config'!$S$6))*100),'Quantification_Config'!$U$2),""),"")</x:f>
        <x:v>50</x:v>
      </x:c>
      <x:c r="F198" t="inlineStr">
        <x:is>
          <x:t xml:space="preserve">SYSTEM-TEST-ONLY-NO-NETWORK-NOT-AN-EDUCATIONAL-EVALUATION</x:t>
        </x:is>
      </x:c>
      <x:c r="G198" t="inlineStr">
        <x:is>
          <x:t xml:space="preserve"/>
        </x:is>
      </x:c>
      <x:c r="H198" t="inlineStr">
        <x:is>
          <x:t xml:space="preserve">NONE</x:t>
        </x:is>
      </x:c>
      <x:c r="I198" t="inlineStr">
        <x:is>
          <x:t xml:space="preserve"/>
        </x:is>
      </x:c>
      <x:c r="J198" t="inlineStr">
        <x:is>
          <x:t xml:space="preserve">SUCCESS</x:t>
        </x:is>
      </x:c>
      <x:c r="K198" t="n">
        <x:f>IF((COUNT('Quantification_Results'!E198)=1),IFERROR(ROUND((SUM(('Quantification_Results'!E198*'Quantification_Config'!$R$6))/SUM('Quantification_Config'!$R$6)),'Quantification_Config'!$U$2),""),"")</x:f>
        <x:v>50</x:v>
      </x:c>
      <x:c r="L198" t="n">
        <x:f>IF((COUNT('Quantification_Results'!K198)=1),IFERROR(ROUND((SUM(('Quantification_Results'!K198*'Quantification_Config'!$R$5))/SUM('Quantification_Config'!$R$5)),'Quantification_Config'!$U$2),""),"")</x:f>
        <x:v>50</x:v>
      </x:c>
      <x:c r="M198" t="n">
        <x:v>1</x:v>
      </x:c>
      <x:c r="N198" t="n">
        <x:v>5</x:v>
      </x:c>
      <x:c r="O198"/>
      <x:c r="P198" t="n">
        <x:f>IF(('Quantification_Results'!M198&lt;&gt;1),"",IF(('Quantification_Results'!O198=""),IF(ISNUMBER('Quantification_Results'!N198),IF(('Quantification_Results'!N198&lt;'Quantification_Config'!$S$9),"",IF(('Quantification_Results'!N198&gt;'Quantification_Config'!$T$9),"",'Quantification_Results'!N198)),""),IF(ISNUMBER('Quantification_Results'!O198),IF(('Quantification_Results'!O198&lt;'Quantification_Config'!$S$9),"",IF(('Quantification_Results'!O198&gt;'Quantification_Config'!$T$9),"",'Quantification_Results'!O198)),"")))</x:f>
        <x:v>5</x:v>
      </x:c>
      <x:c r="Q198" t="n">
        <x:f>IF(ISNUMBER('Quantification_Results'!P198),IFERROR(ROUND(((('Quantification_Results'!P198-'Quantification_Config'!$S$9)/('Quantification_Config'!$T$9-'Quantification_Config'!$S$9))*100),'Quantification_Config'!$U$2),""),"")</x:f>
        <x:v>50</x:v>
      </x:c>
      <x:c r="R198" t="inlineStr">
        <x:is>
          <x:t xml:space="preserve">SYSTEM-TEST-ONLY-NO-NETWORK-NOT-AN-EDUCATIONAL-EVALUATION</x:t>
        </x:is>
      </x:c>
      <x:c r="S198" t="inlineStr">
        <x:is>
          <x:t xml:space="preserve"/>
        </x:is>
      </x:c>
      <x:c r="T198" t="inlineStr">
        <x:is>
          <x:t xml:space="preserve">NONE</x:t>
        </x:is>
      </x:c>
      <x:c r="U198" t="inlineStr">
        <x:is>
          <x:t xml:space="preserve"/>
        </x:is>
      </x:c>
      <x:c r="V198" t="inlineStr">
        <x:is>
          <x:t xml:space="preserve">SUCCESS</x:t>
        </x:is>
      </x:c>
      <x:c r="W198" t="n">
        <x:f>IF((COUNT('Quantification_Results'!Q198)=1),IFERROR(ROUND((SUM(('Quantification_Results'!Q198*'Quantification_Config'!$R$9))/SUM('Quantification_Config'!$R$9)),'Quantification_Config'!$U$2),""),"")</x:f>
        <x:v>50</x:v>
      </x:c>
      <x:c r="X198" t="n">
        <x:f>IF((COUNT('Quantification_Results'!W198)=1),IFERROR(ROUND((SUM(('Quantification_Results'!W198*'Quantification_Config'!$R$8))/SUM('Quantification_Config'!$R$8)),'Quantification_Config'!$U$2),""),"")</x:f>
        <x:v>50</x:v>
      </x:c>
      <x:c r="Y198" t="n">
        <x:v>1</x:v>
      </x:c>
      <x:c r="Z198" t="n">
        <x:v>5</x:v>
      </x:c>
      <x:c r="AA198"/>
      <x:c r="AB198" t="n">
        <x:f>IF(('Quantification_Results'!Y198&lt;&gt;1),"",IF(('Quantification_Results'!AA198=""),IF(ISNUMBER('Quantification_Results'!Z198),IF(('Quantification_Results'!Z198&lt;'Quantification_Config'!$S$12),"",IF(('Quantification_Results'!Z198&gt;'Quantification_Config'!$T$12),"",'Quantification_Results'!Z198)),""),IF(ISNUMBER('Quantification_Results'!AA198),IF(('Quantification_Results'!AA198&lt;'Quantification_Config'!$S$12),"",IF(('Quantification_Results'!AA198&gt;'Quantification_Config'!$T$12),"",'Quantification_Results'!AA198)),"")))</x:f>
        <x:v>5</x:v>
      </x:c>
      <x:c r="AC198" t="n">
        <x:f>IF(ISNUMBER('Quantification_Results'!AB198),IFERROR(ROUND(((('Quantification_Results'!AB198-'Quantification_Config'!$S$12)/('Quantification_Config'!$T$12-'Quantification_Config'!$S$12))*100),'Quantification_Config'!$U$2),""),"")</x:f>
        <x:v>50</x:v>
      </x:c>
      <x:c r="AD198" t="inlineStr">
        <x:is>
          <x:t xml:space="preserve">SYSTEM-TEST-ONLY-NO-NETWORK-NOT-AN-EDUCATIONAL-EVALUATION</x:t>
        </x:is>
      </x:c>
      <x:c r="AE198" t="inlineStr">
        <x:is>
          <x:t xml:space="preserve"/>
        </x:is>
      </x:c>
      <x:c r="AF198" t="inlineStr">
        <x:is>
          <x:t xml:space="preserve">NONE</x:t>
        </x:is>
      </x:c>
      <x:c r="AG198" t="inlineStr">
        <x:is>
          <x:t xml:space="preserve"/>
        </x:is>
      </x:c>
      <x:c r="AH198" t="inlineStr">
        <x:is>
          <x:t xml:space="preserve">SUCCESS</x:t>
        </x:is>
      </x:c>
      <x:c r="AI198" t="n">
        <x:f>IF((COUNT('Quantification_Results'!AC198)=1),IFERROR(ROUND((SUM(('Quantification_Results'!AC198*'Quantification_Config'!$R$12))/SUM('Quantification_Config'!$R$12)),'Quantification_Config'!$U$2),""),"")</x:f>
        <x:v>50</x:v>
      </x:c>
      <x:c r="AJ198" t="n">
        <x:f>IF((COUNT('Quantification_Results'!AI198)=1),IFERROR(ROUND((SUM(('Quantification_Results'!AI198*'Quantification_Config'!$R$11))/SUM('Quantification_Config'!$R$11)),'Quantification_Config'!$U$2),""),"")</x:f>
        <x:v>50</x:v>
      </x:c>
      <x:c r="AK198" t="n">
        <x:v>1</x:v>
      </x:c>
      <x:c r="AL198" t="n">
        <x:v>5</x:v>
      </x:c>
      <x:c r="AM198"/>
      <x:c r="AN198" t="n">
        <x:f>IF(('Quantification_Results'!AK198&lt;&gt;1),"",IF(('Quantification_Results'!AM198=""),IF(ISNUMBER('Quantification_Results'!AL198),IF(('Quantification_Results'!AL198&lt;'Quantification_Config'!$S$15),"",IF(('Quantification_Results'!AL198&gt;'Quantification_Config'!$T$15),"",'Quantification_Results'!AL198)),""),IF(ISNUMBER('Quantification_Results'!AM198),IF(('Quantification_Results'!AM198&lt;'Quantification_Config'!$S$15),"",IF(('Quantification_Results'!AM198&gt;'Quantification_Config'!$T$15),"",'Quantification_Results'!AM198)),"")))</x:f>
        <x:v>5</x:v>
      </x:c>
      <x:c r="AO198" t="n">
        <x:f>IF(ISNUMBER('Quantification_Results'!AN198),IFERROR(ROUND(((('Quantification_Results'!AN198-'Quantification_Config'!$S$15)/('Quantification_Config'!$T$15-'Quantification_Config'!$S$15))*100),'Quantification_Config'!$U$2),""),"")</x:f>
        <x:v>50</x:v>
      </x:c>
      <x:c r="AP198" t="inlineStr">
        <x:is>
          <x:t xml:space="preserve">SYSTEM-TEST-ONLY-NO-NETWORK-NOT-AN-EDUCATIONAL-EVALUATION</x:t>
        </x:is>
      </x:c>
      <x:c r="AQ198" t="inlineStr">
        <x:is>
          <x:t xml:space="preserve"/>
        </x:is>
      </x:c>
      <x:c r="AR198" t="inlineStr">
        <x:is>
          <x:t xml:space="preserve">NONE</x:t>
        </x:is>
      </x:c>
      <x:c r="AS198" t="inlineStr">
        <x:is>
          <x:t xml:space="preserve"/>
        </x:is>
      </x:c>
      <x:c r="AT198" t="inlineStr">
        <x:is>
          <x:t xml:space="preserve">SUCCESS</x:t>
        </x:is>
      </x:c>
      <x:c r="AU198" t="n">
        <x:f>IF((COUNT('Quantification_Results'!AO198)=1),IFERROR(ROUND((SUM(('Quantification_Results'!AO198*'Quantification_Config'!$R$15))/SUM('Quantification_Config'!$R$15)),'Quantification_Config'!$U$2),""),"")</x:f>
        <x:v>50</x:v>
      </x:c>
      <x:c r="AV198" t="n">
        <x:f>IF((COUNT('Quantification_Results'!AU198)=1),IFERROR(ROUND((SUM(('Quantification_Results'!AU198*'Quantification_Config'!$R$14))/SUM('Quantification_Config'!$R$14)),'Quantification_Config'!$U$2),""),"")</x:f>
        <x:v>50</x:v>
      </x:c>
      <x:c r="AW198" t="n">
        <x:v>1</x:v>
      </x:c>
      <x:c r="AX198" t="n">
        <x:v>5</x:v>
      </x:c>
      <x:c r="AY198"/>
      <x:c r="AZ198" t="n">
        <x:f>IF(('Quantification_Results'!AW198&lt;&gt;1),"",IF(('Quantification_Results'!AY198=""),IF(ISNUMBER('Quantification_Results'!AX198),IF(('Quantification_Results'!AX198&lt;'Quantification_Config'!$S$19),"",IF(('Quantification_Results'!AX198&gt;'Quantification_Config'!$T$19),"",'Quantification_Results'!AX198)),""),IF(ISNUMBER('Quantification_Results'!AY198),IF(('Quantification_Results'!AY198&lt;'Quantification_Config'!$S$19),"",IF(('Quantification_Results'!AY198&gt;'Quantification_Config'!$T$19),"",'Quantification_Results'!AY198)),"")))</x:f>
        <x:v>5</x:v>
      </x:c>
      <x:c r="BA198" t="n">
        <x:f>IF(ISNUMBER('Quantification_Results'!AZ198),IFERROR(ROUND(((('Quantification_Results'!AZ198-'Quantification_Config'!$S$19)/('Quantification_Config'!$T$19-'Quantification_Config'!$S$19))*100),'Quantification_Config'!$U$2),""),"")</x:f>
        <x:v>50</x:v>
      </x:c>
      <x:c r="BB198" t="inlineStr">
        <x:is>
          <x:t xml:space="preserve">SYSTEM-TEST-ONLY-NO-NETWORK-NOT-AN-EDUCATIONAL-EVALUATION</x:t>
        </x:is>
      </x:c>
      <x:c r="BC198" t="inlineStr">
        <x:is>
          <x:t xml:space="preserve"/>
        </x:is>
      </x:c>
      <x:c r="BD198" t="inlineStr">
        <x:is>
          <x:t xml:space="preserve">NONE</x:t>
        </x:is>
      </x:c>
      <x:c r="BE198" t="inlineStr">
        <x:is>
          <x:t xml:space="preserve"/>
        </x:is>
      </x:c>
      <x:c r="BF198" t="inlineStr">
        <x:is>
          <x:t xml:space="preserve">SUCCESS</x:t>
        </x:is>
      </x:c>
      <x:c r="BG198" t="n">
        <x:f>IF((COUNT('Quantification_Results'!BA198)=1),IFERROR(ROUND((SUM(('Quantification_Results'!BA198*'Quantification_Config'!$R$19))/SUM('Quantification_Config'!$R$19)),'Quantification_Config'!$U$2),""),"")</x:f>
        <x:v>50</x:v>
      </x:c>
      <x:c r="BH198" t="n">
        <x:f>IF((COUNT('Quantification_Results'!BG198)=1),IFERROR(ROUND((SUM(('Quantification_Results'!BG198*'Quantification_Config'!$R$18))/SUM('Quantification_Config'!$R$18)),'Quantification_Config'!$U$2),""),"")</x:f>
        <x:v>50</x:v>
      </x:c>
      <x:c r="BI198" t="n">
        <x:f>IF((COUNT('Quantification_Results'!L198,'Quantification_Results'!X198,'Quantification_Results'!AJ198,'Quantification_Results'!AV198,'Quantification_Results'!BH198)=5),IFERROR(ROUND((SUM(('Quantification_Results'!L198*'Quantification_Config'!$R$4),('Quantification_Results'!X198*'Quantification_Config'!$R$7),('Quantification_Results'!AJ198*'Quantification_Config'!$R$10),('Quantification_Results'!AV198*'Quantification_Config'!$R$13),('Quantification_Results'!BH198*'Quantification_Config'!$R$16))/SUM('Quantification_Config'!$R$4,'Quantification_Config'!$R$7,'Quantification_Config'!$R$10,'Quantification_Config'!$R$13,'Quantification_Config'!$R$16)),'Quantification_Config'!$U$2),""),"")</x:f>
        <x:v>50</x:v>
      </x:c>
    </x:row>
    <x:row r="199">
      <x:c r="A199" t="n">
        <x:v>1</x:v>
      </x:c>
      <x:c r="B199" t="n">
        <x:v>5</x:v>
      </x:c>
      <x:c r="C199"/>
      <x:c r="D199" t="n">
        <x:f>IF(('Quantification_Results'!A199&lt;&gt;1),"",IF(('Quantification_Results'!C199=""),IF(ISNUMBER('Quantification_Results'!B199),IF(('Quantification_Results'!B199&lt;'Quantification_Config'!$S$6),"",IF(('Quantification_Results'!B199&gt;'Quantification_Config'!$T$6),"",'Quantification_Results'!B199)),""),IF(ISNUMBER('Quantification_Results'!C199),IF(('Quantification_Results'!C199&lt;'Quantification_Config'!$S$6),"",IF(('Quantification_Results'!C199&gt;'Quantification_Config'!$T$6),"",'Quantification_Results'!C199)),"")))</x:f>
        <x:v>5</x:v>
      </x:c>
      <x:c r="E199" t="n">
        <x:f>IF(ISNUMBER('Quantification_Results'!D199),IFERROR(ROUND(((('Quantification_Results'!D199-'Quantification_Config'!$S$6)/('Quantification_Config'!$T$6-'Quantification_Config'!$S$6))*100),'Quantification_Config'!$U$2),""),"")</x:f>
        <x:v>50</x:v>
      </x:c>
      <x:c r="F199" t="inlineStr">
        <x:is>
          <x:t xml:space="preserve">SYSTEM-TEST-ONLY-NO-NETWORK-NOT-AN-EDUCATIONAL-EVALUATION</x:t>
        </x:is>
      </x:c>
      <x:c r="G199" t="inlineStr">
        <x:is>
          <x:t xml:space="preserve"/>
        </x:is>
      </x:c>
      <x:c r="H199" t="inlineStr">
        <x:is>
          <x:t xml:space="preserve">NONE</x:t>
        </x:is>
      </x:c>
      <x:c r="I199" t="inlineStr">
        <x:is>
          <x:t xml:space="preserve"/>
        </x:is>
      </x:c>
      <x:c r="J199" t="inlineStr">
        <x:is>
          <x:t xml:space="preserve">SUCCESS</x:t>
        </x:is>
      </x:c>
      <x:c r="K199" t="n">
        <x:f>IF((COUNT('Quantification_Results'!E199)=1),IFERROR(ROUND((SUM(('Quantification_Results'!E199*'Quantification_Config'!$R$6))/SUM('Quantification_Config'!$R$6)),'Quantification_Config'!$U$2),""),"")</x:f>
        <x:v>50</x:v>
      </x:c>
      <x:c r="L199" t="n">
        <x:f>IF((COUNT('Quantification_Results'!K199)=1),IFERROR(ROUND((SUM(('Quantification_Results'!K199*'Quantification_Config'!$R$5))/SUM('Quantification_Config'!$R$5)),'Quantification_Config'!$U$2),""),"")</x:f>
        <x:v>50</x:v>
      </x:c>
      <x:c r="M199" t="n">
        <x:v>1</x:v>
      </x:c>
      <x:c r="N199" t="n">
        <x:v>5</x:v>
      </x:c>
      <x:c r="O199"/>
      <x:c r="P199" t="n">
        <x:f>IF(('Quantification_Results'!M199&lt;&gt;1),"",IF(('Quantification_Results'!O199=""),IF(ISNUMBER('Quantification_Results'!N199),IF(('Quantification_Results'!N199&lt;'Quantification_Config'!$S$9),"",IF(('Quantification_Results'!N199&gt;'Quantification_Config'!$T$9),"",'Quantification_Results'!N199)),""),IF(ISNUMBER('Quantification_Results'!O199),IF(('Quantification_Results'!O199&lt;'Quantification_Config'!$S$9),"",IF(('Quantification_Results'!O199&gt;'Quantification_Config'!$T$9),"",'Quantification_Results'!O199)),"")))</x:f>
        <x:v>5</x:v>
      </x:c>
      <x:c r="Q199" t="n">
        <x:f>IF(ISNUMBER('Quantification_Results'!P199),IFERROR(ROUND(((('Quantification_Results'!P199-'Quantification_Config'!$S$9)/('Quantification_Config'!$T$9-'Quantification_Config'!$S$9))*100),'Quantification_Config'!$U$2),""),"")</x:f>
        <x:v>50</x:v>
      </x:c>
      <x:c r="R199" t="inlineStr">
        <x:is>
          <x:t xml:space="preserve">SYSTEM-TEST-ONLY-NO-NETWORK-NOT-AN-EDUCATIONAL-EVALUATION</x:t>
        </x:is>
      </x:c>
      <x:c r="S199" t="inlineStr">
        <x:is>
          <x:t xml:space="preserve"/>
        </x:is>
      </x:c>
      <x:c r="T199" t="inlineStr">
        <x:is>
          <x:t xml:space="preserve">NONE</x:t>
        </x:is>
      </x:c>
      <x:c r="U199" t="inlineStr">
        <x:is>
          <x:t xml:space="preserve"/>
        </x:is>
      </x:c>
      <x:c r="V199" t="inlineStr">
        <x:is>
          <x:t xml:space="preserve">SUCCESS</x:t>
        </x:is>
      </x:c>
      <x:c r="W199" t="n">
        <x:f>IF((COUNT('Quantification_Results'!Q199)=1),IFERROR(ROUND((SUM(('Quantification_Results'!Q199*'Quantification_Config'!$R$9))/SUM('Quantification_Config'!$R$9)),'Quantification_Config'!$U$2),""),"")</x:f>
        <x:v>50</x:v>
      </x:c>
      <x:c r="X199" t="n">
        <x:f>IF((COUNT('Quantification_Results'!W199)=1),IFERROR(ROUND((SUM(('Quantification_Results'!W199*'Quantification_Config'!$R$8))/SUM('Quantification_Config'!$R$8)),'Quantification_Config'!$U$2),""),"")</x:f>
        <x:v>50</x:v>
      </x:c>
      <x:c r="Y199" t="n">
        <x:v>0</x:v>
      </x:c>
      <x:c r="Z199"/>
      <x:c r="AA199"/>
      <x:c r="AB199">
        <x:f>IF(('Quantification_Results'!Y199&lt;&gt;1),"",IF(('Quantification_Results'!AA199=""),IF(ISNUMBER('Quantification_Results'!Z199),IF(('Quantification_Results'!Z199&lt;'Quantification_Config'!$S$12),"",IF(('Quantification_Results'!Z199&gt;'Quantification_Config'!$T$12),"",'Quantification_Results'!Z199)),""),IF(ISNUMBER('Quantification_Results'!AA199),IF(('Quantification_Results'!AA199&lt;'Quantification_Config'!$S$12),"",IF(('Quantification_Results'!AA199&gt;'Quantification_Config'!$T$12),"",'Quantification_Results'!AA199)),"")))</x:f>
      </x:c>
      <x:c r="AC199">
        <x:f>IF(ISNUMBER('Quantification_Results'!AB199),IFERROR(ROUND(((('Quantification_Results'!AB199-'Quantification_Config'!$S$12)/('Quantification_Config'!$T$12-'Quantification_Config'!$S$12))*100),'Quantification_Config'!$U$2),""),"")</x:f>
      </x:c>
      <x:c r="AD199" t="inlineStr">
        <x:is>
          <x:t xml:space="preserve"/>
        </x:is>
      </x:c>
      <x:c r="AE199" t="inlineStr">
        <x:is>
          <x:t xml:space="preserve"/>
        </x:is>
      </x:c>
      <x:c r="AF199" t="inlineStr">
        <x:is>
          <x:t xml:space="preserve"/>
        </x:is>
      </x:c>
      <x:c r="AG199" t="inlineStr">
        <x:is>
          <x:t xml:space="preserve"/>
        </x:is>
      </x:c>
      <x:c r="AH199" t="inlineStr">
        <x:is>
          <x:t xml:space="preserve">EMPTY</x:t>
        </x:is>
      </x:c>
      <x:c r="AI199">
        <x:f>IF((COUNT('Quantification_Results'!AC199)=1),IFERROR(ROUND((SUM(('Quantification_Results'!AC199*'Quantification_Config'!$R$12))/SUM('Quantification_Config'!$R$12)),'Quantification_Config'!$U$2),""),"")</x:f>
      </x:c>
      <x:c r="AJ199">
        <x:f>IF((COUNT('Quantification_Results'!AI199)=1),IFERROR(ROUND((SUM(('Quantification_Results'!AI199*'Quantification_Config'!$R$11))/SUM('Quantification_Config'!$R$11)),'Quantification_Config'!$U$2),""),"")</x:f>
      </x:c>
      <x:c r="AK199" t="n">
        <x:v>1</x:v>
      </x:c>
      <x:c r="AL199" t="n">
        <x:v>5</x:v>
      </x:c>
      <x:c r="AM199"/>
      <x:c r="AN199" t="n">
        <x:f>IF(('Quantification_Results'!AK199&lt;&gt;1),"",IF(('Quantification_Results'!AM199=""),IF(ISNUMBER('Quantification_Results'!AL199),IF(('Quantification_Results'!AL199&lt;'Quantification_Config'!$S$15),"",IF(('Quantification_Results'!AL199&gt;'Quantification_Config'!$T$15),"",'Quantification_Results'!AL199)),""),IF(ISNUMBER('Quantification_Results'!AM199),IF(('Quantification_Results'!AM199&lt;'Quantification_Config'!$S$15),"",IF(('Quantification_Results'!AM199&gt;'Quantification_Config'!$T$15),"",'Quantification_Results'!AM199)),"")))</x:f>
        <x:v>5</x:v>
      </x:c>
      <x:c r="AO199" t="n">
        <x:f>IF(ISNUMBER('Quantification_Results'!AN199),IFERROR(ROUND(((('Quantification_Results'!AN199-'Quantification_Config'!$S$15)/('Quantification_Config'!$T$15-'Quantification_Config'!$S$15))*100),'Quantification_Config'!$U$2),""),"")</x:f>
        <x:v>50</x:v>
      </x:c>
      <x:c r="AP199" t="inlineStr">
        <x:is>
          <x:t xml:space="preserve">SYSTEM-TEST-ONLY-NO-NETWORK-NOT-AN-EDUCATIONAL-EVALUATION</x:t>
        </x:is>
      </x:c>
      <x:c r="AQ199" t="inlineStr">
        <x:is>
          <x:t xml:space="preserve"/>
        </x:is>
      </x:c>
      <x:c r="AR199" t="inlineStr">
        <x:is>
          <x:t xml:space="preserve">NONE</x:t>
        </x:is>
      </x:c>
      <x:c r="AS199" t="inlineStr">
        <x:is>
          <x:t xml:space="preserve"/>
        </x:is>
      </x:c>
      <x:c r="AT199" t="inlineStr">
        <x:is>
          <x:t xml:space="preserve">SUCCESS</x:t>
        </x:is>
      </x:c>
      <x:c r="AU199" t="n">
        <x:f>IF((COUNT('Quantification_Results'!AO199)=1),IFERROR(ROUND((SUM(('Quantification_Results'!AO199*'Quantification_Config'!$R$15))/SUM('Quantification_Config'!$R$15)),'Quantification_Config'!$U$2),""),"")</x:f>
        <x:v>50</x:v>
      </x:c>
      <x:c r="AV199" t="n">
        <x:f>IF((COUNT('Quantification_Results'!AU199)=1),IFERROR(ROUND((SUM(('Quantification_Results'!AU199*'Quantification_Config'!$R$14))/SUM('Quantification_Config'!$R$14)),'Quantification_Config'!$U$2),""),"")</x:f>
        <x:v>50</x:v>
      </x:c>
      <x:c r="AW199" t="n">
        <x:v>1</x:v>
      </x:c>
      <x:c r="AX199" t="n">
        <x:v>5</x:v>
      </x:c>
      <x:c r="AY199"/>
      <x:c r="AZ199" t="n">
        <x:f>IF(('Quantification_Results'!AW199&lt;&gt;1),"",IF(('Quantification_Results'!AY199=""),IF(ISNUMBER('Quantification_Results'!AX199),IF(('Quantification_Results'!AX199&lt;'Quantification_Config'!$S$19),"",IF(('Quantification_Results'!AX199&gt;'Quantification_Config'!$T$19),"",'Quantification_Results'!AX199)),""),IF(ISNUMBER('Quantification_Results'!AY199),IF(('Quantification_Results'!AY199&lt;'Quantification_Config'!$S$19),"",IF(('Quantification_Results'!AY199&gt;'Quantification_Config'!$T$19),"",'Quantification_Results'!AY199)),"")))</x:f>
        <x:v>5</x:v>
      </x:c>
      <x:c r="BA199" t="n">
        <x:f>IF(ISNUMBER('Quantification_Results'!AZ199),IFERROR(ROUND(((('Quantification_Results'!AZ199-'Quantification_Config'!$S$19)/('Quantification_Config'!$T$19-'Quantification_Config'!$S$19))*100),'Quantification_Config'!$U$2),""),"")</x:f>
        <x:v>50</x:v>
      </x:c>
      <x:c r="BB199" t="inlineStr">
        <x:is>
          <x:t xml:space="preserve">SYSTEM-TEST-ONLY-NO-NETWORK-NOT-AN-EDUCATIONAL-EVALUATION</x:t>
        </x:is>
      </x:c>
      <x:c r="BC199" t="inlineStr">
        <x:is>
          <x:t xml:space="preserve"/>
        </x:is>
      </x:c>
      <x:c r="BD199" t="inlineStr">
        <x:is>
          <x:t xml:space="preserve">NONE</x:t>
        </x:is>
      </x:c>
      <x:c r="BE199" t="inlineStr">
        <x:is>
          <x:t xml:space="preserve"/>
        </x:is>
      </x:c>
      <x:c r="BF199" t="inlineStr">
        <x:is>
          <x:t xml:space="preserve">SUCCESS</x:t>
        </x:is>
      </x:c>
      <x:c r="BG199" t="n">
        <x:f>IF((COUNT('Quantification_Results'!BA199)=1),IFERROR(ROUND((SUM(('Quantification_Results'!BA199*'Quantification_Config'!$R$19))/SUM('Quantification_Config'!$R$19)),'Quantification_Config'!$U$2),""),"")</x:f>
        <x:v>50</x:v>
      </x:c>
      <x:c r="BH199" t="n">
        <x:f>IF((COUNT('Quantification_Results'!BG199)=1),IFERROR(ROUND((SUM(('Quantification_Results'!BG199*'Quantification_Config'!$R$18))/SUM('Quantification_Config'!$R$18)),'Quantification_Config'!$U$2),""),"")</x:f>
        <x:v>50</x:v>
      </x:c>
      <x:c r="BI199">
        <x:f>IF((COUNT('Quantification_Results'!L199,'Quantification_Results'!X199,'Quantification_Results'!AJ199,'Quantification_Results'!AV199,'Quantification_Results'!BH199)=5),IFERROR(ROUND((SUM(('Quantification_Results'!L199*'Quantification_Config'!$R$4),('Quantification_Results'!X199*'Quantification_Config'!$R$7),('Quantification_Results'!AJ199*'Quantification_Config'!$R$10),('Quantification_Results'!AV199*'Quantification_Config'!$R$13),('Quantification_Results'!BH199*'Quantification_Config'!$R$16))/SUM('Quantification_Config'!$R$4,'Quantification_Config'!$R$7,'Quantification_Config'!$R$10,'Quantification_Config'!$R$13,'Quantification_Config'!$R$16)),'Quantification_Config'!$U$2),""),"")</x:f>
      </x:c>
    </x:row>
    <x:row r="200">
      <x:c r="A200" t="n">
        <x:v>1</x:v>
      </x:c>
      <x:c r="B200" t="n">
        <x:v>5</x:v>
      </x:c>
      <x:c r="C200"/>
      <x:c r="D200" t="n">
        <x:f>IF(('Quantification_Results'!A200&lt;&gt;1),"",IF(('Quantification_Results'!C200=""),IF(ISNUMBER('Quantification_Results'!B200),IF(('Quantification_Results'!B200&lt;'Quantification_Config'!$S$6),"",IF(('Quantification_Results'!B200&gt;'Quantification_Config'!$T$6),"",'Quantification_Results'!B200)),""),IF(ISNUMBER('Quantification_Results'!C200),IF(('Quantification_Results'!C200&lt;'Quantification_Config'!$S$6),"",IF(('Quantification_Results'!C200&gt;'Quantification_Config'!$T$6),"",'Quantification_Results'!C200)),"")))</x:f>
        <x:v>5</x:v>
      </x:c>
      <x:c r="E200" t="n">
        <x:f>IF(ISNUMBER('Quantification_Results'!D200),IFERROR(ROUND(((('Quantification_Results'!D200-'Quantification_Config'!$S$6)/('Quantification_Config'!$T$6-'Quantification_Config'!$S$6))*100),'Quantification_Config'!$U$2),""),"")</x:f>
        <x:v>50</x:v>
      </x:c>
      <x:c r="F200" t="inlineStr">
        <x:is>
          <x:t xml:space="preserve">SYSTEM-TEST-ONLY-NO-NETWORK-NOT-AN-EDUCATIONAL-EVALUATION</x:t>
        </x:is>
      </x:c>
      <x:c r="G200" t="inlineStr">
        <x:is>
          <x:t xml:space="preserve"/>
        </x:is>
      </x:c>
      <x:c r="H200" t="inlineStr">
        <x:is>
          <x:t xml:space="preserve">NONE</x:t>
        </x:is>
      </x:c>
      <x:c r="I200" t="inlineStr">
        <x:is>
          <x:t xml:space="preserve"/>
        </x:is>
      </x:c>
      <x:c r="J200" t="inlineStr">
        <x:is>
          <x:t xml:space="preserve">SUCCESS</x:t>
        </x:is>
      </x:c>
      <x:c r="K200" t="n">
        <x:f>IF((COUNT('Quantification_Results'!E200)=1),IFERROR(ROUND((SUM(('Quantification_Results'!E200*'Quantification_Config'!$R$6))/SUM('Quantification_Config'!$R$6)),'Quantification_Config'!$U$2),""),"")</x:f>
        <x:v>50</x:v>
      </x:c>
      <x:c r="L200" t="n">
        <x:f>IF((COUNT('Quantification_Results'!K200)=1),IFERROR(ROUND((SUM(('Quantification_Results'!K200*'Quantification_Config'!$R$5))/SUM('Quantification_Config'!$R$5)),'Quantification_Config'!$U$2),""),"")</x:f>
        <x:v>50</x:v>
      </x:c>
      <x:c r="M200" t="n">
        <x:v>1</x:v>
      </x:c>
      <x:c r="N200" t="n">
        <x:v>5</x:v>
      </x:c>
      <x:c r="O200"/>
      <x:c r="P200" t="n">
        <x:f>IF(('Quantification_Results'!M200&lt;&gt;1),"",IF(('Quantification_Results'!O200=""),IF(ISNUMBER('Quantification_Results'!N200),IF(('Quantification_Results'!N200&lt;'Quantification_Config'!$S$9),"",IF(('Quantification_Results'!N200&gt;'Quantification_Config'!$T$9),"",'Quantification_Results'!N200)),""),IF(ISNUMBER('Quantification_Results'!O200),IF(('Quantification_Results'!O200&lt;'Quantification_Config'!$S$9),"",IF(('Quantification_Results'!O200&gt;'Quantification_Config'!$T$9),"",'Quantification_Results'!O200)),"")))</x:f>
        <x:v>5</x:v>
      </x:c>
      <x:c r="Q200" t="n">
        <x:f>IF(ISNUMBER('Quantification_Results'!P200),IFERROR(ROUND(((('Quantification_Results'!P200-'Quantification_Config'!$S$9)/('Quantification_Config'!$T$9-'Quantification_Config'!$S$9))*100),'Quantification_Config'!$U$2),""),"")</x:f>
        <x:v>50</x:v>
      </x:c>
      <x:c r="R200" t="inlineStr">
        <x:is>
          <x:t xml:space="preserve">SYSTEM-TEST-ONLY-NO-NETWORK-NOT-AN-EDUCATIONAL-EVALUATION</x:t>
        </x:is>
      </x:c>
      <x:c r="S200" t="inlineStr">
        <x:is>
          <x:t xml:space="preserve"/>
        </x:is>
      </x:c>
      <x:c r="T200" t="inlineStr">
        <x:is>
          <x:t xml:space="preserve">NONE</x:t>
        </x:is>
      </x:c>
      <x:c r="U200" t="inlineStr">
        <x:is>
          <x:t xml:space="preserve"/>
        </x:is>
      </x:c>
      <x:c r="V200" t="inlineStr">
        <x:is>
          <x:t xml:space="preserve">SUCCESS</x:t>
        </x:is>
      </x:c>
      <x:c r="W200" t="n">
        <x:f>IF((COUNT('Quantification_Results'!Q200)=1),IFERROR(ROUND((SUM(('Quantification_Results'!Q200*'Quantification_Config'!$R$9))/SUM('Quantification_Config'!$R$9)),'Quantification_Config'!$U$2),""),"")</x:f>
        <x:v>50</x:v>
      </x:c>
      <x:c r="X200" t="n">
        <x:f>IF((COUNT('Quantification_Results'!W200)=1),IFERROR(ROUND((SUM(('Quantification_Results'!W200*'Quantification_Config'!$R$8))/SUM('Quantification_Config'!$R$8)),'Quantification_Config'!$U$2),""),"")</x:f>
        <x:v>50</x:v>
      </x:c>
      <x:c r="Y200" t="n">
        <x:v>0</x:v>
      </x:c>
      <x:c r="Z200"/>
      <x:c r="AA200"/>
      <x:c r="AB200">
        <x:f>IF(('Quantification_Results'!Y200&lt;&gt;1),"",IF(('Quantification_Results'!AA200=""),IF(ISNUMBER('Quantification_Results'!Z200),IF(('Quantification_Results'!Z200&lt;'Quantification_Config'!$S$12),"",IF(('Quantification_Results'!Z200&gt;'Quantification_Config'!$T$12),"",'Quantification_Results'!Z200)),""),IF(ISNUMBER('Quantification_Results'!AA200),IF(('Quantification_Results'!AA200&lt;'Quantification_Config'!$S$12),"",IF(('Quantification_Results'!AA200&gt;'Quantification_Config'!$T$12),"",'Quantification_Results'!AA200)),"")))</x:f>
      </x:c>
      <x:c r="AC200">
        <x:f>IF(ISNUMBER('Quantification_Results'!AB200),IFERROR(ROUND(((('Quantification_Results'!AB200-'Quantification_Config'!$S$12)/('Quantification_Config'!$T$12-'Quantification_Config'!$S$12))*100),'Quantification_Config'!$U$2),""),"")</x:f>
      </x:c>
      <x:c r="AD200" t="inlineStr">
        <x:is>
          <x:t xml:space="preserve"/>
        </x:is>
      </x:c>
      <x:c r="AE200" t="inlineStr">
        <x:is>
          <x:t xml:space="preserve"/>
        </x:is>
      </x:c>
      <x:c r="AF200" t="inlineStr">
        <x:is>
          <x:t xml:space="preserve"/>
        </x:is>
      </x:c>
      <x:c r="AG200" t="inlineStr">
        <x:is>
          <x:t xml:space="preserve"/>
        </x:is>
      </x:c>
      <x:c r="AH200" t="inlineStr">
        <x:is>
          <x:t xml:space="preserve">EMPTY</x:t>
        </x:is>
      </x:c>
      <x:c r="AI200">
        <x:f>IF((COUNT('Quantification_Results'!AC200)=1),IFERROR(ROUND((SUM(('Quantification_Results'!AC200*'Quantification_Config'!$R$12))/SUM('Quantification_Config'!$R$12)),'Quantification_Config'!$U$2),""),"")</x:f>
      </x:c>
      <x:c r="AJ200">
        <x:f>IF((COUNT('Quantification_Results'!AI200)=1),IFERROR(ROUND((SUM(('Quantification_Results'!AI200*'Quantification_Config'!$R$11))/SUM('Quantification_Config'!$R$11)),'Quantification_Config'!$U$2),""),"")</x:f>
      </x:c>
      <x:c r="AK200" t="n">
        <x:v>1</x:v>
      </x:c>
      <x:c r="AL200" t="n">
        <x:v>5</x:v>
      </x:c>
      <x:c r="AM200"/>
      <x:c r="AN200" t="n">
        <x:f>IF(('Quantification_Results'!AK200&lt;&gt;1),"",IF(('Quantification_Results'!AM200=""),IF(ISNUMBER('Quantification_Results'!AL200),IF(('Quantification_Results'!AL200&lt;'Quantification_Config'!$S$15),"",IF(('Quantification_Results'!AL200&gt;'Quantification_Config'!$T$15),"",'Quantification_Results'!AL200)),""),IF(ISNUMBER('Quantification_Results'!AM200),IF(('Quantification_Results'!AM200&lt;'Quantification_Config'!$S$15),"",IF(('Quantification_Results'!AM200&gt;'Quantification_Config'!$T$15),"",'Quantification_Results'!AM200)),"")))</x:f>
        <x:v>5</x:v>
      </x:c>
      <x:c r="AO200" t="n">
        <x:f>IF(ISNUMBER('Quantification_Results'!AN200),IFERROR(ROUND(((('Quantification_Results'!AN200-'Quantification_Config'!$S$15)/('Quantification_Config'!$T$15-'Quantification_Config'!$S$15))*100),'Quantification_Config'!$U$2),""),"")</x:f>
        <x:v>50</x:v>
      </x:c>
      <x:c r="AP200" t="inlineStr">
        <x:is>
          <x:t xml:space="preserve">SYSTEM-TEST-ONLY-NO-NETWORK-NOT-AN-EDUCATIONAL-EVALUATION</x:t>
        </x:is>
      </x:c>
      <x:c r="AQ200" t="inlineStr">
        <x:is>
          <x:t xml:space="preserve"/>
        </x:is>
      </x:c>
      <x:c r="AR200" t="inlineStr">
        <x:is>
          <x:t xml:space="preserve">NONE</x:t>
        </x:is>
      </x:c>
      <x:c r="AS200" t="inlineStr">
        <x:is>
          <x:t xml:space="preserve"/>
        </x:is>
      </x:c>
      <x:c r="AT200" t="inlineStr">
        <x:is>
          <x:t xml:space="preserve">SUCCESS</x:t>
        </x:is>
      </x:c>
      <x:c r="AU200" t="n">
        <x:f>IF((COUNT('Quantification_Results'!AO200)=1),IFERROR(ROUND((SUM(('Quantification_Results'!AO200*'Quantification_Config'!$R$15))/SUM('Quantification_Config'!$R$15)),'Quantification_Config'!$U$2),""),"")</x:f>
        <x:v>50</x:v>
      </x:c>
      <x:c r="AV200" t="n">
        <x:f>IF((COUNT('Quantification_Results'!AU200)=1),IFERROR(ROUND((SUM(('Quantification_Results'!AU200*'Quantification_Config'!$R$14))/SUM('Quantification_Config'!$R$14)),'Quantification_Config'!$U$2),""),"")</x:f>
        <x:v>50</x:v>
      </x:c>
      <x:c r="AW200" t="n">
        <x:v>1</x:v>
      </x:c>
      <x:c r="AX200" t="n">
        <x:v>5</x:v>
      </x:c>
      <x:c r="AY200"/>
      <x:c r="AZ200" t="n">
        <x:f>IF(('Quantification_Results'!AW200&lt;&gt;1),"",IF(('Quantification_Results'!AY200=""),IF(ISNUMBER('Quantification_Results'!AX200),IF(('Quantification_Results'!AX200&lt;'Quantification_Config'!$S$19),"",IF(('Quantification_Results'!AX200&gt;'Quantification_Config'!$T$19),"",'Quantification_Results'!AX200)),""),IF(ISNUMBER('Quantification_Results'!AY200),IF(('Quantification_Results'!AY200&lt;'Quantification_Config'!$S$19),"",IF(('Quantification_Results'!AY200&gt;'Quantification_Config'!$T$19),"",'Quantification_Results'!AY200)),"")))</x:f>
        <x:v>5</x:v>
      </x:c>
      <x:c r="BA200" t="n">
        <x:f>IF(ISNUMBER('Quantification_Results'!AZ200),IFERROR(ROUND(((('Quantification_Results'!AZ200-'Quantification_Config'!$S$19)/('Quantification_Config'!$T$19-'Quantification_Config'!$S$19))*100),'Quantification_Config'!$U$2),""),"")</x:f>
        <x:v>50</x:v>
      </x:c>
      <x:c r="BB200" t="inlineStr">
        <x:is>
          <x:t xml:space="preserve">SYSTEM-TEST-ONLY-NO-NETWORK-NOT-AN-EDUCATIONAL-EVALUATION</x:t>
        </x:is>
      </x:c>
      <x:c r="BC200" t="inlineStr">
        <x:is>
          <x:t xml:space="preserve"/>
        </x:is>
      </x:c>
      <x:c r="BD200" t="inlineStr">
        <x:is>
          <x:t xml:space="preserve">NONE</x:t>
        </x:is>
      </x:c>
      <x:c r="BE200" t="inlineStr">
        <x:is>
          <x:t xml:space="preserve"/>
        </x:is>
      </x:c>
      <x:c r="BF200" t="inlineStr">
        <x:is>
          <x:t xml:space="preserve">SUCCESS</x:t>
        </x:is>
      </x:c>
      <x:c r="BG200" t="n">
        <x:f>IF((COUNT('Quantification_Results'!BA200)=1),IFERROR(ROUND((SUM(('Quantification_Results'!BA200*'Quantification_Config'!$R$19))/SUM('Quantification_Config'!$R$19)),'Quantification_Config'!$U$2),""),"")</x:f>
        <x:v>50</x:v>
      </x:c>
      <x:c r="BH200" t="n">
        <x:f>IF((COUNT('Quantification_Results'!BG200)=1),IFERROR(ROUND((SUM(('Quantification_Results'!BG200*'Quantification_Config'!$R$18))/SUM('Quantification_Config'!$R$18)),'Quantification_Config'!$U$2),""),"")</x:f>
        <x:v>50</x:v>
      </x:c>
      <x:c r="BI200">
        <x:f>IF((COUNT('Quantification_Results'!L200,'Quantification_Results'!X200,'Quantification_Results'!AJ200,'Quantification_Results'!AV200,'Quantification_Results'!BH200)=5),IFERROR(ROUND((SUM(('Quantification_Results'!L200*'Quantification_Config'!$R$4),('Quantification_Results'!X200*'Quantification_Config'!$R$7),('Quantification_Results'!AJ200*'Quantification_Config'!$R$10),('Quantification_Results'!AV200*'Quantification_Config'!$R$13),('Quantification_Results'!BH200*'Quantification_Config'!$R$16))/SUM('Quantification_Config'!$R$4,'Quantification_Config'!$R$7,'Quantification_Config'!$R$10,'Quantification_Config'!$R$13,'Quantification_Config'!$R$16)),'Quantification_Config'!$U$2),""),"")</x:f>
      </x:c>
    </x:row>
    <x:row r="201">
      <x:c r="A201" t="n">
        <x:v>1</x:v>
      </x:c>
      <x:c r="B201" t="n">
        <x:v>5</x:v>
      </x:c>
      <x:c r="C201"/>
      <x:c r="D201" t="n">
        <x:f>IF(('Quantification_Results'!A201&lt;&gt;1),"",IF(('Quantification_Results'!C201=""),IF(ISNUMBER('Quantification_Results'!B201),IF(('Quantification_Results'!B201&lt;'Quantification_Config'!$S$6),"",IF(('Quantification_Results'!B201&gt;'Quantification_Config'!$T$6),"",'Quantification_Results'!B201)),""),IF(ISNUMBER('Quantification_Results'!C201),IF(('Quantification_Results'!C201&lt;'Quantification_Config'!$S$6),"",IF(('Quantification_Results'!C201&gt;'Quantification_Config'!$T$6),"",'Quantification_Results'!C201)),"")))</x:f>
        <x:v>5</x:v>
      </x:c>
      <x:c r="E201" t="n">
        <x:f>IF(ISNUMBER('Quantification_Results'!D201),IFERROR(ROUND(((('Quantification_Results'!D201-'Quantification_Config'!$S$6)/('Quantification_Config'!$T$6-'Quantification_Config'!$S$6))*100),'Quantification_Config'!$U$2),""),"")</x:f>
        <x:v>50</x:v>
      </x:c>
      <x:c r="F201" t="inlineStr">
        <x:is>
          <x:t xml:space="preserve">SYSTEM-TEST-ONLY-NO-NETWORK-NOT-AN-EDUCATIONAL-EVALUATION</x:t>
        </x:is>
      </x:c>
      <x:c r="G201" t="inlineStr">
        <x:is>
          <x:t xml:space="preserve"/>
        </x:is>
      </x:c>
      <x:c r="H201" t="inlineStr">
        <x:is>
          <x:t xml:space="preserve">NONE</x:t>
        </x:is>
      </x:c>
      <x:c r="I201" t="inlineStr">
        <x:is>
          <x:t xml:space="preserve"/>
        </x:is>
      </x:c>
      <x:c r="J201" t="inlineStr">
        <x:is>
          <x:t xml:space="preserve">SUCCESS</x:t>
        </x:is>
      </x:c>
      <x:c r="K201" t="n">
        <x:f>IF((COUNT('Quantification_Results'!E201)=1),IFERROR(ROUND((SUM(('Quantification_Results'!E201*'Quantification_Config'!$R$6))/SUM('Quantification_Config'!$R$6)),'Quantification_Config'!$U$2),""),"")</x:f>
        <x:v>50</x:v>
      </x:c>
      <x:c r="L201" t="n">
        <x:f>IF((COUNT('Quantification_Results'!K201)=1),IFERROR(ROUND((SUM(('Quantification_Results'!K201*'Quantification_Config'!$R$5))/SUM('Quantification_Config'!$R$5)),'Quantification_Config'!$U$2),""),"")</x:f>
        <x:v>50</x:v>
      </x:c>
      <x:c r="M201" t="n">
        <x:v>0</x:v>
      </x:c>
      <x:c r="N201"/>
      <x:c r="O201"/>
      <x:c r="P201">
        <x:f>IF(('Quantification_Results'!M201&lt;&gt;1),"",IF(('Quantification_Results'!O201=""),IF(ISNUMBER('Quantification_Results'!N201),IF(('Quantification_Results'!N201&lt;'Quantification_Config'!$S$9),"",IF(('Quantification_Results'!N201&gt;'Quantification_Config'!$T$9),"",'Quantification_Results'!N201)),""),IF(ISNUMBER('Quantification_Results'!O201),IF(('Quantification_Results'!O201&lt;'Quantification_Config'!$S$9),"",IF(('Quantification_Results'!O201&gt;'Quantification_Config'!$T$9),"",'Quantification_Results'!O201)),"")))</x:f>
      </x:c>
      <x:c r="Q201">
        <x:f>IF(ISNUMBER('Quantification_Results'!P201),IFERROR(ROUND(((('Quantification_Results'!P201-'Quantification_Config'!$S$9)/('Quantification_Config'!$T$9-'Quantification_Config'!$S$9))*100),'Quantification_Config'!$U$2),""),"")</x:f>
      </x:c>
      <x:c r="R201" t="inlineStr">
        <x:is>
          <x:t xml:space="preserve"/>
        </x:is>
      </x:c>
      <x:c r="S201" t="inlineStr">
        <x:is>
          <x:t xml:space="preserve"/>
        </x:is>
      </x:c>
      <x:c r="T201" t="inlineStr">
        <x:is>
          <x:t xml:space="preserve"/>
        </x:is>
      </x:c>
      <x:c r="U201" t="inlineStr">
        <x:is>
          <x:t xml:space="preserve"/>
        </x:is>
      </x:c>
      <x:c r="V201" t="inlineStr">
        <x:is>
          <x:t xml:space="preserve">EMPTY</x:t>
        </x:is>
      </x:c>
      <x:c r="W201">
        <x:f>IF((COUNT('Quantification_Results'!Q201)=1),IFERROR(ROUND((SUM(('Quantification_Results'!Q201*'Quantification_Config'!$R$9))/SUM('Quantification_Config'!$R$9)),'Quantification_Config'!$U$2),""),"")</x:f>
      </x:c>
      <x:c r="X201">
        <x:f>IF((COUNT('Quantification_Results'!W201)=1),IFERROR(ROUND((SUM(('Quantification_Results'!W201*'Quantification_Config'!$R$8))/SUM('Quantification_Config'!$R$8)),'Quantification_Config'!$U$2),""),"")</x:f>
      </x:c>
      <x:c r="Y201" t="n">
        <x:v>0</x:v>
      </x:c>
      <x:c r="Z201"/>
      <x:c r="AA201"/>
      <x:c r="AB201">
        <x:f>IF(('Quantification_Results'!Y201&lt;&gt;1),"",IF(('Quantification_Results'!AA201=""),IF(ISNUMBER('Quantification_Results'!Z201),IF(('Quantification_Results'!Z201&lt;'Quantification_Config'!$S$12),"",IF(('Quantification_Results'!Z201&gt;'Quantification_Config'!$T$12),"",'Quantification_Results'!Z201)),""),IF(ISNUMBER('Quantification_Results'!AA201),IF(('Quantification_Results'!AA201&lt;'Quantification_Config'!$S$12),"",IF(('Quantification_Results'!AA201&gt;'Quantification_Config'!$T$12),"",'Quantification_Results'!AA201)),"")))</x:f>
      </x:c>
      <x:c r="AC201">
        <x:f>IF(ISNUMBER('Quantification_Results'!AB201),IFERROR(ROUND(((('Quantification_Results'!AB201-'Quantification_Config'!$S$12)/('Quantification_Config'!$T$12-'Quantification_Config'!$S$12))*100),'Quantification_Config'!$U$2),""),"")</x:f>
      </x:c>
      <x:c r="AD201" t="inlineStr">
        <x:is>
          <x:t xml:space="preserve"/>
        </x:is>
      </x:c>
      <x:c r="AE201" t="inlineStr">
        <x:is>
          <x:t xml:space="preserve"/>
        </x:is>
      </x:c>
      <x:c r="AF201" t="inlineStr">
        <x:is>
          <x:t xml:space="preserve"/>
        </x:is>
      </x:c>
      <x:c r="AG201" t="inlineStr">
        <x:is>
          <x:t xml:space="preserve"/>
        </x:is>
      </x:c>
      <x:c r="AH201" t="inlineStr">
        <x:is>
          <x:t xml:space="preserve">EMPTY</x:t>
        </x:is>
      </x:c>
      <x:c r="AI201">
        <x:f>IF((COUNT('Quantification_Results'!AC201)=1),IFERROR(ROUND((SUM(('Quantification_Results'!AC201*'Quantification_Config'!$R$12))/SUM('Quantification_Config'!$R$12)),'Quantification_Config'!$U$2),""),"")</x:f>
      </x:c>
      <x:c r="AJ201">
        <x:f>IF((COUNT('Quantification_Results'!AI201)=1),IFERROR(ROUND((SUM(('Quantification_Results'!AI201*'Quantification_Config'!$R$11))/SUM('Quantification_Config'!$R$11)),'Quantification_Config'!$U$2),""),"")</x:f>
      </x:c>
      <x:c r="AK201" t="n">
        <x:v>1</x:v>
      </x:c>
      <x:c r="AL201" t="n">
        <x:v>5</x:v>
      </x:c>
      <x:c r="AM201"/>
      <x:c r="AN201" t="n">
        <x:f>IF(('Quantification_Results'!AK201&lt;&gt;1),"",IF(('Quantification_Results'!AM201=""),IF(ISNUMBER('Quantification_Results'!AL201),IF(('Quantification_Results'!AL201&lt;'Quantification_Config'!$S$15),"",IF(('Quantification_Results'!AL201&gt;'Quantification_Config'!$T$15),"",'Quantification_Results'!AL201)),""),IF(ISNUMBER('Quantification_Results'!AM201),IF(('Quantification_Results'!AM201&lt;'Quantification_Config'!$S$15),"",IF(('Quantification_Results'!AM201&gt;'Quantification_Config'!$T$15),"",'Quantification_Results'!AM201)),"")))</x:f>
        <x:v>5</x:v>
      </x:c>
      <x:c r="AO201" t="n">
        <x:f>IF(ISNUMBER('Quantification_Results'!AN201),IFERROR(ROUND(((('Quantification_Results'!AN201-'Quantification_Config'!$S$15)/('Quantification_Config'!$T$15-'Quantification_Config'!$S$15))*100),'Quantification_Config'!$U$2),""),"")</x:f>
        <x:v>50</x:v>
      </x:c>
      <x:c r="AP201" t="inlineStr">
        <x:is>
          <x:t xml:space="preserve">SYSTEM-TEST-ONLY-NO-NETWORK-NOT-AN-EDUCATIONAL-EVALUATION</x:t>
        </x:is>
      </x:c>
      <x:c r="AQ201" t="inlineStr">
        <x:is>
          <x:t xml:space="preserve"/>
        </x:is>
      </x:c>
      <x:c r="AR201" t="inlineStr">
        <x:is>
          <x:t xml:space="preserve">NONE</x:t>
        </x:is>
      </x:c>
      <x:c r="AS201" t="inlineStr">
        <x:is>
          <x:t xml:space="preserve"/>
        </x:is>
      </x:c>
      <x:c r="AT201" t="inlineStr">
        <x:is>
          <x:t xml:space="preserve">SUCCESS</x:t>
        </x:is>
      </x:c>
      <x:c r="AU201" t="n">
        <x:f>IF((COUNT('Quantification_Results'!AO201)=1),IFERROR(ROUND((SUM(('Quantification_Results'!AO201*'Quantification_Config'!$R$15))/SUM('Quantification_Config'!$R$15)),'Quantification_Config'!$U$2),""),"")</x:f>
        <x:v>50</x:v>
      </x:c>
      <x:c r="AV201" t="n">
        <x:f>IF((COUNT('Quantification_Results'!AU201)=1),IFERROR(ROUND((SUM(('Quantification_Results'!AU201*'Quantification_Config'!$R$14))/SUM('Quantification_Config'!$R$14)),'Quantification_Config'!$U$2),""),"")</x:f>
        <x:v>50</x:v>
      </x:c>
      <x:c r="AW201" t="n">
        <x:v>0</x:v>
      </x:c>
      <x:c r="AX201"/>
      <x:c r="AY201"/>
      <x:c r="AZ201">
        <x:f>IF(('Quantification_Results'!AW201&lt;&gt;1),"",IF(('Quantification_Results'!AY201=""),IF(ISNUMBER('Quantification_Results'!AX201),IF(('Quantification_Results'!AX201&lt;'Quantification_Config'!$S$19),"",IF(('Quantification_Results'!AX201&gt;'Quantification_Config'!$T$19),"",'Quantification_Results'!AX201)),""),IF(ISNUMBER('Quantification_Results'!AY201),IF(('Quantification_Results'!AY201&lt;'Quantification_Config'!$S$19),"",IF(('Quantification_Results'!AY201&gt;'Quantification_Config'!$T$19),"",'Quantification_Results'!AY201)),"")))</x:f>
      </x:c>
      <x:c r="BA201">
        <x:f>IF(ISNUMBER('Quantification_Results'!AZ201),IFERROR(ROUND(((('Quantification_Results'!AZ201-'Quantification_Config'!$S$19)/('Quantification_Config'!$T$19-'Quantification_Config'!$S$19))*100),'Quantification_Config'!$U$2),""),"")</x:f>
      </x:c>
      <x:c r="BB201" t="inlineStr">
        <x:is>
          <x:t xml:space="preserve"/>
        </x:is>
      </x:c>
      <x:c r="BC201" t="inlineStr">
        <x:is>
          <x:t xml:space="preserve"/>
        </x:is>
      </x:c>
      <x:c r="BD201" t="inlineStr">
        <x:is>
          <x:t xml:space="preserve"/>
        </x:is>
      </x:c>
      <x:c r="BE201" t="inlineStr">
        <x:is>
          <x:t xml:space="preserve"/>
        </x:is>
      </x:c>
      <x:c r="BF201" t="inlineStr">
        <x:is>
          <x:t xml:space="preserve">EMPTY</x:t>
        </x:is>
      </x:c>
      <x:c r="BG201">
        <x:f>IF((COUNT('Quantification_Results'!BA201)=1),IFERROR(ROUND((SUM(('Quantification_Results'!BA201*'Quantification_Config'!$R$19))/SUM('Quantification_Config'!$R$19)),'Quantification_Config'!$U$2),""),"")</x:f>
      </x:c>
      <x:c r="BH201">
        <x:f>IF((COUNT('Quantification_Results'!BG201)=1),IFERROR(ROUND((SUM(('Quantification_Results'!BG201*'Quantification_Config'!$R$18))/SUM('Quantification_Config'!$R$18)),'Quantification_Config'!$U$2),""),"")</x:f>
      </x:c>
      <x:c r="BI201">
        <x:f>IF((COUNT('Quantification_Results'!L201,'Quantification_Results'!X201,'Quantification_Results'!AJ201,'Quantification_Results'!AV201,'Quantification_Results'!BH201)=5),IFERROR(ROUND((SUM(('Quantification_Results'!L201*'Quantification_Config'!$R$4),('Quantification_Results'!X201*'Quantification_Config'!$R$7),('Quantification_Results'!AJ201*'Quantification_Config'!$R$10),('Quantification_Results'!AV201*'Quantification_Config'!$R$13),('Quantification_Results'!BH201*'Quantification_Config'!$R$16))/SUM('Quantification_Config'!$R$4,'Quantification_Config'!$R$7,'Quantification_Config'!$R$10,'Quantification_Config'!$R$13,'Quantification_Config'!$R$16)),'Quantification_Config'!$U$2),""),"")</x:f>
      </x:c>
    </x:row>
    <x:row r="202">
      <x:c r="A202" t="n">
        <x:v>1</x:v>
      </x:c>
      <x:c r="B202" t="n">
        <x:v>5</x:v>
      </x:c>
      <x:c r="C202"/>
      <x:c r="D202" t="n">
        <x:f>IF(('Quantification_Results'!A202&lt;&gt;1),"",IF(('Quantification_Results'!C202=""),IF(ISNUMBER('Quantification_Results'!B202),IF(('Quantification_Results'!B202&lt;'Quantification_Config'!$S$6),"",IF(('Quantification_Results'!B202&gt;'Quantification_Config'!$T$6),"",'Quantification_Results'!B202)),""),IF(ISNUMBER('Quantification_Results'!C202),IF(('Quantification_Results'!C202&lt;'Quantification_Config'!$S$6),"",IF(('Quantification_Results'!C202&gt;'Quantification_Config'!$T$6),"",'Quantification_Results'!C202)),"")))</x:f>
        <x:v>5</x:v>
      </x:c>
      <x:c r="E202" t="n">
        <x:f>IF(ISNUMBER('Quantification_Results'!D202),IFERROR(ROUND(((('Quantification_Results'!D202-'Quantification_Config'!$S$6)/('Quantification_Config'!$T$6-'Quantification_Config'!$S$6))*100),'Quantification_Config'!$U$2),""),"")</x:f>
        <x:v>50</x:v>
      </x:c>
      <x:c r="F202" t="inlineStr">
        <x:is>
          <x:t xml:space="preserve">SYSTEM-TEST-ONLY-NO-NETWORK-NOT-AN-EDUCATIONAL-EVALUATION</x:t>
        </x:is>
      </x:c>
      <x:c r="G202" t="inlineStr">
        <x:is>
          <x:t xml:space="preserve"/>
        </x:is>
      </x:c>
      <x:c r="H202" t="inlineStr">
        <x:is>
          <x:t xml:space="preserve">NONE</x:t>
        </x:is>
      </x:c>
      <x:c r="I202" t="inlineStr">
        <x:is>
          <x:t xml:space="preserve"/>
        </x:is>
      </x:c>
      <x:c r="J202" t="inlineStr">
        <x:is>
          <x:t xml:space="preserve">SUCCESS</x:t>
        </x:is>
      </x:c>
      <x:c r="K202" t="n">
        <x:f>IF((COUNT('Quantification_Results'!E202)=1),IFERROR(ROUND((SUM(('Quantification_Results'!E202*'Quantification_Config'!$R$6))/SUM('Quantification_Config'!$R$6)),'Quantification_Config'!$U$2),""),"")</x:f>
        <x:v>50</x:v>
      </x:c>
      <x:c r="L202" t="n">
        <x:f>IF((COUNT('Quantification_Results'!K202)=1),IFERROR(ROUND((SUM(('Quantification_Results'!K202*'Quantification_Config'!$R$5))/SUM('Quantification_Config'!$R$5)),'Quantification_Config'!$U$2),""),"")</x:f>
        <x:v>50</x:v>
      </x:c>
      <x:c r="M202" t="n">
        <x:v>1</x:v>
      </x:c>
      <x:c r="N202" t="n">
        <x:v>5</x:v>
      </x:c>
      <x:c r="O202"/>
      <x:c r="P202" t="n">
        <x:f>IF(('Quantification_Results'!M202&lt;&gt;1),"",IF(('Quantification_Results'!O202=""),IF(ISNUMBER('Quantification_Results'!N202),IF(('Quantification_Results'!N202&lt;'Quantification_Config'!$S$9),"",IF(('Quantification_Results'!N202&gt;'Quantification_Config'!$T$9),"",'Quantification_Results'!N202)),""),IF(ISNUMBER('Quantification_Results'!O202),IF(('Quantification_Results'!O202&lt;'Quantification_Config'!$S$9),"",IF(('Quantification_Results'!O202&gt;'Quantification_Config'!$T$9),"",'Quantification_Results'!O202)),"")))</x:f>
        <x:v>5</x:v>
      </x:c>
      <x:c r="Q202" t="n">
        <x:f>IF(ISNUMBER('Quantification_Results'!P202),IFERROR(ROUND(((('Quantification_Results'!P202-'Quantification_Config'!$S$9)/('Quantification_Config'!$T$9-'Quantification_Config'!$S$9))*100),'Quantification_Config'!$U$2),""),"")</x:f>
        <x:v>50</x:v>
      </x:c>
      <x:c r="R202" t="inlineStr">
        <x:is>
          <x:t xml:space="preserve">SYSTEM-TEST-ONLY-NO-NETWORK-NOT-AN-EDUCATIONAL-EVALUATION</x:t>
        </x:is>
      </x:c>
      <x:c r="S202" t="inlineStr">
        <x:is>
          <x:t xml:space="preserve"/>
        </x:is>
      </x:c>
      <x:c r="T202" t="inlineStr">
        <x:is>
          <x:t xml:space="preserve">NONE</x:t>
        </x:is>
      </x:c>
      <x:c r="U202" t="inlineStr">
        <x:is>
          <x:t xml:space="preserve"/>
        </x:is>
      </x:c>
      <x:c r="V202" t="inlineStr">
        <x:is>
          <x:t xml:space="preserve">SUCCESS</x:t>
        </x:is>
      </x:c>
      <x:c r="W202" t="n">
        <x:f>IF((COUNT('Quantification_Results'!Q202)=1),IFERROR(ROUND((SUM(('Quantification_Results'!Q202*'Quantification_Config'!$R$9))/SUM('Quantification_Config'!$R$9)),'Quantification_Config'!$U$2),""),"")</x:f>
        <x:v>50</x:v>
      </x:c>
      <x:c r="X202" t="n">
        <x:f>IF((COUNT('Quantification_Results'!W202)=1),IFERROR(ROUND((SUM(('Quantification_Results'!W202*'Quantification_Config'!$R$8))/SUM('Quantification_Config'!$R$8)),'Quantification_Config'!$U$2),""),"")</x:f>
        <x:v>50</x:v>
      </x:c>
      <x:c r="Y202" t="n">
        <x:v>0</x:v>
      </x:c>
      <x:c r="Z202"/>
      <x:c r="AA202"/>
      <x:c r="AB202">
        <x:f>IF(('Quantification_Results'!Y202&lt;&gt;1),"",IF(('Quantification_Results'!AA202=""),IF(ISNUMBER('Quantification_Results'!Z202),IF(('Quantification_Results'!Z202&lt;'Quantification_Config'!$S$12),"",IF(('Quantification_Results'!Z202&gt;'Quantification_Config'!$T$12),"",'Quantification_Results'!Z202)),""),IF(ISNUMBER('Quantification_Results'!AA202),IF(('Quantification_Results'!AA202&lt;'Quantification_Config'!$S$12),"",IF(('Quantification_Results'!AA202&gt;'Quantification_Config'!$T$12),"",'Quantification_Results'!AA202)),"")))</x:f>
      </x:c>
      <x:c r="AC202">
        <x:f>IF(ISNUMBER('Quantification_Results'!AB202),IFERROR(ROUND(((('Quantification_Results'!AB202-'Quantification_Config'!$S$12)/('Quantification_Config'!$T$12-'Quantification_Config'!$S$12))*100),'Quantification_Config'!$U$2),""),"")</x:f>
      </x:c>
      <x:c r="AD202" t="inlineStr">
        <x:is>
          <x:t xml:space="preserve"/>
        </x:is>
      </x:c>
      <x:c r="AE202" t="inlineStr">
        <x:is>
          <x:t xml:space="preserve"/>
        </x:is>
      </x:c>
      <x:c r="AF202" t="inlineStr">
        <x:is>
          <x:t xml:space="preserve"/>
        </x:is>
      </x:c>
      <x:c r="AG202" t="inlineStr">
        <x:is>
          <x:t xml:space="preserve"/>
        </x:is>
      </x:c>
      <x:c r="AH202" t="inlineStr">
        <x:is>
          <x:t xml:space="preserve">EMPTY</x:t>
        </x:is>
      </x:c>
      <x:c r="AI202">
        <x:f>IF((COUNT('Quantification_Results'!AC202)=1),IFERROR(ROUND((SUM(('Quantification_Results'!AC202*'Quantification_Config'!$R$12))/SUM('Quantification_Config'!$R$12)),'Quantification_Config'!$U$2),""),"")</x:f>
      </x:c>
      <x:c r="AJ202">
        <x:f>IF((COUNT('Quantification_Results'!AI202)=1),IFERROR(ROUND((SUM(('Quantification_Results'!AI202*'Quantification_Config'!$R$11))/SUM('Quantification_Config'!$R$11)),'Quantification_Config'!$U$2),""),"")</x:f>
      </x:c>
      <x:c r="AK202" t="n">
        <x:v>1</x:v>
      </x:c>
      <x:c r="AL202" t="n">
        <x:v>5</x:v>
      </x:c>
      <x:c r="AM202"/>
      <x:c r="AN202" t="n">
        <x:f>IF(('Quantification_Results'!AK202&lt;&gt;1),"",IF(('Quantification_Results'!AM202=""),IF(ISNUMBER('Quantification_Results'!AL202),IF(('Quantification_Results'!AL202&lt;'Quantification_Config'!$S$15),"",IF(('Quantification_Results'!AL202&gt;'Quantification_Config'!$T$15),"",'Quantification_Results'!AL202)),""),IF(ISNUMBER('Quantification_Results'!AM202),IF(('Quantification_Results'!AM202&lt;'Quantification_Config'!$S$15),"",IF(('Quantification_Results'!AM202&gt;'Quantification_Config'!$T$15),"",'Quantification_Results'!AM202)),"")))</x:f>
        <x:v>5</x:v>
      </x:c>
      <x:c r="AO202" t="n">
        <x:f>IF(ISNUMBER('Quantification_Results'!AN202),IFERROR(ROUND(((('Quantification_Results'!AN202-'Quantification_Config'!$S$15)/('Quantification_Config'!$T$15-'Quantification_Config'!$S$15))*100),'Quantification_Config'!$U$2),""),"")</x:f>
        <x:v>50</x:v>
      </x:c>
      <x:c r="AP202" t="inlineStr">
        <x:is>
          <x:t xml:space="preserve">SYSTEM-TEST-ONLY-NO-NETWORK-NOT-AN-EDUCATIONAL-EVALUATION</x:t>
        </x:is>
      </x:c>
      <x:c r="AQ202" t="inlineStr">
        <x:is>
          <x:t xml:space="preserve"/>
        </x:is>
      </x:c>
      <x:c r="AR202" t="inlineStr">
        <x:is>
          <x:t xml:space="preserve">NONE</x:t>
        </x:is>
      </x:c>
      <x:c r="AS202" t="inlineStr">
        <x:is>
          <x:t xml:space="preserve"/>
        </x:is>
      </x:c>
      <x:c r="AT202" t="inlineStr">
        <x:is>
          <x:t xml:space="preserve">SUCCESS</x:t>
        </x:is>
      </x:c>
      <x:c r="AU202" t="n">
        <x:f>IF((COUNT('Quantification_Results'!AO202)=1),IFERROR(ROUND((SUM(('Quantification_Results'!AO202*'Quantification_Config'!$R$15))/SUM('Quantification_Config'!$R$15)),'Quantification_Config'!$U$2),""),"")</x:f>
        <x:v>50</x:v>
      </x:c>
      <x:c r="AV202" t="n">
        <x:f>IF((COUNT('Quantification_Results'!AU202)=1),IFERROR(ROUND((SUM(('Quantification_Results'!AU202*'Quantification_Config'!$R$14))/SUM('Quantification_Config'!$R$14)),'Quantification_Config'!$U$2),""),"")</x:f>
        <x:v>50</x:v>
      </x:c>
      <x:c r="AW202" t="n">
        <x:v>1</x:v>
      </x:c>
      <x:c r="AX202" t="n">
        <x:v>5</x:v>
      </x:c>
      <x:c r="AY202"/>
      <x:c r="AZ202" t="n">
        <x:f>IF(('Quantification_Results'!AW202&lt;&gt;1),"",IF(('Quantification_Results'!AY202=""),IF(ISNUMBER('Quantification_Results'!AX202),IF(('Quantification_Results'!AX202&lt;'Quantification_Config'!$S$19),"",IF(('Quantification_Results'!AX202&gt;'Quantification_Config'!$T$19),"",'Quantification_Results'!AX202)),""),IF(ISNUMBER('Quantification_Results'!AY202),IF(('Quantification_Results'!AY202&lt;'Quantification_Config'!$S$19),"",IF(('Quantification_Results'!AY202&gt;'Quantification_Config'!$T$19),"",'Quantification_Results'!AY202)),"")))</x:f>
        <x:v>5</x:v>
      </x:c>
      <x:c r="BA202" t="n">
        <x:f>IF(ISNUMBER('Quantification_Results'!AZ202),IFERROR(ROUND(((('Quantification_Results'!AZ202-'Quantification_Config'!$S$19)/('Quantification_Config'!$T$19-'Quantification_Config'!$S$19))*100),'Quantification_Config'!$U$2),""),"")</x:f>
        <x:v>50</x:v>
      </x:c>
      <x:c r="BB202" t="inlineStr">
        <x:is>
          <x:t xml:space="preserve">SYSTEM-TEST-ONLY-NO-NETWORK-NOT-AN-EDUCATIONAL-EVALUATION</x:t>
        </x:is>
      </x:c>
      <x:c r="BC202" t="inlineStr">
        <x:is>
          <x:t xml:space="preserve"/>
        </x:is>
      </x:c>
      <x:c r="BD202" t="inlineStr">
        <x:is>
          <x:t xml:space="preserve">NONE</x:t>
        </x:is>
      </x:c>
      <x:c r="BE202" t="inlineStr">
        <x:is>
          <x:t xml:space="preserve"/>
        </x:is>
      </x:c>
      <x:c r="BF202" t="inlineStr">
        <x:is>
          <x:t xml:space="preserve">SUCCESS</x:t>
        </x:is>
      </x:c>
      <x:c r="BG202" t="n">
        <x:f>IF((COUNT('Quantification_Results'!BA202)=1),IFERROR(ROUND((SUM(('Quantification_Results'!BA202*'Quantification_Config'!$R$19))/SUM('Quantification_Config'!$R$19)),'Quantification_Config'!$U$2),""),"")</x:f>
        <x:v>50</x:v>
      </x:c>
      <x:c r="BH202" t="n">
        <x:f>IF((COUNT('Quantification_Results'!BG202)=1),IFERROR(ROUND((SUM(('Quantification_Results'!BG202*'Quantification_Config'!$R$18))/SUM('Quantification_Config'!$R$18)),'Quantification_Config'!$U$2),""),"")</x:f>
        <x:v>50</x:v>
      </x:c>
      <x:c r="BI202">
        <x:f>IF((COUNT('Quantification_Results'!L202,'Quantification_Results'!X202,'Quantification_Results'!AJ202,'Quantification_Results'!AV202,'Quantification_Results'!BH202)=5),IFERROR(ROUND((SUM(('Quantification_Results'!L202*'Quantification_Config'!$R$4),('Quantification_Results'!X202*'Quantification_Config'!$R$7),('Quantification_Results'!AJ202*'Quantification_Config'!$R$10),('Quantification_Results'!AV202*'Quantification_Config'!$R$13),('Quantification_Results'!BH202*'Quantification_Config'!$R$16))/SUM('Quantification_Config'!$R$4,'Quantification_Config'!$R$7,'Quantification_Config'!$R$10,'Quantification_Config'!$R$13,'Quantification_Config'!$R$16)),'Quantification_Config'!$U$2),""),"")</x:f>
      </x:c>
    </x:row>
    <x:row r="203">
      <x:c r="A203" t="n">
        <x:v>1</x:v>
      </x:c>
      <x:c r="B203" t="n">
        <x:v>5</x:v>
      </x:c>
      <x:c r="C203"/>
      <x:c r="D203" t="n">
        <x:f>IF(('Quantification_Results'!A203&lt;&gt;1),"",IF(('Quantification_Results'!C203=""),IF(ISNUMBER('Quantification_Results'!B203),IF(('Quantification_Results'!B203&lt;'Quantification_Config'!$S$6),"",IF(('Quantification_Results'!B203&gt;'Quantification_Config'!$T$6),"",'Quantification_Results'!B203)),""),IF(ISNUMBER('Quantification_Results'!C203),IF(('Quantification_Results'!C203&lt;'Quantification_Config'!$S$6),"",IF(('Quantification_Results'!C203&gt;'Quantification_Config'!$T$6),"",'Quantification_Results'!C203)),"")))</x:f>
        <x:v>5</x:v>
      </x:c>
      <x:c r="E203" t="n">
        <x:f>IF(ISNUMBER('Quantification_Results'!D203),IFERROR(ROUND(((('Quantification_Results'!D203-'Quantification_Config'!$S$6)/('Quantification_Config'!$T$6-'Quantification_Config'!$S$6))*100),'Quantification_Config'!$U$2),""),"")</x:f>
        <x:v>50</x:v>
      </x:c>
      <x:c r="F203" t="inlineStr">
        <x:is>
          <x:t xml:space="preserve">SYSTEM-TEST-ONLY-NO-NETWORK-NOT-AN-EDUCATIONAL-EVALUATION</x:t>
        </x:is>
      </x:c>
      <x:c r="G203" t="inlineStr">
        <x:is>
          <x:t xml:space="preserve"/>
        </x:is>
      </x:c>
      <x:c r="H203" t="inlineStr">
        <x:is>
          <x:t xml:space="preserve">NONE</x:t>
        </x:is>
      </x:c>
      <x:c r="I203" t="inlineStr">
        <x:is>
          <x:t xml:space="preserve"/>
        </x:is>
      </x:c>
      <x:c r="J203" t="inlineStr">
        <x:is>
          <x:t xml:space="preserve">SUCCESS</x:t>
        </x:is>
      </x:c>
      <x:c r="K203" t="n">
        <x:f>IF((COUNT('Quantification_Results'!E203)=1),IFERROR(ROUND((SUM(('Quantification_Results'!E203*'Quantification_Config'!$R$6))/SUM('Quantification_Config'!$R$6)),'Quantification_Config'!$U$2),""),"")</x:f>
        <x:v>50</x:v>
      </x:c>
      <x:c r="L203" t="n">
        <x:f>IF((COUNT('Quantification_Results'!K203)=1),IFERROR(ROUND((SUM(('Quantification_Results'!K203*'Quantification_Config'!$R$5))/SUM('Quantification_Config'!$R$5)),'Quantification_Config'!$U$2),""),"")</x:f>
        <x:v>50</x:v>
      </x:c>
      <x:c r="M203" t="n">
        <x:v>1</x:v>
      </x:c>
      <x:c r="N203" t="n">
        <x:v>5</x:v>
      </x:c>
      <x:c r="O203"/>
      <x:c r="P203" t="n">
        <x:f>IF(('Quantification_Results'!M203&lt;&gt;1),"",IF(('Quantification_Results'!O203=""),IF(ISNUMBER('Quantification_Results'!N203),IF(('Quantification_Results'!N203&lt;'Quantification_Config'!$S$9),"",IF(('Quantification_Results'!N203&gt;'Quantification_Config'!$T$9),"",'Quantification_Results'!N203)),""),IF(ISNUMBER('Quantification_Results'!O203),IF(('Quantification_Results'!O203&lt;'Quantification_Config'!$S$9),"",IF(('Quantification_Results'!O203&gt;'Quantification_Config'!$T$9),"",'Quantification_Results'!O203)),"")))</x:f>
        <x:v>5</x:v>
      </x:c>
      <x:c r="Q203" t="n">
        <x:f>IF(ISNUMBER('Quantification_Results'!P203),IFERROR(ROUND(((('Quantification_Results'!P203-'Quantification_Config'!$S$9)/('Quantification_Config'!$T$9-'Quantification_Config'!$S$9))*100),'Quantification_Config'!$U$2),""),"")</x:f>
        <x:v>50</x:v>
      </x:c>
      <x:c r="R203" t="inlineStr">
        <x:is>
          <x:t xml:space="preserve">SYSTEM-TEST-ONLY-NO-NETWORK-NOT-AN-EDUCATIONAL-EVALUATION</x:t>
        </x:is>
      </x:c>
      <x:c r="S203" t="inlineStr">
        <x:is>
          <x:t xml:space="preserve"/>
        </x:is>
      </x:c>
      <x:c r="T203" t="inlineStr">
        <x:is>
          <x:t xml:space="preserve">NONE</x:t>
        </x:is>
      </x:c>
      <x:c r="U203" t="inlineStr">
        <x:is>
          <x:t xml:space="preserve"/>
        </x:is>
      </x:c>
      <x:c r="V203" t="inlineStr">
        <x:is>
          <x:t xml:space="preserve">SUCCESS</x:t>
        </x:is>
      </x:c>
      <x:c r="W203" t="n">
        <x:f>IF((COUNT('Quantification_Results'!Q203)=1),IFERROR(ROUND((SUM(('Quantification_Results'!Q203*'Quantification_Config'!$R$9))/SUM('Quantification_Config'!$R$9)),'Quantification_Config'!$U$2),""),"")</x:f>
        <x:v>50</x:v>
      </x:c>
      <x:c r="X203" t="n">
        <x:f>IF((COUNT('Quantification_Results'!W203)=1),IFERROR(ROUND((SUM(('Quantification_Results'!W203*'Quantification_Config'!$R$8))/SUM('Quantification_Config'!$R$8)),'Quantification_Config'!$U$2),""),"")</x:f>
        <x:v>50</x:v>
      </x:c>
      <x:c r="Y203" t="n">
        <x:v>0</x:v>
      </x:c>
      <x:c r="Z203"/>
      <x:c r="AA203"/>
      <x:c r="AB203">
        <x:f>IF(('Quantification_Results'!Y203&lt;&gt;1),"",IF(('Quantification_Results'!AA203=""),IF(ISNUMBER('Quantification_Results'!Z203),IF(('Quantification_Results'!Z203&lt;'Quantification_Config'!$S$12),"",IF(('Quantification_Results'!Z203&gt;'Quantification_Config'!$T$12),"",'Quantification_Results'!Z203)),""),IF(ISNUMBER('Quantification_Results'!AA203),IF(('Quantification_Results'!AA203&lt;'Quantification_Config'!$S$12),"",IF(('Quantification_Results'!AA203&gt;'Quantification_Config'!$T$12),"",'Quantification_Results'!AA203)),"")))</x:f>
      </x:c>
      <x:c r="AC203">
        <x:f>IF(ISNUMBER('Quantification_Results'!AB203),IFERROR(ROUND(((('Quantification_Results'!AB203-'Quantification_Config'!$S$12)/('Quantification_Config'!$T$12-'Quantification_Config'!$S$12))*100),'Quantification_Config'!$U$2),""),"")</x:f>
      </x:c>
      <x:c r="AD203" t="inlineStr">
        <x:is>
          <x:t xml:space="preserve"/>
        </x:is>
      </x:c>
      <x:c r="AE203" t="inlineStr">
        <x:is>
          <x:t xml:space="preserve"/>
        </x:is>
      </x:c>
      <x:c r="AF203" t="inlineStr">
        <x:is>
          <x:t xml:space="preserve"/>
        </x:is>
      </x:c>
      <x:c r="AG203" t="inlineStr">
        <x:is>
          <x:t xml:space="preserve"/>
        </x:is>
      </x:c>
      <x:c r="AH203" t="inlineStr">
        <x:is>
          <x:t xml:space="preserve">EMPTY</x:t>
        </x:is>
      </x:c>
      <x:c r="AI203">
        <x:f>IF((COUNT('Quantification_Results'!AC203)=1),IFERROR(ROUND((SUM(('Quantification_Results'!AC203*'Quantification_Config'!$R$12))/SUM('Quantification_Config'!$R$12)),'Quantification_Config'!$U$2),""),"")</x:f>
      </x:c>
      <x:c r="AJ203">
        <x:f>IF((COUNT('Quantification_Results'!AI203)=1),IFERROR(ROUND((SUM(('Quantification_Results'!AI203*'Quantification_Config'!$R$11))/SUM('Quantification_Config'!$R$11)),'Quantification_Config'!$U$2),""),"")</x:f>
      </x:c>
      <x:c r="AK203" t="n">
        <x:v>1</x:v>
      </x:c>
      <x:c r="AL203" t="n">
        <x:v>5</x:v>
      </x:c>
      <x:c r="AM203"/>
      <x:c r="AN203" t="n">
        <x:f>IF(('Quantification_Results'!AK203&lt;&gt;1),"",IF(('Quantification_Results'!AM203=""),IF(ISNUMBER('Quantification_Results'!AL203),IF(('Quantification_Results'!AL203&lt;'Quantification_Config'!$S$15),"",IF(('Quantification_Results'!AL203&gt;'Quantification_Config'!$T$15),"",'Quantification_Results'!AL203)),""),IF(ISNUMBER('Quantification_Results'!AM203),IF(('Quantification_Results'!AM203&lt;'Quantification_Config'!$S$15),"",IF(('Quantification_Results'!AM203&gt;'Quantification_Config'!$T$15),"",'Quantification_Results'!AM203)),"")))</x:f>
        <x:v>5</x:v>
      </x:c>
      <x:c r="AO203" t="n">
        <x:f>IF(ISNUMBER('Quantification_Results'!AN203),IFERROR(ROUND(((('Quantification_Results'!AN203-'Quantification_Config'!$S$15)/('Quantification_Config'!$T$15-'Quantification_Config'!$S$15))*100),'Quantification_Config'!$U$2),""),"")</x:f>
        <x:v>50</x:v>
      </x:c>
      <x:c r="AP203" t="inlineStr">
        <x:is>
          <x:t xml:space="preserve">SYSTEM-TEST-ONLY-NO-NETWORK-NOT-AN-EDUCATIONAL-EVALUATION</x:t>
        </x:is>
      </x:c>
      <x:c r="AQ203" t="inlineStr">
        <x:is>
          <x:t xml:space="preserve"/>
        </x:is>
      </x:c>
      <x:c r="AR203" t="inlineStr">
        <x:is>
          <x:t xml:space="preserve">NONE</x:t>
        </x:is>
      </x:c>
      <x:c r="AS203" t="inlineStr">
        <x:is>
          <x:t xml:space="preserve"/>
        </x:is>
      </x:c>
      <x:c r="AT203" t="inlineStr">
        <x:is>
          <x:t xml:space="preserve">SUCCESS</x:t>
        </x:is>
      </x:c>
      <x:c r="AU203" t="n">
        <x:f>IF((COUNT('Quantification_Results'!AO203)=1),IFERROR(ROUND((SUM(('Quantification_Results'!AO203*'Quantification_Config'!$R$15))/SUM('Quantification_Config'!$R$15)),'Quantification_Config'!$U$2),""),"")</x:f>
        <x:v>50</x:v>
      </x:c>
      <x:c r="AV203" t="n">
        <x:f>IF((COUNT('Quantification_Results'!AU203)=1),IFERROR(ROUND((SUM(('Quantification_Results'!AU203*'Quantification_Config'!$R$14))/SUM('Quantification_Config'!$R$14)),'Quantification_Config'!$U$2),""),"")</x:f>
        <x:v>50</x:v>
      </x:c>
      <x:c r="AW203" t="n">
        <x:v>1</x:v>
      </x:c>
      <x:c r="AX203" t="n">
        <x:v>5</x:v>
      </x:c>
      <x:c r="AY203"/>
      <x:c r="AZ203" t="n">
        <x:f>IF(('Quantification_Results'!AW203&lt;&gt;1),"",IF(('Quantification_Results'!AY203=""),IF(ISNUMBER('Quantification_Results'!AX203),IF(('Quantification_Results'!AX203&lt;'Quantification_Config'!$S$19),"",IF(('Quantification_Results'!AX203&gt;'Quantification_Config'!$T$19),"",'Quantification_Results'!AX203)),""),IF(ISNUMBER('Quantification_Results'!AY203),IF(('Quantification_Results'!AY203&lt;'Quantification_Config'!$S$19),"",IF(('Quantification_Results'!AY203&gt;'Quantification_Config'!$T$19),"",'Quantification_Results'!AY203)),"")))</x:f>
        <x:v>5</x:v>
      </x:c>
      <x:c r="BA203" t="n">
        <x:f>IF(ISNUMBER('Quantification_Results'!AZ203),IFERROR(ROUND(((('Quantification_Results'!AZ203-'Quantification_Config'!$S$19)/('Quantification_Config'!$T$19-'Quantification_Config'!$S$19))*100),'Quantification_Config'!$U$2),""),"")</x:f>
        <x:v>50</x:v>
      </x:c>
      <x:c r="BB203" t="inlineStr">
        <x:is>
          <x:t xml:space="preserve">SYSTEM-TEST-ONLY-NO-NETWORK-NOT-AN-EDUCATIONAL-EVALUATION</x:t>
        </x:is>
      </x:c>
      <x:c r="BC203" t="inlineStr">
        <x:is>
          <x:t xml:space="preserve"/>
        </x:is>
      </x:c>
      <x:c r="BD203" t="inlineStr">
        <x:is>
          <x:t xml:space="preserve">NONE</x:t>
        </x:is>
      </x:c>
      <x:c r="BE203" t="inlineStr">
        <x:is>
          <x:t xml:space="preserve"/>
        </x:is>
      </x:c>
      <x:c r="BF203" t="inlineStr">
        <x:is>
          <x:t xml:space="preserve">SUCCESS</x:t>
        </x:is>
      </x:c>
      <x:c r="BG203" t="n">
        <x:f>IF((COUNT('Quantification_Results'!BA203)=1),IFERROR(ROUND((SUM(('Quantification_Results'!BA203*'Quantification_Config'!$R$19))/SUM('Quantification_Config'!$R$19)),'Quantification_Config'!$U$2),""),"")</x:f>
        <x:v>50</x:v>
      </x:c>
      <x:c r="BH203" t="n">
        <x:f>IF((COUNT('Quantification_Results'!BG203)=1),IFERROR(ROUND((SUM(('Quantification_Results'!BG203*'Quantification_Config'!$R$18))/SUM('Quantification_Config'!$R$18)),'Quantification_Config'!$U$2),""),"")</x:f>
        <x:v>50</x:v>
      </x:c>
      <x:c r="BI203">
        <x:f>IF((COUNT('Quantification_Results'!L203,'Quantification_Results'!X203,'Quantification_Results'!AJ203,'Quantification_Results'!AV203,'Quantification_Results'!BH203)=5),IFERROR(ROUND((SUM(('Quantification_Results'!L203*'Quantification_Config'!$R$4),('Quantification_Results'!X203*'Quantification_Config'!$R$7),('Quantification_Results'!AJ203*'Quantification_Config'!$R$10),('Quantification_Results'!AV203*'Quantification_Config'!$R$13),('Quantification_Results'!BH203*'Quantification_Config'!$R$16))/SUM('Quantification_Config'!$R$4,'Quantification_Config'!$R$7,'Quantification_Config'!$R$10,'Quantification_Config'!$R$13,'Quantification_Config'!$R$16)),'Quantification_Config'!$U$2),""),"")</x:f>
      </x:c>
    </x:row>
    <x:row r="204">
      <x:c r="A204" t="n">
        <x:v>1</x:v>
      </x:c>
      <x:c r="B204" t="n">
        <x:v>5</x:v>
      </x:c>
      <x:c r="C204"/>
      <x:c r="D204" t="n">
        <x:f>IF(('Quantification_Results'!A204&lt;&gt;1),"",IF(('Quantification_Results'!C204=""),IF(ISNUMBER('Quantification_Results'!B204),IF(('Quantification_Results'!B204&lt;'Quantification_Config'!$S$6),"",IF(('Quantification_Results'!B204&gt;'Quantification_Config'!$T$6),"",'Quantification_Results'!B204)),""),IF(ISNUMBER('Quantification_Results'!C204),IF(('Quantification_Results'!C204&lt;'Quantification_Config'!$S$6),"",IF(('Quantification_Results'!C204&gt;'Quantification_Config'!$T$6),"",'Quantification_Results'!C204)),"")))</x:f>
        <x:v>5</x:v>
      </x:c>
      <x:c r="E204" t="n">
        <x:f>IF(ISNUMBER('Quantification_Results'!D204),IFERROR(ROUND(((('Quantification_Results'!D204-'Quantification_Config'!$S$6)/('Quantification_Config'!$T$6-'Quantification_Config'!$S$6))*100),'Quantification_Config'!$U$2),""),"")</x:f>
        <x:v>50</x:v>
      </x:c>
      <x:c r="F204" t="inlineStr">
        <x:is>
          <x:t xml:space="preserve">SYSTEM-TEST-ONLY-NO-NETWORK-NOT-AN-EDUCATIONAL-EVALUATION</x:t>
        </x:is>
      </x:c>
      <x:c r="G204" t="inlineStr">
        <x:is>
          <x:t xml:space="preserve"/>
        </x:is>
      </x:c>
      <x:c r="H204" t="inlineStr">
        <x:is>
          <x:t xml:space="preserve">NONE</x:t>
        </x:is>
      </x:c>
      <x:c r="I204" t="inlineStr">
        <x:is>
          <x:t xml:space="preserve"/>
        </x:is>
      </x:c>
      <x:c r="J204" t="inlineStr">
        <x:is>
          <x:t xml:space="preserve">SUCCESS</x:t>
        </x:is>
      </x:c>
      <x:c r="K204" t="n">
        <x:f>IF((COUNT('Quantification_Results'!E204)=1),IFERROR(ROUND((SUM(('Quantification_Results'!E204*'Quantification_Config'!$R$6))/SUM('Quantification_Config'!$R$6)),'Quantification_Config'!$U$2),""),"")</x:f>
        <x:v>50</x:v>
      </x:c>
      <x:c r="L204" t="n">
        <x:f>IF((COUNT('Quantification_Results'!K204)=1),IFERROR(ROUND((SUM(('Quantification_Results'!K204*'Quantification_Config'!$R$5))/SUM('Quantification_Config'!$R$5)),'Quantification_Config'!$U$2),""),"")</x:f>
        <x:v>50</x:v>
      </x:c>
      <x:c r="M204" t="n">
        <x:v>1</x:v>
      </x:c>
      <x:c r="N204" t="n">
        <x:v>5</x:v>
      </x:c>
      <x:c r="O204"/>
      <x:c r="P204" t="n">
        <x:f>IF(('Quantification_Results'!M204&lt;&gt;1),"",IF(('Quantification_Results'!O204=""),IF(ISNUMBER('Quantification_Results'!N204),IF(('Quantification_Results'!N204&lt;'Quantification_Config'!$S$9),"",IF(('Quantification_Results'!N204&gt;'Quantification_Config'!$T$9),"",'Quantification_Results'!N204)),""),IF(ISNUMBER('Quantification_Results'!O204),IF(('Quantification_Results'!O204&lt;'Quantification_Config'!$S$9),"",IF(('Quantification_Results'!O204&gt;'Quantification_Config'!$T$9),"",'Quantification_Results'!O204)),"")))</x:f>
        <x:v>5</x:v>
      </x:c>
      <x:c r="Q204" t="n">
        <x:f>IF(ISNUMBER('Quantification_Results'!P204),IFERROR(ROUND(((('Quantification_Results'!P204-'Quantification_Config'!$S$9)/('Quantification_Config'!$T$9-'Quantification_Config'!$S$9))*100),'Quantification_Config'!$U$2),""),"")</x:f>
        <x:v>50</x:v>
      </x:c>
      <x:c r="R204" t="inlineStr">
        <x:is>
          <x:t xml:space="preserve">SYSTEM-TEST-ONLY-NO-NETWORK-NOT-AN-EDUCATIONAL-EVALUATION</x:t>
        </x:is>
      </x:c>
      <x:c r="S204" t="inlineStr">
        <x:is>
          <x:t xml:space="preserve"/>
        </x:is>
      </x:c>
      <x:c r="T204" t="inlineStr">
        <x:is>
          <x:t xml:space="preserve">NONE</x:t>
        </x:is>
      </x:c>
      <x:c r="U204" t="inlineStr">
        <x:is>
          <x:t xml:space="preserve"/>
        </x:is>
      </x:c>
      <x:c r="V204" t="inlineStr">
        <x:is>
          <x:t xml:space="preserve">SUCCESS</x:t>
        </x:is>
      </x:c>
      <x:c r="W204" t="n">
        <x:f>IF((COUNT('Quantification_Results'!Q204)=1),IFERROR(ROUND((SUM(('Quantification_Results'!Q204*'Quantification_Config'!$R$9))/SUM('Quantification_Config'!$R$9)),'Quantification_Config'!$U$2),""),"")</x:f>
        <x:v>50</x:v>
      </x:c>
      <x:c r="X204" t="n">
        <x:f>IF((COUNT('Quantification_Results'!W204)=1),IFERROR(ROUND((SUM(('Quantification_Results'!W204*'Quantification_Config'!$R$8))/SUM('Quantification_Config'!$R$8)),'Quantification_Config'!$U$2),""),"")</x:f>
        <x:v>50</x:v>
      </x:c>
      <x:c r="Y204" t="n">
        <x:v>1</x:v>
      </x:c>
      <x:c r="Z204" t="n">
        <x:v>5</x:v>
      </x:c>
      <x:c r="AA204"/>
      <x:c r="AB204" t="n">
        <x:f>IF(('Quantification_Results'!Y204&lt;&gt;1),"",IF(('Quantification_Results'!AA204=""),IF(ISNUMBER('Quantification_Results'!Z204),IF(('Quantification_Results'!Z204&lt;'Quantification_Config'!$S$12),"",IF(('Quantification_Results'!Z204&gt;'Quantification_Config'!$T$12),"",'Quantification_Results'!Z204)),""),IF(ISNUMBER('Quantification_Results'!AA204),IF(('Quantification_Results'!AA204&lt;'Quantification_Config'!$S$12),"",IF(('Quantification_Results'!AA204&gt;'Quantification_Config'!$T$12),"",'Quantification_Results'!AA204)),"")))</x:f>
        <x:v>5</x:v>
      </x:c>
      <x:c r="AC204" t="n">
        <x:f>IF(ISNUMBER('Quantification_Results'!AB204),IFERROR(ROUND(((('Quantification_Results'!AB204-'Quantification_Config'!$S$12)/('Quantification_Config'!$T$12-'Quantification_Config'!$S$12))*100),'Quantification_Config'!$U$2),""),"")</x:f>
        <x:v>50</x:v>
      </x:c>
      <x:c r="AD204" t="inlineStr">
        <x:is>
          <x:t xml:space="preserve">SYSTEM-TEST-ONLY-NO-NETWORK-NOT-AN-EDUCATIONAL-EVALUATION</x:t>
        </x:is>
      </x:c>
      <x:c r="AE204" t="inlineStr">
        <x:is>
          <x:t xml:space="preserve"/>
        </x:is>
      </x:c>
      <x:c r="AF204" t="inlineStr">
        <x:is>
          <x:t xml:space="preserve">NONE</x:t>
        </x:is>
      </x:c>
      <x:c r="AG204" t="inlineStr">
        <x:is>
          <x:t xml:space="preserve"/>
        </x:is>
      </x:c>
      <x:c r="AH204" t="inlineStr">
        <x:is>
          <x:t xml:space="preserve">SUCCESS</x:t>
        </x:is>
      </x:c>
      <x:c r="AI204" t="n">
        <x:f>IF((COUNT('Quantification_Results'!AC204)=1),IFERROR(ROUND((SUM(('Quantification_Results'!AC204*'Quantification_Config'!$R$12))/SUM('Quantification_Config'!$R$12)),'Quantification_Config'!$U$2),""),"")</x:f>
        <x:v>50</x:v>
      </x:c>
      <x:c r="AJ204" t="n">
        <x:f>IF((COUNT('Quantification_Results'!AI204)=1),IFERROR(ROUND((SUM(('Quantification_Results'!AI204*'Quantification_Config'!$R$11))/SUM('Quantification_Config'!$R$11)),'Quantification_Config'!$U$2),""),"")</x:f>
        <x:v>50</x:v>
      </x:c>
      <x:c r="AK204" t="n">
        <x:v>1</x:v>
      </x:c>
      <x:c r="AL204" t="n">
        <x:v>5</x:v>
      </x:c>
      <x:c r="AM204"/>
      <x:c r="AN204" t="n">
        <x:f>IF(('Quantification_Results'!AK204&lt;&gt;1),"",IF(('Quantification_Results'!AM204=""),IF(ISNUMBER('Quantification_Results'!AL204),IF(('Quantification_Results'!AL204&lt;'Quantification_Config'!$S$15),"",IF(('Quantification_Results'!AL204&gt;'Quantification_Config'!$T$15),"",'Quantification_Results'!AL204)),""),IF(ISNUMBER('Quantification_Results'!AM204),IF(('Quantification_Results'!AM204&lt;'Quantification_Config'!$S$15),"",IF(('Quantification_Results'!AM204&gt;'Quantification_Config'!$T$15),"",'Quantification_Results'!AM204)),"")))</x:f>
        <x:v>5</x:v>
      </x:c>
      <x:c r="AO204" t="n">
        <x:f>IF(ISNUMBER('Quantification_Results'!AN204),IFERROR(ROUND(((('Quantification_Results'!AN204-'Quantification_Config'!$S$15)/('Quantification_Config'!$T$15-'Quantification_Config'!$S$15))*100),'Quantification_Config'!$U$2),""),"")</x:f>
        <x:v>50</x:v>
      </x:c>
      <x:c r="AP204" t="inlineStr">
        <x:is>
          <x:t xml:space="preserve">SYSTEM-TEST-ONLY-NO-NETWORK-NOT-AN-EDUCATIONAL-EVALUATION</x:t>
        </x:is>
      </x:c>
      <x:c r="AQ204" t="inlineStr">
        <x:is>
          <x:t xml:space="preserve"/>
        </x:is>
      </x:c>
      <x:c r="AR204" t="inlineStr">
        <x:is>
          <x:t xml:space="preserve">NONE</x:t>
        </x:is>
      </x:c>
      <x:c r="AS204" t="inlineStr">
        <x:is>
          <x:t xml:space="preserve"/>
        </x:is>
      </x:c>
      <x:c r="AT204" t="inlineStr">
        <x:is>
          <x:t xml:space="preserve">SUCCESS</x:t>
        </x:is>
      </x:c>
      <x:c r="AU204" t="n">
        <x:f>IF((COUNT('Quantification_Results'!AO204)=1),IFERROR(ROUND((SUM(('Quantification_Results'!AO204*'Quantification_Config'!$R$15))/SUM('Quantification_Config'!$R$15)),'Quantification_Config'!$U$2),""),"")</x:f>
        <x:v>50</x:v>
      </x:c>
      <x:c r="AV204" t="n">
        <x:f>IF((COUNT('Quantification_Results'!AU204)=1),IFERROR(ROUND((SUM(('Quantification_Results'!AU204*'Quantification_Config'!$R$14))/SUM('Quantification_Config'!$R$14)),'Quantification_Config'!$U$2),""),"")</x:f>
        <x:v>50</x:v>
      </x:c>
      <x:c r="AW204" t="n">
        <x:v>1</x:v>
      </x:c>
      <x:c r="AX204" t="n">
        <x:v>5</x:v>
      </x:c>
      <x:c r="AY204"/>
      <x:c r="AZ204" t="n">
        <x:f>IF(('Quantification_Results'!AW204&lt;&gt;1),"",IF(('Quantification_Results'!AY204=""),IF(ISNUMBER('Quantification_Results'!AX204),IF(('Quantification_Results'!AX204&lt;'Quantification_Config'!$S$19),"",IF(('Quantification_Results'!AX204&gt;'Quantification_Config'!$T$19),"",'Quantification_Results'!AX204)),""),IF(ISNUMBER('Quantification_Results'!AY204),IF(('Quantification_Results'!AY204&lt;'Quantification_Config'!$S$19),"",IF(('Quantification_Results'!AY204&gt;'Quantification_Config'!$T$19),"",'Quantification_Results'!AY204)),"")))</x:f>
        <x:v>5</x:v>
      </x:c>
      <x:c r="BA204" t="n">
        <x:f>IF(ISNUMBER('Quantification_Results'!AZ204),IFERROR(ROUND(((('Quantification_Results'!AZ204-'Quantification_Config'!$S$19)/('Quantification_Config'!$T$19-'Quantification_Config'!$S$19))*100),'Quantification_Config'!$U$2),""),"")</x:f>
        <x:v>50</x:v>
      </x:c>
      <x:c r="BB204" t="inlineStr">
        <x:is>
          <x:t xml:space="preserve">SYSTEM-TEST-ONLY-NO-NETWORK-NOT-AN-EDUCATIONAL-EVALUATION</x:t>
        </x:is>
      </x:c>
      <x:c r="BC204" t="inlineStr">
        <x:is>
          <x:t xml:space="preserve"/>
        </x:is>
      </x:c>
      <x:c r="BD204" t="inlineStr">
        <x:is>
          <x:t xml:space="preserve">NONE</x:t>
        </x:is>
      </x:c>
      <x:c r="BE204" t="inlineStr">
        <x:is>
          <x:t xml:space="preserve"/>
        </x:is>
      </x:c>
      <x:c r="BF204" t="inlineStr">
        <x:is>
          <x:t xml:space="preserve">SUCCESS</x:t>
        </x:is>
      </x:c>
      <x:c r="BG204" t="n">
        <x:f>IF((COUNT('Quantification_Results'!BA204)=1),IFERROR(ROUND((SUM(('Quantification_Results'!BA204*'Quantification_Config'!$R$19))/SUM('Quantification_Config'!$R$19)),'Quantification_Config'!$U$2),""),"")</x:f>
        <x:v>50</x:v>
      </x:c>
      <x:c r="BH204" t="n">
        <x:f>IF((COUNT('Quantification_Results'!BG204)=1),IFERROR(ROUND((SUM(('Quantification_Results'!BG204*'Quantification_Config'!$R$18))/SUM('Quantification_Config'!$R$18)),'Quantification_Config'!$U$2),""),"")</x:f>
        <x:v>50</x:v>
      </x:c>
      <x:c r="BI204" t="n">
        <x:f>IF((COUNT('Quantification_Results'!L204,'Quantification_Results'!X204,'Quantification_Results'!AJ204,'Quantification_Results'!AV204,'Quantification_Results'!BH204)=5),IFERROR(ROUND((SUM(('Quantification_Results'!L204*'Quantification_Config'!$R$4),('Quantification_Results'!X204*'Quantification_Config'!$R$7),('Quantification_Results'!AJ204*'Quantification_Config'!$R$10),('Quantification_Results'!AV204*'Quantification_Config'!$R$13),('Quantification_Results'!BH204*'Quantification_Config'!$R$16))/SUM('Quantification_Config'!$R$4,'Quantification_Config'!$R$7,'Quantification_Config'!$R$10,'Quantification_Config'!$R$13,'Quantification_Config'!$R$16)),'Quantification_Config'!$U$2),""),"")</x:f>
        <x:v>50</x:v>
      </x:c>
    </x:row>
    <x:row r="205">
      <x:c r="A205" t="n">
        <x:v>1</x:v>
      </x:c>
      <x:c r="B205" t="n">
        <x:v>5</x:v>
      </x:c>
      <x:c r="C205"/>
      <x:c r="D205" t="n">
        <x:f>IF(('Quantification_Results'!A205&lt;&gt;1),"",IF(('Quantification_Results'!C205=""),IF(ISNUMBER('Quantification_Results'!B205),IF(('Quantification_Results'!B205&lt;'Quantification_Config'!$S$6),"",IF(('Quantification_Results'!B205&gt;'Quantification_Config'!$T$6),"",'Quantification_Results'!B205)),""),IF(ISNUMBER('Quantification_Results'!C205),IF(('Quantification_Results'!C205&lt;'Quantification_Config'!$S$6),"",IF(('Quantification_Results'!C205&gt;'Quantification_Config'!$T$6),"",'Quantification_Results'!C205)),"")))</x:f>
        <x:v>5</x:v>
      </x:c>
      <x:c r="E205" t="n">
        <x:f>IF(ISNUMBER('Quantification_Results'!D205),IFERROR(ROUND(((('Quantification_Results'!D205-'Quantification_Config'!$S$6)/('Quantification_Config'!$T$6-'Quantification_Config'!$S$6))*100),'Quantification_Config'!$U$2),""),"")</x:f>
        <x:v>50</x:v>
      </x:c>
      <x:c r="F205" t="inlineStr">
        <x:is>
          <x:t xml:space="preserve">SYSTEM-TEST-ONLY-NO-NETWORK-NOT-AN-EDUCATIONAL-EVALUATION</x:t>
        </x:is>
      </x:c>
      <x:c r="G205" t="inlineStr">
        <x:is>
          <x:t xml:space="preserve"/>
        </x:is>
      </x:c>
      <x:c r="H205" t="inlineStr">
        <x:is>
          <x:t xml:space="preserve">NONE</x:t>
        </x:is>
      </x:c>
      <x:c r="I205" t="inlineStr">
        <x:is>
          <x:t xml:space="preserve"/>
        </x:is>
      </x:c>
      <x:c r="J205" t="inlineStr">
        <x:is>
          <x:t xml:space="preserve">SUCCESS</x:t>
        </x:is>
      </x:c>
      <x:c r="K205" t="n">
        <x:f>IF((COUNT('Quantification_Results'!E205)=1),IFERROR(ROUND((SUM(('Quantification_Results'!E205*'Quantification_Config'!$R$6))/SUM('Quantification_Config'!$R$6)),'Quantification_Config'!$U$2),""),"")</x:f>
        <x:v>50</x:v>
      </x:c>
      <x:c r="L205" t="n">
        <x:f>IF((COUNT('Quantification_Results'!K205)=1),IFERROR(ROUND((SUM(('Quantification_Results'!K205*'Quantification_Config'!$R$5))/SUM('Quantification_Config'!$R$5)),'Quantification_Config'!$U$2),""),"")</x:f>
        <x:v>50</x:v>
      </x:c>
      <x:c r="M205" t="n">
        <x:v>1</x:v>
      </x:c>
      <x:c r="N205" t="n">
        <x:v>5</x:v>
      </x:c>
      <x:c r="O205"/>
      <x:c r="P205" t="n">
        <x:f>IF(('Quantification_Results'!M205&lt;&gt;1),"",IF(('Quantification_Results'!O205=""),IF(ISNUMBER('Quantification_Results'!N205),IF(('Quantification_Results'!N205&lt;'Quantification_Config'!$S$9),"",IF(('Quantification_Results'!N205&gt;'Quantification_Config'!$T$9),"",'Quantification_Results'!N205)),""),IF(ISNUMBER('Quantification_Results'!O205),IF(('Quantification_Results'!O205&lt;'Quantification_Config'!$S$9),"",IF(('Quantification_Results'!O205&gt;'Quantification_Config'!$T$9),"",'Quantification_Results'!O205)),"")))</x:f>
        <x:v>5</x:v>
      </x:c>
      <x:c r="Q205" t="n">
        <x:f>IF(ISNUMBER('Quantification_Results'!P205),IFERROR(ROUND(((('Quantification_Results'!P205-'Quantification_Config'!$S$9)/('Quantification_Config'!$T$9-'Quantification_Config'!$S$9))*100),'Quantification_Config'!$U$2),""),"")</x:f>
        <x:v>50</x:v>
      </x:c>
      <x:c r="R205" t="inlineStr">
        <x:is>
          <x:t xml:space="preserve">SYSTEM-TEST-ONLY-NO-NETWORK-NOT-AN-EDUCATIONAL-EVALUATION</x:t>
        </x:is>
      </x:c>
      <x:c r="S205" t="inlineStr">
        <x:is>
          <x:t xml:space="preserve"/>
        </x:is>
      </x:c>
      <x:c r="T205" t="inlineStr">
        <x:is>
          <x:t xml:space="preserve">NONE</x:t>
        </x:is>
      </x:c>
      <x:c r="U205" t="inlineStr">
        <x:is>
          <x:t xml:space="preserve"/>
        </x:is>
      </x:c>
      <x:c r="V205" t="inlineStr">
        <x:is>
          <x:t xml:space="preserve">SUCCESS</x:t>
        </x:is>
      </x:c>
      <x:c r="W205" t="n">
        <x:f>IF((COUNT('Quantification_Results'!Q205)=1),IFERROR(ROUND((SUM(('Quantification_Results'!Q205*'Quantification_Config'!$R$9))/SUM('Quantification_Config'!$R$9)),'Quantification_Config'!$U$2),""),"")</x:f>
        <x:v>50</x:v>
      </x:c>
      <x:c r="X205" t="n">
        <x:f>IF((COUNT('Quantification_Results'!W205)=1),IFERROR(ROUND((SUM(('Quantification_Results'!W205*'Quantification_Config'!$R$8))/SUM('Quantification_Config'!$R$8)),'Quantification_Config'!$U$2),""),"")</x:f>
        <x:v>50</x:v>
      </x:c>
      <x:c r="Y205" t="n">
        <x:v>0</x:v>
      </x:c>
      <x:c r="Z205"/>
      <x:c r="AA205"/>
      <x:c r="AB205">
        <x:f>IF(('Quantification_Results'!Y205&lt;&gt;1),"",IF(('Quantification_Results'!AA205=""),IF(ISNUMBER('Quantification_Results'!Z205),IF(('Quantification_Results'!Z205&lt;'Quantification_Config'!$S$12),"",IF(('Quantification_Results'!Z205&gt;'Quantification_Config'!$T$12),"",'Quantification_Results'!Z205)),""),IF(ISNUMBER('Quantification_Results'!AA205),IF(('Quantification_Results'!AA205&lt;'Quantification_Config'!$S$12),"",IF(('Quantification_Results'!AA205&gt;'Quantification_Config'!$T$12),"",'Quantification_Results'!AA205)),"")))</x:f>
      </x:c>
      <x:c r="AC205">
        <x:f>IF(ISNUMBER('Quantification_Results'!AB205),IFERROR(ROUND(((('Quantification_Results'!AB205-'Quantification_Config'!$S$12)/('Quantification_Config'!$T$12-'Quantification_Config'!$S$12))*100),'Quantification_Config'!$U$2),""),"")</x:f>
      </x:c>
      <x:c r="AD205" t="inlineStr">
        <x:is>
          <x:t xml:space="preserve"/>
        </x:is>
      </x:c>
      <x:c r="AE205" t="inlineStr">
        <x:is>
          <x:t xml:space="preserve"/>
        </x:is>
      </x:c>
      <x:c r="AF205" t="inlineStr">
        <x:is>
          <x:t xml:space="preserve"/>
        </x:is>
      </x:c>
      <x:c r="AG205" t="inlineStr">
        <x:is>
          <x:t xml:space="preserve"/>
        </x:is>
      </x:c>
      <x:c r="AH205" t="inlineStr">
        <x:is>
          <x:t xml:space="preserve">EMPTY</x:t>
        </x:is>
      </x:c>
      <x:c r="AI205">
        <x:f>IF((COUNT('Quantification_Results'!AC205)=1),IFERROR(ROUND((SUM(('Quantification_Results'!AC205*'Quantification_Config'!$R$12))/SUM('Quantification_Config'!$R$12)),'Quantification_Config'!$U$2),""),"")</x:f>
      </x:c>
      <x:c r="AJ205">
        <x:f>IF((COUNT('Quantification_Results'!AI205)=1),IFERROR(ROUND((SUM(('Quantification_Results'!AI205*'Quantification_Config'!$R$11))/SUM('Quantification_Config'!$R$11)),'Quantification_Config'!$U$2),""),"")</x:f>
      </x:c>
      <x:c r="AK205" t="n">
        <x:v>1</x:v>
      </x:c>
      <x:c r="AL205" t="n">
        <x:v>5</x:v>
      </x:c>
      <x:c r="AM205"/>
      <x:c r="AN205" t="n">
        <x:f>IF(('Quantification_Results'!AK205&lt;&gt;1),"",IF(('Quantification_Results'!AM205=""),IF(ISNUMBER('Quantification_Results'!AL205),IF(('Quantification_Results'!AL205&lt;'Quantification_Config'!$S$15),"",IF(('Quantification_Results'!AL205&gt;'Quantification_Config'!$T$15),"",'Quantification_Results'!AL205)),""),IF(ISNUMBER('Quantification_Results'!AM205),IF(('Quantification_Results'!AM205&lt;'Quantification_Config'!$S$15),"",IF(('Quantification_Results'!AM205&gt;'Quantification_Config'!$T$15),"",'Quantification_Results'!AM205)),"")))</x:f>
        <x:v>5</x:v>
      </x:c>
      <x:c r="AO205" t="n">
        <x:f>IF(ISNUMBER('Quantification_Results'!AN205),IFERROR(ROUND(((('Quantification_Results'!AN205-'Quantification_Config'!$S$15)/('Quantification_Config'!$T$15-'Quantification_Config'!$S$15))*100),'Quantification_Config'!$U$2),""),"")</x:f>
        <x:v>50</x:v>
      </x:c>
      <x:c r="AP205" t="inlineStr">
        <x:is>
          <x:t xml:space="preserve">SYSTEM-TEST-ONLY-NO-NETWORK-NOT-AN-EDUCATIONAL-EVALUATION</x:t>
        </x:is>
      </x:c>
      <x:c r="AQ205" t="inlineStr">
        <x:is>
          <x:t xml:space="preserve"/>
        </x:is>
      </x:c>
      <x:c r="AR205" t="inlineStr">
        <x:is>
          <x:t xml:space="preserve">NONE</x:t>
        </x:is>
      </x:c>
      <x:c r="AS205" t="inlineStr">
        <x:is>
          <x:t xml:space="preserve"/>
        </x:is>
      </x:c>
      <x:c r="AT205" t="inlineStr">
        <x:is>
          <x:t xml:space="preserve">SUCCESS</x:t>
        </x:is>
      </x:c>
      <x:c r="AU205" t="n">
        <x:f>IF((COUNT('Quantification_Results'!AO205)=1),IFERROR(ROUND((SUM(('Quantification_Results'!AO205*'Quantification_Config'!$R$15))/SUM('Quantification_Config'!$R$15)),'Quantification_Config'!$U$2),""),"")</x:f>
        <x:v>50</x:v>
      </x:c>
      <x:c r="AV205" t="n">
        <x:f>IF((COUNT('Quantification_Results'!AU205)=1),IFERROR(ROUND((SUM(('Quantification_Results'!AU205*'Quantification_Config'!$R$14))/SUM('Quantification_Config'!$R$14)),'Quantification_Config'!$U$2),""),"")</x:f>
        <x:v>50</x:v>
      </x:c>
      <x:c r="AW205" t="n">
        <x:v>1</x:v>
      </x:c>
      <x:c r="AX205" t="n">
        <x:v>5</x:v>
      </x:c>
      <x:c r="AY205"/>
      <x:c r="AZ205" t="n">
        <x:f>IF(('Quantification_Results'!AW205&lt;&gt;1),"",IF(('Quantification_Results'!AY205=""),IF(ISNUMBER('Quantification_Results'!AX205),IF(('Quantification_Results'!AX205&lt;'Quantification_Config'!$S$19),"",IF(('Quantification_Results'!AX205&gt;'Quantification_Config'!$T$19),"",'Quantification_Results'!AX205)),""),IF(ISNUMBER('Quantification_Results'!AY205),IF(('Quantification_Results'!AY205&lt;'Quantification_Config'!$S$19),"",IF(('Quantification_Results'!AY205&gt;'Quantification_Config'!$T$19),"",'Quantification_Results'!AY205)),"")))</x:f>
        <x:v>5</x:v>
      </x:c>
      <x:c r="BA205" t="n">
        <x:f>IF(ISNUMBER('Quantification_Results'!AZ205),IFERROR(ROUND(((('Quantification_Results'!AZ205-'Quantification_Config'!$S$19)/('Quantification_Config'!$T$19-'Quantification_Config'!$S$19))*100),'Quantification_Config'!$U$2),""),"")</x:f>
        <x:v>50</x:v>
      </x:c>
      <x:c r="BB205" t="inlineStr">
        <x:is>
          <x:t xml:space="preserve">SYSTEM-TEST-ONLY-NO-NETWORK-NOT-AN-EDUCATIONAL-EVALUATION</x:t>
        </x:is>
      </x:c>
      <x:c r="BC205" t="inlineStr">
        <x:is>
          <x:t xml:space="preserve"/>
        </x:is>
      </x:c>
      <x:c r="BD205" t="inlineStr">
        <x:is>
          <x:t xml:space="preserve">NONE</x:t>
        </x:is>
      </x:c>
      <x:c r="BE205" t="inlineStr">
        <x:is>
          <x:t xml:space="preserve"/>
        </x:is>
      </x:c>
      <x:c r="BF205" t="inlineStr">
        <x:is>
          <x:t xml:space="preserve">SUCCESS</x:t>
        </x:is>
      </x:c>
      <x:c r="BG205" t="n">
        <x:f>IF((COUNT('Quantification_Results'!BA205)=1),IFERROR(ROUND((SUM(('Quantification_Results'!BA205*'Quantification_Config'!$R$19))/SUM('Quantification_Config'!$R$19)),'Quantification_Config'!$U$2),""),"")</x:f>
        <x:v>50</x:v>
      </x:c>
      <x:c r="BH205" t="n">
        <x:f>IF((COUNT('Quantification_Results'!BG205)=1),IFERROR(ROUND((SUM(('Quantification_Results'!BG205*'Quantification_Config'!$R$18))/SUM('Quantification_Config'!$R$18)),'Quantification_Config'!$U$2),""),"")</x:f>
        <x:v>50</x:v>
      </x:c>
      <x:c r="BI205">
        <x:f>IF((COUNT('Quantification_Results'!L205,'Quantification_Results'!X205,'Quantification_Results'!AJ205,'Quantification_Results'!AV205,'Quantification_Results'!BH205)=5),IFERROR(ROUND((SUM(('Quantification_Results'!L205*'Quantification_Config'!$R$4),('Quantification_Results'!X205*'Quantification_Config'!$R$7),('Quantification_Results'!AJ205*'Quantification_Config'!$R$10),('Quantification_Results'!AV205*'Quantification_Config'!$R$13),('Quantification_Results'!BH205*'Quantification_Config'!$R$16))/SUM('Quantification_Config'!$R$4,'Quantification_Config'!$R$7,'Quantification_Config'!$R$10,'Quantification_Config'!$R$13,'Quantification_Config'!$R$16)),'Quantification_Config'!$U$2),""),"")</x:f>
      </x:c>
    </x:row>
    <x:row r="206">
      <x:c r="A206" t="n">
        <x:v>1</x:v>
      </x:c>
      <x:c r="B206" t="n">
        <x:v>5</x:v>
      </x:c>
      <x:c r="C206"/>
      <x:c r="D206" t="n">
        <x:f>IF(('Quantification_Results'!A206&lt;&gt;1),"",IF(('Quantification_Results'!C206=""),IF(ISNUMBER('Quantification_Results'!B206),IF(('Quantification_Results'!B206&lt;'Quantification_Config'!$S$6),"",IF(('Quantification_Results'!B206&gt;'Quantification_Config'!$T$6),"",'Quantification_Results'!B206)),""),IF(ISNUMBER('Quantification_Results'!C206),IF(('Quantification_Results'!C206&lt;'Quantification_Config'!$S$6),"",IF(('Quantification_Results'!C206&gt;'Quantification_Config'!$T$6),"",'Quantification_Results'!C206)),"")))</x:f>
        <x:v>5</x:v>
      </x:c>
      <x:c r="E206" t="n">
        <x:f>IF(ISNUMBER('Quantification_Results'!D206),IFERROR(ROUND(((('Quantification_Results'!D206-'Quantification_Config'!$S$6)/('Quantification_Config'!$T$6-'Quantification_Config'!$S$6))*100),'Quantification_Config'!$U$2),""),"")</x:f>
        <x:v>50</x:v>
      </x:c>
      <x:c r="F206" t="inlineStr">
        <x:is>
          <x:t xml:space="preserve">SYSTEM-TEST-ONLY-NO-NETWORK-NOT-AN-EDUCATIONAL-EVALUATION</x:t>
        </x:is>
      </x:c>
      <x:c r="G206" t="inlineStr">
        <x:is>
          <x:t xml:space="preserve"/>
        </x:is>
      </x:c>
      <x:c r="H206" t="inlineStr">
        <x:is>
          <x:t xml:space="preserve">NONE</x:t>
        </x:is>
      </x:c>
      <x:c r="I206" t="inlineStr">
        <x:is>
          <x:t xml:space="preserve"/>
        </x:is>
      </x:c>
      <x:c r="J206" t="inlineStr">
        <x:is>
          <x:t xml:space="preserve">SUCCESS</x:t>
        </x:is>
      </x:c>
      <x:c r="K206" t="n">
        <x:f>IF((COUNT('Quantification_Results'!E206)=1),IFERROR(ROUND((SUM(('Quantification_Results'!E206*'Quantification_Config'!$R$6))/SUM('Quantification_Config'!$R$6)),'Quantification_Config'!$U$2),""),"")</x:f>
        <x:v>50</x:v>
      </x:c>
      <x:c r="L206" t="n">
        <x:f>IF((COUNT('Quantification_Results'!K206)=1),IFERROR(ROUND((SUM(('Quantification_Results'!K206*'Quantification_Config'!$R$5))/SUM('Quantification_Config'!$R$5)),'Quantification_Config'!$U$2),""),"")</x:f>
        <x:v>50</x:v>
      </x:c>
      <x:c r="M206" t="n">
        <x:v>1</x:v>
      </x:c>
      <x:c r="N206" t="n">
        <x:v>5</x:v>
      </x:c>
      <x:c r="O206"/>
      <x:c r="P206" t="n">
        <x:f>IF(('Quantification_Results'!M206&lt;&gt;1),"",IF(('Quantification_Results'!O206=""),IF(ISNUMBER('Quantification_Results'!N206),IF(('Quantification_Results'!N206&lt;'Quantification_Config'!$S$9),"",IF(('Quantification_Results'!N206&gt;'Quantification_Config'!$T$9),"",'Quantification_Results'!N206)),""),IF(ISNUMBER('Quantification_Results'!O206),IF(('Quantification_Results'!O206&lt;'Quantification_Config'!$S$9),"",IF(('Quantification_Results'!O206&gt;'Quantification_Config'!$T$9),"",'Quantification_Results'!O206)),"")))</x:f>
        <x:v>5</x:v>
      </x:c>
      <x:c r="Q206" t="n">
        <x:f>IF(ISNUMBER('Quantification_Results'!P206),IFERROR(ROUND(((('Quantification_Results'!P206-'Quantification_Config'!$S$9)/('Quantification_Config'!$T$9-'Quantification_Config'!$S$9))*100),'Quantification_Config'!$U$2),""),"")</x:f>
        <x:v>50</x:v>
      </x:c>
      <x:c r="R206" t="inlineStr">
        <x:is>
          <x:t xml:space="preserve">SYSTEM-TEST-ONLY-NO-NETWORK-NOT-AN-EDUCATIONAL-EVALUATION</x:t>
        </x:is>
      </x:c>
      <x:c r="S206" t="inlineStr">
        <x:is>
          <x:t xml:space="preserve"/>
        </x:is>
      </x:c>
      <x:c r="T206" t="inlineStr">
        <x:is>
          <x:t xml:space="preserve">NONE</x:t>
        </x:is>
      </x:c>
      <x:c r="U206" t="inlineStr">
        <x:is>
          <x:t xml:space="preserve"/>
        </x:is>
      </x:c>
      <x:c r="V206" t="inlineStr">
        <x:is>
          <x:t xml:space="preserve">SUCCESS</x:t>
        </x:is>
      </x:c>
      <x:c r="W206" t="n">
        <x:f>IF((COUNT('Quantification_Results'!Q206)=1),IFERROR(ROUND((SUM(('Quantification_Results'!Q206*'Quantification_Config'!$R$9))/SUM('Quantification_Config'!$R$9)),'Quantification_Config'!$U$2),""),"")</x:f>
        <x:v>50</x:v>
      </x:c>
      <x:c r="X206" t="n">
        <x:f>IF((COUNT('Quantification_Results'!W206)=1),IFERROR(ROUND((SUM(('Quantification_Results'!W206*'Quantification_Config'!$R$8))/SUM('Quantification_Config'!$R$8)),'Quantification_Config'!$U$2),""),"")</x:f>
        <x:v>50</x:v>
      </x:c>
      <x:c r="Y206" t="n">
        <x:v>0</x:v>
      </x:c>
      <x:c r="Z206"/>
      <x:c r="AA206"/>
      <x:c r="AB206">
        <x:f>IF(('Quantification_Results'!Y206&lt;&gt;1),"",IF(('Quantification_Results'!AA206=""),IF(ISNUMBER('Quantification_Results'!Z206),IF(('Quantification_Results'!Z206&lt;'Quantification_Config'!$S$12),"",IF(('Quantification_Results'!Z206&gt;'Quantification_Config'!$T$12),"",'Quantification_Results'!Z206)),""),IF(ISNUMBER('Quantification_Results'!AA206),IF(('Quantification_Results'!AA206&lt;'Quantification_Config'!$S$12),"",IF(('Quantification_Results'!AA206&gt;'Quantification_Config'!$T$12),"",'Quantification_Results'!AA206)),"")))</x:f>
      </x:c>
      <x:c r="AC206">
        <x:f>IF(ISNUMBER('Quantification_Results'!AB206),IFERROR(ROUND(((('Quantification_Results'!AB206-'Quantification_Config'!$S$12)/('Quantification_Config'!$T$12-'Quantification_Config'!$S$12))*100),'Quantification_Config'!$U$2),""),"")</x:f>
      </x:c>
      <x:c r="AD206" t="inlineStr">
        <x:is>
          <x:t xml:space="preserve"/>
        </x:is>
      </x:c>
      <x:c r="AE206" t="inlineStr">
        <x:is>
          <x:t xml:space="preserve"/>
        </x:is>
      </x:c>
      <x:c r="AF206" t="inlineStr">
        <x:is>
          <x:t xml:space="preserve"/>
        </x:is>
      </x:c>
      <x:c r="AG206" t="inlineStr">
        <x:is>
          <x:t xml:space="preserve"/>
        </x:is>
      </x:c>
      <x:c r="AH206" t="inlineStr">
        <x:is>
          <x:t xml:space="preserve">EMPTY</x:t>
        </x:is>
      </x:c>
      <x:c r="AI206">
        <x:f>IF((COUNT('Quantification_Results'!AC206)=1),IFERROR(ROUND((SUM(('Quantification_Results'!AC206*'Quantification_Config'!$R$12))/SUM('Quantification_Config'!$R$12)),'Quantification_Config'!$U$2),""),"")</x:f>
      </x:c>
      <x:c r="AJ206">
        <x:f>IF((COUNT('Quantification_Results'!AI206)=1),IFERROR(ROUND((SUM(('Quantification_Results'!AI206*'Quantification_Config'!$R$11))/SUM('Quantification_Config'!$R$11)),'Quantification_Config'!$U$2),""),"")</x:f>
      </x:c>
      <x:c r="AK206" t="n">
        <x:v>1</x:v>
      </x:c>
      <x:c r="AL206" t="n">
        <x:v>5</x:v>
      </x:c>
      <x:c r="AM206"/>
      <x:c r="AN206" t="n">
        <x:f>IF(('Quantification_Results'!AK206&lt;&gt;1),"",IF(('Quantification_Results'!AM206=""),IF(ISNUMBER('Quantification_Results'!AL206),IF(('Quantification_Results'!AL206&lt;'Quantification_Config'!$S$15),"",IF(('Quantification_Results'!AL206&gt;'Quantification_Config'!$T$15),"",'Quantification_Results'!AL206)),""),IF(ISNUMBER('Quantification_Results'!AM206),IF(('Quantification_Results'!AM206&lt;'Quantification_Config'!$S$15),"",IF(('Quantification_Results'!AM206&gt;'Quantification_Config'!$T$15),"",'Quantification_Results'!AM206)),"")))</x:f>
        <x:v>5</x:v>
      </x:c>
      <x:c r="AO206" t="n">
        <x:f>IF(ISNUMBER('Quantification_Results'!AN206),IFERROR(ROUND(((('Quantification_Results'!AN206-'Quantification_Config'!$S$15)/('Quantification_Config'!$T$15-'Quantification_Config'!$S$15))*100),'Quantification_Config'!$U$2),""),"")</x:f>
        <x:v>50</x:v>
      </x:c>
      <x:c r="AP206" t="inlineStr">
        <x:is>
          <x:t xml:space="preserve">SYSTEM-TEST-ONLY-NO-NETWORK-NOT-AN-EDUCATIONAL-EVALUATION</x:t>
        </x:is>
      </x:c>
      <x:c r="AQ206" t="inlineStr">
        <x:is>
          <x:t xml:space="preserve"/>
        </x:is>
      </x:c>
      <x:c r="AR206" t="inlineStr">
        <x:is>
          <x:t xml:space="preserve">NONE</x:t>
        </x:is>
      </x:c>
      <x:c r="AS206" t="inlineStr">
        <x:is>
          <x:t xml:space="preserve"/>
        </x:is>
      </x:c>
      <x:c r="AT206" t="inlineStr">
        <x:is>
          <x:t xml:space="preserve">SUCCESS</x:t>
        </x:is>
      </x:c>
      <x:c r="AU206" t="n">
        <x:f>IF((COUNT('Quantification_Results'!AO206)=1),IFERROR(ROUND((SUM(('Quantification_Results'!AO206*'Quantification_Config'!$R$15))/SUM('Quantification_Config'!$R$15)),'Quantification_Config'!$U$2),""),"")</x:f>
        <x:v>50</x:v>
      </x:c>
      <x:c r="AV206" t="n">
        <x:f>IF((COUNT('Quantification_Results'!AU206)=1),IFERROR(ROUND((SUM(('Quantification_Results'!AU206*'Quantification_Config'!$R$14))/SUM('Quantification_Config'!$R$14)),'Quantification_Config'!$U$2),""),"")</x:f>
        <x:v>50</x:v>
      </x:c>
      <x:c r="AW206" t="n">
        <x:v>1</x:v>
      </x:c>
      <x:c r="AX206" t="n">
        <x:v>5</x:v>
      </x:c>
      <x:c r="AY206"/>
      <x:c r="AZ206" t="n">
        <x:f>IF(('Quantification_Results'!AW206&lt;&gt;1),"",IF(('Quantification_Results'!AY206=""),IF(ISNUMBER('Quantification_Results'!AX206),IF(('Quantification_Results'!AX206&lt;'Quantification_Config'!$S$19),"",IF(('Quantification_Results'!AX206&gt;'Quantification_Config'!$T$19),"",'Quantification_Results'!AX206)),""),IF(ISNUMBER('Quantification_Results'!AY206),IF(('Quantification_Results'!AY206&lt;'Quantification_Config'!$S$19),"",IF(('Quantification_Results'!AY206&gt;'Quantification_Config'!$T$19),"",'Quantification_Results'!AY206)),"")))</x:f>
        <x:v>5</x:v>
      </x:c>
      <x:c r="BA206" t="n">
        <x:f>IF(ISNUMBER('Quantification_Results'!AZ206),IFERROR(ROUND(((('Quantification_Results'!AZ206-'Quantification_Config'!$S$19)/('Quantification_Config'!$T$19-'Quantification_Config'!$S$19))*100),'Quantification_Config'!$U$2),""),"")</x:f>
        <x:v>50</x:v>
      </x:c>
      <x:c r="BB206" t="inlineStr">
        <x:is>
          <x:t xml:space="preserve">SYSTEM-TEST-ONLY-NO-NETWORK-NOT-AN-EDUCATIONAL-EVALUATION</x:t>
        </x:is>
      </x:c>
      <x:c r="BC206" t="inlineStr">
        <x:is>
          <x:t xml:space="preserve"/>
        </x:is>
      </x:c>
      <x:c r="BD206" t="inlineStr">
        <x:is>
          <x:t xml:space="preserve">NONE</x:t>
        </x:is>
      </x:c>
      <x:c r="BE206" t="inlineStr">
        <x:is>
          <x:t xml:space="preserve"/>
        </x:is>
      </x:c>
      <x:c r="BF206" t="inlineStr">
        <x:is>
          <x:t xml:space="preserve">SUCCESS</x:t>
        </x:is>
      </x:c>
      <x:c r="BG206" t="n">
        <x:f>IF((COUNT('Quantification_Results'!BA206)=1),IFERROR(ROUND((SUM(('Quantification_Results'!BA206*'Quantification_Config'!$R$19))/SUM('Quantification_Config'!$R$19)),'Quantification_Config'!$U$2),""),"")</x:f>
        <x:v>50</x:v>
      </x:c>
      <x:c r="BH206" t="n">
        <x:f>IF((COUNT('Quantification_Results'!BG206)=1),IFERROR(ROUND((SUM(('Quantification_Results'!BG206*'Quantification_Config'!$R$18))/SUM('Quantification_Config'!$R$18)),'Quantification_Config'!$U$2),""),"")</x:f>
        <x:v>50</x:v>
      </x:c>
      <x:c r="BI206">
        <x:f>IF((COUNT('Quantification_Results'!L206,'Quantification_Results'!X206,'Quantification_Results'!AJ206,'Quantification_Results'!AV206,'Quantification_Results'!BH206)=5),IFERROR(ROUND((SUM(('Quantification_Results'!L206*'Quantification_Config'!$R$4),('Quantification_Results'!X206*'Quantification_Config'!$R$7),('Quantification_Results'!AJ206*'Quantification_Config'!$R$10),('Quantification_Results'!AV206*'Quantification_Config'!$R$13),('Quantification_Results'!BH206*'Quantification_Config'!$R$16))/SUM('Quantification_Config'!$R$4,'Quantification_Config'!$R$7,'Quantification_Config'!$R$10,'Quantification_Config'!$R$13,'Quantification_Config'!$R$16)),'Quantification_Config'!$U$2),""),"")</x:f>
      </x:c>
    </x:row>
    <x:row r="207">
      <x:c r="A207" t="n">
        <x:v>1</x:v>
      </x:c>
      <x:c r="B207" t="n">
        <x:v>5</x:v>
      </x:c>
      <x:c r="C207"/>
      <x:c r="D207" t="n">
        <x:f>IF(('Quantification_Results'!A207&lt;&gt;1),"",IF(('Quantification_Results'!C207=""),IF(ISNUMBER('Quantification_Results'!B207),IF(('Quantification_Results'!B207&lt;'Quantification_Config'!$S$6),"",IF(('Quantification_Results'!B207&gt;'Quantification_Config'!$T$6),"",'Quantification_Results'!B207)),""),IF(ISNUMBER('Quantification_Results'!C207),IF(('Quantification_Results'!C207&lt;'Quantification_Config'!$S$6),"",IF(('Quantification_Results'!C207&gt;'Quantification_Config'!$T$6),"",'Quantification_Results'!C207)),"")))</x:f>
        <x:v>5</x:v>
      </x:c>
      <x:c r="E207" t="n">
        <x:f>IF(ISNUMBER('Quantification_Results'!D207),IFERROR(ROUND(((('Quantification_Results'!D207-'Quantification_Config'!$S$6)/('Quantification_Config'!$T$6-'Quantification_Config'!$S$6))*100),'Quantification_Config'!$U$2),""),"")</x:f>
        <x:v>50</x:v>
      </x:c>
      <x:c r="F207" t="inlineStr">
        <x:is>
          <x:t xml:space="preserve">SYSTEM-TEST-ONLY-NO-NETWORK-NOT-AN-EDUCATIONAL-EVALUATION</x:t>
        </x:is>
      </x:c>
      <x:c r="G207" t="inlineStr">
        <x:is>
          <x:t xml:space="preserve"/>
        </x:is>
      </x:c>
      <x:c r="H207" t="inlineStr">
        <x:is>
          <x:t xml:space="preserve">NONE</x:t>
        </x:is>
      </x:c>
      <x:c r="I207" t="inlineStr">
        <x:is>
          <x:t xml:space="preserve"/>
        </x:is>
      </x:c>
      <x:c r="J207" t="inlineStr">
        <x:is>
          <x:t xml:space="preserve">SUCCESS</x:t>
        </x:is>
      </x:c>
      <x:c r="K207" t="n">
        <x:f>IF((COUNT('Quantification_Results'!E207)=1),IFERROR(ROUND((SUM(('Quantification_Results'!E207*'Quantification_Config'!$R$6))/SUM('Quantification_Config'!$R$6)),'Quantification_Config'!$U$2),""),"")</x:f>
        <x:v>50</x:v>
      </x:c>
      <x:c r="L207" t="n">
        <x:f>IF((COUNT('Quantification_Results'!K207)=1),IFERROR(ROUND((SUM(('Quantification_Results'!K207*'Quantification_Config'!$R$5))/SUM('Quantification_Config'!$R$5)),'Quantification_Config'!$U$2),""),"")</x:f>
        <x:v>50</x:v>
      </x:c>
      <x:c r="M207" t="n">
        <x:v>1</x:v>
      </x:c>
      <x:c r="N207" t="n">
        <x:v>5</x:v>
      </x:c>
      <x:c r="O207"/>
      <x:c r="P207" t="n">
        <x:f>IF(('Quantification_Results'!M207&lt;&gt;1),"",IF(('Quantification_Results'!O207=""),IF(ISNUMBER('Quantification_Results'!N207),IF(('Quantification_Results'!N207&lt;'Quantification_Config'!$S$9),"",IF(('Quantification_Results'!N207&gt;'Quantification_Config'!$T$9),"",'Quantification_Results'!N207)),""),IF(ISNUMBER('Quantification_Results'!O207),IF(('Quantification_Results'!O207&lt;'Quantification_Config'!$S$9),"",IF(('Quantification_Results'!O207&gt;'Quantification_Config'!$T$9),"",'Quantification_Results'!O207)),"")))</x:f>
        <x:v>5</x:v>
      </x:c>
      <x:c r="Q207" t="n">
        <x:f>IF(ISNUMBER('Quantification_Results'!P207),IFERROR(ROUND(((('Quantification_Results'!P207-'Quantification_Config'!$S$9)/('Quantification_Config'!$T$9-'Quantification_Config'!$S$9))*100),'Quantification_Config'!$U$2),""),"")</x:f>
        <x:v>50</x:v>
      </x:c>
      <x:c r="R207" t="inlineStr">
        <x:is>
          <x:t xml:space="preserve">SYSTEM-TEST-ONLY-NO-NETWORK-NOT-AN-EDUCATIONAL-EVALUATION</x:t>
        </x:is>
      </x:c>
      <x:c r="S207" t="inlineStr">
        <x:is>
          <x:t xml:space="preserve"/>
        </x:is>
      </x:c>
      <x:c r="T207" t="inlineStr">
        <x:is>
          <x:t xml:space="preserve">NONE</x:t>
        </x:is>
      </x:c>
      <x:c r="U207" t="inlineStr">
        <x:is>
          <x:t xml:space="preserve"/>
        </x:is>
      </x:c>
      <x:c r="V207" t="inlineStr">
        <x:is>
          <x:t xml:space="preserve">SUCCESS</x:t>
        </x:is>
      </x:c>
      <x:c r="W207" t="n">
        <x:f>IF((COUNT('Quantification_Results'!Q207)=1),IFERROR(ROUND((SUM(('Quantification_Results'!Q207*'Quantification_Config'!$R$9))/SUM('Quantification_Config'!$R$9)),'Quantification_Config'!$U$2),""),"")</x:f>
        <x:v>50</x:v>
      </x:c>
      <x:c r="X207" t="n">
        <x:f>IF((COUNT('Quantification_Results'!W207)=1),IFERROR(ROUND((SUM(('Quantification_Results'!W207*'Quantification_Config'!$R$8))/SUM('Quantification_Config'!$R$8)),'Quantification_Config'!$U$2),""),"")</x:f>
        <x:v>50</x:v>
      </x:c>
      <x:c r="Y207" t="n">
        <x:v>1</x:v>
      </x:c>
      <x:c r="Z207" t="n">
        <x:v>5</x:v>
      </x:c>
      <x:c r="AA207"/>
      <x:c r="AB207" t="n">
        <x:f>IF(('Quantification_Results'!Y207&lt;&gt;1),"",IF(('Quantification_Results'!AA207=""),IF(ISNUMBER('Quantification_Results'!Z207),IF(('Quantification_Results'!Z207&lt;'Quantification_Config'!$S$12),"",IF(('Quantification_Results'!Z207&gt;'Quantification_Config'!$T$12),"",'Quantification_Results'!Z207)),""),IF(ISNUMBER('Quantification_Results'!AA207),IF(('Quantification_Results'!AA207&lt;'Quantification_Config'!$S$12),"",IF(('Quantification_Results'!AA207&gt;'Quantification_Config'!$T$12),"",'Quantification_Results'!AA207)),"")))</x:f>
        <x:v>5</x:v>
      </x:c>
      <x:c r="AC207" t="n">
        <x:f>IF(ISNUMBER('Quantification_Results'!AB207),IFERROR(ROUND(((('Quantification_Results'!AB207-'Quantification_Config'!$S$12)/('Quantification_Config'!$T$12-'Quantification_Config'!$S$12))*100),'Quantification_Config'!$U$2),""),"")</x:f>
        <x:v>50</x:v>
      </x:c>
      <x:c r="AD207" t="inlineStr">
        <x:is>
          <x:t xml:space="preserve">SYSTEM-TEST-ONLY-NO-NETWORK-NOT-AN-EDUCATIONAL-EVALUATION</x:t>
        </x:is>
      </x:c>
      <x:c r="AE207" t="inlineStr">
        <x:is>
          <x:t xml:space="preserve"/>
        </x:is>
      </x:c>
      <x:c r="AF207" t="inlineStr">
        <x:is>
          <x:t xml:space="preserve">NONE</x:t>
        </x:is>
      </x:c>
      <x:c r="AG207" t="inlineStr">
        <x:is>
          <x:t xml:space="preserve"/>
        </x:is>
      </x:c>
      <x:c r="AH207" t="inlineStr">
        <x:is>
          <x:t xml:space="preserve">SUCCESS</x:t>
        </x:is>
      </x:c>
      <x:c r="AI207" t="n">
        <x:f>IF((COUNT('Quantification_Results'!AC207)=1),IFERROR(ROUND((SUM(('Quantification_Results'!AC207*'Quantification_Config'!$R$12))/SUM('Quantification_Config'!$R$12)),'Quantification_Config'!$U$2),""),"")</x:f>
        <x:v>50</x:v>
      </x:c>
      <x:c r="AJ207" t="n">
        <x:f>IF((COUNT('Quantification_Results'!AI207)=1),IFERROR(ROUND((SUM(('Quantification_Results'!AI207*'Quantification_Config'!$R$11))/SUM('Quantification_Config'!$R$11)),'Quantification_Config'!$U$2),""),"")</x:f>
        <x:v>50</x:v>
      </x:c>
      <x:c r="AK207" t="n">
        <x:v>1</x:v>
      </x:c>
      <x:c r="AL207" t="n">
        <x:v>5</x:v>
      </x:c>
      <x:c r="AM207"/>
      <x:c r="AN207" t="n">
        <x:f>IF(('Quantification_Results'!AK207&lt;&gt;1),"",IF(('Quantification_Results'!AM207=""),IF(ISNUMBER('Quantification_Results'!AL207),IF(('Quantification_Results'!AL207&lt;'Quantification_Config'!$S$15),"",IF(('Quantification_Results'!AL207&gt;'Quantification_Config'!$T$15),"",'Quantification_Results'!AL207)),""),IF(ISNUMBER('Quantification_Results'!AM207),IF(('Quantification_Results'!AM207&lt;'Quantification_Config'!$S$15),"",IF(('Quantification_Results'!AM207&gt;'Quantification_Config'!$T$15),"",'Quantification_Results'!AM207)),"")))</x:f>
        <x:v>5</x:v>
      </x:c>
      <x:c r="AO207" t="n">
        <x:f>IF(ISNUMBER('Quantification_Results'!AN207),IFERROR(ROUND(((('Quantification_Results'!AN207-'Quantification_Config'!$S$15)/('Quantification_Config'!$T$15-'Quantification_Config'!$S$15))*100),'Quantification_Config'!$U$2),""),"")</x:f>
        <x:v>50</x:v>
      </x:c>
      <x:c r="AP207" t="inlineStr">
        <x:is>
          <x:t xml:space="preserve">SYSTEM-TEST-ONLY-NO-NETWORK-NOT-AN-EDUCATIONAL-EVALUATION</x:t>
        </x:is>
      </x:c>
      <x:c r="AQ207" t="inlineStr">
        <x:is>
          <x:t xml:space="preserve"/>
        </x:is>
      </x:c>
      <x:c r="AR207" t="inlineStr">
        <x:is>
          <x:t xml:space="preserve">NONE</x:t>
        </x:is>
      </x:c>
      <x:c r="AS207" t="inlineStr">
        <x:is>
          <x:t xml:space="preserve"/>
        </x:is>
      </x:c>
      <x:c r="AT207" t="inlineStr">
        <x:is>
          <x:t xml:space="preserve">SUCCESS</x:t>
        </x:is>
      </x:c>
      <x:c r="AU207" t="n">
        <x:f>IF((COUNT('Quantification_Results'!AO207)=1),IFERROR(ROUND((SUM(('Quantification_Results'!AO207*'Quantification_Config'!$R$15))/SUM('Quantification_Config'!$R$15)),'Quantification_Config'!$U$2),""),"")</x:f>
        <x:v>50</x:v>
      </x:c>
      <x:c r="AV207" t="n">
        <x:f>IF((COUNT('Quantification_Results'!AU207)=1),IFERROR(ROUND((SUM(('Quantification_Results'!AU207*'Quantification_Config'!$R$14))/SUM('Quantification_Config'!$R$14)),'Quantification_Config'!$U$2),""),"")</x:f>
        <x:v>50</x:v>
      </x:c>
      <x:c r="AW207" t="n">
        <x:v>0</x:v>
      </x:c>
      <x:c r="AX207"/>
      <x:c r="AY207"/>
      <x:c r="AZ207">
        <x:f>IF(('Quantification_Results'!AW207&lt;&gt;1),"",IF(('Quantification_Results'!AY207=""),IF(ISNUMBER('Quantification_Results'!AX207),IF(('Quantification_Results'!AX207&lt;'Quantification_Config'!$S$19),"",IF(('Quantification_Results'!AX207&gt;'Quantification_Config'!$T$19),"",'Quantification_Results'!AX207)),""),IF(ISNUMBER('Quantification_Results'!AY207),IF(('Quantification_Results'!AY207&lt;'Quantification_Config'!$S$19),"",IF(('Quantification_Results'!AY207&gt;'Quantification_Config'!$T$19),"",'Quantification_Results'!AY207)),"")))</x:f>
      </x:c>
      <x:c r="BA207">
        <x:f>IF(ISNUMBER('Quantification_Results'!AZ207),IFERROR(ROUND(((('Quantification_Results'!AZ207-'Quantification_Config'!$S$19)/('Quantification_Config'!$T$19-'Quantification_Config'!$S$19))*100),'Quantification_Config'!$U$2),""),"")</x:f>
      </x:c>
      <x:c r="BB207" t="inlineStr">
        <x:is>
          <x:t xml:space="preserve"/>
        </x:is>
      </x:c>
      <x:c r="BC207" t="inlineStr">
        <x:is>
          <x:t xml:space="preserve"/>
        </x:is>
      </x:c>
      <x:c r="BD207" t="inlineStr">
        <x:is>
          <x:t xml:space="preserve"/>
        </x:is>
      </x:c>
      <x:c r="BE207" t="inlineStr">
        <x:is>
          <x:t xml:space="preserve"/>
        </x:is>
      </x:c>
      <x:c r="BF207" t="inlineStr">
        <x:is>
          <x:t xml:space="preserve">EMPTY</x:t>
        </x:is>
      </x:c>
      <x:c r="BG207">
        <x:f>IF((COUNT('Quantification_Results'!BA207)=1),IFERROR(ROUND((SUM(('Quantification_Results'!BA207*'Quantification_Config'!$R$19))/SUM('Quantification_Config'!$R$19)),'Quantification_Config'!$U$2),""),"")</x:f>
      </x:c>
      <x:c r="BH207">
        <x:f>IF((COUNT('Quantification_Results'!BG207)=1),IFERROR(ROUND((SUM(('Quantification_Results'!BG207*'Quantification_Config'!$R$18))/SUM('Quantification_Config'!$R$18)),'Quantification_Config'!$U$2),""),"")</x:f>
      </x:c>
      <x:c r="BI207">
        <x:f>IF((COUNT('Quantification_Results'!L207,'Quantification_Results'!X207,'Quantification_Results'!AJ207,'Quantification_Results'!AV207,'Quantification_Results'!BH207)=5),IFERROR(ROUND((SUM(('Quantification_Results'!L207*'Quantification_Config'!$R$4),('Quantification_Results'!X207*'Quantification_Config'!$R$7),('Quantification_Results'!AJ207*'Quantification_Config'!$R$10),('Quantification_Results'!AV207*'Quantification_Config'!$R$13),('Quantification_Results'!BH207*'Quantification_Config'!$R$16))/SUM('Quantification_Config'!$R$4,'Quantification_Config'!$R$7,'Quantification_Config'!$R$10,'Quantification_Config'!$R$13,'Quantification_Config'!$R$16)),'Quantification_Config'!$U$2),""),"")</x:f>
      </x:c>
    </x:row>
    <x:row r="208">
      <x:c r="A208" t="n">
        <x:v>1</x:v>
      </x:c>
      <x:c r="B208" t="n">
        <x:v>5</x:v>
      </x:c>
      <x:c r="C208"/>
      <x:c r="D208" t="n">
        <x:f>IF(('Quantification_Results'!A208&lt;&gt;1),"",IF(('Quantification_Results'!C208=""),IF(ISNUMBER('Quantification_Results'!B208),IF(('Quantification_Results'!B208&lt;'Quantification_Config'!$S$6),"",IF(('Quantification_Results'!B208&gt;'Quantification_Config'!$T$6),"",'Quantification_Results'!B208)),""),IF(ISNUMBER('Quantification_Results'!C208),IF(('Quantification_Results'!C208&lt;'Quantification_Config'!$S$6),"",IF(('Quantification_Results'!C208&gt;'Quantification_Config'!$T$6),"",'Quantification_Results'!C208)),"")))</x:f>
        <x:v>5</x:v>
      </x:c>
      <x:c r="E208" t="n">
        <x:f>IF(ISNUMBER('Quantification_Results'!D208),IFERROR(ROUND(((('Quantification_Results'!D208-'Quantification_Config'!$S$6)/('Quantification_Config'!$T$6-'Quantification_Config'!$S$6))*100),'Quantification_Config'!$U$2),""),"")</x:f>
        <x:v>50</x:v>
      </x:c>
      <x:c r="F208" t="inlineStr">
        <x:is>
          <x:t xml:space="preserve">SYSTEM-TEST-ONLY-NO-NETWORK-NOT-AN-EDUCATIONAL-EVALUATION</x:t>
        </x:is>
      </x:c>
      <x:c r="G208" t="inlineStr">
        <x:is>
          <x:t xml:space="preserve"/>
        </x:is>
      </x:c>
      <x:c r="H208" t="inlineStr">
        <x:is>
          <x:t xml:space="preserve">NONE</x:t>
        </x:is>
      </x:c>
      <x:c r="I208" t="inlineStr">
        <x:is>
          <x:t xml:space="preserve"/>
        </x:is>
      </x:c>
      <x:c r="J208" t="inlineStr">
        <x:is>
          <x:t xml:space="preserve">SUCCESS</x:t>
        </x:is>
      </x:c>
      <x:c r="K208" t="n">
        <x:f>IF((COUNT('Quantification_Results'!E208)=1),IFERROR(ROUND((SUM(('Quantification_Results'!E208*'Quantification_Config'!$R$6))/SUM('Quantification_Config'!$R$6)),'Quantification_Config'!$U$2),""),"")</x:f>
        <x:v>50</x:v>
      </x:c>
      <x:c r="L208" t="n">
        <x:f>IF((COUNT('Quantification_Results'!K208)=1),IFERROR(ROUND((SUM(('Quantification_Results'!K208*'Quantification_Config'!$R$5))/SUM('Quantification_Config'!$R$5)),'Quantification_Config'!$U$2),""),"")</x:f>
        <x:v>50</x:v>
      </x:c>
      <x:c r="M208" t="n">
        <x:v>0</x:v>
      </x:c>
      <x:c r="N208"/>
      <x:c r="O208"/>
      <x:c r="P208">
        <x:f>IF(('Quantification_Results'!M208&lt;&gt;1),"",IF(('Quantification_Results'!O208=""),IF(ISNUMBER('Quantification_Results'!N208),IF(('Quantification_Results'!N208&lt;'Quantification_Config'!$S$9),"",IF(('Quantification_Results'!N208&gt;'Quantification_Config'!$T$9),"",'Quantification_Results'!N208)),""),IF(ISNUMBER('Quantification_Results'!O208),IF(('Quantification_Results'!O208&lt;'Quantification_Config'!$S$9),"",IF(('Quantification_Results'!O208&gt;'Quantification_Config'!$T$9),"",'Quantification_Results'!O208)),"")))</x:f>
      </x:c>
      <x:c r="Q208">
        <x:f>IF(ISNUMBER('Quantification_Results'!P208),IFERROR(ROUND(((('Quantification_Results'!P208-'Quantification_Config'!$S$9)/('Quantification_Config'!$T$9-'Quantification_Config'!$S$9))*100),'Quantification_Config'!$U$2),""),"")</x:f>
      </x:c>
      <x:c r="R208" t="inlineStr">
        <x:is>
          <x:t xml:space="preserve"/>
        </x:is>
      </x:c>
      <x:c r="S208" t="inlineStr">
        <x:is>
          <x:t xml:space="preserve"/>
        </x:is>
      </x:c>
      <x:c r="T208" t="inlineStr">
        <x:is>
          <x:t xml:space="preserve"/>
        </x:is>
      </x:c>
      <x:c r="U208" t="inlineStr">
        <x:is>
          <x:t xml:space="preserve"/>
        </x:is>
      </x:c>
      <x:c r="V208" t="inlineStr">
        <x:is>
          <x:t xml:space="preserve">EMPTY</x:t>
        </x:is>
      </x:c>
      <x:c r="W208">
        <x:f>IF((COUNT('Quantification_Results'!Q208)=1),IFERROR(ROUND((SUM(('Quantification_Results'!Q208*'Quantification_Config'!$R$9))/SUM('Quantification_Config'!$R$9)),'Quantification_Config'!$U$2),""),"")</x:f>
      </x:c>
      <x:c r="X208">
        <x:f>IF((COUNT('Quantification_Results'!W208)=1),IFERROR(ROUND((SUM(('Quantification_Results'!W208*'Quantification_Config'!$R$8))/SUM('Quantification_Config'!$R$8)),'Quantification_Config'!$U$2),""),"")</x:f>
      </x:c>
      <x:c r="Y208" t="n">
        <x:v>0</x:v>
      </x:c>
      <x:c r="Z208"/>
      <x:c r="AA208"/>
      <x:c r="AB208">
        <x:f>IF(('Quantification_Results'!Y208&lt;&gt;1),"",IF(('Quantification_Results'!AA208=""),IF(ISNUMBER('Quantification_Results'!Z208),IF(('Quantification_Results'!Z208&lt;'Quantification_Config'!$S$12),"",IF(('Quantification_Results'!Z208&gt;'Quantification_Config'!$T$12),"",'Quantification_Results'!Z208)),""),IF(ISNUMBER('Quantification_Results'!AA208),IF(('Quantification_Results'!AA208&lt;'Quantification_Config'!$S$12),"",IF(('Quantification_Results'!AA208&gt;'Quantification_Config'!$T$12),"",'Quantification_Results'!AA208)),"")))</x:f>
      </x:c>
      <x:c r="AC208">
        <x:f>IF(ISNUMBER('Quantification_Results'!AB208),IFERROR(ROUND(((('Quantification_Results'!AB208-'Quantification_Config'!$S$12)/('Quantification_Config'!$T$12-'Quantification_Config'!$S$12))*100),'Quantification_Config'!$U$2),""),"")</x:f>
      </x:c>
      <x:c r="AD208" t="inlineStr">
        <x:is>
          <x:t xml:space="preserve"/>
        </x:is>
      </x:c>
      <x:c r="AE208" t="inlineStr">
        <x:is>
          <x:t xml:space="preserve"/>
        </x:is>
      </x:c>
      <x:c r="AF208" t="inlineStr">
        <x:is>
          <x:t xml:space="preserve"/>
        </x:is>
      </x:c>
      <x:c r="AG208" t="inlineStr">
        <x:is>
          <x:t xml:space="preserve"/>
        </x:is>
      </x:c>
      <x:c r="AH208" t="inlineStr">
        <x:is>
          <x:t xml:space="preserve">EMPTY</x:t>
        </x:is>
      </x:c>
      <x:c r="AI208">
        <x:f>IF((COUNT('Quantification_Results'!AC208)=1),IFERROR(ROUND((SUM(('Quantification_Results'!AC208*'Quantification_Config'!$R$12))/SUM('Quantification_Config'!$R$12)),'Quantification_Config'!$U$2),""),"")</x:f>
      </x:c>
      <x:c r="AJ208">
        <x:f>IF((COUNT('Quantification_Results'!AI208)=1),IFERROR(ROUND((SUM(('Quantification_Results'!AI208*'Quantification_Config'!$R$11))/SUM('Quantification_Config'!$R$11)),'Quantification_Config'!$U$2),""),"")</x:f>
      </x:c>
      <x:c r="AK208" t="n">
        <x:v>1</x:v>
      </x:c>
      <x:c r="AL208" t="n">
        <x:v>5</x:v>
      </x:c>
      <x:c r="AM208"/>
      <x:c r="AN208" t="n">
        <x:f>IF(('Quantification_Results'!AK208&lt;&gt;1),"",IF(('Quantification_Results'!AM208=""),IF(ISNUMBER('Quantification_Results'!AL208),IF(('Quantification_Results'!AL208&lt;'Quantification_Config'!$S$15),"",IF(('Quantification_Results'!AL208&gt;'Quantification_Config'!$T$15),"",'Quantification_Results'!AL208)),""),IF(ISNUMBER('Quantification_Results'!AM208),IF(('Quantification_Results'!AM208&lt;'Quantification_Config'!$S$15),"",IF(('Quantification_Results'!AM208&gt;'Quantification_Config'!$T$15),"",'Quantification_Results'!AM208)),"")))</x:f>
        <x:v>5</x:v>
      </x:c>
      <x:c r="AO208" t="n">
        <x:f>IF(ISNUMBER('Quantification_Results'!AN208),IFERROR(ROUND(((('Quantification_Results'!AN208-'Quantification_Config'!$S$15)/('Quantification_Config'!$T$15-'Quantification_Config'!$S$15))*100),'Quantification_Config'!$U$2),""),"")</x:f>
        <x:v>50</x:v>
      </x:c>
      <x:c r="AP208" t="inlineStr">
        <x:is>
          <x:t xml:space="preserve">SYSTEM-TEST-ONLY-NO-NETWORK-NOT-AN-EDUCATIONAL-EVALUATION</x:t>
        </x:is>
      </x:c>
      <x:c r="AQ208" t="inlineStr">
        <x:is>
          <x:t xml:space="preserve"/>
        </x:is>
      </x:c>
      <x:c r="AR208" t="inlineStr">
        <x:is>
          <x:t xml:space="preserve">NONE</x:t>
        </x:is>
      </x:c>
      <x:c r="AS208" t="inlineStr">
        <x:is>
          <x:t xml:space="preserve"/>
        </x:is>
      </x:c>
      <x:c r="AT208" t="inlineStr">
        <x:is>
          <x:t xml:space="preserve">SUCCESS</x:t>
        </x:is>
      </x:c>
      <x:c r="AU208" t="n">
        <x:f>IF((COUNT('Quantification_Results'!AO208)=1),IFERROR(ROUND((SUM(('Quantification_Results'!AO208*'Quantification_Config'!$R$15))/SUM('Quantification_Config'!$R$15)),'Quantification_Config'!$U$2),""),"")</x:f>
        <x:v>50</x:v>
      </x:c>
      <x:c r="AV208" t="n">
        <x:f>IF((COUNT('Quantification_Results'!AU208)=1),IFERROR(ROUND((SUM(('Quantification_Results'!AU208*'Quantification_Config'!$R$14))/SUM('Quantification_Config'!$R$14)),'Quantification_Config'!$U$2),""),"")</x:f>
        <x:v>50</x:v>
      </x:c>
      <x:c r="AW208" t="n">
        <x:v>1</x:v>
      </x:c>
      <x:c r="AX208" t="n">
        <x:v>5</x:v>
      </x:c>
      <x:c r="AY208"/>
      <x:c r="AZ208" t="n">
        <x:f>IF(('Quantification_Results'!AW208&lt;&gt;1),"",IF(('Quantification_Results'!AY208=""),IF(ISNUMBER('Quantification_Results'!AX208),IF(('Quantification_Results'!AX208&lt;'Quantification_Config'!$S$19),"",IF(('Quantification_Results'!AX208&gt;'Quantification_Config'!$T$19),"",'Quantification_Results'!AX208)),""),IF(ISNUMBER('Quantification_Results'!AY208),IF(('Quantification_Results'!AY208&lt;'Quantification_Config'!$S$19),"",IF(('Quantification_Results'!AY208&gt;'Quantification_Config'!$T$19),"",'Quantification_Results'!AY208)),"")))</x:f>
        <x:v>5</x:v>
      </x:c>
      <x:c r="BA208" t="n">
        <x:f>IF(ISNUMBER('Quantification_Results'!AZ208),IFERROR(ROUND(((('Quantification_Results'!AZ208-'Quantification_Config'!$S$19)/('Quantification_Config'!$T$19-'Quantification_Config'!$S$19))*100),'Quantification_Config'!$U$2),""),"")</x:f>
        <x:v>50</x:v>
      </x:c>
      <x:c r="BB208" t="inlineStr">
        <x:is>
          <x:t xml:space="preserve">SYSTEM-TEST-ONLY-NO-NETWORK-NOT-AN-EDUCATIONAL-EVALUATION</x:t>
        </x:is>
      </x:c>
      <x:c r="BC208" t="inlineStr">
        <x:is>
          <x:t xml:space="preserve"/>
        </x:is>
      </x:c>
      <x:c r="BD208" t="inlineStr">
        <x:is>
          <x:t xml:space="preserve">NONE</x:t>
        </x:is>
      </x:c>
      <x:c r="BE208" t="inlineStr">
        <x:is>
          <x:t xml:space="preserve"/>
        </x:is>
      </x:c>
      <x:c r="BF208" t="inlineStr">
        <x:is>
          <x:t xml:space="preserve">SUCCESS</x:t>
        </x:is>
      </x:c>
      <x:c r="BG208" t="n">
        <x:f>IF((COUNT('Quantification_Results'!BA208)=1),IFERROR(ROUND((SUM(('Quantification_Results'!BA208*'Quantification_Config'!$R$19))/SUM('Quantification_Config'!$R$19)),'Quantification_Config'!$U$2),""),"")</x:f>
        <x:v>50</x:v>
      </x:c>
      <x:c r="BH208" t="n">
        <x:f>IF((COUNT('Quantification_Results'!BG208)=1),IFERROR(ROUND((SUM(('Quantification_Results'!BG208*'Quantification_Config'!$R$18))/SUM('Quantification_Config'!$R$18)),'Quantification_Config'!$U$2),""),"")</x:f>
        <x:v>50</x:v>
      </x:c>
      <x:c r="BI208">
        <x:f>IF((COUNT('Quantification_Results'!L208,'Quantification_Results'!X208,'Quantification_Results'!AJ208,'Quantification_Results'!AV208,'Quantification_Results'!BH208)=5),IFERROR(ROUND((SUM(('Quantification_Results'!L208*'Quantification_Config'!$R$4),('Quantification_Results'!X208*'Quantification_Config'!$R$7),('Quantification_Results'!AJ208*'Quantification_Config'!$R$10),('Quantification_Results'!AV208*'Quantification_Config'!$R$13),('Quantification_Results'!BH208*'Quantification_Config'!$R$16))/SUM('Quantification_Config'!$R$4,'Quantification_Config'!$R$7,'Quantification_Config'!$R$10,'Quantification_Config'!$R$13,'Quantification_Config'!$R$16)),'Quantification_Config'!$U$2),""),"")</x:f>
      </x:c>
    </x:row>
    <x:row r="209">
      <x:c r="A209" t="n">
        <x:v>1</x:v>
      </x:c>
      <x:c r="B209" t="n">
        <x:v>5</x:v>
      </x:c>
      <x:c r="C209"/>
      <x:c r="D209" t="n">
        <x:f>IF(('Quantification_Results'!A209&lt;&gt;1),"",IF(('Quantification_Results'!C209=""),IF(ISNUMBER('Quantification_Results'!B209),IF(('Quantification_Results'!B209&lt;'Quantification_Config'!$S$6),"",IF(('Quantification_Results'!B209&gt;'Quantification_Config'!$T$6),"",'Quantification_Results'!B209)),""),IF(ISNUMBER('Quantification_Results'!C209),IF(('Quantification_Results'!C209&lt;'Quantification_Config'!$S$6),"",IF(('Quantification_Results'!C209&gt;'Quantification_Config'!$T$6),"",'Quantification_Results'!C209)),"")))</x:f>
        <x:v>5</x:v>
      </x:c>
      <x:c r="E209" t="n">
        <x:f>IF(ISNUMBER('Quantification_Results'!D209),IFERROR(ROUND(((('Quantification_Results'!D209-'Quantification_Config'!$S$6)/('Quantification_Config'!$T$6-'Quantification_Config'!$S$6))*100),'Quantification_Config'!$U$2),""),"")</x:f>
        <x:v>50</x:v>
      </x:c>
      <x:c r="F209" t="inlineStr">
        <x:is>
          <x:t xml:space="preserve">SYSTEM-TEST-ONLY-NO-NETWORK-NOT-AN-EDUCATIONAL-EVALUATION</x:t>
        </x:is>
      </x:c>
      <x:c r="G209" t="inlineStr">
        <x:is>
          <x:t xml:space="preserve"/>
        </x:is>
      </x:c>
      <x:c r="H209" t="inlineStr">
        <x:is>
          <x:t xml:space="preserve">NONE</x:t>
        </x:is>
      </x:c>
      <x:c r="I209" t="inlineStr">
        <x:is>
          <x:t xml:space="preserve"/>
        </x:is>
      </x:c>
      <x:c r="J209" t="inlineStr">
        <x:is>
          <x:t xml:space="preserve">SUCCESS</x:t>
        </x:is>
      </x:c>
      <x:c r="K209" t="n">
        <x:f>IF((COUNT('Quantification_Results'!E209)=1),IFERROR(ROUND((SUM(('Quantification_Results'!E209*'Quantification_Config'!$R$6))/SUM('Quantification_Config'!$R$6)),'Quantification_Config'!$U$2),""),"")</x:f>
        <x:v>50</x:v>
      </x:c>
      <x:c r="L209" t="n">
        <x:f>IF((COUNT('Quantification_Results'!K209)=1),IFERROR(ROUND((SUM(('Quantification_Results'!K209*'Quantification_Config'!$R$5))/SUM('Quantification_Config'!$R$5)),'Quantification_Config'!$U$2),""),"")</x:f>
        <x:v>50</x:v>
      </x:c>
      <x:c r="M209" t="n">
        <x:v>1</x:v>
      </x:c>
      <x:c r="N209" t="n">
        <x:v>5</x:v>
      </x:c>
      <x:c r="O209"/>
      <x:c r="P209" t="n">
        <x:f>IF(('Quantification_Results'!M209&lt;&gt;1),"",IF(('Quantification_Results'!O209=""),IF(ISNUMBER('Quantification_Results'!N209),IF(('Quantification_Results'!N209&lt;'Quantification_Config'!$S$9),"",IF(('Quantification_Results'!N209&gt;'Quantification_Config'!$T$9),"",'Quantification_Results'!N209)),""),IF(ISNUMBER('Quantification_Results'!O209),IF(('Quantification_Results'!O209&lt;'Quantification_Config'!$S$9),"",IF(('Quantification_Results'!O209&gt;'Quantification_Config'!$T$9),"",'Quantification_Results'!O209)),"")))</x:f>
        <x:v>5</x:v>
      </x:c>
      <x:c r="Q209" t="n">
        <x:f>IF(ISNUMBER('Quantification_Results'!P209),IFERROR(ROUND(((('Quantification_Results'!P209-'Quantification_Config'!$S$9)/('Quantification_Config'!$T$9-'Quantification_Config'!$S$9))*100),'Quantification_Config'!$U$2),""),"")</x:f>
        <x:v>50</x:v>
      </x:c>
      <x:c r="R209" t="inlineStr">
        <x:is>
          <x:t xml:space="preserve">SYSTEM-TEST-ONLY-NO-NETWORK-NOT-AN-EDUCATIONAL-EVALUATION</x:t>
        </x:is>
      </x:c>
      <x:c r="S209" t="inlineStr">
        <x:is>
          <x:t xml:space="preserve"/>
        </x:is>
      </x:c>
      <x:c r="T209" t="inlineStr">
        <x:is>
          <x:t xml:space="preserve">NONE</x:t>
        </x:is>
      </x:c>
      <x:c r="U209" t="inlineStr">
        <x:is>
          <x:t xml:space="preserve"/>
        </x:is>
      </x:c>
      <x:c r="V209" t="inlineStr">
        <x:is>
          <x:t xml:space="preserve">SUCCESS</x:t>
        </x:is>
      </x:c>
      <x:c r="W209" t="n">
        <x:f>IF((COUNT('Quantification_Results'!Q209)=1),IFERROR(ROUND((SUM(('Quantification_Results'!Q209*'Quantification_Config'!$R$9))/SUM('Quantification_Config'!$R$9)),'Quantification_Config'!$U$2),""),"")</x:f>
        <x:v>50</x:v>
      </x:c>
      <x:c r="X209" t="n">
        <x:f>IF((COUNT('Quantification_Results'!W209)=1),IFERROR(ROUND((SUM(('Quantification_Results'!W209*'Quantification_Config'!$R$8))/SUM('Quantification_Config'!$R$8)),'Quantification_Config'!$U$2),""),"")</x:f>
        <x:v>50</x:v>
      </x:c>
      <x:c r="Y209" t="n">
        <x:v>0</x:v>
      </x:c>
      <x:c r="Z209"/>
      <x:c r="AA209"/>
      <x:c r="AB209">
        <x:f>IF(('Quantification_Results'!Y209&lt;&gt;1),"",IF(('Quantification_Results'!AA209=""),IF(ISNUMBER('Quantification_Results'!Z209),IF(('Quantification_Results'!Z209&lt;'Quantification_Config'!$S$12),"",IF(('Quantification_Results'!Z209&gt;'Quantification_Config'!$T$12),"",'Quantification_Results'!Z209)),""),IF(ISNUMBER('Quantification_Results'!AA209),IF(('Quantification_Results'!AA209&lt;'Quantification_Config'!$S$12),"",IF(('Quantification_Results'!AA209&gt;'Quantification_Config'!$T$12),"",'Quantification_Results'!AA209)),"")))</x:f>
      </x:c>
      <x:c r="AC209">
        <x:f>IF(ISNUMBER('Quantification_Results'!AB209),IFERROR(ROUND(((('Quantification_Results'!AB209-'Quantification_Config'!$S$12)/('Quantification_Config'!$T$12-'Quantification_Config'!$S$12))*100),'Quantification_Config'!$U$2),""),"")</x:f>
      </x:c>
      <x:c r="AD209" t="inlineStr">
        <x:is>
          <x:t xml:space="preserve"/>
        </x:is>
      </x:c>
      <x:c r="AE209" t="inlineStr">
        <x:is>
          <x:t xml:space="preserve"/>
        </x:is>
      </x:c>
      <x:c r="AF209" t="inlineStr">
        <x:is>
          <x:t xml:space="preserve"/>
        </x:is>
      </x:c>
      <x:c r="AG209" t="inlineStr">
        <x:is>
          <x:t xml:space="preserve"/>
        </x:is>
      </x:c>
      <x:c r="AH209" t="inlineStr">
        <x:is>
          <x:t xml:space="preserve">EMPTY</x:t>
        </x:is>
      </x:c>
      <x:c r="AI209">
        <x:f>IF((COUNT('Quantification_Results'!AC209)=1),IFERROR(ROUND((SUM(('Quantification_Results'!AC209*'Quantification_Config'!$R$12))/SUM('Quantification_Config'!$R$12)),'Quantification_Config'!$U$2),""),"")</x:f>
      </x:c>
      <x:c r="AJ209">
        <x:f>IF((COUNT('Quantification_Results'!AI209)=1),IFERROR(ROUND((SUM(('Quantification_Results'!AI209*'Quantification_Config'!$R$11))/SUM('Quantification_Config'!$R$11)),'Quantification_Config'!$U$2),""),"")</x:f>
      </x:c>
      <x:c r="AK209" t="n">
        <x:v>1</x:v>
      </x:c>
      <x:c r="AL209" t="n">
        <x:v>5</x:v>
      </x:c>
      <x:c r="AM209"/>
      <x:c r="AN209" t="n">
        <x:f>IF(('Quantification_Results'!AK209&lt;&gt;1),"",IF(('Quantification_Results'!AM209=""),IF(ISNUMBER('Quantification_Results'!AL209),IF(('Quantification_Results'!AL209&lt;'Quantification_Config'!$S$15),"",IF(('Quantification_Results'!AL209&gt;'Quantification_Config'!$T$15),"",'Quantification_Results'!AL209)),""),IF(ISNUMBER('Quantification_Results'!AM209),IF(('Quantification_Results'!AM209&lt;'Quantification_Config'!$S$15),"",IF(('Quantification_Results'!AM209&gt;'Quantification_Config'!$T$15),"",'Quantification_Results'!AM209)),"")))</x:f>
        <x:v>5</x:v>
      </x:c>
      <x:c r="AO209" t="n">
        <x:f>IF(ISNUMBER('Quantification_Results'!AN209),IFERROR(ROUND(((('Quantification_Results'!AN209-'Quantification_Config'!$S$15)/('Quantification_Config'!$T$15-'Quantification_Config'!$S$15))*100),'Quantification_Config'!$U$2),""),"")</x:f>
        <x:v>50</x:v>
      </x:c>
      <x:c r="AP209" t="inlineStr">
        <x:is>
          <x:t xml:space="preserve">SYSTEM-TEST-ONLY-NO-NETWORK-NOT-AN-EDUCATIONAL-EVALUATION</x:t>
        </x:is>
      </x:c>
      <x:c r="AQ209" t="inlineStr">
        <x:is>
          <x:t xml:space="preserve"/>
        </x:is>
      </x:c>
      <x:c r="AR209" t="inlineStr">
        <x:is>
          <x:t xml:space="preserve">NONE</x:t>
        </x:is>
      </x:c>
      <x:c r="AS209" t="inlineStr">
        <x:is>
          <x:t xml:space="preserve"/>
        </x:is>
      </x:c>
      <x:c r="AT209" t="inlineStr">
        <x:is>
          <x:t xml:space="preserve">SUCCESS</x:t>
        </x:is>
      </x:c>
      <x:c r="AU209" t="n">
        <x:f>IF((COUNT('Quantification_Results'!AO209)=1),IFERROR(ROUND((SUM(('Quantification_Results'!AO209*'Quantification_Config'!$R$15))/SUM('Quantification_Config'!$R$15)),'Quantification_Config'!$U$2),""),"")</x:f>
        <x:v>50</x:v>
      </x:c>
      <x:c r="AV209" t="n">
        <x:f>IF((COUNT('Quantification_Results'!AU209)=1),IFERROR(ROUND((SUM(('Quantification_Results'!AU209*'Quantification_Config'!$R$14))/SUM('Quantification_Config'!$R$14)),'Quantification_Config'!$U$2),""),"")</x:f>
        <x:v>50</x:v>
      </x:c>
      <x:c r="AW209" t="n">
        <x:v>1</x:v>
      </x:c>
      <x:c r="AX209" t="n">
        <x:v>5</x:v>
      </x:c>
      <x:c r="AY209"/>
      <x:c r="AZ209" t="n">
        <x:f>IF(('Quantification_Results'!AW209&lt;&gt;1),"",IF(('Quantification_Results'!AY209=""),IF(ISNUMBER('Quantification_Results'!AX209),IF(('Quantification_Results'!AX209&lt;'Quantification_Config'!$S$19),"",IF(('Quantification_Results'!AX209&gt;'Quantification_Config'!$T$19),"",'Quantification_Results'!AX209)),""),IF(ISNUMBER('Quantification_Results'!AY209),IF(('Quantification_Results'!AY209&lt;'Quantification_Config'!$S$19),"",IF(('Quantification_Results'!AY209&gt;'Quantification_Config'!$T$19),"",'Quantification_Results'!AY209)),"")))</x:f>
        <x:v>5</x:v>
      </x:c>
      <x:c r="BA209" t="n">
        <x:f>IF(ISNUMBER('Quantification_Results'!AZ209),IFERROR(ROUND(((('Quantification_Results'!AZ209-'Quantification_Config'!$S$19)/('Quantification_Config'!$T$19-'Quantification_Config'!$S$19))*100),'Quantification_Config'!$U$2),""),"")</x:f>
        <x:v>50</x:v>
      </x:c>
      <x:c r="BB209" t="inlineStr">
        <x:is>
          <x:t xml:space="preserve">SYSTEM-TEST-ONLY-NO-NETWORK-NOT-AN-EDUCATIONAL-EVALUATION</x:t>
        </x:is>
      </x:c>
      <x:c r="BC209" t="inlineStr">
        <x:is>
          <x:t xml:space="preserve"/>
        </x:is>
      </x:c>
      <x:c r="BD209" t="inlineStr">
        <x:is>
          <x:t xml:space="preserve">NONE</x:t>
        </x:is>
      </x:c>
      <x:c r="BE209" t="inlineStr">
        <x:is>
          <x:t xml:space="preserve"/>
        </x:is>
      </x:c>
      <x:c r="BF209" t="inlineStr">
        <x:is>
          <x:t xml:space="preserve">SUCCESS</x:t>
        </x:is>
      </x:c>
      <x:c r="BG209" t="n">
        <x:f>IF((COUNT('Quantification_Results'!BA209)=1),IFERROR(ROUND((SUM(('Quantification_Results'!BA209*'Quantification_Config'!$R$19))/SUM('Quantification_Config'!$R$19)),'Quantification_Config'!$U$2),""),"")</x:f>
        <x:v>50</x:v>
      </x:c>
      <x:c r="BH209" t="n">
        <x:f>IF((COUNT('Quantification_Results'!BG209)=1),IFERROR(ROUND((SUM(('Quantification_Results'!BG209*'Quantification_Config'!$R$18))/SUM('Quantification_Config'!$R$18)),'Quantification_Config'!$U$2),""),"")</x:f>
        <x:v>50</x:v>
      </x:c>
      <x:c r="BI209">
        <x:f>IF((COUNT('Quantification_Results'!L209,'Quantification_Results'!X209,'Quantification_Results'!AJ209,'Quantification_Results'!AV209,'Quantification_Results'!BH209)=5),IFERROR(ROUND((SUM(('Quantification_Results'!L209*'Quantification_Config'!$R$4),('Quantification_Results'!X209*'Quantification_Config'!$R$7),('Quantification_Results'!AJ209*'Quantification_Config'!$R$10),('Quantification_Results'!AV209*'Quantification_Config'!$R$13),('Quantification_Results'!BH209*'Quantification_Config'!$R$16))/SUM('Quantification_Config'!$R$4,'Quantification_Config'!$R$7,'Quantification_Config'!$R$10,'Quantification_Config'!$R$13,'Quantification_Config'!$R$16)),'Quantification_Config'!$U$2),""),"")</x:f>
      </x:c>
    </x:row>
    <x:row r="210">
      <x:c r="A210" t="n">
        <x:v>1</x:v>
      </x:c>
      <x:c r="B210" t="n">
        <x:v>5</x:v>
      </x:c>
      <x:c r="C210"/>
      <x:c r="D210" t="n">
        <x:f>IF(('Quantification_Results'!A210&lt;&gt;1),"",IF(('Quantification_Results'!C210=""),IF(ISNUMBER('Quantification_Results'!B210),IF(('Quantification_Results'!B210&lt;'Quantification_Config'!$S$6),"",IF(('Quantification_Results'!B210&gt;'Quantification_Config'!$T$6),"",'Quantification_Results'!B210)),""),IF(ISNUMBER('Quantification_Results'!C210),IF(('Quantification_Results'!C210&lt;'Quantification_Config'!$S$6),"",IF(('Quantification_Results'!C210&gt;'Quantification_Config'!$T$6),"",'Quantification_Results'!C210)),"")))</x:f>
        <x:v>5</x:v>
      </x:c>
      <x:c r="E210" t="n">
        <x:f>IF(ISNUMBER('Quantification_Results'!D210),IFERROR(ROUND(((('Quantification_Results'!D210-'Quantification_Config'!$S$6)/('Quantification_Config'!$T$6-'Quantification_Config'!$S$6))*100),'Quantification_Config'!$U$2),""),"")</x:f>
        <x:v>50</x:v>
      </x:c>
      <x:c r="F210" t="inlineStr">
        <x:is>
          <x:t xml:space="preserve">SYSTEM-TEST-ONLY-NO-NETWORK-NOT-AN-EDUCATIONAL-EVALUATION</x:t>
        </x:is>
      </x:c>
      <x:c r="G210" t="inlineStr">
        <x:is>
          <x:t xml:space="preserve"/>
        </x:is>
      </x:c>
      <x:c r="H210" t="inlineStr">
        <x:is>
          <x:t xml:space="preserve">NONE</x:t>
        </x:is>
      </x:c>
      <x:c r="I210" t="inlineStr">
        <x:is>
          <x:t xml:space="preserve"/>
        </x:is>
      </x:c>
      <x:c r="J210" t="inlineStr">
        <x:is>
          <x:t xml:space="preserve">SUCCESS</x:t>
        </x:is>
      </x:c>
      <x:c r="K210" t="n">
        <x:f>IF((COUNT('Quantification_Results'!E210)=1),IFERROR(ROUND((SUM(('Quantification_Results'!E210*'Quantification_Config'!$R$6))/SUM('Quantification_Config'!$R$6)),'Quantification_Config'!$U$2),""),"")</x:f>
        <x:v>50</x:v>
      </x:c>
      <x:c r="L210" t="n">
        <x:f>IF((COUNT('Quantification_Results'!K210)=1),IFERROR(ROUND((SUM(('Quantification_Results'!K210*'Quantification_Config'!$R$5))/SUM('Quantification_Config'!$R$5)),'Quantification_Config'!$U$2),""),"")</x:f>
        <x:v>50</x:v>
      </x:c>
      <x:c r="M210" t="n">
        <x:v>0</x:v>
      </x:c>
      <x:c r="N210"/>
      <x:c r="O210"/>
      <x:c r="P210">
        <x:f>IF(('Quantification_Results'!M210&lt;&gt;1),"",IF(('Quantification_Results'!O210=""),IF(ISNUMBER('Quantification_Results'!N210),IF(('Quantification_Results'!N210&lt;'Quantification_Config'!$S$9),"",IF(('Quantification_Results'!N210&gt;'Quantification_Config'!$T$9),"",'Quantification_Results'!N210)),""),IF(ISNUMBER('Quantification_Results'!O210),IF(('Quantification_Results'!O210&lt;'Quantification_Config'!$S$9),"",IF(('Quantification_Results'!O210&gt;'Quantification_Config'!$T$9),"",'Quantification_Results'!O210)),"")))</x:f>
      </x:c>
      <x:c r="Q210">
        <x:f>IF(ISNUMBER('Quantification_Results'!P210),IFERROR(ROUND(((('Quantification_Results'!P210-'Quantification_Config'!$S$9)/('Quantification_Config'!$T$9-'Quantification_Config'!$S$9))*100),'Quantification_Config'!$U$2),""),"")</x:f>
      </x:c>
      <x:c r="R210" t="inlineStr">
        <x:is>
          <x:t xml:space="preserve"/>
        </x:is>
      </x:c>
      <x:c r="S210" t="inlineStr">
        <x:is>
          <x:t xml:space="preserve"/>
        </x:is>
      </x:c>
      <x:c r="T210" t="inlineStr">
        <x:is>
          <x:t xml:space="preserve"/>
        </x:is>
      </x:c>
      <x:c r="U210" t="inlineStr">
        <x:is>
          <x:t xml:space="preserve"/>
        </x:is>
      </x:c>
      <x:c r="V210" t="inlineStr">
        <x:is>
          <x:t xml:space="preserve">EMPTY</x:t>
        </x:is>
      </x:c>
      <x:c r="W210">
        <x:f>IF((COUNT('Quantification_Results'!Q210)=1),IFERROR(ROUND((SUM(('Quantification_Results'!Q210*'Quantification_Config'!$R$9))/SUM('Quantification_Config'!$R$9)),'Quantification_Config'!$U$2),""),"")</x:f>
      </x:c>
      <x:c r="X210">
        <x:f>IF((COUNT('Quantification_Results'!W210)=1),IFERROR(ROUND((SUM(('Quantification_Results'!W210*'Quantification_Config'!$R$8))/SUM('Quantification_Config'!$R$8)),'Quantification_Config'!$U$2),""),"")</x:f>
      </x:c>
      <x:c r="Y210" t="n">
        <x:v>0</x:v>
      </x:c>
      <x:c r="Z210"/>
      <x:c r="AA210"/>
      <x:c r="AB210">
        <x:f>IF(('Quantification_Results'!Y210&lt;&gt;1),"",IF(('Quantification_Results'!AA210=""),IF(ISNUMBER('Quantification_Results'!Z210),IF(('Quantification_Results'!Z210&lt;'Quantification_Config'!$S$12),"",IF(('Quantification_Results'!Z210&gt;'Quantification_Config'!$T$12),"",'Quantification_Results'!Z210)),""),IF(ISNUMBER('Quantification_Results'!AA210),IF(('Quantification_Results'!AA210&lt;'Quantification_Config'!$S$12),"",IF(('Quantification_Results'!AA210&gt;'Quantification_Config'!$T$12),"",'Quantification_Results'!AA210)),"")))</x:f>
      </x:c>
      <x:c r="AC210">
        <x:f>IF(ISNUMBER('Quantification_Results'!AB210),IFERROR(ROUND(((('Quantification_Results'!AB210-'Quantification_Config'!$S$12)/('Quantification_Config'!$T$12-'Quantification_Config'!$S$12))*100),'Quantification_Config'!$U$2),""),"")</x:f>
      </x:c>
      <x:c r="AD210" t="inlineStr">
        <x:is>
          <x:t xml:space="preserve"/>
        </x:is>
      </x:c>
      <x:c r="AE210" t="inlineStr">
        <x:is>
          <x:t xml:space="preserve"/>
        </x:is>
      </x:c>
      <x:c r="AF210" t="inlineStr">
        <x:is>
          <x:t xml:space="preserve"/>
        </x:is>
      </x:c>
      <x:c r="AG210" t="inlineStr">
        <x:is>
          <x:t xml:space="preserve"/>
        </x:is>
      </x:c>
      <x:c r="AH210" t="inlineStr">
        <x:is>
          <x:t xml:space="preserve">EMPTY</x:t>
        </x:is>
      </x:c>
      <x:c r="AI210">
        <x:f>IF((COUNT('Quantification_Results'!AC210)=1),IFERROR(ROUND((SUM(('Quantification_Results'!AC210*'Quantification_Config'!$R$12))/SUM('Quantification_Config'!$R$12)),'Quantification_Config'!$U$2),""),"")</x:f>
      </x:c>
      <x:c r="AJ210">
        <x:f>IF((COUNT('Quantification_Results'!AI210)=1),IFERROR(ROUND((SUM(('Quantification_Results'!AI210*'Quantification_Config'!$R$11))/SUM('Quantification_Config'!$R$11)),'Quantification_Config'!$U$2),""),"")</x:f>
      </x:c>
      <x:c r="AK210" t="n">
        <x:v>1</x:v>
      </x:c>
      <x:c r="AL210" t="n">
        <x:v>5</x:v>
      </x:c>
      <x:c r="AM210"/>
      <x:c r="AN210" t="n">
        <x:f>IF(('Quantification_Results'!AK210&lt;&gt;1),"",IF(('Quantification_Results'!AM210=""),IF(ISNUMBER('Quantification_Results'!AL210),IF(('Quantification_Results'!AL210&lt;'Quantification_Config'!$S$15),"",IF(('Quantification_Results'!AL210&gt;'Quantification_Config'!$T$15),"",'Quantification_Results'!AL210)),""),IF(ISNUMBER('Quantification_Results'!AM210),IF(('Quantification_Results'!AM210&lt;'Quantification_Config'!$S$15),"",IF(('Quantification_Results'!AM210&gt;'Quantification_Config'!$T$15),"",'Quantification_Results'!AM210)),"")))</x:f>
        <x:v>5</x:v>
      </x:c>
      <x:c r="AO210" t="n">
        <x:f>IF(ISNUMBER('Quantification_Results'!AN210),IFERROR(ROUND(((('Quantification_Results'!AN210-'Quantification_Config'!$S$15)/('Quantification_Config'!$T$15-'Quantification_Config'!$S$15))*100),'Quantification_Config'!$U$2),""),"")</x:f>
        <x:v>50</x:v>
      </x:c>
      <x:c r="AP210" t="inlineStr">
        <x:is>
          <x:t xml:space="preserve">SYSTEM-TEST-ONLY-NO-NETWORK-NOT-AN-EDUCATIONAL-EVALUATION</x:t>
        </x:is>
      </x:c>
      <x:c r="AQ210" t="inlineStr">
        <x:is>
          <x:t xml:space="preserve"/>
        </x:is>
      </x:c>
      <x:c r="AR210" t="inlineStr">
        <x:is>
          <x:t xml:space="preserve">NONE</x:t>
        </x:is>
      </x:c>
      <x:c r="AS210" t="inlineStr">
        <x:is>
          <x:t xml:space="preserve"/>
        </x:is>
      </x:c>
      <x:c r="AT210" t="inlineStr">
        <x:is>
          <x:t xml:space="preserve">SUCCESS</x:t>
        </x:is>
      </x:c>
      <x:c r="AU210" t="n">
        <x:f>IF((COUNT('Quantification_Results'!AO210)=1),IFERROR(ROUND((SUM(('Quantification_Results'!AO210*'Quantification_Config'!$R$15))/SUM('Quantification_Config'!$R$15)),'Quantification_Config'!$U$2),""),"")</x:f>
        <x:v>50</x:v>
      </x:c>
      <x:c r="AV210" t="n">
        <x:f>IF((COUNT('Quantification_Results'!AU210)=1),IFERROR(ROUND((SUM(('Quantification_Results'!AU210*'Quantification_Config'!$R$14))/SUM('Quantification_Config'!$R$14)),'Quantification_Config'!$U$2),""),"")</x:f>
        <x:v>50</x:v>
      </x:c>
      <x:c r="AW210" t="n">
        <x:v>0</x:v>
      </x:c>
      <x:c r="AX210"/>
      <x:c r="AY210"/>
      <x:c r="AZ210">
        <x:f>IF(('Quantification_Results'!AW210&lt;&gt;1),"",IF(('Quantification_Results'!AY210=""),IF(ISNUMBER('Quantification_Results'!AX210),IF(('Quantification_Results'!AX210&lt;'Quantification_Config'!$S$19),"",IF(('Quantification_Results'!AX210&gt;'Quantification_Config'!$T$19),"",'Quantification_Results'!AX210)),""),IF(ISNUMBER('Quantification_Results'!AY210),IF(('Quantification_Results'!AY210&lt;'Quantification_Config'!$S$19),"",IF(('Quantification_Results'!AY210&gt;'Quantification_Config'!$T$19),"",'Quantification_Results'!AY210)),"")))</x:f>
      </x:c>
      <x:c r="BA210">
        <x:f>IF(ISNUMBER('Quantification_Results'!AZ210),IFERROR(ROUND(((('Quantification_Results'!AZ210-'Quantification_Config'!$S$19)/('Quantification_Config'!$T$19-'Quantification_Config'!$S$19))*100),'Quantification_Config'!$U$2),""),"")</x:f>
      </x:c>
      <x:c r="BB210" t="inlineStr">
        <x:is>
          <x:t xml:space="preserve"/>
        </x:is>
      </x:c>
      <x:c r="BC210" t="inlineStr">
        <x:is>
          <x:t xml:space="preserve"/>
        </x:is>
      </x:c>
      <x:c r="BD210" t="inlineStr">
        <x:is>
          <x:t xml:space="preserve"/>
        </x:is>
      </x:c>
      <x:c r="BE210" t="inlineStr">
        <x:is>
          <x:t xml:space="preserve"/>
        </x:is>
      </x:c>
      <x:c r="BF210" t="inlineStr">
        <x:is>
          <x:t xml:space="preserve">EMPTY</x:t>
        </x:is>
      </x:c>
      <x:c r="BG210">
        <x:f>IF((COUNT('Quantification_Results'!BA210)=1),IFERROR(ROUND((SUM(('Quantification_Results'!BA210*'Quantification_Config'!$R$19))/SUM('Quantification_Config'!$R$19)),'Quantification_Config'!$U$2),""),"")</x:f>
      </x:c>
      <x:c r="BH210">
        <x:f>IF((COUNT('Quantification_Results'!BG210)=1),IFERROR(ROUND((SUM(('Quantification_Results'!BG210*'Quantification_Config'!$R$18))/SUM('Quantification_Config'!$R$18)),'Quantification_Config'!$U$2),""),"")</x:f>
      </x:c>
      <x:c r="BI210">
        <x:f>IF((COUNT('Quantification_Results'!L210,'Quantification_Results'!X210,'Quantification_Results'!AJ210,'Quantification_Results'!AV210,'Quantification_Results'!BH210)=5),IFERROR(ROUND((SUM(('Quantification_Results'!L210*'Quantification_Config'!$R$4),('Quantification_Results'!X210*'Quantification_Config'!$R$7),('Quantification_Results'!AJ210*'Quantification_Config'!$R$10),('Quantification_Results'!AV210*'Quantification_Config'!$R$13),('Quantification_Results'!BH210*'Quantification_Config'!$R$16))/SUM('Quantification_Config'!$R$4,'Quantification_Config'!$R$7,'Quantification_Config'!$R$10,'Quantification_Config'!$R$13,'Quantification_Config'!$R$16)),'Quantification_Config'!$U$2),""),"")</x:f>
      </x:c>
    </x:row>
    <x:row r="211">
      <x:c r="A211" t="n">
        <x:v>1</x:v>
      </x:c>
      <x:c r="B211" t="n">
        <x:v>5</x:v>
      </x:c>
      <x:c r="C211"/>
      <x:c r="D211" t="n">
        <x:f>IF(('Quantification_Results'!A211&lt;&gt;1),"",IF(('Quantification_Results'!C211=""),IF(ISNUMBER('Quantification_Results'!B211),IF(('Quantification_Results'!B211&lt;'Quantification_Config'!$S$6),"",IF(('Quantification_Results'!B211&gt;'Quantification_Config'!$T$6),"",'Quantification_Results'!B211)),""),IF(ISNUMBER('Quantification_Results'!C211),IF(('Quantification_Results'!C211&lt;'Quantification_Config'!$S$6),"",IF(('Quantification_Results'!C211&gt;'Quantification_Config'!$T$6),"",'Quantification_Results'!C211)),"")))</x:f>
        <x:v>5</x:v>
      </x:c>
      <x:c r="E211" t="n">
        <x:f>IF(ISNUMBER('Quantification_Results'!D211),IFERROR(ROUND(((('Quantification_Results'!D211-'Quantification_Config'!$S$6)/('Quantification_Config'!$T$6-'Quantification_Config'!$S$6))*100),'Quantification_Config'!$U$2),""),"")</x:f>
        <x:v>50</x:v>
      </x:c>
      <x:c r="F211" t="inlineStr">
        <x:is>
          <x:t xml:space="preserve">SYSTEM-TEST-ONLY-NO-NETWORK-NOT-AN-EDUCATIONAL-EVALUATION</x:t>
        </x:is>
      </x:c>
      <x:c r="G211" t="inlineStr">
        <x:is>
          <x:t xml:space="preserve"/>
        </x:is>
      </x:c>
      <x:c r="H211" t="inlineStr">
        <x:is>
          <x:t xml:space="preserve">NONE</x:t>
        </x:is>
      </x:c>
      <x:c r="I211" t="inlineStr">
        <x:is>
          <x:t xml:space="preserve"/>
        </x:is>
      </x:c>
      <x:c r="J211" t="inlineStr">
        <x:is>
          <x:t xml:space="preserve">SUCCESS</x:t>
        </x:is>
      </x:c>
      <x:c r="K211" t="n">
        <x:f>IF((COUNT('Quantification_Results'!E211)=1),IFERROR(ROUND((SUM(('Quantification_Results'!E211*'Quantification_Config'!$R$6))/SUM('Quantification_Config'!$R$6)),'Quantification_Config'!$U$2),""),"")</x:f>
        <x:v>50</x:v>
      </x:c>
      <x:c r="L211" t="n">
        <x:f>IF((COUNT('Quantification_Results'!K211)=1),IFERROR(ROUND((SUM(('Quantification_Results'!K211*'Quantification_Config'!$R$5))/SUM('Quantification_Config'!$R$5)),'Quantification_Config'!$U$2),""),"")</x:f>
        <x:v>50</x:v>
      </x:c>
      <x:c r="M211" t="n">
        <x:v>1</x:v>
      </x:c>
      <x:c r="N211" t="n">
        <x:v>5</x:v>
      </x:c>
      <x:c r="O211"/>
      <x:c r="P211" t="n">
        <x:f>IF(('Quantification_Results'!M211&lt;&gt;1),"",IF(('Quantification_Results'!O211=""),IF(ISNUMBER('Quantification_Results'!N211),IF(('Quantification_Results'!N211&lt;'Quantification_Config'!$S$9),"",IF(('Quantification_Results'!N211&gt;'Quantification_Config'!$T$9),"",'Quantification_Results'!N211)),""),IF(ISNUMBER('Quantification_Results'!O211),IF(('Quantification_Results'!O211&lt;'Quantification_Config'!$S$9),"",IF(('Quantification_Results'!O211&gt;'Quantification_Config'!$T$9),"",'Quantification_Results'!O211)),"")))</x:f>
        <x:v>5</x:v>
      </x:c>
      <x:c r="Q211" t="n">
        <x:f>IF(ISNUMBER('Quantification_Results'!P211),IFERROR(ROUND(((('Quantification_Results'!P211-'Quantification_Config'!$S$9)/('Quantification_Config'!$T$9-'Quantification_Config'!$S$9))*100),'Quantification_Config'!$U$2),""),"")</x:f>
        <x:v>50</x:v>
      </x:c>
      <x:c r="R211" t="inlineStr">
        <x:is>
          <x:t xml:space="preserve">SYSTEM-TEST-ONLY-NO-NETWORK-NOT-AN-EDUCATIONAL-EVALUATION</x:t>
        </x:is>
      </x:c>
      <x:c r="S211" t="inlineStr">
        <x:is>
          <x:t xml:space="preserve"/>
        </x:is>
      </x:c>
      <x:c r="T211" t="inlineStr">
        <x:is>
          <x:t xml:space="preserve">NONE</x:t>
        </x:is>
      </x:c>
      <x:c r="U211" t="inlineStr">
        <x:is>
          <x:t xml:space="preserve"/>
        </x:is>
      </x:c>
      <x:c r="V211" t="inlineStr">
        <x:is>
          <x:t xml:space="preserve">SUCCESS</x:t>
        </x:is>
      </x:c>
      <x:c r="W211" t="n">
        <x:f>IF((COUNT('Quantification_Results'!Q211)=1),IFERROR(ROUND((SUM(('Quantification_Results'!Q211*'Quantification_Config'!$R$9))/SUM('Quantification_Config'!$R$9)),'Quantification_Config'!$U$2),""),"")</x:f>
        <x:v>50</x:v>
      </x:c>
      <x:c r="X211" t="n">
        <x:f>IF((COUNT('Quantification_Results'!W211)=1),IFERROR(ROUND((SUM(('Quantification_Results'!W211*'Quantification_Config'!$R$8))/SUM('Quantification_Config'!$R$8)),'Quantification_Config'!$U$2),""),"")</x:f>
        <x:v>50</x:v>
      </x:c>
      <x:c r="Y211" t="n">
        <x:v>1</x:v>
      </x:c>
      <x:c r="Z211" t="n">
        <x:v>5</x:v>
      </x:c>
      <x:c r="AA211"/>
      <x:c r="AB211" t="n">
        <x:f>IF(('Quantification_Results'!Y211&lt;&gt;1),"",IF(('Quantification_Results'!AA211=""),IF(ISNUMBER('Quantification_Results'!Z211),IF(('Quantification_Results'!Z211&lt;'Quantification_Config'!$S$12),"",IF(('Quantification_Results'!Z211&gt;'Quantification_Config'!$T$12),"",'Quantification_Results'!Z211)),""),IF(ISNUMBER('Quantification_Results'!AA211),IF(('Quantification_Results'!AA211&lt;'Quantification_Config'!$S$12),"",IF(('Quantification_Results'!AA211&gt;'Quantification_Config'!$T$12),"",'Quantification_Results'!AA211)),"")))</x:f>
        <x:v>5</x:v>
      </x:c>
      <x:c r="AC211" t="n">
        <x:f>IF(ISNUMBER('Quantification_Results'!AB211),IFERROR(ROUND(((('Quantification_Results'!AB211-'Quantification_Config'!$S$12)/('Quantification_Config'!$T$12-'Quantification_Config'!$S$12))*100),'Quantification_Config'!$U$2),""),"")</x:f>
        <x:v>50</x:v>
      </x:c>
      <x:c r="AD211" t="inlineStr">
        <x:is>
          <x:t xml:space="preserve">SYSTEM-TEST-ONLY-NO-NETWORK-NOT-AN-EDUCATIONAL-EVALUATION</x:t>
        </x:is>
      </x:c>
      <x:c r="AE211" t="inlineStr">
        <x:is>
          <x:t xml:space="preserve"/>
        </x:is>
      </x:c>
      <x:c r="AF211" t="inlineStr">
        <x:is>
          <x:t xml:space="preserve">NONE</x:t>
        </x:is>
      </x:c>
      <x:c r="AG211" t="inlineStr">
        <x:is>
          <x:t xml:space="preserve"/>
        </x:is>
      </x:c>
      <x:c r="AH211" t="inlineStr">
        <x:is>
          <x:t xml:space="preserve">SUCCESS</x:t>
        </x:is>
      </x:c>
      <x:c r="AI211" t="n">
        <x:f>IF((COUNT('Quantification_Results'!AC211)=1),IFERROR(ROUND((SUM(('Quantification_Results'!AC211*'Quantification_Config'!$R$12))/SUM('Quantification_Config'!$R$12)),'Quantification_Config'!$U$2),""),"")</x:f>
        <x:v>50</x:v>
      </x:c>
      <x:c r="AJ211" t="n">
        <x:f>IF((COUNT('Quantification_Results'!AI211)=1),IFERROR(ROUND((SUM(('Quantification_Results'!AI211*'Quantification_Config'!$R$11))/SUM('Quantification_Config'!$R$11)),'Quantification_Config'!$U$2),""),"")</x:f>
        <x:v>50</x:v>
      </x:c>
      <x:c r="AK211" t="n">
        <x:v>1</x:v>
      </x:c>
      <x:c r="AL211" t="n">
        <x:v>5</x:v>
      </x:c>
      <x:c r="AM211"/>
      <x:c r="AN211" t="n">
        <x:f>IF(('Quantification_Results'!AK211&lt;&gt;1),"",IF(('Quantification_Results'!AM211=""),IF(ISNUMBER('Quantification_Results'!AL211),IF(('Quantification_Results'!AL211&lt;'Quantification_Config'!$S$15),"",IF(('Quantification_Results'!AL211&gt;'Quantification_Config'!$T$15),"",'Quantification_Results'!AL211)),""),IF(ISNUMBER('Quantification_Results'!AM211),IF(('Quantification_Results'!AM211&lt;'Quantification_Config'!$S$15),"",IF(('Quantification_Results'!AM211&gt;'Quantification_Config'!$T$15),"",'Quantification_Results'!AM211)),"")))</x:f>
        <x:v>5</x:v>
      </x:c>
      <x:c r="AO211" t="n">
        <x:f>IF(ISNUMBER('Quantification_Results'!AN211),IFERROR(ROUND(((('Quantification_Results'!AN211-'Quantification_Config'!$S$15)/('Quantification_Config'!$T$15-'Quantification_Config'!$S$15))*100),'Quantification_Config'!$U$2),""),"")</x:f>
        <x:v>50</x:v>
      </x:c>
      <x:c r="AP211" t="inlineStr">
        <x:is>
          <x:t xml:space="preserve">SYSTEM-TEST-ONLY-NO-NETWORK-NOT-AN-EDUCATIONAL-EVALUATION</x:t>
        </x:is>
      </x:c>
      <x:c r="AQ211" t="inlineStr">
        <x:is>
          <x:t xml:space="preserve"/>
        </x:is>
      </x:c>
      <x:c r="AR211" t="inlineStr">
        <x:is>
          <x:t xml:space="preserve">NONE</x:t>
        </x:is>
      </x:c>
      <x:c r="AS211" t="inlineStr">
        <x:is>
          <x:t xml:space="preserve"/>
        </x:is>
      </x:c>
      <x:c r="AT211" t="inlineStr">
        <x:is>
          <x:t xml:space="preserve">SUCCESS</x:t>
        </x:is>
      </x:c>
      <x:c r="AU211" t="n">
        <x:f>IF((COUNT('Quantification_Results'!AO211)=1),IFERROR(ROUND((SUM(('Quantification_Results'!AO211*'Quantification_Config'!$R$15))/SUM('Quantification_Config'!$R$15)),'Quantification_Config'!$U$2),""),"")</x:f>
        <x:v>50</x:v>
      </x:c>
      <x:c r="AV211" t="n">
        <x:f>IF((COUNT('Quantification_Results'!AU211)=1),IFERROR(ROUND((SUM(('Quantification_Results'!AU211*'Quantification_Config'!$R$14))/SUM('Quantification_Config'!$R$14)),'Quantification_Config'!$U$2),""),"")</x:f>
        <x:v>50</x:v>
      </x:c>
      <x:c r="AW211" t="n">
        <x:v>1</x:v>
      </x:c>
      <x:c r="AX211" t="n">
        <x:v>5</x:v>
      </x:c>
      <x:c r="AY211"/>
      <x:c r="AZ211" t="n">
        <x:f>IF(('Quantification_Results'!AW211&lt;&gt;1),"",IF(('Quantification_Results'!AY211=""),IF(ISNUMBER('Quantification_Results'!AX211),IF(('Quantification_Results'!AX211&lt;'Quantification_Config'!$S$19),"",IF(('Quantification_Results'!AX211&gt;'Quantification_Config'!$T$19),"",'Quantification_Results'!AX211)),""),IF(ISNUMBER('Quantification_Results'!AY211),IF(('Quantification_Results'!AY211&lt;'Quantification_Config'!$S$19),"",IF(('Quantification_Results'!AY211&gt;'Quantification_Config'!$T$19),"",'Quantification_Results'!AY211)),"")))</x:f>
        <x:v>5</x:v>
      </x:c>
      <x:c r="BA211" t="n">
        <x:f>IF(ISNUMBER('Quantification_Results'!AZ211),IFERROR(ROUND(((('Quantification_Results'!AZ211-'Quantification_Config'!$S$19)/('Quantification_Config'!$T$19-'Quantification_Config'!$S$19))*100),'Quantification_Config'!$U$2),""),"")</x:f>
        <x:v>50</x:v>
      </x:c>
      <x:c r="BB211" t="inlineStr">
        <x:is>
          <x:t xml:space="preserve">SYSTEM-TEST-ONLY-NO-NETWORK-NOT-AN-EDUCATIONAL-EVALUATION</x:t>
        </x:is>
      </x:c>
      <x:c r="BC211" t="inlineStr">
        <x:is>
          <x:t xml:space="preserve"/>
        </x:is>
      </x:c>
      <x:c r="BD211" t="inlineStr">
        <x:is>
          <x:t xml:space="preserve">NONE</x:t>
        </x:is>
      </x:c>
      <x:c r="BE211" t="inlineStr">
        <x:is>
          <x:t xml:space="preserve"/>
        </x:is>
      </x:c>
      <x:c r="BF211" t="inlineStr">
        <x:is>
          <x:t xml:space="preserve">SUCCESS</x:t>
        </x:is>
      </x:c>
      <x:c r="BG211" t="n">
        <x:f>IF((COUNT('Quantification_Results'!BA211)=1),IFERROR(ROUND((SUM(('Quantification_Results'!BA211*'Quantification_Config'!$R$19))/SUM('Quantification_Config'!$R$19)),'Quantification_Config'!$U$2),""),"")</x:f>
        <x:v>50</x:v>
      </x:c>
      <x:c r="BH211" t="n">
        <x:f>IF((COUNT('Quantification_Results'!BG211)=1),IFERROR(ROUND((SUM(('Quantification_Results'!BG211*'Quantification_Config'!$R$18))/SUM('Quantification_Config'!$R$18)),'Quantification_Config'!$U$2),""),"")</x:f>
        <x:v>50</x:v>
      </x:c>
      <x:c r="BI211" t="n">
        <x:f>IF((COUNT('Quantification_Results'!L211,'Quantification_Results'!X211,'Quantification_Results'!AJ211,'Quantification_Results'!AV211,'Quantification_Results'!BH211)=5),IFERROR(ROUND((SUM(('Quantification_Results'!L211*'Quantification_Config'!$R$4),('Quantification_Results'!X211*'Quantification_Config'!$R$7),('Quantification_Results'!AJ211*'Quantification_Config'!$R$10),('Quantification_Results'!AV211*'Quantification_Config'!$R$13),('Quantification_Results'!BH211*'Quantification_Config'!$R$16))/SUM('Quantification_Config'!$R$4,'Quantification_Config'!$R$7,'Quantification_Config'!$R$10,'Quantification_Config'!$R$13,'Quantification_Config'!$R$16)),'Quantification_Config'!$U$2),""),"")</x:f>
        <x:v>50</x:v>
      </x:c>
    </x:row>
    <x:row r="212">
      <x:c r="A212" t="n">
        <x:v>1</x:v>
      </x:c>
      <x:c r="B212" t="n">
        <x:v>5</x:v>
      </x:c>
      <x:c r="C212"/>
      <x:c r="D212" t="n">
        <x:f>IF(('Quantification_Results'!A212&lt;&gt;1),"",IF(('Quantification_Results'!C212=""),IF(ISNUMBER('Quantification_Results'!B212),IF(('Quantification_Results'!B212&lt;'Quantification_Config'!$S$6),"",IF(('Quantification_Results'!B212&gt;'Quantification_Config'!$T$6),"",'Quantification_Results'!B212)),""),IF(ISNUMBER('Quantification_Results'!C212),IF(('Quantification_Results'!C212&lt;'Quantification_Config'!$S$6),"",IF(('Quantification_Results'!C212&gt;'Quantification_Config'!$T$6),"",'Quantification_Results'!C212)),"")))</x:f>
        <x:v>5</x:v>
      </x:c>
      <x:c r="E212" t="n">
        <x:f>IF(ISNUMBER('Quantification_Results'!D212),IFERROR(ROUND(((('Quantification_Results'!D212-'Quantification_Config'!$S$6)/('Quantification_Config'!$T$6-'Quantification_Config'!$S$6))*100),'Quantification_Config'!$U$2),""),"")</x:f>
        <x:v>50</x:v>
      </x:c>
      <x:c r="F212" t="inlineStr">
        <x:is>
          <x:t xml:space="preserve">SYSTEM-TEST-ONLY-NO-NETWORK-NOT-AN-EDUCATIONAL-EVALUATION</x:t>
        </x:is>
      </x:c>
      <x:c r="G212" t="inlineStr">
        <x:is>
          <x:t xml:space="preserve"/>
        </x:is>
      </x:c>
      <x:c r="H212" t="inlineStr">
        <x:is>
          <x:t xml:space="preserve">NONE</x:t>
        </x:is>
      </x:c>
      <x:c r="I212" t="inlineStr">
        <x:is>
          <x:t xml:space="preserve"/>
        </x:is>
      </x:c>
      <x:c r="J212" t="inlineStr">
        <x:is>
          <x:t xml:space="preserve">SUCCESS</x:t>
        </x:is>
      </x:c>
      <x:c r="K212" t="n">
        <x:f>IF((COUNT('Quantification_Results'!E212)=1),IFERROR(ROUND((SUM(('Quantification_Results'!E212*'Quantification_Config'!$R$6))/SUM('Quantification_Config'!$R$6)),'Quantification_Config'!$U$2),""),"")</x:f>
        <x:v>50</x:v>
      </x:c>
      <x:c r="L212" t="n">
        <x:f>IF((COUNT('Quantification_Results'!K212)=1),IFERROR(ROUND((SUM(('Quantification_Results'!K212*'Quantification_Config'!$R$5))/SUM('Quantification_Config'!$R$5)),'Quantification_Config'!$U$2),""),"")</x:f>
        <x:v>50</x:v>
      </x:c>
      <x:c r="M212" t="n">
        <x:v>1</x:v>
      </x:c>
      <x:c r="N212" t="n">
        <x:v>5</x:v>
      </x:c>
      <x:c r="O212"/>
      <x:c r="P212" t="n">
        <x:f>IF(('Quantification_Results'!M212&lt;&gt;1),"",IF(('Quantification_Results'!O212=""),IF(ISNUMBER('Quantification_Results'!N212),IF(('Quantification_Results'!N212&lt;'Quantification_Config'!$S$9),"",IF(('Quantification_Results'!N212&gt;'Quantification_Config'!$T$9),"",'Quantification_Results'!N212)),""),IF(ISNUMBER('Quantification_Results'!O212),IF(('Quantification_Results'!O212&lt;'Quantification_Config'!$S$9),"",IF(('Quantification_Results'!O212&gt;'Quantification_Config'!$T$9),"",'Quantification_Results'!O212)),"")))</x:f>
        <x:v>5</x:v>
      </x:c>
      <x:c r="Q212" t="n">
        <x:f>IF(ISNUMBER('Quantification_Results'!P212),IFERROR(ROUND(((('Quantification_Results'!P212-'Quantification_Config'!$S$9)/('Quantification_Config'!$T$9-'Quantification_Config'!$S$9))*100),'Quantification_Config'!$U$2),""),"")</x:f>
        <x:v>50</x:v>
      </x:c>
      <x:c r="R212" t="inlineStr">
        <x:is>
          <x:t xml:space="preserve">SYSTEM-TEST-ONLY-NO-NETWORK-NOT-AN-EDUCATIONAL-EVALUATION</x:t>
        </x:is>
      </x:c>
      <x:c r="S212" t="inlineStr">
        <x:is>
          <x:t xml:space="preserve"/>
        </x:is>
      </x:c>
      <x:c r="T212" t="inlineStr">
        <x:is>
          <x:t xml:space="preserve">NONE</x:t>
        </x:is>
      </x:c>
      <x:c r="U212" t="inlineStr">
        <x:is>
          <x:t xml:space="preserve"/>
        </x:is>
      </x:c>
      <x:c r="V212" t="inlineStr">
        <x:is>
          <x:t xml:space="preserve">SUCCESS</x:t>
        </x:is>
      </x:c>
      <x:c r="W212" t="n">
        <x:f>IF((COUNT('Quantification_Results'!Q212)=1),IFERROR(ROUND((SUM(('Quantification_Results'!Q212*'Quantification_Config'!$R$9))/SUM('Quantification_Config'!$R$9)),'Quantification_Config'!$U$2),""),"")</x:f>
        <x:v>50</x:v>
      </x:c>
      <x:c r="X212" t="n">
        <x:f>IF((COUNT('Quantification_Results'!W212)=1),IFERROR(ROUND((SUM(('Quantification_Results'!W212*'Quantification_Config'!$R$8))/SUM('Quantification_Config'!$R$8)),'Quantification_Config'!$U$2),""),"")</x:f>
        <x:v>50</x:v>
      </x:c>
      <x:c r="Y212" t="n">
        <x:v>0</x:v>
      </x:c>
      <x:c r="Z212"/>
      <x:c r="AA212"/>
      <x:c r="AB212">
        <x:f>IF(('Quantification_Results'!Y212&lt;&gt;1),"",IF(('Quantification_Results'!AA212=""),IF(ISNUMBER('Quantification_Results'!Z212),IF(('Quantification_Results'!Z212&lt;'Quantification_Config'!$S$12),"",IF(('Quantification_Results'!Z212&gt;'Quantification_Config'!$T$12),"",'Quantification_Results'!Z212)),""),IF(ISNUMBER('Quantification_Results'!AA212),IF(('Quantification_Results'!AA212&lt;'Quantification_Config'!$S$12),"",IF(('Quantification_Results'!AA212&gt;'Quantification_Config'!$T$12),"",'Quantification_Results'!AA212)),"")))</x:f>
      </x:c>
      <x:c r="AC212">
        <x:f>IF(ISNUMBER('Quantification_Results'!AB212),IFERROR(ROUND(((('Quantification_Results'!AB212-'Quantification_Config'!$S$12)/('Quantification_Config'!$T$12-'Quantification_Config'!$S$12))*100),'Quantification_Config'!$U$2),""),"")</x:f>
      </x:c>
      <x:c r="AD212" t="inlineStr">
        <x:is>
          <x:t xml:space="preserve"/>
        </x:is>
      </x:c>
      <x:c r="AE212" t="inlineStr">
        <x:is>
          <x:t xml:space="preserve"/>
        </x:is>
      </x:c>
      <x:c r="AF212" t="inlineStr">
        <x:is>
          <x:t xml:space="preserve"/>
        </x:is>
      </x:c>
      <x:c r="AG212" t="inlineStr">
        <x:is>
          <x:t xml:space="preserve"/>
        </x:is>
      </x:c>
      <x:c r="AH212" t="inlineStr">
        <x:is>
          <x:t xml:space="preserve">EMPTY</x:t>
        </x:is>
      </x:c>
      <x:c r="AI212">
        <x:f>IF((COUNT('Quantification_Results'!AC212)=1),IFERROR(ROUND((SUM(('Quantification_Results'!AC212*'Quantification_Config'!$R$12))/SUM('Quantification_Config'!$R$12)),'Quantification_Config'!$U$2),""),"")</x:f>
      </x:c>
      <x:c r="AJ212">
        <x:f>IF((COUNT('Quantification_Results'!AI212)=1),IFERROR(ROUND((SUM(('Quantification_Results'!AI212*'Quantification_Config'!$R$11))/SUM('Quantification_Config'!$R$11)),'Quantification_Config'!$U$2),""),"")</x:f>
      </x:c>
      <x:c r="AK212" t="n">
        <x:v>1</x:v>
      </x:c>
      <x:c r="AL212" t="n">
        <x:v>5</x:v>
      </x:c>
      <x:c r="AM212"/>
      <x:c r="AN212" t="n">
        <x:f>IF(('Quantification_Results'!AK212&lt;&gt;1),"",IF(('Quantification_Results'!AM212=""),IF(ISNUMBER('Quantification_Results'!AL212),IF(('Quantification_Results'!AL212&lt;'Quantification_Config'!$S$15),"",IF(('Quantification_Results'!AL212&gt;'Quantification_Config'!$T$15),"",'Quantification_Results'!AL212)),""),IF(ISNUMBER('Quantification_Results'!AM212),IF(('Quantification_Results'!AM212&lt;'Quantification_Config'!$S$15),"",IF(('Quantification_Results'!AM212&gt;'Quantification_Config'!$T$15),"",'Quantification_Results'!AM212)),"")))</x:f>
        <x:v>5</x:v>
      </x:c>
      <x:c r="AO212" t="n">
        <x:f>IF(ISNUMBER('Quantification_Results'!AN212),IFERROR(ROUND(((('Quantification_Results'!AN212-'Quantification_Config'!$S$15)/('Quantification_Config'!$T$15-'Quantification_Config'!$S$15))*100),'Quantification_Config'!$U$2),""),"")</x:f>
        <x:v>50</x:v>
      </x:c>
      <x:c r="AP212" t="inlineStr">
        <x:is>
          <x:t xml:space="preserve">SYSTEM-TEST-ONLY-NO-NETWORK-NOT-AN-EDUCATIONAL-EVALUATION</x:t>
        </x:is>
      </x:c>
      <x:c r="AQ212" t="inlineStr">
        <x:is>
          <x:t xml:space="preserve"/>
        </x:is>
      </x:c>
      <x:c r="AR212" t="inlineStr">
        <x:is>
          <x:t xml:space="preserve">NONE</x:t>
        </x:is>
      </x:c>
      <x:c r="AS212" t="inlineStr">
        <x:is>
          <x:t xml:space="preserve"/>
        </x:is>
      </x:c>
      <x:c r="AT212" t="inlineStr">
        <x:is>
          <x:t xml:space="preserve">SUCCESS</x:t>
        </x:is>
      </x:c>
      <x:c r="AU212" t="n">
        <x:f>IF((COUNT('Quantification_Results'!AO212)=1),IFERROR(ROUND((SUM(('Quantification_Results'!AO212*'Quantification_Config'!$R$15))/SUM('Quantification_Config'!$R$15)),'Quantification_Config'!$U$2),""),"")</x:f>
        <x:v>50</x:v>
      </x:c>
      <x:c r="AV212" t="n">
        <x:f>IF((COUNT('Quantification_Results'!AU212)=1),IFERROR(ROUND((SUM(('Quantification_Results'!AU212*'Quantification_Config'!$R$14))/SUM('Quantification_Config'!$R$14)),'Quantification_Config'!$U$2),""),"")</x:f>
        <x:v>50</x:v>
      </x:c>
      <x:c r="AW212" t="n">
        <x:v>1</x:v>
      </x:c>
      <x:c r="AX212" t="n">
        <x:v>5</x:v>
      </x:c>
      <x:c r="AY212"/>
      <x:c r="AZ212" t="n">
        <x:f>IF(('Quantification_Results'!AW212&lt;&gt;1),"",IF(('Quantification_Results'!AY212=""),IF(ISNUMBER('Quantification_Results'!AX212),IF(('Quantification_Results'!AX212&lt;'Quantification_Config'!$S$19),"",IF(('Quantification_Results'!AX212&gt;'Quantification_Config'!$T$19),"",'Quantification_Results'!AX212)),""),IF(ISNUMBER('Quantification_Results'!AY212),IF(('Quantification_Results'!AY212&lt;'Quantification_Config'!$S$19),"",IF(('Quantification_Results'!AY212&gt;'Quantification_Config'!$T$19),"",'Quantification_Results'!AY212)),"")))</x:f>
        <x:v>5</x:v>
      </x:c>
      <x:c r="BA212" t="n">
        <x:f>IF(ISNUMBER('Quantification_Results'!AZ212),IFERROR(ROUND(((('Quantification_Results'!AZ212-'Quantification_Config'!$S$19)/('Quantification_Config'!$T$19-'Quantification_Config'!$S$19))*100),'Quantification_Config'!$U$2),""),"")</x:f>
        <x:v>50</x:v>
      </x:c>
      <x:c r="BB212" t="inlineStr">
        <x:is>
          <x:t xml:space="preserve">SYSTEM-TEST-ONLY-NO-NETWORK-NOT-AN-EDUCATIONAL-EVALUATION</x:t>
        </x:is>
      </x:c>
      <x:c r="BC212" t="inlineStr">
        <x:is>
          <x:t xml:space="preserve"/>
        </x:is>
      </x:c>
      <x:c r="BD212" t="inlineStr">
        <x:is>
          <x:t xml:space="preserve">NONE</x:t>
        </x:is>
      </x:c>
      <x:c r="BE212" t="inlineStr">
        <x:is>
          <x:t xml:space="preserve"/>
        </x:is>
      </x:c>
      <x:c r="BF212" t="inlineStr">
        <x:is>
          <x:t xml:space="preserve">SUCCESS</x:t>
        </x:is>
      </x:c>
      <x:c r="BG212" t="n">
        <x:f>IF((COUNT('Quantification_Results'!BA212)=1),IFERROR(ROUND((SUM(('Quantification_Results'!BA212*'Quantification_Config'!$R$19))/SUM('Quantification_Config'!$R$19)),'Quantification_Config'!$U$2),""),"")</x:f>
        <x:v>50</x:v>
      </x:c>
      <x:c r="BH212" t="n">
        <x:f>IF((COUNT('Quantification_Results'!BG212)=1),IFERROR(ROUND((SUM(('Quantification_Results'!BG212*'Quantification_Config'!$R$18))/SUM('Quantification_Config'!$R$18)),'Quantification_Config'!$U$2),""),"")</x:f>
        <x:v>50</x:v>
      </x:c>
      <x:c r="BI212">
        <x:f>IF((COUNT('Quantification_Results'!L212,'Quantification_Results'!X212,'Quantification_Results'!AJ212,'Quantification_Results'!AV212,'Quantification_Results'!BH212)=5),IFERROR(ROUND((SUM(('Quantification_Results'!L212*'Quantification_Config'!$R$4),('Quantification_Results'!X212*'Quantification_Config'!$R$7),('Quantification_Results'!AJ212*'Quantification_Config'!$R$10),('Quantification_Results'!AV212*'Quantification_Config'!$R$13),('Quantification_Results'!BH212*'Quantification_Config'!$R$16))/SUM('Quantification_Config'!$R$4,'Quantification_Config'!$R$7,'Quantification_Config'!$R$10,'Quantification_Config'!$R$13,'Quantification_Config'!$R$16)),'Quantification_Config'!$U$2),""),"")</x:f>
      </x:c>
    </x:row>
    <x:row r="213">
      <x:c r="A213" t="n">
        <x:v>1</x:v>
      </x:c>
      <x:c r="B213" t="n">
        <x:v>5</x:v>
      </x:c>
      <x:c r="C213"/>
      <x:c r="D213" t="n">
        <x:f>IF(('Quantification_Results'!A213&lt;&gt;1),"",IF(('Quantification_Results'!C213=""),IF(ISNUMBER('Quantification_Results'!B213),IF(('Quantification_Results'!B213&lt;'Quantification_Config'!$S$6),"",IF(('Quantification_Results'!B213&gt;'Quantification_Config'!$T$6),"",'Quantification_Results'!B213)),""),IF(ISNUMBER('Quantification_Results'!C213),IF(('Quantification_Results'!C213&lt;'Quantification_Config'!$S$6),"",IF(('Quantification_Results'!C213&gt;'Quantification_Config'!$T$6),"",'Quantification_Results'!C213)),"")))</x:f>
        <x:v>5</x:v>
      </x:c>
      <x:c r="E213" t="n">
        <x:f>IF(ISNUMBER('Quantification_Results'!D213),IFERROR(ROUND(((('Quantification_Results'!D213-'Quantification_Config'!$S$6)/('Quantification_Config'!$T$6-'Quantification_Config'!$S$6))*100),'Quantification_Config'!$U$2),""),"")</x:f>
        <x:v>50</x:v>
      </x:c>
      <x:c r="F213" t="inlineStr">
        <x:is>
          <x:t xml:space="preserve">SYSTEM-TEST-ONLY-NO-NETWORK-NOT-AN-EDUCATIONAL-EVALUATION</x:t>
        </x:is>
      </x:c>
      <x:c r="G213" t="inlineStr">
        <x:is>
          <x:t xml:space="preserve"/>
        </x:is>
      </x:c>
      <x:c r="H213" t="inlineStr">
        <x:is>
          <x:t xml:space="preserve">NONE</x:t>
        </x:is>
      </x:c>
      <x:c r="I213" t="inlineStr">
        <x:is>
          <x:t xml:space="preserve"/>
        </x:is>
      </x:c>
      <x:c r="J213" t="inlineStr">
        <x:is>
          <x:t xml:space="preserve">SUCCESS</x:t>
        </x:is>
      </x:c>
      <x:c r="K213" t="n">
        <x:f>IF((COUNT('Quantification_Results'!E213)=1),IFERROR(ROUND((SUM(('Quantification_Results'!E213*'Quantification_Config'!$R$6))/SUM('Quantification_Config'!$R$6)),'Quantification_Config'!$U$2),""),"")</x:f>
        <x:v>50</x:v>
      </x:c>
      <x:c r="L213" t="n">
        <x:f>IF((COUNT('Quantification_Results'!K213)=1),IFERROR(ROUND((SUM(('Quantification_Results'!K213*'Quantification_Config'!$R$5))/SUM('Quantification_Config'!$R$5)),'Quantification_Config'!$U$2),""),"")</x:f>
        <x:v>50</x:v>
      </x:c>
      <x:c r="M213" t="n">
        <x:v>1</x:v>
      </x:c>
      <x:c r="N213" t="n">
        <x:v>5</x:v>
      </x:c>
      <x:c r="O213"/>
      <x:c r="P213" t="n">
        <x:f>IF(('Quantification_Results'!M213&lt;&gt;1),"",IF(('Quantification_Results'!O213=""),IF(ISNUMBER('Quantification_Results'!N213),IF(('Quantification_Results'!N213&lt;'Quantification_Config'!$S$9),"",IF(('Quantification_Results'!N213&gt;'Quantification_Config'!$T$9),"",'Quantification_Results'!N213)),""),IF(ISNUMBER('Quantification_Results'!O213),IF(('Quantification_Results'!O213&lt;'Quantification_Config'!$S$9),"",IF(('Quantification_Results'!O213&gt;'Quantification_Config'!$T$9),"",'Quantification_Results'!O213)),"")))</x:f>
        <x:v>5</x:v>
      </x:c>
      <x:c r="Q213" t="n">
        <x:f>IF(ISNUMBER('Quantification_Results'!P213),IFERROR(ROUND(((('Quantification_Results'!P213-'Quantification_Config'!$S$9)/('Quantification_Config'!$T$9-'Quantification_Config'!$S$9))*100),'Quantification_Config'!$U$2),""),"")</x:f>
        <x:v>50</x:v>
      </x:c>
      <x:c r="R213" t="inlineStr">
        <x:is>
          <x:t xml:space="preserve">SYSTEM-TEST-ONLY-NO-NETWORK-NOT-AN-EDUCATIONAL-EVALUATION</x:t>
        </x:is>
      </x:c>
      <x:c r="S213" t="inlineStr">
        <x:is>
          <x:t xml:space="preserve"/>
        </x:is>
      </x:c>
      <x:c r="T213" t="inlineStr">
        <x:is>
          <x:t xml:space="preserve">NONE</x:t>
        </x:is>
      </x:c>
      <x:c r="U213" t="inlineStr">
        <x:is>
          <x:t xml:space="preserve"/>
        </x:is>
      </x:c>
      <x:c r="V213" t="inlineStr">
        <x:is>
          <x:t xml:space="preserve">SUCCESS</x:t>
        </x:is>
      </x:c>
      <x:c r="W213" t="n">
        <x:f>IF((COUNT('Quantification_Results'!Q213)=1),IFERROR(ROUND((SUM(('Quantification_Results'!Q213*'Quantification_Config'!$R$9))/SUM('Quantification_Config'!$R$9)),'Quantification_Config'!$U$2),""),"")</x:f>
        <x:v>50</x:v>
      </x:c>
      <x:c r="X213" t="n">
        <x:f>IF((COUNT('Quantification_Results'!W213)=1),IFERROR(ROUND((SUM(('Quantification_Results'!W213*'Quantification_Config'!$R$8))/SUM('Quantification_Config'!$R$8)),'Quantification_Config'!$U$2),""),"")</x:f>
        <x:v>50</x:v>
      </x:c>
      <x:c r="Y213" t="n">
        <x:v>0</x:v>
      </x:c>
      <x:c r="Z213"/>
      <x:c r="AA213"/>
      <x:c r="AB213">
        <x:f>IF(('Quantification_Results'!Y213&lt;&gt;1),"",IF(('Quantification_Results'!AA213=""),IF(ISNUMBER('Quantification_Results'!Z213),IF(('Quantification_Results'!Z213&lt;'Quantification_Config'!$S$12),"",IF(('Quantification_Results'!Z213&gt;'Quantification_Config'!$T$12),"",'Quantification_Results'!Z213)),""),IF(ISNUMBER('Quantification_Results'!AA213),IF(('Quantification_Results'!AA213&lt;'Quantification_Config'!$S$12),"",IF(('Quantification_Results'!AA213&gt;'Quantification_Config'!$T$12),"",'Quantification_Results'!AA213)),"")))</x:f>
      </x:c>
      <x:c r="AC213">
        <x:f>IF(ISNUMBER('Quantification_Results'!AB213),IFERROR(ROUND(((('Quantification_Results'!AB213-'Quantification_Config'!$S$12)/('Quantification_Config'!$T$12-'Quantification_Config'!$S$12))*100),'Quantification_Config'!$U$2),""),"")</x:f>
      </x:c>
      <x:c r="AD213" t="inlineStr">
        <x:is>
          <x:t xml:space="preserve"/>
        </x:is>
      </x:c>
      <x:c r="AE213" t="inlineStr">
        <x:is>
          <x:t xml:space="preserve"/>
        </x:is>
      </x:c>
      <x:c r="AF213" t="inlineStr">
        <x:is>
          <x:t xml:space="preserve"/>
        </x:is>
      </x:c>
      <x:c r="AG213" t="inlineStr">
        <x:is>
          <x:t xml:space="preserve"/>
        </x:is>
      </x:c>
      <x:c r="AH213" t="inlineStr">
        <x:is>
          <x:t xml:space="preserve">EMPTY</x:t>
        </x:is>
      </x:c>
      <x:c r="AI213">
        <x:f>IF((COUNT('Quantification_Results'!AC213)=1),IFERROR(ROUND((SUM(('Quantification_Results'!AC213*'Quantification_Config'!$R$12))/SUM('Quantification_Config'!$R$12)),'Quantification_Config'!$U$2),""),"")</x:f>
      </x:c>
      <x:c r="AJ213">
        <x:f>IF((COUNT('Quantification_Results'!AI213)=1),IFERROR(ROUND((SUM(('Quantification_Results'!AI213*'Quantification_Config'!$R$11))/SUM('Quantification_Config'!$R$11)),'Quantification_Config'!$U$2),""),"")</x:f>
      </x:c>
      <x:c r="AK213" t="n">
        <x:v>1</x:v>
      </x:c>
      <x:c r="AL213" t="n">
        <x:v>5</x:v>
      </x:c>
      <x:c r="AM213"/>
      <x:c r="AN213" t="n">
        <x:f>IF(('Quantification_Results'!AK213&lt;&gt;1),"",IF(('Quantification_Results'!AM213=""),IF(ISNUMBER('Quantification_Results'!AL213),IF(('Quantification_Results'!AL213&lt;'Quantification_Config'!$S$15),"",IF(('Quantification_Results'!AL213&gt;'Quantification_Config'!$T$15),"",'Quantification_Results'!AL213)),""),IF(ISNUMBER('Quantification_Results'!AM213),IF(('Quantification_Results'!AM213&lt;'Quantification_Config'!$S$15),"",IF(('Quantification_Results'!AM213&gt;'Quantification_Config'!$T$15),"",'Quantification_Results'!AM213)),"")))</x:f>
        <x:v>5</x:v>
      </x:c>
      <x:c r="AO213" t="n">
        <x:f>IF(ISNUMBER('Quantification_Results'!AN213),IFERROR(ROUND(((('Quantification_Results'!AN213-'Quantification_Config'!$S$15)/('Quantification_Config'!$T$15-'Quantification_Config'!$S$15))*100),'Quantification_Config'!$U$2),""),"")</x:f>
        <x:v>50</x:v>
      </x:c>
      <x:c r="AP213" t="inlineStr">
        <x:is>
          <x:t xml:space="preserve">SYSTEM-TEST-ONLY-NO-NETWORK-NOT-AN-EDUCATIONAL-EVALUATION</x:t>
        </x:is>
      </x:c>
      <x:c r="AQ213" t="inlineStr">
        <x:is>
          <x:t xml:space="preserve"/>
        </x:is>
      </x:c>
      <x:c r="AR213" t="inlineStr">
        <x:is>
          <x:t xml:space="preserve">NONE</x:t>
        </x:is>
      </x:c>
      <x:c r="AS213" t="inlineStr">
        <x:is>
          <x:t xml:space="preserve"/>
        </x:is>
      </x:c>
      <x:c r="AT213" t="inlineStr">
        <x:is>
          <x:t xml:space="preserve">SUCCESS</x:t>
        </x:is>
      </x:c>
      <x:c r="AU213" t="n">
        <x:f>IF((COUNT('Quantification_Results'!AO213)=1),IFERROR(ROUND((SUM(('Quantification_Results'!AO213*'Quantification_Config'!$R$15))/SUM('Quantification_Config'!$R$15)),'Quantification_Config'!$U$2),""),"")</x:f>
        <x:v>50</x:v>
      </x:c>
      <x:c r="AV213" t="n">
        <x:f>IF((COUNT('Quantification_Results'!AU213)=1),IFERROR(ROUND((SUM(('Quantification_Results'!AU213*'Quantification_Config'!$R$14))/SUM('Quantification_Config'!$R$14)),'Quantification_Config'!$U$2),""),"")</x:f>
        <x:v>50</x:v>
      </x:c>
      <x:c r="AW213" t="n">
        <x:v>1</x:v>
      </x:c>
      <x:c r="AX213" t="n">
        <x:v>5</x:v>
      </x:c>
      <x:c r="AY213"/>
      <x:c r="AZ213" t="n">
        <x:f>IF(('Quantification_Results'!AW213&lt;&gt;1),"",IF(('Quantification_Results'!AY213=""),IF(ISNUMBER('Quantification_Results'!AX213),IF(('Quantification_Results'!AX213&lt;'Quantification_Config'!$S$19),"",IF(('Quantification_Results'!AX213&gt;'Quantification_Config'!$T$19),"",'Quantification_Results'!AX213)),""),IF(ISNUMBER('Quantification_Results'!AY213),IF(('Quantification_Results'!AY213&lt;'Quantification_Config'!$S$19),"",IF(('Quantification_Results'!AY213&gt;'Quantification_Config'!$T$19),"",'Quantification_Results'!AY213)),"")))</x:f>
        <x:v>5</x:v>
      </x:c>
      <x:c r="BA213" t="n">
        <x:f>IF(ISNUMBER('Quantification_Results'!AZ213),IFERROR(ROUND(((('Quantification_Results'!AZ213-'Quantification_Config'!$S$19)/('Quantification_Config'!$T$19-'Quantification_Config'!$S$19))*100),'Quantification_Config'!$U$2),""),"")</x:f>
        <x:v>50</x:v>
      </x:c>
      <x:c r="BB213" t="inlineStr">
        <x:is>
          <x:t xml:space="preserve">SYSTEM-TEST-ONLY-NO-NETWORK-NOT-AN-EDUCATIONAL-EVALUATION</x:t>
        </x:is>
      </x:c>
      <x:c r="BC213" t="inlineStr">
        <x:is>
          <x:t xml:space="preserve"/>
        </x:is>
      </x:c>
      <x:c r="BD213" t="inlineStr">
        <x:is>
          <x:t xml:space="preserve">NONE</x:t>
        </x:is>
      </x:c>
      <x:c r="BE213" t="inlineStr">
        <x:is>
          <x:t xml:space="preserve"/>
        </x:is>
      </x:c>
      <x:c r="BF213" t="inlineStr">
        <x:is>
          <x:t xml:space="preserve">SUCCESS</x:t>
        </x:is>
      </x:c>
      <x:c r="BG213" t="n">
        <x:f>IF((COUNT('Quantification_Results'!BA213)=1),IFERROR(ROUND((SUM(('Quantification_Results'!BA213*'Quantification_Config'!$R$19))/SUM('Quantification_Config'!$R$19)),'Quantification_Config'!$U$2),""),"")</x:f>
        <x:v>50</x:v>
      </x:c>
      <x:c r="BH213" t="n">
        <x:f>IF((COUNT('Quantification_Results'!BG213)=1),IFERROR(ROUND((SUM(('Quantification_Results'!BG213*'Quantification_Config'!$R$18))/SUM('Quantification_Config'!$R$18)),'Quantification_Config'!$U$2),""),"")</x:f>
        <x:v>50</x:v>
      </x:c>
      <x:c r="BI213">
        <x:f>IF((COUNT('Quantification_Results'!L213,'Quantification_Results'!X213,'Quantification_Results'!AJ213,'Quantification_Results'!AV213,'Quantification_Results'!BH213)=5),IFERROR(ROUND((SUM(('Quantification_Results'!L213*'Quantification_Config'!$R$4),('Quantification_Results'!X213*'Quantification_Config'!$R$7),('Quantification_Results'!AJ213*'Quantification_Config'!$R$10),('Quantification_Results'!AV213*'Quantification_Config'!$R$13),('Quantification_Results'!BH213*'Quantification_Config'!$R$16))/SUM('Quantification_Config'!$R$4,'Quantification_Config'!$R$7,'Quantification_Config'!$R$10,'Quantification_Config'!$R$13,'Quantification_Config'!$R$16)),'Quantification_Config'!$U$2),""),"")</x:f>
      </x:c>
    </x:row>
    <x:row r="214">
      <x:c r="A214" t="n">
        <x:v>1</x:v>
      </x:c>
      <x:c r="B214" t="n">
        <x:v>5</x:v>
      </x:c>
      <x:c r="C214"/>
      <x:c r="D214" t="n">
        <x:f>IF(('Quantification_Results'!A214&lt;&gt;1),"",IF(('Quantification_Results'!C214=""),IF(ISNUMBER('Quantification_Results'!B214),IF(('Quantification_Results'!B214&lt;'Quantification_Config'!$S$6),"",IF(('Quantification_Results'!B214&gt;'Quantification_Config'!$T$6),"",'Quantification_Results'!B214)),""),IF(ISNUMBER('Quantification_Results'!C214),IF(('Quantification_Results'!C214&lt;'Quantification_Config'!$S$6),"",IF(('Quantification_Results'!C214&gt;'Quantification_Config'!$T$6),"",'Quantification_Results'!C214)),"")))</x:f>
        <x:v>5</x:v>
      </x:c>
      <x:c r="E214" t="n">
        <x:f>IF(ISNUMBER('Quantification_Results'!D214),IFERROR(ROUND(((('Quantification_Results'!D214-'Quantification_Config'!$S$6)/('Quantification_Config'!$T$6-'Quantification_Config'!$S$6))*100),'Quantification_Config'!$U$2),""),"")</x:f>
        <x:v>50</x:v>
      </x:c>
      <x:c r="F214" t="inlineStr">
        <x:is>
          <x:t xml:space="preserve">SYSTEM-TEST-ONLY-NO-NETWORK-NOT-AN-EDUCATIONAL-EVALUATION</x:t>
        </x:is>
      </x:c>
      <x:c r="G214" t="inlineStr">
        <x:is>
          <x:t xml:space="preserve"/>
        </x:is>
      </x:c>
      <x:c r="H214" t="inlineStr">
        <x:is>
          <x:t xml:space="preserve">NONE</x:t>
        </x:is>
      </x:c>
      <x:c r="I214" t="inlineStr">
        <x:is>
          <x:t xml:space="preserve"/>
        </x:is>
      </x:c>
      <x:c r="J214" t="inlineStr">
        <x:is>
          <x:t xml:space="preserve">SUCCESS</x:t>
        </x:is>
      </x:c>
      <x:c r="K214" t="n">
        <x:f>IF((COUNT('Quantification_Results'!E214)=1),IFERROR(ROUND((SUM(('Quantification_Results'!E214*'Quantification_Config'!$R$6))/SUM('Quantification_Config'!$R$6)),'Quantification_Config'!$U$2),""),"")</x:f>
        <x:v>50</x:v>
      </x:c>
      <x:c r="L214" t="n">
        <x:f>IF((COUNT('Quantification_Results'!K214)=1),IFERROR(ROUND((SUM(('Quantification_Results'!K214*'Quantification_Config'!$R$5))/SUM('Quantification_Config'!$R$5)),'Quantification_Config'!$U$2),""),"")</x:f>
        <x:v>50</x:v>
      </x:c>
      <x:c r="M214" t="n">
        <x:v>1</x:v>
      </x:c>
      <x:c r="N214" t="n">
        <x:v>5</x:v>
      </x:c>
      <x:c r="O214"/>
      <x:c r="P214" t="n">
        <x:f>IF(('Quantification_Results'!M214&lt;&gt;1),"",IF(('Quantification_Results'!O214=""),IF(ISNUMBER('Quantification_Results'!N214),IF(('Quantification_Results'!N214&lt;'Quantification_Config'!$S$9),"",IF(('Quantification_Results'!N214&gt;'Quantification_Config'!$T$9),"",'Quantification_Results'!N214)),""),IF(ISNUMBER('Quantification_Results'!O214),IF(('Quantification_Results'!O214&lt;'Quantification_Config'!$S$9),"",IF(('Quantification_Results'!O214&gt;'Quantification_Config'!$T$9),"",'Quantification_Results'!O214)),"")))</x:f>
        <x:v>5</x:v>
      </x:c>
      <x:c r="Q214" t="n">
        <x:f>IF(ISNUMBER('Quantification_Results'!P214),IFERROR(ROUND(((('Quantification_Results'!P214-'Quantification_Config'!$S$9)/('Quantification_Config'!$T$9-'Quantification_Config'!$S$9))*100),'Quantification_Config'!$U$2),""),"")</x:f>
        <x:v>50</x:v>
      </x:c>
      <x:c r="R214" t="inlineStr">
        <x:is>
          <x:t xml:space="preserve">SYSTEM-TEST-ONLY-NO-NETWORK-NOT-AN-EDUCATIONAL-EVALUATION</x:t>
        </x:is>
      </x:c>
      <x:c r="S214" t="inlineStr">
        <x:is>
          <x:t xml:space="preserve"/>
        </x:is>
      </x:c>
      <x:c r="T214" t="inlineStr">
        <x:is>
          <x:t xml:space="preserve">NONE</x:t>
        </x:is>
      </x:c>
      <x:c r="U214" t="inlineStr">
        <x:is>
          <x:t xml:space="preserve"/>
        </x:is>
      </x:c>
      <x:c r="V214" t="inlineStr">
        <x:is>
          <x:t xml:space="preserve">SUCCESS</x:t>
        </x:is>
      </x:c>
      <x:c r="W214" t="n">
        <x:f>IF((COUNT('Quantification_Results'!Q214)=1),IFERROR(ROUND((SUM(('Quantification_Results'!Q214*'Quantification_Config'!$R$9))/SUM('Quantification_Config'!$R$9)),'Quantification_Config'!$U$2),""),"")</x:f>
        <x:v>50</x:v>
      </x:c>
      <x:c r="X214" t="n">
        <x:f>IF((COUNT('Quantification_Results'!W214)=1),IFERROR(ROUND((SUM(('Quantification_Results'!W214*'Quantification_Config'!$R$8))/SUM('Quantification_Config'!$R$8)),'Quantification_Config'!$U$2),""),"")</x:f>
        <x:v>50</x:v>
      </x:c>
      <x:c r="Y214" t="n">
        <x:v>0</x:v>
      </x:c>
      <x:c r="Z214"/>
      <x:c r="AA214"/>
      <x:c r="AB214">
        <x:f>IF(('Quantification_Results'!Y214&lt;&gt;1),"",IF(('Quantification_Results'!AA214=""),IF(ISNUMBER('Quantification_Results'!Z214),IF(('Quantification_Results'!Z214&lt;'Quantification_Config'!$S$12),"",IF(('Quantification_Results'!Z214&gt;'Quantification_Config'!$T$12),"",'Quantification_Results'!Z214)),""),IF(ISNUMBER('Quantification_Results'!AA214),IF(('Quantification_Results'!AA214&lt;'Quantification_Config'!$S$12),"",IF(('Quantification_Results'!AA214&gt;'Quantification_Config'!$T$12),"",'Quantification_Results'!AA214)),"")))</x:f>
      </x:c>
      <x:c r="AC214">
        <x:f>IF(ISNUMBER('Quantification_Results'!AB214),IFERROR(ROUND(((('Quantification_Results'!AB214-'Quantification_Config'!$S$12)/('Quantification_Config'!$T$12-'Quantification_Config'!$S$12))*100),'Quantification_Config'!$U$2),""),"")</x:f>
      </x:c>
      <x:c r="AD214" t="inlineStr">
        <x:is>
          <x:t xml:space="preserve"/>
        </x:is>
      </x:c>
      <x:c r="AE214" t="inlineStr">
        <x:is>
          <x:t xml:space="preserve"/>
        </x:is>
      </x:c>
      <x:c r="AF214" t="inlineStr">
        <x:is>
          <x:t xml:space="preserve"/>
        </x:is>
      </x:c>
      <x:c r="AG214" t="inlineStr">
        <x:is>
          <x:t xml:space="preserve"/>
        </x:is>
      </x:c>
      <x:c r="AH214" t="inlineStr">
        <x:is>
          <x:t xml:space="preserve">EMPTY</x:t>
        </x:is>
      </x:c>
      <x:c r="AI214">
        <x:f>IF((COUNT('Quantification_Results'!AC214)=1),IFERROR(ROUND((SUM(('Quantification_Results'!AC214*'Quantification_Config'!$R$12))/SUM('Quantification_Config'!$R$12)),'Quantification_Config'!$U$2),""),"")</x:f>
      </x:c>
      <x:c r="AJ214">
        <x:f>IF((COUNT('Quantification_Results'!AI214)=1),IFERROR(ROUND((SUM(('Quantification_Results'!AI214*'Quantification_Config'!$R$11))/SUM('Quantification_Config'!$R$11)),'Quantification_Config'!$U$2),""),"")</x:f>
      </x:c>
      <x:c r="AK214" t="n">
        <x:v>1</x:v>
      </x:c>
      <x:c r="AL214" t="n">
        <x:v>5</x:v>
      </x:c>
      <x:c r="AM214"/>
      <x:c r="AN214" t="n">
        <x:f>IF(('Quantification_Results'!AK214&lt;&gt;1),"",IF(('Quantification_Results'!AM214=""),IF(ISNUMBER('Quantification_Results'!AL214),IF(('Quantification_Results'!AL214&lt;'Quantification_Config'!$S$15),"",IF(('Quantification_Results'!AL214&gt;'Quantification_Config'!$T$15),"",'Quantification_Results'!AL214)),""),IF(ISNUMBER('Quantification_Results'!AM214),IF(('Quantification_Results'!AM214&lt;'Quantification_Config'!$S$15),"",IF(('Quantification_Results'!AM214&gt;'Quantification_Config'!$T$15),"",'Quantification_Results'!AM214)),"")))</x:f>
        <x:v>5</x:v>
      </x:c>
      <x:c r="AO214" t="n">
        <x:f>IF(ISNUMBER('Quantification_Results'!AN214),IFERROR(ROUND(((('Quantification_Results'!AN214-'Quantification_Config'!$S$15)/('Quantification_Config'!$T$15-'Quantification_Config'!$S$15))*100),'Quantification_Config'!$U$2),""),"")</x:f>
        <x:v>50</x:v>
      </x:c>
      <x:c r="AP214" t="inlineStr">
        <x:is>
          <x:t xml:space="preserve">SYSTEM-TEST-ONLY-NO-NETWORK-NOT-AN-EDUCATIONAL-EVALUATION</x:t>
        </x:is>
      </x:c>
      <x:c r="AQ214" t="inlineStr">
        <x:is>
          <x:t xml:space="preserve"/>
        </x:is>
      </x:c>
      <x:c r="AR214" t="inlineStr">
        <x:is>
          <x:t xml:space="preserve">NONE</x:t>
        </x:is>
      </x:c>
      <x:c r="AS214" t="inlineStr">
        <x:is>
          <x:t xml:space="preserve"/>
        </x:is>
      </x:c>
      <x:c r="AT214" t="inlineStr">
        <x:is>
          <x:t xml:space="preserve">SUCCESS</x:t>
        </x:is>
      </x:c>
      <x:c r="AU214" t="n">
        <x:f>IF((COUNT('Quantification_Results'!AO214)=1),IFERROR(ROUND((SUM(('Quantification_Results'!AO214*'Quantification_Config'!$R$15))/SUM('Quantification_Config'!$R$15)),'Quantification_Config'!$U$2),""),"")</x:f>
        <x:v>50</x:v>
      </x:c>
      <x:c r="AV214" t="n">
        <x:f>IF((COUNT('Quantification_Results'!AU214)=1),IFERROR(ROUND((SUM(('Quantification_Results'!AU214*'Quantification_Config'!$R$14))/SUM('Quantification_Config'!$R$14)),'Quantification_Config'!$U$2),""),"")</x:f>
        <x:v>50</x:v>
      </x:c>
      <x:c r="AW214" t="n">
        <x:v>1</x:v>
      </x:c>
      <x:c r="AX214" t="n">
        <x:v>5</x:v>
      </x:c>
      <x:c r="AY214"/>
      <x:c r="AZ214" t="n">
        <x:f>IF(('Quantification_Results'!AW214&lt;&gt;1),"",IF(('Quantification_Results'!AY214=""),IF(ISNUMBER('Quantification_Results'!AX214),IF(('Quantification_Results'!AX214&lt;'Quantification_Config'!$S$19),"",IF(('Quantification_Results'!AX214&gt;'Quantification_Config'!$T$19),"",'Quantification_Results'!AX214)),""),IF(ISNUMBER('Quantification_Results'!AY214),IF(('Quantification_Results'!AY214&lt;'Quantification_Config'!$S$19),"",IF(('Quantification_Results'!AY214&gt;'Quantification_Config'!$T$19),"",'Quantification_Results'!AY214)),"")))</x:f>
        <x:v>5</x:v>
      </x:c>
      <x:c r="BA214" t="n">
        <x:f>IF(ISNUMBER('Quantification_Results'!AZ214),IFERROR(ROUND(((('Quantification_Results'!AZ214-'Quantification_Config'!$S$19)/('Quantification_Config'!$T$19-'Quantification_Config'!$S$19))*100),'Quantification_Config'!$U$2),""),"")</x:f>
        <x:v>50</x:v>
      </x:c>
      <x:c r="BB214" t="inlineStr">
        <x:is>
          <x:t xml:space="preserve">SYSTEM-TEST-ONLY-NO-NETWORK-NOT-AN-EDUCATIONAL-EVALUATION</x:t>
        </x:is>
      </x:c>
      <x:c r="BC214" t="inlineStr">
        <x:is>
          <x:t xml:space="preserve"/>
        </x:is>
      </x:c>
      <x:c r="BD214" t="inlineStr">
        <x:is>
          <x:t xml:space="preserve">NONE</x:t>
        </x:is>
      </x:c>
      <x:c r="BE214" t="inlineStr">
        <x:is>
          <x:t xml:space="preserve"/>
        </x:is>
      </x:c>
      <x:c r="BF214" t="inlineStr">
        <x:is>
          <x:t xml:space="preserve">SUCCESS</x:t>
        </x:is>
      </x:c>
      <x:c r="BG214" t="n">
        <x:f>IF((COUNT('Quantification_Results'!BA214)=1),IFERROR(ROUND((SUM(('Quantification_Results'!BA214*'Quantification_Config'!$R$19))/SUM('Quantification_Config'!$R$19)),'Quantification_Config'!$U$2),""),"")</x:f>
        <x:v>50</x:v>
      </x:c>
      <x:c r="BH214" t="n">
        <x:f>IF((COUNT('Quantification_Results'!BG214)=1),IFERROR(ROUND((SUM(('Quantification_Results'!BG214*'Quantification_Config'!$R$18))/SUM('Quantification_Config'!$R$18)),'Quantification_Config'!$U$2),""),"")</x:f>
        <x:v>50</x:v>
      </x:c>
      <x:c r="BI214">
        <x:f>IF((COUNT('Quantification_Results'!L214,'Quantification_Results'!X214,'Quantification_Results'!AJ214,'Quantification_Results'!AV214,'Quantification_Results'!BH214)=5),IFERROR(ROUND((SUM(('Quantification_Results'!L214*'Quantification_Config'!$R$4),('Quantification_Results'!X214*'Quantification_Config'!$R$7),('Quantification_Results'!AJ214*'Quantification_Config'!$R$10),('Quantification_Results'!AV214*'Quantification_Config'!$R$13),('Quantification_Results'!BH214*'Quantification_Config'!$R$16))/SUM('Quantification_Config'!$R$4,'Quantification_Config'!$R$7,'Quantification_Config'!$R$10,'Quantification_Config'!$R$13,'Quantification_Config'!$R$16)),'Quantification_Config'!$U$2),""),"")</x:f>
      </x:c>
    </x:row>
    <x:row r="215">
      <x:c r="A215" t="n">
        <x:v>1</x:v>
      </x:c>
      <x:c r="B215" t="n">
        <x:v>5</x:v>
      </x:c>
      <x:c r="C215"/>
      <x:c r="D215" t="n">
        <x:f>IF(('Quantification_Results'!A215&lt;&gt;1),"",IF(('Quantification_Results'!C215=""),IF(ISNUMBER('Quantification_Results'!B215),IF(('Quantification_Results'!B215&lt;'Quantification_Config'!$S$6),"",IF(('Quantification_Results'!B215&gt;'Quantification_Config'!$T$6),"",'Quantification_Results'!B215)),""),IF(ISNUMBER('Quantification_Results'!C215),IF(('Quantification_Results'!C215&lt;'Quantification_Config'!$S$6),"",IF(('Quantification_Results'!C215&gt;'Quantification_Config'!$T$6),"",'Quantification_Results'!C215)),"")))</x:f>
        <x:v>5</x:v>
      </x:c>
      <x:c r="E215" t="n">
        <x:f>IF(ISNUMBER('Quantification_Results'!D215),IFERROR(ROUND(((('Quantification_Results'!D215-'Quantification_Config'!$S$6)/('Quantification_Config'!$T$6-'Quantification_Config'!$S$6))*100),'Quantification_Config'!$U$2),""),"")</x:f>
        <x:v>50</x:v>
      </x:c>
      <x:c r="F215" t="inlineStr">
        <x:is>
          <x:t xml:space="preserve">SYSTEM-TEST-ONLY-NO-NETWORK-NOT-AN-EDUCATIONAL-EVALUATION</x:t>
        </x:is>
      </x:c>
      <x:c r="G215" t="inlineStr">
        <x:is>
          <x:t xml:space="preserve"/>
        </x:is>
      </x:c>
      <x:c r="H215" t="inlineStr">
        <x:is>
          <x:t xml:space="preserve">NONE</x:t>
        </x:is>
      </x:c>
      <x:c r="I215" t="inlineStr">
        <x:is>
          <x:t xml:space="preserve"/>
        </x:is>
      </x:c>
      <x:c r="J215" t="inlineStr">
        <x:is>
          <x:t xml:space="preserve">SUCCESS</x:t>
        </x:is>
      </x:c>
      <x:c r="K215" t="n">
        <x:f>IF((COUNT('Quantification_Results'!E215)=1),IFERROR(ROUND((SUM(('Quantification_Results'!E215*'Quantification_Config'!$R$6))/SUM('Quantification_Config'!$R$6)),'Quantification_Config'!$U$2),""),"")</x:f>
        <x:v>50</x:v>
      </x:c>
      <x:c r="L215" t="n">
        <x:f>IF((COUNT('Quantification_Results'!K215)=1),IFERROR(ROUND((SUM(('Quantification_Results'!K215*'Quantification_Config'!$R$5))/SUM('Quantification_Config'!$R$5)),'Quantification_Config'!$U$2),""),"")</x:f>
        <x:v>50</x:v>
      </x:c>
      <x:c r="M215" t="n">
        <x:v>1</x:v>
      </x:c>
      <x:c r="N215" t="n">
        <x:v>5</x:v>
      </x:c>
      <x:c r="O215"/>
      <x:c r="P215" t="n">
        <x:f>IF(('Quantification_Results'!M215&lt;&gt;1),"",IF(('Quantification_Results'!O215=""),IF(ISNUMBER('Quantification_Results'!N215),IF(('Quantification_Results'!N215&lt;'Quantification_Config'!$S$9),"",IF(('Quantification_Results'!N215&gt;'Quantification_Config'!$T$9),"",'Quantification_Results'!N215)),""),IF(ISNUMBER('Quantification_Results'!O215),IF(('Quantification_Results'!O215&lt;'Quantification_Config'!$S$9),"",IF(('Quantification_Results'!O215&gt;'Quantification_Config'!$T$9),"",'Quantification_Results'!O215)),"")))</x:f>
        <x:v>5</x:v>
      </x:c>
      <x:c r="Q215" t="n">
        <x:f>IF(ISNUMBER('Quantification_Results'!P215),IFERROR(ROUND(((('Quantification_Results'!P215-'Quantification_Config'!$S$9)/('Quantification_Config'!$T$9-'Quantification_Config'!$S$9))*100),'Quantification_Config'!$U$2),""),"")</x:f>
        <x:v>50</x:v>
      </x:c>
      <x:c r="R215" t="inlineStr">
        <x:is>
          <x:t xml:space="preserve">SYSTEM-TEST-ONLY-NO-NETWORK-NOT-AN-EDUCATIONAL-EVALUATION</x:t>
        </x:is>
      </x:c>
      <x:c r="S215" t="inlineStr">
        <x:is>
          <x:t xml:space="preserve"/>
        </x:is>
      </x:c>
      <x:c r="T215" t="inlineStr">
        <x:is>
          <x:t xml:space="preserve">NONE</x:t>
        </x:is>
      </x:c>
      <x:c r="U215" t="inlineStr">
        <x:is>
          <x:t xml:space="preserve"/>
        </x:is>
      </x:c>
      <x:c r="V215" t="inlineStr">
        <x:is>
          <x:t xml:space="preserve">SUCCESS</x:t>
        </x:is>
      </x:c>
      <x:c r="W215" t="n">
        <x:f>IF((COUNT('Quantification_Results'!Q215)=1),IFERROR(ROUND((SUM(('Quantification_Results'!Q215*'Quantification_Config'!$R$9))/SUM('Quantification_Config'!$R$9)),'Quantification_Config'!$U$2),""),"")</x:f>
        <x:v>50</x:v>
      </x:c>
      <x:c r="X215" t="n">
        <x:f>IF((COUNT('Quantification_Results'!W215)=1),IFERROR(ROUND((SUM(('Quantification_Results'!W215*'Quantification_Config'!$R$8))/SUM('Quantification_Config'!$R$8)),'Quantification_Config'!$U$2),""),"")</x:f>
        <x:v>50</x:v>
      </x:c>
      <x:c r="Y215" t="n">
        <x:v>1</x:v>
      </x:c>
      <x:c r="Z215" t="n">
        <x:v>5</x:v>
      </x:c>
      <x:c r="AA215"/>
      <x:c r="AB215" t="n">
        <x:f>IF(('Quantification_Results'!Y215&lt;&gt;1),"",IF(('Quantification_Results'!AA215=""),IF(ISNUMBER('Quantification_Results'!Z215),IF(('Quantification_Results'!Z215&lt;'Quantification_Config'!$S$12),"",IF(('Quantification_Results'!Z215&gt;'Quantification_Config'!$T$12),"",'Quantification_Results'!Z215)),""),IF(ISNUMBER('Quantification_Results'!AA215),IF(('Quantification_Results'!AA215&lt;'Quantification_Config'!$S$12),"",IF(('Quantification_Results'!AA215&gt;'Quantification_Config'!$T$12),"",'Quantification_Results'!AA215)),"")))</x:f>
        <x:v>5</x:v>
      </x:c>
      <x:c r="AC215" t="n">
        <x:f>IF(ISNUMBER('Quantification_Results'!AB215),IFERROR(ROUND(((('Quantification_Results'!AB215-'Quantification_Config'!$S$12)/('Quantification_Config'!$T$12-'Quantification_Config'!$S$12))*100),'Quantification_Config'!$U$2),""),"")</x:f>
        <x:v>50</x:v>
      </x:c>
      <x:c r="AD215" t="inlineStr">
        <x:is>
          <x:t xml:space="preserve">SYSTEM-TEST-ONLY-NO-NETWORK-NOT-AN-EDUCATIONAL-EVALUATION</x:t>
        </x:is>
      </x:c>
      <x:c r="AE215" t="inlineStr">
        <x:is>
          <x:t xml:space="preserve"/>
        </x:is>
      </x:c>
      <x:c r="AF215" t="inlineStr">
        <x:is>
          <x:t xml:space="preserve">NONE</x:t>
        </x:is>
      </x:c>
      <x:c r="AG215" t="inlineStr">
        <x:is>
          <x:t xml:space="preserve"/>
        </x:is>
      </x:c>
      <x:c r="AH215" t="inlineStr">
        <x:is>
          <x:t xml:space="preserve">SUCCESS</x:t>
        </x:is>
      </x:c>
      <x:c r="AI215" t="n">
        <x:f>IF((COUNT('Quantification_Results'!AC215)=1),IFERROR(ROUND((SUM(('Quantification_Results'!AC215*'Quantification_Config'!$R$12))/SUM('Quantification_Config'!$R$12)),'Quantification_Config'!$U$2),""),"")</x:f>
        <x:v>50</x:v>
      </x:c>
      <x:c r="AJ215" t="n">
        <x:f>IF((COUNT('Quantification_Results'!AI215)=1),IFERROR(ROUND((SUM(('Quantification_Results'!AI215*'Quantification_Config'!$R$11))/SUM('Quantification_Config'!$R$11)),'Quantification_Config'!$U$2),""),"")</x:f>
        <x:v>50</x:v>
      </x:c>
      <x:c r="AK215" t="n">
        <x:v>1</x:v>
      </x:c>
      <x:c r="AL215" t="n">
        <x:v>5</x:v>
      </x:c>
      <x:c r="AM215"/>
      <x:c r="AN215" t="n">
        <x:f>IF(('Quantification_Results'!AK215&lt;&gt;1),"",IF(('Quantification_Results'!AM215=""),IF(ISNUMBER('Quantification_Results'!AL215),IF(('Quantification_Results'!AL215&lt;'Quantification_Config'!$S$15),"",IF(('Quantification_Results'!AL215&gt;'Quantification_Config'!$T$15),"",'Quantification_Results'!AL215)),""),IF(ISNUMBER('Quantification_Results'!AM215),IF(('Quantification_Results'!AM215&lt;'Quantification_Config'!$S$15),"",IF(('Quantification_Results'!AM215&gt;'Quantification_Config'!$T$15),"",'Quantification_Results'!AM215)),"")))</x:f>
        <x:v>5</x:v>
      </x:c>
      <x:c r="AO215" t="n">
        <x:f>IF(ISNUMBER('Quantification_Results'!AN215),IFERROR(ROUND(((('Quantification_Results'!AN215-'Quantification_Config'!$S$15)/('Quantification_Config'!$T$15-'Quantification_Config'!$S$15))*100),'Quantification_Config'!$U$2),""),"")</x:f>
        <x:v>50</x:v>
      </x:c>
      <x:c r="AP215" t="inlineStr">
        <x:is>
          <x:t xml:space="preserve">SYSTEM-TEST-ONLY-NO-NETWORK-NOT-AN-EDUCATIONAL-EVALUATION</x:t>
        </x:is>
      </x:c>
      <x:c r="AQ215" t="inlineStr">
        <x:is>
          <x:t xml:space="preserve"/>
        </x:is>
      </x:c>
      <x:c r="AR215" t="inlineStr">
        <x:is>
          <x:t xml:space="preserve">NONE</x:t>
        </x:is>
      </x:c>
      <x:c r="AS215" t="inlineStr">
        <x:is>
          <x:t xml:space="preserve"/>
        </x:is>
      </x:c>
      <x:c r="AT215" t="inlineStr">
        <x:is>
          <x:t xml:space="preserve">SUCCESS</x:t>
        </x:is>
      </x:c>
      <x:c r="AU215" t="n">
        <x:f>IF((COUNT('Quantification_Results'!AO215)=1),IFERROR(ROUND((SUM(('Quantification_Results'!AO215*'Quantification_Config'!$R$15))/SUM('Quantification_Config'!$R$15)),'Quantification_Config'!$U$2),""),"")</x:f>
        <x:v>50</x:v>
      </x:c>
      <x:c r="AV215" t="n">
        <x:f>IF((COUNT('Quantification_Results'!AU215)=1),IFERROR(ROUND((SUM(('Quantification_Results'!AU215*'Quantification_Config'!$R$14))/SUM('Quantification_Config'!$R$14)),'Quantification_Config'!$U$2),""),"")</x:f>
        <x:v>50</x:v>
      </x:c>
      <x:c r="AW215" t="n">
        <x:v>1</x:v>
      </x:c>
      <x:c r="AX215" t="n">
        <x:v>5</x:v>
      </x:c>
      <x:c r="AY215"/>
      <x:c r="AZ215" t="n">
        <x:f>IF(('Quantification_Results'!AW215&lt;&gt;1),"",IF(('Quantification_Results'!AY215=""),IF(ISNUMBER('Quantification_Results'!AX215),IF(('Quantification_Results'!AX215&lt;'Quantification_Config'!$S$19),"",IF(('Quantification_Results'!AX215&gt;'Quantification_Config'!$T$19),"",'Quantification_Results'!AX215)),""),IF(ISNUMBER('Quantification_Results'!AY215),IF(('Quantification_Results'!AY215&lt;'Quantification_Config'!$S$19),"",IF(('Quantification_Results'!AY215&gt;'Quantification_Config'!$T$19),"",'Quantification_Results'!AY215)),"")))</x:f>
        <x:v>5</x:v>
      </x:c>
      <x:c r="BA215" t="n">
        <x:f>IF(ISNUMBER('Quantification_Results'!AZ215),IFERROR(ROUND(((('Quantification_Results'!AZ215-'Quantification_Config'!$S$19)/('Quantification_Config'!$T$19-'Quantification_Config'!$S$19))*100),'Quantification_Config'!$U$2),""),"")</x:f>
        <x:v>50</x:v>
      </x:c>
      <x:c r="BB215" t="inlineStr">
        <x:is>
          <x:t xml:space="preserve">SYSTEM-TEST-ONLY-NO-NETWORK-NOT-AN-EDUCATIONAL-EVALUATION</x:t>
        </x:is>
      </x:c>
      <x:c r="BC215" t="inlineStr">
        <x:is>
          <x:t xml:space="preserve"/>
        </x:is>
      </x:c>
      <x:c r="BD215" t="inlineStr">
        <x:is>
          <x:t xml:space="preserve">NONE</x:t>
        </x:is>
      </x:c>
      <x:c r="BE215" t="inlineStr">
        <x:is>
          <x:t xml:space="preserve"/>
        </x:is>
      </x:c>
      <x:c r="BF215" t="inlineStr">
        <x:is>
          <x:t xml:space="preserve">SUCCESS</x:t>
        </x:is>
      </x:c>
      <x:c r="BG215" t="n">
        <x:f>IF((COUNT('Quantification_Results'!BA215)=1),IFERROR(ROUND((SUM(('Quantification_Results'!BA215*'Quantification_Config'!$R$19))/SUM('Quantification_Config'!$R$19)),'Quantification_Config'!$U$2),""),"")</x:f>
        <x:v>50</x:v>
      </x:c>
      <x:c r="BH215" t="n">
        <x:f>IF((COUNT('Quantification_Results'!BG215)=1),IFERROR(ROUND((SUM(('Quantification_Results'!BG215*'Quantification_Config'!$R$18))/SUM('Quantification_Config'!$R$18)),'Quantification_Config'!$U$2),""),"")</x:f>
        <x:v>50</x:v>
      </x:c>
      <x:c r="BI215" t="n">
        <x:f>IF((COUNT('Quantification_Results'!L215,'Quantification_Results'!X215,'Quantification_Results'!AJ215,'Quantification_Results'!AV215,'Quantification_Results'!BH215)=5),IFERROR(ROUND((SUM(('Quantification_Results'!L215*'Quantification_Config'!$R$4),('Quantification_Results'!X215*'Quantification_Config'!$R$7),('Quantification_Results'!AJ215*'Quantification_Config'!$R$10),('Quantification_Results'!AV215*'Quantification_Config'!$R$13),('Quantification_Results'!BH215*'Quantification_Config'!$R$16))/SUM('Quantification_Config'!$R$4,'Quantification_Config'!$R$7,'Quantification_Config'!$R$10,'Quantification_Config'!$R$13,'Quantification_Config'!$R$16)),'Quantification_Config'!$U$2),""),"")</x:f>
        <x:v>50</x:v>
      </x:c>
    </x:row>
    <x:row r="216">
      <x:c r="A216" t="n">
        <x:v>1</x:v>
      </x:c>
      <x:c r="B216" t="n">
        <x:v>5</x:v>
      </x:c>
      <x:c r="C216"/>
      <x:c r="D216" t="n">
        <x:f>IF(('Quantification_Results'!A216&lt;&gt;1),"",IF(('Quantification_Results'!C216=""),IF(ISNUMBER('Quantification_Results'!B216),IF(('Quantification_Results'!B216&lt;'Quantification_Config'!$S$6),"",IF(('Quantification_Results'!B216&gt;'Quantification_Config'!$T$6),"",'Quantification_Results'!B216)),""),IF(ISNUMBER('Quantification_Results'!C216),IF(('Quantification_Results'!C216&lt;'Quantification_Config'!$S$6),"",IF(('Quantification_Results'!C216&gt;'Quantification_Config'!$T$6),"",'Quantification_Results'!C216)),"")))</x:f>
        <x:v>5</x:v>
      </x:c>
      <x:c r="E216" t="n">
        <x:f>IF(ISNUMBER('Quantification_Results'!D216),IFERROR(ROUND(((('Quantification_Results'!D216-'Quantification_Config'!$S$6)/('Quantification_Config'!$T$6-'Quantification_Config'!$S$6))*100),'Quantification_Config'!$U$2),""),"")</x:f>
        <x:v>50</x:v>
      </x:c>
      <x:c r="F216" t="inlineStr">
        <x:is>
          <x:t xml:space="preserve">SYSTEM-TEST-ONLY-NO-NETWORK-NOT-AN-EDUCATIONAL-EVALUATION</x:t>
        </x:is>
      </x:c>
      <x:c r="G216" t="inlineStr">
        <x:is>
          <x:t xml:space="preserve"/>
        </x:is>
      </x:c>
      <x:c r="H216" t="inlineStr">
        <x:is>
          <x:t xml:space="preserve">NONE</x:t>
        </x:is>
      </x:c>
      <x:c r="I216" t="inlineStr">
        <x:is>
          <x:t xml:space="preserve"/>
        </x:is>
      </x:c>
      <x:c r="J216" t="inlineStr">
        <x:is>
          <x:t xml:space="preserve">SUCCESS</x:t>
        </x:is>
      </x:c>
      <x:c r="K216" t="n">
        <x:f>IF((COUNT('Quantification_Results'!E216)=1),IFERROR(ROUND((SUM(('Quantification_Results'!E216*'Quantification_Config'!$R$6))/SUM('Quantification_Config'!$R$6)),'Quantification_Config'!$U$2),""),"")</x:f>
        <x:v>50</x:v>
      </x:c>
      <x:c r="L216" t="n">
        <x:f>IF((COUNT('Quantification_Results'!K216)=1),IFERROR(ROUND((SUM(('Quantification_Results'!K216*'Quantification_Config'!$R$5))/SUM('Quantification_Config'!$R$5)),'Quantification_Config'!$U$2),""),"")</x:f>
        <x:v>50</x:v>
      </x:c>
      <x:c r="M216" t="n">
        <x:v>1</x:v>
      </x:c>
      <x:c r="N216" t="n">
        <x:v>5</x:v>
      </x:c>
      <x:c r="O216"/>
      <x:c r="P216" t="n">
        <x:f>IF(('Quantification_Results'!M216&lt;&gt;1),"",IF(('Quantification_Results'!O216=""),IF(ISNUMBER('Quantification_Results'!N216),IF(('Quantification_Results'!N216&lt;'Quantification_Config'!$S$9),"",IF(('Quantification_Results'!N216&gt;'Quantification_Config'!$T$9),"",'Quantification_Results'!N216)),""),IF(ISNUMBER('Quantification_Results'!O216),IF(('Quantification_Results'!O216&lt;'Quantification_Config'!$S$9),"",IF(('Quantification_Results'!O216&gt;'Quantification_Config'!$T$9),"",'Quantification_Results'!O216)),"")))</x:f>
        <x:v>5</x:v>
      </x:c>
      <x:c r="Q216" t="n">
        <x:f>IF(ISNUMBER('Quantification_Results'!P216),IFERROR(ROUND(((('Quantification_Results'!P216-'Quantification_Config'!$S$9)/('Quantification_Config'!$T$9-'Quantification_Config'!$S$9))*100),'Quantification_Config'!$U$2),""),"")</x:f>
        <x:v>50</x:v>
      </x:c>
      <x:c r="R216" t="inlineStr">
        <x:is>
          <x:t xml:space="preserve">SYSTEM-TEST-ONLY-NO-NETWORK-NOT-AN-EDUCATIONAL-EVALUATION</x:t>
        </x:is>
      </x:c>
      <x:c r="S216" t="inlineStr">
        <x:is>
          <x:t xml:space="preserve"/>
        </x:is>
      </x:c>
      <x:c r="T216" t="inlineStr">
        <x:is>
          <x:t xml:space="preserve">NONE</x:t>
        </x:is>
      </x:c>
      <x:c r="U216" t="inlineStr">
        <x:is>
          <x:t xml:space="preserve"/>
        </x:is>
      </x:c>
      <x:c r="V216" t="inlineStr">
        <x:is>
          <x:t xml:space="preserve">SUCCESS</x:t>
        </x:is>
      </x:c>
      <x:c r="W216" t="n">
        <x:f>IF((COUNT('Quantification_Results'!Q216)=1),IFERROR(ROUND((SUM(('Quantification_Results'!Q216*'Quantification_Config'!$R$9))/SUM('Quantification_Config'!$R$9)),'Quantification_Config'!$U$2),""),"")</x:f>
        <x:v>50</x:v>
      </x:c>
      <x:c r="X216" t="n">
        <x:f>IF((COUNT('Quantification_Results'!W216)=1),IFERROR(ROUND((SUM(('Quantification_Results'!W216*'Quantification_Config'!$R$8))/SUM('Quantification_Config'!$R$8)),'Quantification_Config'!$U$2),""),"")</x:f>
        <x:v>50</x:v>
      </x:c>
      <x:c r="Y216" t="n">
        <x:v>1</x:v>
      </x:c>
      <x:c r="Z216" t="n">
        <x:v>5</x:v>
      </x:c>
      <x:c r="AA216"/>
      <x:c r="AB216" t="n">
        <x:f>IF(('Quantification_Results'!Y216&lt;&gt;1),"",IF(('Quantification_Results'!AA216=""),IF(ISNUMBER('Quantification_Results'!Z216),IF(('Quantification_Results'!Z216&lt;'Quantification_Config'!$S$12),"",IF(('Quantification_Results'!Z216&gt;'Quantification_Config'!$T$12),"",'Quantification_Results'!Z216)),""),IF(ISNUMBER('Quantification_Results'!AA216),IF(('Quantification_Results'!AA216&lt;'Quantification_Config'!$S$12),"",IF(('Quantification_Results'!AA216&gt;'Quantification_Config'!$T$12),"",'Quantification_Results'!AA216)),"")))</x:f>
        <x:v>5</x:v>
      </x:c>
      <x:c r="AC216" t="n">
        <x:f>IF(ISNUMBER('Quantification_Results'!AB216),IFERROR(ROUND(((('Quantification_Results'!AB216-'Quantification_Config'!$S$12)/('Quantification_Config'!$T$12-'Quantification_Config'!$S$12))*100),'Quantification_Config'!$U$2),""),"")</x:f>
        <x:v>50</x:v>
      </x:c>
      <x:c r="AD216" t="inlineStr">
        <x:is>
          <x:t xml:space="preserve">SYSTEM-TEST-ONLY-NO-NETWORK-NOT-AN-EDUCATIONAL-EVALUATION</x:t>
        </x:is>
      </x:c>
      <x:c r="AE216" t="inlineStr">
        <x:is>
          <x:t xml:space="preserve"/>
        </x:is>
      </x:c>
      <x:c r="AF216" t="inlineStr">
        <x:is>
          <x:t xml:space="preserve">NONE</x:t>
        </x:is>
      </x:c>
      <x:c r="AG216" t="inlineStr">
        <x:is>
          <x:t xml:space="preserve"/>
        </x:is>
      </x:c>
      <x:c r="AH216" t="inlineStr">
        <x:is>
          <x:t xml:space="preserve">SUCCESS</x:t>
        </x:is>
      </x:c>
      <x:c r="AI216" t="n">
        <x:f>IF((COUNT('Quantification_Results'!AC216)=1),IFERROR(ROUND((SUM(('Quantification_Results'!AC216*'Quantification_Config'!$R$12))/SUM('Quantification_Config'!$R$12)),'Quantification_Config'!$U$2),""),"")</x:f>
        <x:v>50</x:v>
      </x:c>
      <x:c r="AJ216" t="n">
        <x:f>IF((COUNT('Quantification_Results'!AI216)=1),IFERROR(ROUND((SUM(('Quantification_Results'!AI216*'Quantification_Config'!$R$11))/SUM('Quantification_Config'!$R$11)),'Quantification_Config'!$U$2),""),"")</x:f>
        <x:v>50</x:v>
      </x:c>
      <x:c r="AK216" t="n">
        <x:v>1</x:v>
      </x:c>
      <x:c r="AL216" t="n">
        <x:v>5</x:v>
      </x:c>
      <x:c r="AM216"/>
      <x:c r="AN216" t="n">
        <x:f>IF(('Quantification_Results'!AK216&lt;&gt;1),"",IF(('Quantification_Results'!AM216=""),IF(ISNUMBER('Quantification_Results'!AL216),IF(('Quantification_Results'!AL216&lt;'Quantification_Config'!$S$15),"",IF(('Quantification_Results'!AL216&gt;'Quantification_Config'!$T$15),"",'Quantification_Results'!AL216)),""),IF(ISNUMBER('Quantification_Results'!AM216),IF(('Quantification_Results'!AM216&lt;'Quantification_Config'!$S$15),"",IF(('Quantification_Results'!AM216&gt;'Quantification_Config'!$T$15),"",'Quantification_Results'!AM216)),"")))</x:f>
        <x:v>5</x:v>
      </x:c>
      <x:c r="AO216" t="n">
        <x:f>IF(ISNUMBER('Quantification_Results'!AN216),IFERROR(ROUND(((('Quantification_Results'!AN216-'Quantification_Config'!$S$15)/('Quantification_Config'!$T$15-'Quantification_Config'!$S$15))*100),'Quantification_Config'!$U$2),""),"")</x:f>
        <x:v>50</x:v>
      </x:c>
      <x:c r="AP216" t="inlineStr">
        <x:is>
          <x:t xml:space="preserve">SYSTEM-TEST-ONLY-NO-NETWORK-NOT-AN-EDUCATIONAL-EVALUATION</x:t>
        </x:is>
      </x:c>
      <x:c r="AQ216" t="inlineStr">
        <x:is>
          <x:t xml:space="preserve"/>
        </x:is>
      </x:c>
      <x:c r="AR216" t="inlineStr">
        <x:is>
          <x:t xml:space="preserve">NONE</x:t>
        </x:is>
      </x:c>
      <x:c r="AS216" t="inlineStr">
        <x:is>
          <x:t xml:space="preserve"/>
        </x:is>
      </x:c>
      <x:c r="AT216" t="inlineStr">
        <x:is>
          <x:t xml:space="preserve">SUCCESS</x:t>
        </x:is>
      </x:c>
      <x:c r="AU216" t="n">
        <x:f>IF((COUNT('Quantification_Results'!AO216)=1),IFERROR(ROUND((SUM(('Quantification_Results'!AO216*'Quantification_Config'!$R$15))/SUM('Quantification_Config'!$R$15)),'Quantification_Config'!$U$2),""),"")</x:f>
        <x:v>50</x:v>
      </x:c>
      <x:c r="AV216" t="n">
        <x:f>IF((COUNT('Quantification_Results'!AU216)=1),IFERROR(ROUND((SUM(('Quantification_Results'!AU216*'Quantification_Config'!$R$14))/SUM('Quantification_Config'!$R$14)),'Quantification_Config'!$U$2),""),"")</x:f>
        <x:v>50</x:v>
      </x:c>
      <x:c r="AW216" t="n">
        <x:v>1</x:v>
      </x:c>
      <x:c r="AX216" t="n">
        <x:v>5</x:v>
      </x:c>
      <x:c r="AY216"/>
      <x:c r="AZ216" t="n">
        <x:f>IF(('Quantification_Results'!AW216&lt;&gt;1),"",IF(('Quantification_Results'!AY216=""),IF(ISNUMBER('Quantification_Results'!AX216),IF(('Quantification_Results'!AX216&lt;'Quantification_Config'!$S$19),"",IF(('Quantification_Results'!AX216&gt;'Quantification_Config'!$T$19),"",'Quantification_Results'!AX216)),""),IF(ISNUMBER('Quantification_Results'!AY216),IF(('Quantification_Results'!AY216&lt;'Quantification_Config'!$S$19),"",IF(('Quantification_Results'!AY216&gt;'Quantification_Config'!$T$19),"",'Quantification_Results'!AY216)),"")))</x:f>
        <x:v>5</x:v>
      </x:c>
      <x:c r="BA216" t="n">
        <x:f>IF(ISNUMBER('Quantification_Results'!AZ216),IFERROR(ROUND(((('Quantification_Results'!AZ216-'Quantification_Config'!$S$19)/('Quantification_Config'!$T$19-'Quantification_Config'!$S$19))*100),'Quantification_Config'!$U$2),""),"")</x:f>
        <x:v>50</x:v>
      </x:c>
      <x:c r="BB216" t="inlineStr">
        <x:is>
          <x:t xml:space="preserve">SYSTEM-TEST-ONLY-NO-NETWORK-NOT-AN-EDUCATIONAL-EVALUATION</x:t>
        </x:is>
      </x:c>
      <x:c r="BC216" t="inlineStr">
        <x:is>
          <x:t xml:space="preserve"/>
        </x:is>
      </x:c>
      <x:c r="BD216" t="inlineStr">
        <x:is>
          <x:t xml:space="preserve">NONE</x:t>
        </x:is>
      </x:c>
      <x:c r="BE216" t="inlineStr">
        <x:is>
          <x:t xml:space="preserve"/>
        </x:is>
      </x:c>
      <x:c r="BF216" t="inlineStr">
        <x:is>
          <x:t xml:space="preserve">SUCCESS</x:t>
        </x:is>
      </x:c>
      <x:c r="BG216" t="n">
        <x:f>IF((COUNT('Quantification_Results'!BA216)=1),IFERROR(ROUND((SUM(('Quantification_Results'!BA216*'Quantification_Config'!$R$19))/SUM('Quantification_Config'!$R$19)),'Quantification_Config'!$U$2),""),"")</x:f>
        <x:v>50</x:v>
      </x:c>
      <x:c r="BH216" t="n">
        <x:f>IF((COUNT('Quantification_Results'!BG216)=1),IFERROR(ROUND((SUM(('Quantification_Results'!BG216*'Quantification_Config'!$R$18))/SUM('Quantification_Config'!$R$18)),'Quantification_Config'!$U$2),""),"")</x:f>
        <x:v>50</x:v>
      </x:c>
      <x:c r="BI216" t="n">
        <x:f>IF((COUNT('Quantification_Results'!L216,'Quantification_Results'!X216,'Quantification_Results'!AJ216,'Quantification_Results'!AV216,'Quantification_Results'!BH216)=5),IFERROR(ROUND((SUM(('Quantification_Results'!L216*'Quantification_Config'!$R$4),('Quantification_Results'!X216*'Quantification_Config'!$R$7),('Quantification_Results'!AJ216*'Quantification_Config'!$R$10),('Quantification_Results'!AV216*'Quantification_Config'!$R$13),('Quantification_Results'!BH216*'Quantification_Config'!$R$16))/SUM('Quantification_Config'!$R$4,'Quantification_Config'!$R$7,'Quantification_Config'!$R$10,'Quantification_Config'!$R$13,'Quantification_Config'!$R$16)),'Quantification_Config'!$U$2),""),"")</x:f>
        <x:v>50</x:v>
      </x:c>
    </x:row>
    <x:row r="217">
      <x:c r="A217" t="n">
        <x:v>1</x:v>
      </x:c>
      <x:c r="B217" t="n">
        <x:v>5</x:v>
      </x:c>
      <x:c r="C217"/>
      <x:c r="D217" t="n">
        <x:f>IF(('Quantification_Results'!A217&lt;&gt;1),"",IF(('Quantification_Results'!C217=""),IF(ISNUMBER('Quantification_Results'!B217),IF(('Quantification_Results'!B217&lt;'Quantification_Config'!$S$6),"",IF(('Quantification_Results'!B217&gt;'Quantification_Config'!$T$6),"",'Quantification_Results'!B217)),""),IF(ISNUMBER('Quantification_Results'!C217),IF(('Quantification_Results'!C217&lt;'Quantification_Config'!$S$6),"",IF(('Quantification_Results'!C217&gt;'Quantification_Config'!$T$6),"",'Quantification_Results'!C217)),"")))</x:f>
        <x:v>5</x:v>
      </x:c>
      <x:c r="E217" t="n">
        <x:f>IF(ISNUMBER('Quantification_Results'!D217),IFERROR(ROUND(((('Quantification_Results'!D217-'Quantification_Config'!$S$6)/('Quantification_Config'!$T$6-'Quantification_Config'!$S$6))*100),'Quantification_Config'!$U$2),""),"")</x:f>
        <x:v>50</x:v>
      </x:c>
      <x:c r="F217" t="inlineStr">
        <x:is>
          <x:t xml:space="preserve">SYSTEM-TEST-ONLY-NO-NETWORK-NOT-AN-EDUCATIONAL-EVALUATION</x:t>
        </x:is>
      </x:c>
      <x:c r="G217" t="inlineStr">
        <x:is>
          <x:t xml:space="preserve"/>
        </x:is>
      </x:c>
      <x:c r="H217" t="inlineStr">
        <x:is>
          <x:t xml:space="preserve">NONE</x:t>
        </x:is>
      </x:c>
      <x:c r="I217" t="inlineStr">
        <x:is>
          <x:t xml:space="preserve"/>
        </x:is>
      </x:c>
      <x:c r="J217" t="inlineStr">
        <x:is>
          <x:t xml:space="preserve">SUCCESS</x:t>
        </x:is>
      </x:c>
      <x:c r="K217" t="n">
        <x:f>IF((COUNT('Quantification_Results'!E217)=1),IFERROR(ROUND((SUM(('Quantification_Results'!E217*'Quantification_Config'!$R$6))/SUM('Quantification_Config'!$R$6)),'Quantification_Config'!$U$2),""),"")</x:f>
        <x:v>50</x:v>
      </x:c>
      <x:c r="L217" t="n">
        <x:f>IF((COUNT('Quantification_Results'!K217)=1),IFERROR(ROUND((SUM(('Quantification_Results'!K217*'Quantification_Config'!$R$5))/SUM('Quantification_Config'!$R$5)),'Quantification_Config'!$U$2),""),"")</x:f>
        <x:v>50</x:v>
      </x:c>
      <x:c r="M217" t="n">
        <x:v>0</x:v>
      </x:c>
      <x:c r="N217"/>
      <x:c r="O217"/>
      <x:c r="P217">
        <x:f>IF(('Quantification_Results'!M217&lt;&gt;1),"",IF(('Quantification_Results'!O217=""),IF(ISNUMBER('Quantification_Results'!N217),IF(('Quantification_Results'!N217&lt;'Quantification_Config'!$S$9),"",IF(('Quantification_Results'!N217&gt;'Quantification_Config'!$T$9),"",'Quantification_Results'!N217)),""),IF(ISNUMBER('Quantification_Results'!O217),IF(('Quantification_Results'!O217&lt;'Quantification_Config'!$S$9),"",IF(('Quantification_Results'!O217&gt;'Quantification_Config'!$T$9),"",'Quantification_Results'!O217)),"")))</x:f>
      </x:c>
      <x:c r="Q217">
        <x:f>IF(ISNUMBER('Quantification_Results'!P217),IFERROR(ROUND(((('Quantification_Results'!P217-'Quantification_Config'!$S$9)/('Quantification_Config'!$T$9-'Quantification_Config'!$S$9))*100),'Quantification_Config'!$U$2),""),"")</x:f>
      </x:c>
      <x:c r="R217" t="inlineStr">
        <x:is>
          <x:t xml:space="preserve"/>
        </x:is>
      </x:c>
      <x:c r="S217" t="inlineStr">
        <x:is>
          <x:t xml:space="preserve"/>
        </x:is>
      </x:c>
      <x:c r="T217" t="inlineStr">
        <x:is>
          <x:t xml:space="preserve"/>
        </x:is>
      </x:c>
      <x:c r="U217" t="inlineStr">
        <x:is>
          <x:t xml:space="preserve"/>
        </x:is>
      </x:c>
      <x:c r="V217" t="inlineStr">
        <x:is>
          <x:t xml:space="preserve">EMPTY</x:t>
        </x:is>
      </x:c>
      <x:c r="W217">
        <x:f>IF((COUNT('Quantification_Results'!Q217)=1),IFERROR(ROUND((SUM(('Quantification_Results'!Q217*'Quantification_Config'!$R$9))/SUM('Quantification_Config'!$R$9)),'Quantification_Config'!$U$2),""),"")</x:f>
      </x:c>
      <x:c r="X217">
        <x:f>IF((COUNT('Quantification_Results'!W217)=1),IFERROR(ROUND((SUM(('Quantification_Results'!W217*'Quantification_Config'!$R$8))/SUM('Quantification_Config'!$R$8)),'Quantification_Config'!$U$2),""),"")</x:f>
      </x:c>
      <x:c r="Y217" t="n">
        <x:v>0</x:v>
      </x:c>
      <x:c r="Z217"/>
      <x:c r="AA217"/>
      <x:c r="AB217">
        <x:f>IF(('Quantification_Results'!Y217&lt;&gt;1),"",IF(('Quantification_Results'!AA217=""),IF(ISNUMBER('Quantification_Results'!Z217),IF(('Quantification_Results'!Z217&lt;'Quantification_Config'!$S$12),"",IF(('Quantification_Results'!Z217&gt;'Quantification_Config'!$T$12),"",'Quantification_Results'!Z217)),""),IF(ISNUMBER('Quantification_Results'!AA217),IF(('Quantification_Results'!AA217&lt;'Quantification_Config'!$S$12),"",IF(('Quantification_Results'!AA217&gt;'Quantification_Config'!$T$12),"",'Quantification_Results'!AA217)),"")))</x:f>
      </x:c>
      <x:c r="AC217">
        <x:f>IF(ISNUMBER('Quantification_Results'!AB217),IFERROR(ROUND(((('Quantification_Results'!AB217-'Quantification_Config'!$S$12)/('Quantification_Config'!$T$12-'Quantification_Config'!$S$12))*100),'Quantification_Config'!$U$2),""),"")</x:f>
      </x:c>
      <x:c r="AD217" t="inlineStr">
        <x:is>
          <x:t xml:space="preserve"/>
        </x:is>
      </x:c>
      <x:c r="AE217" t="inlineStr">
        <x:is>
          <x:t xml:space="preserve"/>
        </x:is>
      </x:c>
      <x:c r="AF217" t="inlineStr">
        <x:is>
          <x:t xml:space="preserve"/>
        </x:is>
      </x:c>
      <x:c r="AG217" t="inlineStr">
        <x:is>
          <x:t xml:space="preserve"/>
        </x:is>
      </x:c>
      <x:c r="AH217" t="inlineStr">
        <x:is>
          <x:t xml:space="preserve">EMPTY</x:t>
        </x:is>
      </x:c>
      <x:c r="AI217">
        <x:f>IF((COUNT('Quantification_Results'!AC217)=1),IFERROR(ROUND((SUM(('Quantification_Results'!AC217*'Quantification_Config'!$R$12))/SUM('Quantification_Config'!$R$12)),'Quantification_Config'!$U$2),""),"")</x:f>
      </x:c>
      <x:c r="AJ217">
        <x:f>IF((COUNT('Quantification_Results'!AI217)=1),IFERROR(ROUND((SUM(('Quantification_Results'!AI217*'Quantification_Config'!$R$11))/SUM('Quantification_Config'!$R$11)),'Quantification_Config'!$U$2),""),"")</x:f>
      </x:c>
      <x:c r="AK217" t="n">
        <x:v>1</x:v>
      </x:c>
      <x:c r="AL217" t="n">
        <x:v>5</x:v>
      </x:c>
      <x:c r="AM217"/>
      <x:c r="AN217" t="n">
        <x:f>IF(('Quantification_Results'!AK217&lt;&gt;1),"",IF(('Quantification_Results'!AM217=""),IF(ISNUMBER('Quantification_Results'!AL217),IF(('Quantification_Results'!AL217&lt;'Quantification_Config'!$S$15),"",IF(('Quantification_Results'!AL217&gt;'Quantification_Config'!$T$15),"",'Quantification_Results'!AL217)),""),IF(ISNUMBER('Quantification_Results'!AM217),IF(('Quantification_Results'!AM217&lt;'Quantification_Config'!$S$15),"",IF(('Quantification_Results'!AM217&gt;'Quantification_Config'!$T$15),"",'Quantification_Results'!AM217)),"")))</x:f>
        <x:v>5</x:v>
      </x:c>
      <x:c r="AO217" t="n">
        <x:f>IF(ISNUMBER('Quantification_Results'!AN217),IFERROR(ROUND(((('Quantification_Results'!AN217-'Quantification_Config'!$S$15)/('Quantification_Config'!$T$15-'Quantification_Config'!$S$15))*100),'Quantification_Config'!$U$2),""),"")</x:f>
        <x:v>50</x:v>
      </x:c>
      <x:c r="AP217" t="inlineStr">
        <x:is>
          <x:t xml:space="preserve">SYSTEM-TEST-ONLY-NO-NETWORK-NOT-AN-EDUCATIONAL-EVALUATION</x:t>
        </x:is>
      </x:c>
      <x:c r="AQ217" t="inlineStr">
        <x:is>
          <x:t xml:space="preserve"/>
        </x:is>
      </x:c>
      <x:c r="AR217" t="inlineStr">
        <x:is>
          <x:t xml:space="preserve">NONE</x:t>
        </x:is>
      </x:c>
      <x:c r="AS217" t="inlineStr">
        <x:is>
          <x:t xml:space="preserve"/>
        </x:is>
      </x:c>
      <x:c r="AT217" t="inlineStr">
        <x:is>
          <x:t xml:space="preserve">SUCCESS</x:t>
        </x:is>
      </x:c>
      <x:c r="AU217" t="n">
        <x:f>IF((COUNT('Quantification_Results'!AO217)=1),IFERROR(ROUND((SUM(('Quantification_Results'!AO217*'Quantification_Config'!$R$15))/SUM('Quantification_Config'!$R$15)),'Quantification_Config'!$U$2),""),"")</x:f>
        <x:v>50</x:v>
      </x:c>
      <x:c r="AV217" t="n">
        <x:f>IF((COUNT('Quantification_Results'!AU217)=1),IFERROR(ROUND((SUM(('Quantification_Results'!AU217*'Quantification_Config'!$R$14))/SUM('Quantification_Config'!$R$14)),'Quantification_Config'!$U$2),""),"")</x:f>
        <x:v>50</x:v>
      </x:c>
      <x:c r="AW217" t="n">
        <x:v>1</x:v>
      </x:c>
      <x:c r="AX217" t="n">
        <x:v>5</x:v>
      </x:c>
      <x:c r="AY217"/>
      <x:c r="AZ217" t="n">
        <x:f>IF(('Quantification_Results'!AW217&lt;&gt;1),"",IF(('Quantification_Results'!AY217=""),IF(ISNUMBER('Quantification_Results'!AX217),IF(('Quantification_Results'!AX217&lt;'Quantification_Config'!$S$19),"",IF(('Quantification_Results'!AX217&gt;'Quantification_Config'!$T$19),"",'Quantification_Results'!AX217)),""),IF(ISNUMBER('Quantification_Results'!AY217),IF(('Quantification_Results'!AY217&lt;'Quantification_Config'!$S$19),"",IF(('Quantification_Results'!AY217&gt;'Quantification_Config'!$T$19),"",'Quantification_Results'!AY217)),"")))</x:f>
        <x:v>5</x:v>
      </x:c>
      <x:c r="BA217" t="n">
        <x:f>IF(ISNUMBER('Quantification_Results'!AZ217),IFERROR(ROUND(((('Quantification_Results'!AZ217-'Quantification_Config'!$S$19)/('Quantification_Config'!$T$19-'Quantification_Config'!$S$19))*100),'Quantification_Config'!$U$2),""),"")</x:f>
        <x:v>50</x:v>
      </x:c>
      <x:c r="BB217" t="inlineStr">
        <x:is>
          <x:t xml:space="preserve">SYSTEM-TEST-ONLY-NO-NETWORK-NOT-AN-EDUCATIONAL-EVALUATION</x:t>
        </x:is>
      </x:c>
      <x:c r="BC217" t="inlineStr">
        <x:is>
          <x:t xml:space="preserve"/>
        </x:is>
      </x:c>
      <x:c r="BD217" t="inlineStr">
        <x:is>
          <x:t xml:space="preserve">NONE</x:t>
        </x:is>
      </x:c>
      <x:c r="BE217" t="inlineStr">
        <x:is>
          <x:t xml:space="preserve"/>
        </x:is>
      </x:c>
      <x:c r="BF217" t="inlineStr">
        <x:is>
          <x:t xml:space="preserve">SUCCESS</x:t>
        </x:is>
      </x:c>
      <x:c r="BG217" t="n">
        <x:f>IF((COUNT('Quantification_Results'!BA217)=1),IFERROR(ROUND((SUM(('Quantification_Results'!BA217*'Quantification_Config'!$R$19))/SUM('Quantification_Config'!$R$19)),'Quantification_Config'!$U$2),""),"")</x:f>
        <x:v>50</x:v>
      </x:c>
      <x:c r="BH217" t="n">
        <x:f>IF((COUNT('Quantification_Results'!BG217)=1),IFERROR(ROUND((SUM(('Quantification_Results'!BG217*'Quantification_Config'!$R$18))/SUM('Quantification_Config'!$R$18)),'Quantification_Config'!$U$2),""),"")</x:f>
        <x:v>50</x:v>
      </x:c>
      <x:c r="BI217">
        <x:f>IF((COUNT('Quantification_Results'!L217,'Quantification_Results'!X217,'Quantification_Results'!AJ217,'Quantification_Results'!AV217,'Quantification_Results'!BH217)=5),IFERROR(ROUND((SUM(('Quantification_Results'!L217*'Quantification_Config'!$R$4),('Quantification_Results'!X217*'Quantification_Config'!$R$7),('Quantification_Results'!AJ217*'Quantification_Config'!$R$10),('Quantification_Results'!AV217*'Quantification_Config'!$R$13),('Quantification_Results'!BH217*'Quantification_Config'!$R$16))/SUM('Quantification_Config'!$R$4,'Quantification_Config'!$R$7,'Quantification_Config'!$R$10,'Quantification_Config'!$R$13,'Quantification_Config'!$R$16)),'Quantification_Config'!$U$2),""),"")</x:f>
      </x:c>
    </x:row>
    <x:row r="218">
      <x:c r="A218" t="n">
        <x:v>1</x:v>
      </x:c>
      <x:c r="B218" t="n">
        <x:v>5</x:v>
      </x:c>
      <x:c r="C218"/>
      <x:c r="D218" t="n">
        <x:f>IF(('Quantification_Results'!A218&lt;&gt;1),"",IF(('Quantification_Results'!C218=""),IF(ISNUMBER('Quantification_Results'!B218),IF(('Quantification_Results'!B218&lt;'Quantification_Config'!$S$6),"",IF(('Quantification_Results'!B218&gt;'Quantification_Config'!$T$6),"",'Quantification_Results'!B218)),""),IF(ISNUMBER('Quantification_Results'!C218),IF(('Quantification_Results'!C218&lt;'Quantification_Config'!$S$6),"",IF(('Quantification_Results'!C218&gt;'Quantification_Config'!$T$6),"",'Quantification_Results'!C218)),"")))</x:f>
        <x:v>5</x:v>
      </x:c>
      <x:c r="E218" t="n">
        <x:f>IF(ISNUMBER('Quantification_Results'!D218),IFERROR(ROUND(((('Quantification_Results'!D218-'Quantification_Config'!$S$6)/('Quantification_Config'!$T$6-'Quantification_Config'!$S$6))*100),'Quantification_Config'!$U$2),""),"")</x:f>
        <x:v>50</x:v>
      </x:c>
      <x:c r="F218" t="inlineStr">
        <x:is>
          <x:t xml:space="preserve">SYSTEM-TEST-ONLY-NO-NETWORK-NOT-AN-EDUCATIONAL-EVALUATION</x:t>
        </x:is>
      </x:c>
      <x:c r="G218" t="inlineStr">
        <x:is>
          <x:t xml:space="preserve"/>
        </x:is>
      </x:c>
      <x:c r="H218" t="inlineStr">
        <x:is>
          <x:t xml:space="preserve">NONE</x:t>
        </x:is>
      </x:c>
      <x:c r="I218" t="inlineStr">
        <x:is>
          <x:t xml:space="preserve"/>
        </x:is>
      </x:c>
      <x:c r="J218" t="inlineStr">
        <x:is>
          <x:t xml:space="preserve">SUCCESS</x:t>
        </x:is>
      </x:c>
      <x:c r="K218" t="n">
        <x:f>IF((COUNT('Quantification_Results'!E218)=1),IFERROR(ROUND((SUM(('Quantification_Results'!E218*'Quantification_Config'!$R$6))/SUM('Quantification_Config'!$R$6)),'Quantification_Config'!$U$2),""),"")</x:f>
        <x:v>50</x:v>
      </x:c>
      <x:c r="L218" t="n">
        <x:f>IF((COUNT('Quantification_Results'!K218)=1),IFERROR(ROUND((SUM(('Quantification_Results'!K218*'Quantification_Config'!$R$5))/SUM('Quantification_Config'!$R$5)),'Quantification_Config'!$U$2),""),"")</x:f>
        <x:v>50</x:v>
      </x:c>
      <x:c r="M218" t="n">
        <x:v>1</x:v>
      </x:c>
      <x:c r="N218" t="n">
        <x:v>5</x:v>
      </x:c>
      <x:c r="O218"/>
      <x:c r="P218" t="n">
        <x:f>IF(('Quantification_Results'!M218&lt;&gt;1),"",IF(('Quantification_Results'!O218=""),IF(ISNUMBER('Quantification_Results'!N218),IF(('Quantification_Results'!N218&lt;'Quantification_Config'!$S$9),"",IF(('Quantification_Results'!N218&gt;'Quantification_Config'!$T$9),"",'Quantification_Results'!N218)),""),IF(ISNUMBER('Quantification_Results'!O218),IF(('Quantification_Results'!O218&lt;'Quantification_Config'!$S$9),"",IF(('Quantification_Results'!O218&gt;'Quantification_Config'!$T$9),"",'Quantification_Results'!O218)),"")))</x:f>
        <x:v>5</x:v>
      </x:c>
      <x:c r="Q218" t="n">
        <x:f>IF(ISNUMBER('Quantification_Results'!P218),IFERROR(ROUND(((('Quantification_Results'!P218-'Quantification_Config'!$S$9)/('Quantification_Config'!$T$9-'Quantification_Config'!$S$9))*100),'Quantification_Config'!$U$2),""),"")</x:f>
        <x:v>50</x:v>
      </x:c>
      <x:c r="R218" t="inlineStr">
        <x:is>
          <x:t xml:space="preserve">SYSTEM-TEST-ONLY-NO-NETWORK-NOT-AN-EDUCATIONAL-EVALUATION</x:t>
        </x:is>
      </x:c>
      <x:c r="S218" t="inlineStr">
        <x:is>
          <x:t xml:space="preserve"/>
        </x:is>
      </x:c>
      <x:c r="T218" t="inlineStr">
        <x:is>
          <x:t xml:space="preserve">NONE</x:t>
        </x:is>
      </x:c>
      <x:c r="U218" t="inlineStr">
        <x:is>
          <x:t xml:space="preserve"/>
        </x:is>
      </x:c>
      <x:c r="V218" t="inlineStr">
        <x:is>
          <x:t xml:space="preserve">SUCCESS</x:t>
        </x:is>
      </x:c>
      <x:c r="W218" t="n">
        <x:f>IF((COUNT('Quantification_Results'!Q218)=1),IFERROR(ROUND((SUM(('Quantification_Results'!Q218*'Quantification_Config'!$R$9))/SUM('Quantification_Config'!$R$9)),'Quantification_Config'!$U$2),""),"")</x:f>
        <x:v>50</x:v>
      </x:c>
      <x:c r="X218" t="n">
        <x:f>IF((COUNT('Quantification_Results'!W218)=1),IFERROR(ROUND((SUM(('Quantification_Results'!W218*'Quantification_Config'!$R$8))/SUM('Quantification_Config'!$R$8)),'Quantification_Config'!$U$2),""),"")</x:f>
        <x:v>50</x:v>
      </x:c>
      <x:c r="Y218" t="n">
        <x:v>0</x:v>
      </x:c>
      <x:c r="Z218"/>
      <x:c r="AA218"/>
      <x:c r="AB218">
        <x:f>IF(('Quantification_Results'!Y218&lt;&gt;1),"",IF(('Quantification_Results'!AA218=""),IF(ISNUMBER('Quantification_Results'!Z218),IF(('Quantification_Results'!Z218&lt;'Quantification_Config'!$S$12),"",IF(('Quantification_Results'!Z218&gt;'Quantification_Config'!$T$12),"",'Quantification_Results'!Z218)),""),IF(ISNUMBER('Quantification_Results'!AA218),IF(('Quantification_Results'!AA218&lt;'Quantification_Config'!$S$12),"",IF(('Quantification_Results'!AA218&gt;'Quantification_Config'!$T$12),"",'Quantification_Results'!AA218)),"")))</x:f>
      </x:c>
      <x:c r="AC218">
        <x:f>IF(ISNUMBER('Quantification_Results'!AB218),IFERROR(ROUND(((('Quantification_Results'!AB218-'Quantification_Config'!$S$12)/('Quantification_Config'!$T$12-'Quantification_Config'!$S$12))*100),'Quantification_Config'!$U$2),""),"")</x:f>
      </x:c>
      <x:c r="AD218" t="inlineStr">
        <x:is>
          <x:t xml:space="preserve"/>
        </x:is>
      </x:c>
      <x:c r="AE218" t="inlineStr">
        <x:is>
          <x:t xml:space="preserve"/>
        </x:is>
      </x:c>
      <x:c r="AF218" t="inlineStr">
        <x:is>
          <x:t xml:space="preserve"/>
        </x:is>
      </x:c>
      <x:c r="AG218" t="inlineStr">
        <x:is>
          <x:t xml:space="preserve"/>
        </x:is>
      </x:c>
      <x:c r="AH218" t="inlineStr">
        <x:is>
          <x:t xml:space="preserve">EMPTY</x:t>
        </x:is>
      </x:c>
      <x:c r="AI218">
        <x:f>IF((COUNT('Quantification_Results'!AC218)=1),IFERROR(ROUND((SUM(('Quantification_Results'!AC218*'Quantification_Config'!$R$12))/SUM('Quantification_Config'!$R$12)),'Quantification_Config'!$U$2),""),"")</x:f>
      </x:c>
      <x:c r="AJ218">
        <x:f>IF((COUNT('Quantification_Results'!AI218)=1),IFERROR(ROUND((SUM(('Quantification_Results'!AI218*'Quantification_Config'!$R$11))/SUM('Quantification_Config'!$R$11)),'Quantification_Config'!$U$2),""),"")</x:f>
      </x:c>
      <x:c r="AK218" t="n">
        <x:v>1</x:v>
      </x:c>
      <x:c r="AL218" t="n">
        <x:v>5</x:v>
      </x:c>
      <x:c r="AM218"/>
      <x:c r="AN218" t="n">
        <x:f>IF(('Quantification_Results'!AK218&lt;&gt;1),"",IF(('Quantification_Results'!AM218=""),IF(ISNUMBER('Quantification_Results'!AL218),IF(('Quantification_Results'!AL218&lt;'Quantification_Config'!$S$15),"",IF(('Quantification_Results'!AL218&gt;'Quantification_Config'!$T$15),"",'Quantification_Results'!AL218)),""),IF(ISNUMBER('Quantification_Results'!AM218),IF(('Quantification_Results'!AM218&lt;'Quantification_Config'!$S$15),"",IF(('Quantification_Results'!AM218&gt;'Quantification_Config'!$T$15),"",'Quantification_Results'!AM218)),"")))</x:f>
        <x:v>5</x:v>
      </x:c>
      <x:c r="AO218" t="n">
        <x:f>IF(ISNUMBER('Quantification_Results'!AN218),IFERROR(ROUND(((('Quantification_Results'!AN218-'Quantification_Config'!$S$15)/('Quantification_Config'!$T$15-'Quantification_Config'!$S$15))*100),'Quantification_Config'!$U$2),""),"")</x:f>
        <x:v>50</x:v>
      </x:c>
      <x:c r="AP218" t="inlineStr">
        <x:is>
          <x:t xml:space="preserve">SYSTEM-TEST-ONLY-NO-NETWORK-NOT-AN-EDUCATIONAL-EVALUATION</x:t>
        </x:is>
      </x:c>
      <x:c r="AQ218" t="inlineStr">
        <x:is>
          <x:t xml:space="preserve"/>
        </x:is>
      </x:c>
      <x:c r="AR218" t="inlineStr">
        <x:is>
          <x:t xml:space="preserve">NONE</x:t>
        </x:is>
      </x:c>
      <x:c r="AS218" t="inlineStr">
        <x:is>
          <x:t xml:space="preserve"/>
        </x:is>
      </x:c>
      <x:c r="AT218" t="inlineStr">
        <x:is>
          <x:t xml:space="preserve">SUCCESS</x:t>
        </x:is>
      </x:c>
      <x:c r="AU218" t="n">
        <x:f>IF((COUNT('Quantification_Results'!AO218)=1),IFERROR(ROUND((SUM(('Quantification_Results'!AO218*'Quantification_Config'!$R$15))/SUM('Quantification_Config'!$R$15)),'Quantification_Config'!$U$2),""),"")</x:f>
        <x:v>50</x:v>
      </x:c>
      <x:c r="AV218" t="n">
        <x:f>IF((COUNT('Quantification_Results'!AU218)=1),IFERROR(ROUND((SUM(('Quantification_Results'!AU218*'Quantification_Config'!$R$14))/SUM('Quantification_Config'!$R$14)),'Quantification_Config'!$U$2),""),"")</x:f>
        <x:v>50</x:v>
      </x:c>
      <x:c r="AW218" t="n">
        <x:v>1</x:v>
      </x:c>
      <x:c r="AX218" t="n">
        <x:v>5</x:v>
      </x:c>
      <x:c r="AY218"/>
      <x:c r="AZ218" t="n">
        <x:f>IF(('Quantification_Results'!AW218&lt;&gt;1),"",IF(('Quantification_Results'!AY218=""),IF(ISNUMBER('Quantification_Results'!AX218),IF(('Quantification_Results'!AX218&lt;'Quantification_Config'!$S$19),"",IF(('Quantification_Results'!AX218&gt;'Quantification_Config'!$T$19),"",'Quantification_Results'!AX218)),""),IF(ISNUMBER('Quantification_Results'!AY218),IF(('Quantification_Results'!AY218&lt;'Quantification_Config'!$S$19),"",IF(('Quantification_Results'!AY218&gt;'Quantification_Config'!$T$19),"",'Quantification_Results'!AY218)),"")))</x:f>
        <x:v>5</x:v>
      </x:c>
      <x:c r="BA218" t="n">
        <x:f>IF(ISNUMBER('Quantification_Results'!AZ218),IFERROR(ROUND(((('Quantification_Results'!AZ218-'Quantification_Config'!$S$19)/('Quantification_Config'!$T$19-'Quantification_Config'!$S$19))*100),'Quantification_Config'!$U$2),""),"")</x:f>
        <x:v>50</x:v>
      </x:c>
      <x:c r="BB218" t="inlineStr">
        <x:is>
          <x:t xml:space="preserve">SYSTEM-TEST-ONLY-NO-NETWORK-NOT-AN-EDUCATIONAL-EVALUATION</x:t>
        </x:is>
      </x:c>
      <x:c r="BC218" t="inlineStr">
        <x:is>
          <x:t xml:space="preserve"/>
        </x:is>
      </x:c>
      <x:c r="BD218" t="inlineStr">
        <x:is>
          <x:t xml:space="preserve">NONE</x:t>
        </x:is>
      </x:c>
      <x:c r="BE218" t="inlineStr">
        <x:is>
          <x:t xml:space="preserve"/>
        </x:is>
      </x:c>
      <x:c r="BF218" t="inlineStr">
        <x:is>
          <x:t xml:space="preserve">SUCCESS</x:t>
        </x:is>
      </x:c>
      <x:c r="BG218" t="n">
        <x:f>IF((COUNT('Quantification_Results'!BA218)=1),IFERROR(ROUND((SUM(('Quantification_Results'!BA218*'Quantification_Config'!$R$19))/SUM('Quantification_Config'!$R$19)),'Quantification_Config'!$U$2),""),"")</x:f>
        <x:v>50</x:v>
      </x:c>
      <x:c r="BH218" t="n">
        <x:f>IF((COUNT('Quantification_Results'!BG218)=1),IFERROR(ROUND((SUM(('Quantification_Results'!BG218*'Quantification_Config'!$R$18))/SUM('Quantification_Config'!$R$18)),'Quantification_Config'!$U$2),""),"")</x:f>
        <x:v>50</x:v>
      </x:c>
      <x:c r="BI218">
        <x:f>IF((COUNT('Quantification_Results'!L218,'Quantification_Results'!X218,'Quantification_Results'!AJ218,'Quantification_Results'!AV218,'Quantification_Results'!BH218)=5),IFERROR(ROUND((SUM(('Quantification_Results'!L218*'Quantification_Config'!$R$4),('Quantification_Results'!X218*'Quantification_Config'!$R$7),('Quantification_Results'!AJ218*'Quantification_Config'!$R$10),('Quantification_Results'!AV218*'Quantification_Config'!$R$13),('Quantification_Results'!BH218*'Quantification_Config'!$R$16))/SUM('Quantification_Config'!$R$4,'Quantification_Config'!$R$7,'Quantification_Config'!$R$10,'Quantification_Config'!$R$13,'Quantification_Config'!$R$16)),'Quantification_Config'!$U$2),""),"")</x:f>
      </x:c>
    </x:row>
    <x:row r="219">
      <x:c r="A219" t="n">
        <x:v>1</x:v>
      </x:c>
      <x:c r="B219" t="n">
        <x:v>5</x:v>
      </x:c>
      <x:c r="C219"/>
      <x:c r="D219" t="n">
        <x:f>IF(('Quantification_Results'!A219&lt;&gt;1),"",IF(('Quantification_Results'!C219=""),IF(ISNUMBER('Quantification_Results'!B219),IF(('Quantification_Results'!B219&lt;'Quantification_Config'!$S$6),"",IF(('Quantification_Results'!B219&gt;'Quantification_Config'!$T$6),"",'Quantification_Results'!B219)),""),IF(ISNUMBER('Quantification_Results'!C219),IF(('Quantification_Results'!C219&lt;'Quantification_Config'!$S$6),"",IF(('Quantification_Results'!C219&gt;'Quantification_Config'!$T$6),"",'Quantification_Results'!C219)),"")))</x:f>
        <x:v>5</x:v>
      </x:c>
      <x:c r="E219" t="n">
        <x:f>IF(ISNUMBER('Quantification_Results'!D219),IFERROR(ROUND(((('Quantification_Results'!D219-'Quantification_Config'!$S$6)/('Quantification_Config'!$T$6-'Quantification_Config'!$S$6))*100),'Quantification_Config'!$U$2),""),"")</x:f>
        <x:v>50</x:v>
      </x:c>
      <x:c r="F219" t="inlineStr">
        <x:is>
          <x:t xml:space="preserve">SYSTEM-TEST-ONLY-NO-NETWORK-NOT-AN-EDUCATIONAL-EVALUATION</x:t>
        </x:is>
      </x:c>
      <x:c r="G219" t="inlineStr">
        <x:is>
          <x:t xml:space="preserve"/>
        </x:is>
      </x:c>
      <x:c r="H219" t="inlineStr">
        <x:is>
          <x:t xml:space="preserve">NONE</x:t>
        </x:is>
      </x:c>
      <x:c r="I219" t="inlineStr">
        <x:is>
          <x:t xml:space="preserve"/>
        </x:is>
      </x:c>
      <x:c r="J219" t="inlineStr">
        <x:is>
          <x:t xml:space="preserve">SUCCESS</x:t>
        </x:is>
      </x:c>
      <x:c r="K219" t="n">
        <x:f>IF((COUNT('Quantification_Results'!E219)=1),IFERROR(ROUND((SUM(('Quantification_Results'!E219*'Quantification_Config'!$R$6))/SUM('Quantification_Config'!$R$6)),'Quantification_Config'!$U$2),""),"")</x:f>
        <x:v>50</x:v>
      </x:c>
      <x:c r="L219" t="n">
        <x:f>IF((COUNT('Quantification_Results'!K219)=1),IFERROR(ROUND((SUM(('Quantification_Results'!K219*'Quantification_Config'!$R$5))/SUM('Quantification_Config'!$R$5)),'Quantification_Config'!$U$2),""),"")</x:f>
        <x:v>50</x:v>
      </x:c>
      <x:c r="M219" t="n">
        <x:v>1</x:v>
      </x:c>
      <x:c r="N219" t="n">
        <x:v>5</x:v>
      </x:c>
      <x:c r="O219"/>
      <x:c r="P219" t="n">
        <x:f>IF(('Quantification_Results'!M219&lt;&gt;1),"",IF(('Quantification_Results'!O219=""),IF(ISNUMBER('Quantification_Results'!N219),IF(('Quantification_Results'!N219&lt;'Quantification_Config'!$S$9),"",IF(('Quantification_Results'!N219&gt;'Quantification_Config'!$T$9),"",'Quantification_Results'!N219)),""),IF(ISNUMBER('Quantification_Results'!O219),IF(('Quantification_Results'!O219&lt;'Quantification_Config'!$S$9),"",IF(('Quantification_Results'!O219&gt;'Quantification_Config'!$T$9),"",'Quantification_Results'!O219)),"")))</x:f>
        <x:v>5</x:v>
      </x:c>
      <x:c r="Q219" t="n">
        <x:f>IF(ISNUMBER('Quantification_Results'!P219),IFERROR(ROUND(((('Quantification_Results'!P219-'Quantification_Config'!$S$9)/('Quantification_Config'!$T$9-'Quantification_Config'!$S$9))*100),'Quantification_Config'!$U$2),""),"")</x:f>
        <x:v>50</x:v>
      </x:c>
      <x:c r="R219" t="inlineStr">
        <x:is>
          <x:t xml:space="preserve">SYSTEM-TEST-ONLY-NO-NETWORK-NOT-AN-EDUCATIONAL-EVALUATION</x:t>
        </x:is>
      </x:c>
      <x:c r="S219" t="inlineStr">
        <x:is>
          <x:t xml:space="preserve"/>
        </x:is>
      </x:c>
      <x:c r="T219" t="inlineStr">
        <x:is>
          <x:t xml:space="preserve">NONE</x:t>
        </x:is>
      </x:c>
      <x:c r="U219" t="inlineStr">
        <x:is>
          <x:t xml:space="preserve"/>
        </x:is>
      </x:c>
      <x:c r="V219" t="inlineStr">
        <x:is>
          <x:t xml:space="preserve">SUCCESS</x:t>
        </x:is>
      </x:c>
      <x:c r="W219" t="n">
        <x:f>IF((COUNT('Quantification_Results'!Q219)=1),IFERROR(ROUND((SUM(('Quantification_Results'!Q219*'Quantification_Config'!$R$9))/SUM('Quantification_Config'!$R$9)),'Quantification_Config'!$U$2),""),"")</x:f>
        <x:v>50</x:v>
      </x:c>
      <x:c r="X219" t="n">
        <x:f>IF((COUNT('Quantification_Results'!W219)=1),IFERROR(ROUND((SUM(('Quantification_Results'!W219*'Quantification_Config'!$R$8))/SUM('Quantification_Config'!$R$8)),'Quantification_Config'!$U$2),""),"")</x:f>
        <x:v>50</x:v>
      </x:c>
      <x:c r="Y219" t="n">
        <x:v>0</x:v>
      </x:c>
      <x:c r="Z219"/>
      <x:c r="AA219"/>
      <x:c r="AB219">
        <x:f>IF(('Quantification_Results'!Y219&lt;&gt;1),"",IF(('Quantification_Results'!AA219=""),IF(ISNUMBER('Quantification_Results'!Z219),IF(('Quantification_Results'!Z219&lt;'Quantification_Config'!$S$12),"",IF(('Quantification_Results'!Z219&gt;'Quantification_Config'!$T$12),"",'Quantification_Results'!Z219)),""),IF(ISNUMBER('Quantification_Results'!AA219),IF(('Quantification_Results'!AA219&lt;'Quantification_Config'!$S$12),"",IF(('Quantification_Results'!AA219&gt;'Quantification_Config'!$T$12),"",'Quantification_Results'!AA219)),"")))</x:f>
      </x:c>
      <x:c r="AC219">
        <x:f>IF(ISNUMBER('Quantification_Results'!AB219),IFERROR(ROUND(((('Quantification_Results'!AB219-'Quantification_Config'!$S$12)/('Quantification_Config'!$T$12-'Quantification_Config'!$S$12))*100),'Quantification_Config'!$U$2),""),"")</x:f>
      </x:c>
      <x:c r="AD219" t="inlineStr">
        <x:is>
          <x:t xml:space="preserve"/>
        </x:is>
      </x:c>
      <x:c r="AE219" t="inlineStr">
        <x:is>
          <x:t xml:space="preserve"/>
        </x:is>
      </x:c>
      <x:c r="AF219" t="inlineStr">
        <x:is>
          <x:t xml:space="preserve"/>
        </x:is>
      </x:c>
      <x:c r="AG219" t="inlineStr">
        <x:is>
          <x:t xml:space="preserve"/>
        </x:is>
      </x:c>
      <x:c r="AH219" t="inlineStr">
        <x:is>
          <x:t xml:space="preserve">EMPTY</x:t>
        </x:is>
      </x:c>
      <x:c r="AI219">
        <x:f>IF((COUNT('Quantification_Results'!AC219)=1),IFERROR(ROUND((SUM(('Quantification_Results'!AC219*'Quantification_Config'!$R$12))/SUM('Quantification_Config'!$R$12)),'Quantification_Config'!$U$2),""),"")</x:f>
      </x:c>
      <x:c r="AJ219">
        <x:f>IF((COUNT('Quantification_Results'!AI219)=1),IFERROR(ROUND((SUM(('Quantification_Results'!AI219*'Quantification_Config'!$R$11))/SUM('Quantification_Config'!$R$11)),'Quantification_Config'!$U$2),""),"")</x:f>
      </x:c>
      <x:c r="AK219" t="n">
        <x:v>1</x:v>
      </x:c>
      <x:c r="AL219" t="n">
        <x:v>5</x:v>
      </x:c>
      <x:c r="AM219"/>
      <x:c r="AN219" t="n">
        <x:f>IF(('Quantification_Results'!AK219&lt;&gt;1),"",IF(('Quantification_Results'!AM219=""),IF(ISNUMBER('Quantification_Results'!AL219),IF(('Quantification_Results'!AL219&lt;'Quantification_Config'!$S$15),"",IF(('Quantification_Results'!AL219&gt;'Quantification_Config'!$T$15),"",'Quantification_Results'!AL219)),""),IF(ISNUMBER('Quantification_Results'!AM219),IF(('Quantification_Results'!AM219&lt;'Quantification_Config'!$S$15),"",IF(('Quantification_Results'!AM219&gt;'Quantification_Config'!$T$15),"",'Quantification_Results'!AM219)),"")))</x:f>
        <x:v>5</x:v>
      </x:c>
      <x:c r="AO219" t="n">
        <x:f>IF(ISNUMBER('Quantification_Results'!AN219),IFERROR(ROUND(((('Quantification_Results'!AN219-'Quantification_Config'!$S$15)/('Quantification_Config'!$T$15-'Quantification_Config'!$S$15))*100),'Quantification_Config'!$U$2),""),"")</x:f>
        <x:v>50</x:v>
      </x:c>
      <x:c r="AP219" t="inlineStr">
        <x:is>
          <x:t xml:space="preserve">SYSTEM-TEST-ONLY-NO-NETWORK-NOT-AN-EDUCATIONAL-EVALUATION</x:t>
        </x:is>
      </x:c>
      <x:c r="AQ219" t="inlineStr">
        <x:is>
          <x:t xml:space="preserve"/>
        </x:is>
      </x:c>
      <x:c r="AR219" t="inlineStr">
        <x:is>
          <x:t xml:space="preserve">NONE</x:t>
        </x:is>
      </x:c>
      <x:c r="AS219" t="inlineStr">
        <x:is>
          <x:t xml:space="preserve"/>
        </x:is>
      </x:c>
      <x:c r="AT219" t="inlineStr">
        <x:is>
          <x:t xml:space="preserve">SUCCESS</x:t>
        </x:is>
      </x:c>
      <x:c r="AU219" t="n">
        <x:f>IF((COUNT('Quantification_Results'!AO219)=1),IFERROR(ROUND((SUM(('Quantification_Results'!AO219*'Quantification_Config'!$R$15))/SUM('Quantification_Config'!$R$15)),'Quantification_Config'!$U$2),""),"")</x:f>
        <x:v>50</x:v>
      </x:c>
      <x:c r="AV219" t="n">
        <x:f>IF((COUNT('Quantification_Results'!AU219)=1),IFERROR(ROUND((SUM(('Quantification_Results'!AU219*'Quantification_Config'!$R$14))/SUM('Quantification_Config'!$R$14)),'Quantification_Config'!$U$2),""),"")</x:f>
        <x:v>50</x:v>
      </x:c>
      <x:c r="AW219" t="n">
        <x:v>1</x:v>
      </x:c>
      <x:c r="AX219" t="n">
        <x:v>5</x:v>
      </x:c>
      <x:c r="AY219"/>
      <x:c r="AZ219" t="n">
        <x:f>IF(('Quantification_Results'!AW219&lt;&gt;1),"",IF(('Quantification_Results'!AY219=""),IF(ISNUMBER('Quantification_Results'!AX219),IF(('Quantification_Results'!AX219&lt;'Quantification_Config'!$S$19),"",IF(('Quantification_Results'!AX219&gt;'Quantification_Config'!$T$19),"",'Quantification_Results'!AX219)),""),IF(ISNUMBER('Quantification_Results'!AY219),IF(('Quantification_Results'!AY219&lt;'Quantification_Config'!$S$19),"",IF(('Quantification_Results'!AY219&gt;'Quantification_Config'!$T$19),"",'Quantification_Results'!AY219)),"")))</x:f>
        <x:v>5</x:v>
      </x:c>
      <x:c r="BA219" t="n">
        <x:f>IF(ISNUMBER('Quantification_Results'!AZ219),IFERROR(ROUND(((('Quantification_Results'!AZ219-'Quantification_Config'!$S$19)/('Quantification_Config'!$T$19-'Quantification_Config'!$S$19))*100),'Quantification_Config'!$U$2),""),"")</x:f>
        <x:v>50</x:v>
      </x:c>
      <x:c r="BB219" t="inlineStr">
        <x:is>
          <x:t xml:space="preserve">SYSTEM-TEST-ONLY-NO-NETWORK-NOT-AN-EDUCATIONAL-EVALUATION</x:t>
        </x:is>
      </x:c>
      <x:c r="BC219" t="inlineStr">
        <x:is>
          <x:t xml:space="preserve"/>
        </x:is>
      </x:c>
      <x:c r="BD219" t="inlineStr">
        <x:is>
          <x:t xml:space="preserve">NONE</x:t>
        </x:is>
      </x:c>
      <x:c r="BE219" t="inlineStr">
        <x:is>
          <x:t xml:space="preserve"/>
        </x:is>
      </x:c>
      <x:c r="BF219" t="inlineStr">
        <x:is>
          <x:t xml:space="preserve">SUCCESS</x:t>
        </x:is>
      </x:c>
      <x:c r="BG219" t="n">
        <x:f>IF((COUNT('Quantification_Results'!BA219)=1),IFERROR(ROUND((SUM(('Quantification_Results'!BA219*'Quantification_Config'!$R$19))/SUM('Quantification_Config'!$R$19)),'Quantification_Config'!$U$2),""),"")</x:f>
        <x:v>50</x:v>
      </x:c>
      <x:c r="BH219" t="n">
        <x:f>IF((COUNT('Quantification_Results'!BG219)=1),IFERROR(ROUND((SUM(('Quantification_Results'!BG219*'Quantification_Config'!$R$18))/SUM('Quantification_Config'!$R$18)),'Quantification_Config'!$U$2),""),"")</x:f>
        <x:v>50</x:v>
      </x:c>
      <x:c r="BI219">
        <x:f>IF((COUNT('Quantification_Results'!L219,'Quantification_Results'!X219,'Quantification_Results'!AJ219,'Quantification_Results'!AV219,'Quantification_Results'!BH219)=5),IFERROR(ROUND((SUM(('Quantification_Results'!L219*'Quantification_Config'!$R$4),('Quantification_Results'!X219*'Quantification_Config'!$R$7),('Quantification_Results'!AJ219*'Quantification_Config'!$R$10),('Quantification_Results'!AV219*'Quantification_Config'!$R$13),('Quantification_Results'!BH219*'Quantification_Config'!$R$16))/SUM('Quantification_Config'!$R$4,'Quantification_Config'!$R$7,'Quantification_Config'!$R$10,'Quantification_Config'!$R$13,'Quantification_Config'!$R$16)),'Quantification_Config'!$U$2),""),"")</x:f>
      </x:c>
    </x:row>
    <x:row r="220">
      <x:c r="A220" t="n">
        <x:v>1</x:v>
      </x:c>
      <x:c r="B220" t="n">
        <x:v>5</x:v>
      </x:c>
      <x:c r="C220"/>
      <x:c r="D220" t="n">
        <x:f>IF(('Quantification_Results'!A220&lt;&gt;1),"",IF(('Quantification_Results'!C220=""),IF(ISNUMBER('Quantification_Results'!B220),IF(('Quantification_Results'!B220&lt;'Quantification_Config'!$S$6),"",IF(('Quantification_Results'!B220&gt;'Quantification_Config'!$T$6),"",'Quantification_Results'!B220)),""),IF(ISNUMBER('Quantification_Results'!C220),IF(('Quantification_Results'!C220&lt;'Quantification_Config'!$S$6),"",IF(('Quantification_Results'!C220&gt;'Quantification_Config'!$T$6),"",'Quantification_Results'!C220)),"")))</x:f>
        <x:v>5</x:v>
      </x:c>
      <x:c r="E220" t="n">
        <x:f>IF(ISNUMBER('Quantification_Results'!D220),IFERROR(ROUND(((('Quantification_Results'!D220-'Quantification_Config'!$S$6)/('Quantification_Config'!$T$6-'Quantification_Config'!$S$6))*100),'Quantification_Config'!$U$2),""),"")</x:f>
        <x:v>50</x:v>
      </x:c>
      <x:c r="F220" t="inlineStr">
        <x:is>
          <x:t xml:space="preserve">SYSTEM-TEST-ONLY-NO-NETWORK-NOT-AN-EDUCATIONAL-EVALUATION</x:t>
        </x:is>
      </x:c>
      <x:c r="G220" t="inlineStr">
        <x:is>
          <x:t xml:space="preserve"/>
        </x:is>
      </x:c>
      <x:c r="H220" t="inlineStr">
        <x:is>
          <x:t xml:space="preserve">NONE</x:t>
        </x:is>
      </x:c>
      <x:c r="I220" t="inlineStr">
        <x:is>
          <x:t xml:space="preserve"/>
        </x:is>
      </x:c>
      <x:c r="J220" t="inlineStr">
        <x:is>
          <x:t xml:space="preserve">SUCCESS</x:t>
        </x:is>
      </x:c>
      <x:c r="K220" t="n">
        <x:f>IF((COUNT('Quantification_Results'!E220)=1),IFERROR(ROUND((SUM(('Quantification_Results'!E220*'Quantification_Config'!$R$6))/SUM('Quantification_Config'!$R$6)),'Quantification_Config'!$U$2),""),"")</x:f>
        <x:v>50</x:v>
      </x:c>
      <x:c r="L220" t="n">
        <x:f>IF((COUNT('Quantification_Results'!K220)=1),IFERROR(ROUND((SUM(('Quantification_Results'!K220*'Quantification_Config'!$R$5))/SUM('Quantification_Config'!$R$5)),'Quantification_Config'!$U$2),""),"")</x:f>
        <x:v>50</x:v>
      </x:c>
      <x:c r="M220" t="n">
        <x:v>1</x:v>
      </x:c>
      <x:c r="N220" t="n">
        <x:v>5</x:v>
      </x:c>
      <x:c r="O220"/>
      <x:c r="P220" t="n">
        <x:f>IF(('Quantification_Results'!M220&lt;&gt;1),"",IF(('Quantification_Results'!O220=""),IF(ISNUMBER('Quantification_Results'!N220),IF(('Quantification_Results'!N220&lt;'Quantification_Config'!$S$9),"",IF(('Quantification_Results'!N220&gt;'Quantification_Config'!$T$9),"",'Quantification_Results'!N220)),""),IF(ISNUMBER('Quantification_Results'!O220),IF(('Quantification_Results'!O220&lt;'Quantification_Config'!$S$9),"",IF(('Quantification_Results'!O220&gt;'Quantification_Config'!$T$9),"",'Quantification_Results'!O220)),"")))</x:f>
        <x:v>5</x:v>
      </x:c>
      <x:c r="Q220" t="n">
        <x:f>IF(ISNUMBER('Quantification_Results'!P220),IFERROR(ROUND(((('Quantification_Results'!P220-'Quantification_Config'!$S$9)/('Quantification_Config'!$T$9-'Quantification_Config'!$S$9))*100),'Quantification_Config'!$U$2),""),"")</x:f>
        <x:v>50</x:v>
      </x:c>
      <x:c r="R220" t="inlineStr">
        <x:is>
          <x:t xml:space="preserve">SYSTEM-TEST-ONLY-NO-NETWORK-NOT-AN-EDUCATIONAL-EVALUATION</x:t>
        </x:is>
      </x:c>
      <x:c r="S220" t="inlineStr">
        <x:is>
          <x:t xml:space="preserve"/>
        </x:is>
      </x:c>
      <x:c r="T220" t="inlineStr">
        <x:is>
          <x:t xml:space="preserve">NONE</x:t>
        </x:is>
      </x:c>
      <x:c r="U220" t="inlineStr">
        <x:is>
          <x:t xml:space="preserve"/>
        </x:is>
      </x:c>
      <x:c r="V220" t="inlineStr">
        <x:is>
          <x:t xml:space="preserve">SUCCESS</x:t>
        </x:is>
      </x:c>
      <x:c r="W220" t="n">
        <x:f>IF((COUNT('Quantification_Results'!Q220)=1),IFERROR(ROUND((SUM(('Quantification_Results'!Q220*'Quantification_Config'!$R$9))/SUM('Quantification_Config'!$R$9)),'Quantification_Config'!$U$2),""),"")</x:f>
        <x:v>50</x:v>
      </x:c>
      <x:c r="X220" t="n">
        <x:f>IF((COUNT('Quantification_Results'!W220)=1),IFERROR(ROUND((SUM(('Quantification_Results'!W220*'Quantification_Config'!$R$8))/SUM('Quantification_Config'!$R$8)),'Quantification_Config'!$U$2),""),"")</x:f>
        <x:v>50</x:v>
      </x:c>
      <x:c r="Y220" t="n">
        <x:v>1</x:v>
      </x:c>
      <x:c r="Z220" t="n">
        <x:v>5</x:v>
      </x:c>
      <x:c r="AA220"/>
      <x:c r="AB220" t="n">
        <x:f>IF(('Quantification_Results'!Y220&lt;&gt;1),"",IF(('Quantification_Results'!AA220=""),IF(ISNUMBER('Quantification_Results'!Z220),IF(('Quantification_Results'!Z220&lt;'Quantification_Config'!$S$12),"",IF(('Quantification_Results'!Z220&gt;'Quantification_Config'!$T$12),"",'Quantification_Results'!Z220)),""),IF(ISNUMBER('Quantification_Results'!AA220),IF(('Quantification_Results'!AA220&lt;'Quantification_Config'!$S$12),"",IF(('Quantification_Results'!AA220&gt;'Quantification_Config'!$T$12),"",'Quantification_Results'!AA220)),"")))</x:f>
        <x:v>5</x:v>
      </x:c>
      <x:c r="AC220" t="n">
        <x:f>IF(ISNUMBER('Quantification_Results'!AB220),IFERROR(ROUND(((('Quantification_Results'!AB220-'Quantification_Config'!$S$12)/('Quantification_Config'!$T$12-'Quantification_Config'!$S$12))*100),'Quantification_Config'!$U$2),""),"")</x:f>
        <x:v>50</x:v>
      </x:c>
      <x:c r="AD220" t="inlineStr">
        <x:is>
          <x:t xml:space="preserve">SYSTEM-TEST-ONLY-NO-NETWORK-NOT-AN-EDUCATIONAL-EVALUATION</x:t>
        </x:is>
      </x:c>
      <x:c r="AE220" t="inlineStr">
        <x:is>
          <x:t xml:space="preserve"/>
        </x:is>
      </x:c>
      <x:c r="AF220" t="inlineStr">
        <x:is>
          <x:t xml:space="preserve">NONE</x:t>
        </x:is>
      </x:c>
      <x:c r="AG220" t="inlineStr">
        <x:is>
          <x:t xml:space="preserve"/>
        </x:is>
      </x:c>
      <x:c r="AH220" t="inlineStr">
        <x:is>
          <x:t xml:space="preserve">SUCCESS</x:t>
        </x:is>
      </x:c>
      <x:c r="AI220" t="n">
        <x:f>IF((COUNT('Quantification_Results'!AC220)=1),IFERROR(ROUND((SUM(('Quantification_Results'!AC220*'Quantification_Config'!$R$12))/SUM('Quantification_Config'!$R$12)),'Quantification_Config'!$U$2),""),"")</x:f>
        <x:v>50</x:v>
      </x:c>
      <x:c r="AJ220" t="n">
        <x:f>IF((COUNT('Quantification_Results'!AI220)=1),IFERROR(ROUND((SUM(('Quantification_Results'!AI220*'Quantification_Config'!$R$11))/SUM('Quantification_Config'!$R$11)),'Quantification_Config'!$U$2),""),"")</x:f>
        <x:v>50</x:v>
      </x:c>
      <x:c r="AK220" t="n">
        <x:v>1</x:v>
      </x:c>
      <x:c r="AL220" t="n">
        <x:v>5</x:v>
      </x:c>
      <x:c r="AM220"/>
      <x:c r="AN220" t="n">
        <x:f>IF(('Quantification_Results'!AK220&lt;&gt;1),"",IF(('Quantification_Results'!AM220=""),IF(ISNUMBER('Quantification_Results'!AL220),IF(('Quantification_Results'!AL220&lt;'Quantification_Config'!$S$15),"",IF(('Quantification_Results'!AL220&gt;'Quantification_Config'!$T$15),"",'Quantification_Results'!AL220)),""),IF(ISNUMBER('Quantification_Results'!AM220),IF(('Quantification_Results'!AM220&lt;'Quantification_Config'!$S$15),"",IF(('Quantification_Results'!AM220&gt;'Quantification_Config'!$T$15),"",'Quantification_Results'!AM220)),"")))</x:f>
        <x:v>5</x:v>
      </x:c>
      <x:c r="AO220" t="n">
        <x:f>IF(ISNUMBER('Quantification_Results'!AN220),IFERROR(ROUND(((('Quantification_Results'!AN220-'Quantification_Config'!$S$15)/('Quantification_Config'!$T$15-'Quantification_Config'!$S$15))*100),'Quantification_Config'!$U$2),""),"")</x:f>
        <x:v>50</x:v>
      </x:c>
      <x:c r="AP220" t="inlineStr">
        <x:is>
          <x:t xml:space="preserve">SYSTEM-TEST-ONLY-NO-NETWORK-NOT-AN-EDUCATIONAL-EVALUATION</x:t>
        </x:is>
      </x:c>
      <x:c r="AQ220" t="inlineStr">
        <x:is>
          <x:t xml:space="preserve"/>
        </x:is>
      </x:c>
      <x:c r="AR220" t="inlineStr">
        <x:is>
          <x:t xml:space="preserve">NONE</x:t>
        </x:is>
      </x:c>
      <x:c r="AS220" t="inlineStr">
        <x:is>
          <x:t xml:space="preserve"/>
        </x:is>
      </x:c>
      <x:c r="AT220" t="inlineStr">
        <x:is>
          <x:t xml:space="preserve">SUCCESS</x:t>
        </x:is>
      </x:c>
      <x:c r="AU220" t="n">
        <x:f>IF((COUNT('Quantification_Results'!AO220)=1),IFERROR(ROUND((SUM(('Quantification_Results'!AO220*'Quantification_Config'!$R$15))/SUM('Quantification_Config'!$R$15)),'Quantification_Config'!$U$2),""),"")</x:f>
        <x:v>50</x:v>
      </x:c>
      <x:c r="AV220" t="n">
        <x:f>IF((COUNT('Quantification_Results'!AU220)=1),IFERROR(ROUND((SUM(('Quantification_Results'!AU220*'Quantification_Config'!$R$14))/SUM('Quantification_Config'!$R$14)),'Quantification_Config'!$U$2),""),"")</x:f>
        <x:v>50</x:v>
      </x:c>
      <x:c r="AW220" t="n">
        <x:v>1</x:v>
      </x:c>
      <x:c r="AX220" t="n">
        <x:v>5</x:v>
      </x:c>
      <x:c r="AY220"/>
      <x:c r="AZ220" t="n">
        <x:f>IF(('Quantification_Results'!AW220&lt;&gt;1),"",IF(('Quantification_Results'!AY220=""),IF(ISNUMBER('Quantification_Results'!AX220),IF(('Quantification_Results'!AX220&lt;'Quantification_Config'!$S$19),"",IF(('Quantification_Results'!AX220&gt;'Quantification_Config'!$T$19),"",'Quantification_Results'!AX220)),""),IF(ISNUMBER('Quantification_Results'!AY220),IF(('Quantification_Results'!AY220&lt;'Quantification_Config'!$S$19),"",IF(('Quantification_Results'!AY220&gt;'Quantification_Config'!$T$19),"",'Quantification_Results'!AY220)),"")))</x:f>
        <x:v>5</x:v>
      </x:c>
      <x:c r="BA220" t="n">
        <x:f>IF(ISNUMBER('Quantification_Results'!AZ220),IFERROR(ROUND(((('Quantification_Results'!AZ220-'Quantification_Config'!$S$19)/('Quantification_Config'!$T$19-'Quantification_Config'!$S$19))*100),'Quantification_Config'!$U$2),""),"")</x:f>
        <x:v>50</x:v>
      </x:c>
      <x:c r="BB220" t="inlineStr">
        <x:is>
          <x:t xml:space="preserve">SYSTEM-TEST-ONLY-NO-NETWORK-NOT-AN-EDUCATIONAL-EVALUATION</x:t>
        </x:is>
      </x:c>
      <x:c r="BC220" t="inlineStr">
        <x:is>
          <x:t xml:space="preserve"/>
        </x:is>
      </x:c>
      <x:c r="BD220" t="inlineStr">
        <x:is>
          <x:t xml:space="preserve">NONE</x:t>
        </x:is>
      </x:c>
      <x:c r="BE220" t="inlineStr">
        <x:is>
          <x:t xml:space="preserve"/>
        </x:is>
      </x:c>
      <x:c r="BF220" t="inlineStr">
        <x:is>
          <x:t xml:space="preserve">SUCCESS</x:t>
        </x:is>
      </x:c>
      <x:c r="BG220" t="n">
        <x:f>IF((COUNT('Quantification_Results'!BA220)=1),IFERROR(ROUND((SUM(('Quantification_Results'!BA220*'Quantification_Config'!$R$19))/SUM('Quantification_Config'!$R$19)),'Quantification_Config'!$U$2),""),"")</x:f>
        <x:v>50</x:v>
      </x:c>
      <x:c r="BH220" t="n">
        <x:f>IF((COUNT('Quantification_Results'!BG220)=1),IFERROR(ROUND((SUM(('Quantification_Results'!BG220*'Quantification_Config'!$R$18))/SUM('Quantification_Config'!$R$18)),'Quantification_Config'!$U$2),""),"")</x:f>
        <x:v>50</x:v>
      </x:c>
      <x:c r="BI220" t="n">
        <x:f>IF((COUNT('Quantification_Results'!L220,'Quantification_Results'!X220,'Quantification_Results'!AJ220,'Quantification_Results'!AV220,'Quantification_Results'!BH220)=5),IFERROR(ROUND((SUM(('Quantification_Results'!L220*'Quantification_Config'!$R$4),('Quantification_Results'!X220*'Quantification_Config'!$R$7),('Quantification_Results'!AJ220*'Quantification_Config'!$R$10),('Quantification_Results'!AV220*'Quantification_Config'!$R$13),('Quantification_Results'!BH220*'Quantification_Config'!$R$16))/SUM('Quantification_Config'!$R$4,'Quantification_Config'!$R$7,'Quantification_Config'!$R$10,'Quantification_Config'!$R$13,'Quantification_Config'!$R$16)),'Quantification_Config'!$U$2),""),"")</x:f>
        <x:v>50</x:v>
      </x:c>
    </x:row>
    <x:row r="221">
      <x:c r="A221" t="n">
        <x:v>1</x:v>
      </x:c>
      <x:c r="B221" t="n">
        <x:v>5</x:v>
      </x:c>
      <x:c r="C221"/>
      <x:c r="D221" t="n">
        <x:f>IF(('Quantification_Results'!A221&lt;&gt;1),"",IF(('Quantification_Results'!C221=""),IF(ISNUMBER('Quantification_Results'!B221),IF(('Quantification_Results'!B221&lt;'Quantification_Config'!$S$6),"",IF(('Quantification_Results'!B221&gt;'Quantification_Config'!$T$6),"",'Quantification_Results'!B221)),""),IF(ISNUMBER('Quantification_Results'!C221),IF(('Quantification_Results'!C221&lt;'Quantification_Config'!$S$6),"",IF(('Quantification_Results'!C221&gt;'Quantification_Config'!$T$6),"",'Quantification_Results'!C221)),"")))</x:f>
        <x:v>5</x:v>
      </x:c>
      <x:c r="E221" t="n">
        <x:f>IF(ISNUMBER('Quantification_Results'!D221),IFERROR(ROUND(((('Quantification_Results'!D221-'Quantification_Config'!$S$6)/('Quantification_Config'!$T$6-'Quantification_Config'!$S$6))*100),'Quantification_Config'!$U$2),""),"")</x:f>
        <x:v>50</x:v>
      </x:c>
      <x:c r="F221" t="inlineStr">
        <x:is>
          <x:t xml:space="preserve">SYSTEM-TEST-ONLY-NO-NETWORK-NOT-AN-EDUCATIONAL-EVALUATION</x:t>
        </x:is>
      </x:c>
      <x:c r="G221" t="inlineStr">
        <x:is>
          <x:t xml:space="preserve"/>
        </x:is>
      </x:c>
      <x:c r="H221" t="inlineStr">
        <x:is>
          <x:t xml:space="preserve">NONE</x:t>
        </x:is>
      </x:c>
      <x:c r="I221" t="inlineStr">
        <x:is>
          <x:t xml:space="preserve"/>
        </x:is>
      </x:c>
      <x:c r="J221" t="inlineStr">
        <x:is>
          <x:t xml:space="preserve">SUCCESS</x:t>
        </x:is>
      </x:c>
      <x:c r="K221" t="n">
        <x:f>IF((COUNT('Quantification_Results'!E221)=1),IFERROR(ROUND((SUM(('Quantification_Results'!E221*'Quantification_Config'!$R$6))/SUM('Quantification_Config'!$R$6)),'Quantification_Config'!$U$2),""),"")</x:f>
        <x:v>50</x:v>
      </x:c>
      <x:c r="L221" t="n">
        <x:f>IF((COUNT('Quantification_Results'!K221)=1),IFERROR(ROUND((SUM(('Quantification_Results'!K221*'Quantification_Config'!$R$5))/SUM('Quantification_Config'!$R$5)),'Quantification_Config'!$U$2),""),"")</x:f>
        <x:v>50</x:v>
      </x:c>
      <x:c r="M221" t="n">
        <x:v>1</x:v>
      </x:c>
      <x:c r="N221" t="n">
        <x:v>5</x:v>
      </x:c>
      <x:c r="O221"/>
      <x:c r="P221" t="n">
        <x:f>IF(('Quantification_Results'!M221&lt;&gt;1),"",IF(('Quantification_Results'!O221=""),IF(ISNUMBER('Quantification_Results'!N221),IF(('Quantification_Results'!N221&lt;'Quantification_Config'!$S$9),"",IF(('Quantification_Results'!N221&gt;'Quantification_Config'!$T$9),"",'Quantification_Results'!N221)),""),IF(ISNUMBER('Quantification_Results'!O221),IF(('Quantification_Results'!O221&lt;'Quantification_Config'!$S$9),"",IF(('Quantification_Results'!O221&gt;'Quantification_Config'!$T$9),"",'Quantification_Results'!O221)),"")))</x:f>
        <x:v>5</x:v>
      </x:c>
      <x:c r="Q221" t="n">
        <x:f>IF(ISNUMBER('Quantification_Results'!P221),IFERROR(ROUND(((('Quantification_Results'!P221-'Quantification_Config'!$S$9)/('Quantification_Config'!$T$9-'Quantification_Config'!$S$9))*100),'Quantification_Config'!$U$2),""),"")</x:f>
        <x:v>50</x:v>
      </x:c>
      <x:c r="R221" t="inlineStr">
        <x:is>
          <x:t xml:space="preserve">SYSTEM-TEST-ONLY-NO-NETWORK-NOT-AN-EDUCATIONAL-EVALUATION</x:t>
        </x:is>
      </x:c>
      <x:c r="S221" t="inlineStr">
        <x:is>
          <x:t xml:space="preserve"/>
        </x:is>
      </x:c>
      <x:c r="T221" t="inlineStr">
        <x:is>
          <x:t xml:space="preserve">NONE</x:t>
        </x:is>
      </x:c>
      <x:c r="U221" t="inlineStr">
        <x:is>
          <x:t xml:space="preserve"/>
        </x:is>
      </x:c>
      <x:c r="V221" t="inlineStr">
        <x:is>
          <x:t xml:space="preserve">SUCCESS</x:t>
        </x:is>
      </x:c>
      <x:c r="W221" t="n">
        <x:f>IF((COUNT('Quantification_Results'!Q221)=1),IFERROR(ROUND((SUM(('Quantification_Results'!Q221*'Quantification_Config'!$R$9))/SUM('Quantification_Config'!$R$9)),'Quantification_Config'!$U$2),""),"")</x:f>
        <x:v>50</x:v>
      </x:c>
      <x:c r="X221" t="n">
        <x:f>IF((COUNT('Quantification_Results'!W221)=1),IFERROR(ROUND((SUM(('Quantification_Results'!W221*'Quantification_Config'!$R$8))/SUM('Quantification_Config'!$R$8)),'Quantification_Config'!$U$2),""),"")</x:f>
        <x:v>50</x:v>
      </x:c>
      <x:c r="Y221" t="n">
        <x:v>0</x:v>
      </x:c>
      <x:c r="Z221"/>
      <x:c r="AA221"/>
      <x:c r="AB221">
        <x:f>IF(('Quantification_Results'!Y221&lt;&gt;1),"",IF(('Quantification_Results'!AA221=""),IF(ISNUMBER('Quantification_Results'!Z221),IF(('Quantification_Results'!Z221&lt;'Quantification_Config'!$S$12),"",IF(('Quantification_Results'!Z221&gt;'Quantification_Config'!$T$12),"",'Quantification_Results'!Z221)),""),IF(ISNUMBER('Quantification_Results'!AA221),IF(('Quantification_Results'!AA221&lt;'Quantification_Config'!$S$12),"",IF(('Quantification_Results'!AA221&gt;'Quantification_Config'!$T$12),"",'Quantification_Results'!AA221)),"")))</x:f>
      </x:c>
      <x:c r="AC221">
        <x:f>IF(ISNUMBER('Quantification_Results'!AB221),IFERROR(ROUND(((('Quantification_Results'!AB221-'Quantification_Config'!$S$12)/('Quantification_Config'!$T$12-'Quantification_Config'!$S$12))*100),'Quantification_Config'!$U$2),""),"")</x:f>
      </x:c>
      <x:c r="AD221" t="inlineStr">
        <x:is>
          <x:t xml:space="preserve"/>
        </x:is>
      </x:c>
      <x:c r="AE221" t="inlineStr">
        <x:is>
          <x:t xml:space="preserve"/>
        </x:is>
      </x:c>
      <x:c r="AF221" t="inlineStr">
        <x:is>
          <x:t xml:space="preserve"/>
        </x:is>
      </x:c>
      <x:c r="AG221" t="inlineStr">
        <x:is>
          <x:t xml:space="preserve"/>
        </x:is>
      </x:c>
      <x:c r="AH221" t="inlineStr">
        <x:is>
          <x:t xml:space="preserve">EMPTY</x:t>
        </x:is>
      </x:c>
      <x:c r="AI221">
        <x:f>IF((COUNT('Quantification_Results'!AC221)=1),IFERROR(ROUND((SUM(('Quantification_Results'!AC221*'Quantification_Config'!$R$12))/SUM('Quantification_Config'!$R$12)),'Quantification_Config'!$U$2),""),"")</x:f>
      </x:c>
      <x:c r="AJ221">
        <x:f>IF((COUNT('Quantification_Results'!AI221)=1),IFERROR(ROUND((SUM(('Quantification_Results'!AI221*'Quantification_Config'!$R$11))/SUM('Quantification_Config'!$R$11)),'Quantification_Config'!$U$2),""),"")</x:f>
      </x:c>
      <x:c r="AK221" t="n">
        <x:v>1</x:v>
      </x:c>
      <x:c r="AL221" t="n">
        <x:v>5</x:v>
      </x:c>
      <x:c r="AM221"/>
      <x:c r="AN221" t="n">
        <x:f>IF(('Quantification_Results'!AK221&lt;&gt;1),"",IF(('Quantification_Results'!AM221=""),IF(ISNUMBER('Quantification_Results'!AL221),IF(('Quantification_Results'!AL221&lt;'Quantification_Config'!$S$15),"",IF(('Quantification_Results'!AL221&gt;'Quantification_Config'!$T$15),"",'Quantification_Results'!AL221)),""),IF(ISNUMBER('Quantification_Results'!AM221),IF(('Quantification_Results'!AM221&lt;'Quantification_Config'!$S$15),"",IF(('Quantification_Results'!AM221&gt;'Quantification_Config'!$T$15),"",'Quantification_Results'!AM221)),"")))</x:f>
        <x:v>5</x:v>
      </x:c>
      <x:c r="AO221" t="n">
        <x:f>IF(ISNUMBER('Quantification_Results'!AN221),IFERROR(ROUND(((('Quantification_Results'!AN221-'Quantification_Config'!$S$15)/('Quantification_Config'!$T$15-'Quantification_Config'!$S$15))*100),'Quantification_Config'!$U$2),""),"")</x:f>
        <x:v>50</x:v>
      </x:c>
      <x:c r="AP221" t="inlineStr">
        <x:is>
          <x:t xml:space="preserve">SYSTEM-TEST-ONLY-NO-NETWORK-NOT-AN-EDUCATIONAL-EVALUATION</x:t>
        </x:is>
      </x:c>
      <x:c r="AQ221" t="inlineStr">
        <x:is>
          <x:t xml:space="preserve"/>
        </x:is>
      </x:c>
      <x:c r="AR221" t="inlineStr">
        <x:is>
          <x:t xml:space="preserve">NONE</x:t>
        </x:is>
      </x:c>
      <x:c r="AS221" t="inlineStr">
        <x:is>
          <x:t xml:space="preserve"/>
        </x:is>
      </x:c>
      <x:c r="AT221" t="inlineStr">
        <x:is>
          <x:t xml:space="preserve">SUCCESS</x:t>
        </x:is>
      </x:c>
      <x:c r="AU221" t="n">
        <x:f>IF((COUNT('Quantification_Results'!AO221)=1),IFERROR(ROUND((SUM(('Quantification_Results'!AO221*'Quantification_Config'!$R$15))/SUM('Quantification_Config'!$R$15)),'Quantification_Config'!$U$2),""),"")</x:f>
        <x:v>50</x:v>
      </x:c>
      <x:c r="AV221" t="n">
        <x:f>IF((COUNT('Quantification_Results'!AU221)=1),IFERROR(ROUND((SUM(('Quantification_Results'!AU221*'Quantification_Config'!$R$14))/SUM('Quantification_Config'!$R$14)),'Quantification_Config'!$U$2),""),"")</x:f>
        <x:v>50</x:v>
      </x:c>
      <x:c r="AW221" t="n">
        <x:v>1</x:v>
      </x:c>
      <x:c r="AX221" t="n">
        <x:v>5</x:v>
      </x:c>
      <x:c r="AY221"/>
      <x:c r="AZ221" t="n">
        <x:f>IF(('Quantification_Results'!AW221&lt;&gt;1),"",IF(('Quantification_Results'!AY221=""),IF(ISNUMBER('Quantification_Results'!AX221),IF(('Quantification_Results'!AX221&lt;'Quantification_Config'!$S$19),"",IF(('Quantification_Results'!AX221&gt;'Quantification_Config'!$T$19),"",'Quantification_Results'!AX221)),""),IF(ISNUMBER('Quantification_Results'!AY221),IF(('Quantification_Results'!AY221&lt;'Quantification_Config'!$S$19),"",IF(('Quantification_Results'!AY221&gt;'Quantification_Config'!$T$19),"",'Quantification_Results'!AY221)),"")))</x:f>
        <x:v>5</x:v>
      </x:c>
      <x:c r="BA221" t="n">
        <x:f>IF(ISNUMBER('Quantification_Results'!AZ221),IFERROR(ROUND(((('Quantification_Results'!AZ221-'Quantification_Config'!$S$19)/('Quantification_Config'!$T$19-'Quantification_Config'!$S$19))*100),'Quantification_Config'!$U$2),""),"")</x:f>
        <x:v>50</x:v>
      </x:c>
      <x:c r="BB221" t="inlineStr">
        <x:is>
          <x:t xml:space="preserve">SYSTEM-TEST-ONLY-NO-NETWORK-NOT-AN-EDUCATIONAL-EVALUATION</x:t>
        </x:is>
      </x:c>
      <x:c r="BC221" t="inlineStr">
        <x:is>
          <x:t xml:space="preserve"/>
        </x:is>
      </x:c>
      <x:c r="BD221" t="inlineStr">
        <x:is>
          <x:t xml:space="preserve">NONE</x:t>
        </x:is>
      </x:c>
      <x:c r="BE221" t="inlineStr">
        <x:is>
          <x:t xml:space="preserve"/>
        </x:is>
      </x:c>
      <x:c r="BF221" t="inlineStr">
        <x:is>
          <x:t xml:space="preserve">SUCCESS</x:t>
        </x:is>
      </x:c>
      <x:c r="BG221" t="n">
        <x:f>IF((COUNT('Quantification_Results'!BA221)=1),IFERROR(ROUND((SUM(('Quantification_Results'!BA221*'Quantification_Config'!$R$19))/SUM('Quantification_Config'!$R$19)),'Quantification_Config'!$U$2),""),"")</x:f>
        <x:v>50</x:v>
      </x:c>
      <x:c r="BH221" t="n">
        <x:f>IF((COUNT('Quantification_Results'!BG221)=1),IFERROR(ROUND((SUM(('Quantification_Results'!BG221*'Quantification_Config'!$R$18))/SUM('Quantification_Config'!$R$18)),'Quantification_Config'!$U$2),""),"")</x:f>
        <x:v>50</x:v>
      </x:c>
      <x:c r="BI221">
        <x:f>IF((COUNT('Quantification_Results'!L221,'Quantification_Results'!X221,'Quantification_Results'!AJ221,'Quantification_Results'!AV221,'Quantification_Results'!BH221)=5),IFERROR(ROUND((SUM(('Quantification_Results'!L221*'Quantification_Config'!$R$4),('Quantification_Results'!X221*'Quantification_Config'!$R$7),('Quantification_Results'!AJ221*'Quantification_Config'!$R$10),('Quantification_Results'!AV221*'Quantification_Config'!$R$13),('Quantification_Results'!BH221*'Quantification_Config'!$R$16))/SUM('Quantification_Config'!$R$4,'Quantification_Config'!$R$7,'Quantification_Config'!$R$10,'Quantification_Config'!$R$13,'Quantification_Config'!$R$16)),'Quantification_Config'!$U$2),""),"")</x:f>
      </x:c>
    </x:row>
    <x:row r="222">
      <x:c r="A222" t="n">
        <x:v>1</x:v>
      </x:c>
      <x:c r="B222" t="n">
        <x:v>5</x:v>
      </x:c>
      <x:c r="C222"/>
      <x:c r="D222" t="n">
        <x:f>IF(('Quantification_Results'!A222&lt;&gt;1),"",IF(('Quantification_Results'!C222=""),IF(ISNUMBER('Quantification_Results'!B222),IF(('Quantification_Results'!B222&lt;'Quantification_Config'!$S$6),"",IF(('Quantification_Results'!B222&gt;'Quantification_Config'!$T$6),"",'Quantification_Results'!B222)),""),IF(ISNUMBER('Quantification_Results'!C222),IF(('Quantification_Results'!C222&lt;'Quantification_Config'!$S$6),"",IF(('Quantification_Results'!C222&gt;'Quantification_Config'!$T$6),"",'Quantification_Results'!C222)),"")))</x:f>
        <x:v>5</x:v>
      </x:c>
      <x:c r="E222" t="n">
        <x:f>IF(ISNUMBER('Quantification_Results'!D222),IFERROR(ROUND(((('Quantification_Results'!D222-'Quantification_Config'!$S$6)/('Quantification_Config'!$T$6-'Quantification_Config'!$S$6))*100),'Quantification_Config'!$U$2),""),"")</x:f>
        <x:v>50</x:v>
      </x:c>
      <x:c r="F222" t="inlineStr">
        <x:is>
          <x:t xml:space="preserve">SYSTEM-TEST-ONLY-NO-NETWORK-NOT-AN-EDUCATIONAL-EVALUATION</x:t>
        </x:is>
      </x:c>
      <x:c r="G222" t="inlineStr">
        <x:is>
          <x:t xml:space="preserve"/>
        </x:is>
      </x:c>
      <x:c r="H222" t="inlineStr">
        <x:is>
          <x:t xml:space="preserve">NONE</x:t>
        </x:is>
      </x:c>
      <x:c r="I222" t="inlineStr">
        <x:is>
          <x:t xml:space="preserve"/>
        </x:is>
      </x:c>
      <x:c r="J222" t="inlineStr">
        <x:is>
          <x:t xml:space="preserve">SUCCESS</x:t>
        </x:is>
      </x:c>
      <x:c r="K222" t="n">
        <x:f>IF((COUNT('Quantification_Results'!E222)=1),IFERROR(ROUND((SUM(('Quantification_Results'!E222*'Quantification_Config'!$R$6))/SUM('Quantification_Config'!$R$6)),'Quantification_Config'!$U$2),""),"")</x:f>
        <x:v>50</x:v>
      </x:c>
      <x:c r="L222" t="n">
        <x:f>IF((COUNT('Quantification_Results'!K222)=1),IFERROR(ROUND((SUM(('Quantification_Results'!K222*'Quantification_Config'!$R$5))/SUM('Quantification_Config'!$R$5)),'Quantification_Config'!$U$2),""),"")</x:f>
        <x:v>50</x:v>
      </x:c>
      <x:c r="M222" t="n">
        <x:v>1</x:v>
      </x:c>
      <x:c r="N222" t="n">
        <x:v>5</x:v>
      </x:c>
      <x:c r="O222"/>
      <x:c r="P222" t="n">
        <x:f>IF(('Quantification_Results'!M222&lt;&gt;1),"",IF(('Quantification_Results'!O222=""),IF(ISNUMBER('Quantification_Results'!N222),IF(('Quantification_Results'!N222&lt;'Quantification_Config'!$S$9),"",IF(('Quantification_Results'!N222&gt;'Quantification_Config'!$T$9),"",'Quantification_Results'!N222)),""),IF(ISNUMBER('Quantification_Results'!O222),IF(('Quantification_Results'!O222&lt;'Quantification_Config'!$S$9),"",IF(('Quantification_Results'!O222&gt;'Quantification_Config'!$T$9),"",'Quantification_Results'!O222)),"")))</x:f>
        <x:v>5</x:v>
      </x:c>
      <x:c r="Q222" t="n">
        <x:f>IF(ISNUMBER('Quantification_Results'!P222),IFERROR(ROUND(((('Quantification_Results'!P222-'Quantification_Config'!$S$9)/('Quantification_Config'!$T$9-'Quantification_Config'!$S$9))*100),'Quantification_Config'!$U$2),""),"")</x:f>
        <x:v>50</x:v>
      </x:c>
      <x:c r="R222" t="inlineStr">
        <x:is>
          <x:t xml:space="preserve">SYSTEM-TEST-ONLY-NO-NETWORK-NOT-AN-EDUCATIONAL-EVALUATION</x:t>
        </x:is>
      </x:c>
      <x:c r="S222" t="inlineStr">
        <x:is>
          <x:t xml:space="preserve"/>
        </x:is>
      </x:c>
      <x:c r="T222" t="inlineStr">
        <x:is>
          <x:t xml:space="preserve">NONE</x:t>
        </x:is>
      </x:c>
      <x:c r="U222" t="inlineStr">
        <x:is>
          <x:t xml:space="preserve"/>
        </x:is>
      </x:c>
      <x:c r="V222" t="inlineStr">
        <x:is>
          <x:t xml:space="preserve">SUCCESS</x:t>
        </x:is>
      </x:c>
      <x:c r="W222" t="n">
        <x:f>IF((COUNT('Quantification_Results'!Q222)=1),IFERROR(ROUND((SUM(('Quantification_Results'!Q222*'Quantification_Config'!$R$9))/SUM('Quantification_Config'!$R$9)),'Quantification_Config'!$U$2),""),"")</x:f>
        <x:v>50</x:v>
      </x:c>
      <x:c r="X222" t="n">
        <x:f>IF((COUNT('Quantification_Results'!W222)=1),IFERROR(ROUND((SUM(('Quantification_Results'!W222*'Quantification_Config'!$R$8))/SUM('Quantification_Config'!$R$8)),'Quantification_Config'!$U$2),""),"")</x:f>
        <x:v>50</x:v>
      </x:c>
      <x:c r="Y222" t="n">
        <x:v>0</x:v>
      </x:c>
      <x:c r="Z222"/>
      <x:c r="AA222"/>
      <x:c r="AB222">
        <x:f>IF(('Quantification_Results'!Y222&lt;&gt;1),"",IF(('Quantification_Results'!AA222=""),IF(ISNUMBER('Quantification_Results'!Z222),IF(('Quantification_Results'!Z222&lt;'Quantification_Config'!$S$12),"",IF(('Quantification_Results'!Z222&gt;'Quantification_Config'!$T$12),"",'Quantification_Results'!Z222)),""),IF(ISNUMBER('Quantification_Results'!AA222),IF(('Quantification_Results'!AA222&lt;'Quantification_Config'!$S$12),"",IF(('Quantification_Results'!AA222&gt;'Quantification_Config'!$T$12),"",'Quantification_Results'!AA222)),"")))</x:f>
      </x:c>
      <x:c r="AC222">
        <x:f>IF(ISNUMBER('Quantification_Results'!AB222),IFERROR(ROUND(((('Quantification_Results'!AB222-'Quantification_Config'!$S$12)/('Quantification_Config'!$T$12-'Quantification_Config'!$S$12))*100),'Quantification_Config'!$U$2),""),"")</x:f>
      </x:c>
      <x:c r="AD222" t="inlineStr">
        <x:is>
          <x:t xml:space="preserve"/>
        </x:is>
      </x:c>
      <x:c r="AE222" t="inlineStr">
        <x:is>
          <x:t xml:space="preserve"/>
        </x:is>
      </x:c>
      <x:c r="AF222" t="inlineStr">
        <x:is>
          <x:t xml:space="preserve"/>
        </x:is>
      </x:c>
      <x:c r="AG222" t="inlineStr">
        <x:is>
          <x:t xml:space="preserve"/>
        </x:is>
      </x:c>
      <x:c r="AH222" t="inlineStr">
        <x:is>
          <x:t xml:space="preserve">EMPTY</x:t>
        </x:is>
      </x:c>
      <x:c r="AI222">
        <x:f>IF((COUNT('Quantification_Results'!AC222)=1),IFERROR(ROUND((SUM(('Quantification_Results'!AC222*'Quantification_Config'!$R$12))/SUM('Quantification_Config'!$R$12)),'Quantification_Config'!$U$2),""),"")</x:f>
      </x:c>
      <x:c r="AJ222">
        <x:f>IF((COUNT('Quantification_Results'!AI222)=1),IFERROR(ROUND((SUM(('Quantification_Results'!AI222*'Quantification_Config'!$R$11))/SUM('Quantification_Config'!$R$11)),'Quantification_Config'!$U$2),""),"")</x:f>
      </x:c>
      <x:c r="AK222" t="n">
        <x:v>1</x:v>
      </x:c>
      <x:c r="AL222" t="n">
        <x:v>5</x:v>
      </x:c>
      <x:c r="AM222"/>
      <x:c r="AN222" t="n">
        <x:f>IF(('Quantification_Results'!AK222&lt;&gt;1),"",IF(('Quantification_Results'!AM222=""),IF(ISNUMBER('Quantification_Results'!AL222),IF(('Quantification_Results'!AL222&lt;'Quantification_Config'!$S$15),"",IF(('Quantification_Results'!AL222&gt;'Quantification_Config'!$T$15),"",'Quantification_Results'!AL222)),""),IF(ISNUMBER('Quantification_Results'!AM222),IF(('Quantification_Results'!AM222&lt;'Quantification_Config'!$S$15),"",IF(('Quantification_Results'!AM222&gt;'Quantification_Config'!$T$15),"",'Quantification_Results'!AM222)),"")))</x:f>
        <x:v>5</x:v>
      </x:c>
      <x:c r="AO222" t="n">
        <x:f>IF(ISNUMBER('Quantification_Results'!AN222),IFERROR(ROUND(((('Quantification_Results'!AN222-'Quantification_Config'!$S$15)/('Quantification_Config'!$T$15-'Quantification_Config'!$S$15))*100),'Quantification_Config'!$U$2),""),"")</x:f>
        <x:v>50</x:v>
      </x:c>
      <x:c r="AP222" t="inlineStr">
        <x:is>
          <x:t xml:space="preserve">SYSTEM-TEST-ONLY-NO-NETWORK-NOT-AN-EDUCATIONAL-EVALUATION</x:t>
        </x:is>
      </x:c>
      <x:c r="AQ222" t="inlineStr">
        <x:is>
          <x:t xml:space="preserve"/>
        </x:is>
      </x:c>
      <x:c r="AR222" t="inlineStr">
        <x:is>
          <x:t xml:space="preserve">NONE</x:t>
        </x:is>
      </x:c>
      <x:c r="AS222" t="inlineStr">
        <x:is>
          <x:t xml:space="preserve"/>
        </x:is>
      </x:c>
      <x:c r="AT222" t="inlineStr">
        <x:is>
          <x:t xml:space="preserve">SUCCESS</x:t>
        </x:is>
      </x:c>
      <x:c r="AU222" t="n">
        <x:f>IF((COUNT('Quantification_Results'!AO222)=1),IFERROR(ROUND((SUM(('Quantification_Results'!AO222*'Quantification_Config'!$R$15))/SUM('Quantification_Config'!$R$15)),'Quantification_Config'!$U$2),""),"")</x:f>
        <x:v>50</x:v>
      </x:c>
      <x:c r="AV222" t="n">
        <x:f>IF((COUNT('Quantification_Results'!AU222)=1),IFERROR(ROUND((SUM(('Quantification_Results'!AU222*'Quantification_Config'!$R$14))/SUM('Quantification_Config'!$R$14)),'Quantification_Config'!$U$2),""),"")</x:f>
        <x:v>50</x:v>
      </x:c>
      <x:c r="AW222" t="n">
        <x:v>1</x:v>
      </x:c>
      <x:c r="AX222" t="n">
        <x:v>5</x:v>
      </x:c>
      <x:c r="AY222"/>
      <x:c r="AZ222" t="n">
        <x:f>IF(('Quantification_Results'!AW222&lt;&gt;1),"",IF(('Quantification_Results'!AY222=""),IF(ISNUMBER('Quantification_Results'!AX222),IF(('Quantification_Results'!AX222&lt;'Quantification_Config'!$S$19),"",IF(('Quantification_Results'!AX222&gt;'Quantification_Config'!$T$19),"",'Quantification_Results'!AX222)),""),IF(ISNUMBER('Quantification_Results'!AY222),IF(('Quantification_Results'!AY222&lt;'Quantification_Config'!$S$19),"",IF(('Quantification_Results'!AY222&gt;'Quantification_Config'!$T$19),"",'Quantification_Results'!AY222)),"")))</x:f>
        <x:v>5</x:v>
      </x:c>
      <x:c r="BA222" t="n">
        <x:f>IF(ISNUMBER('Quantification_Results'!AZ222),IFERROR(ROUND(((('Quantification_Results'!AZ222-'Quantification_Config'!$S$19)/('Quantification_Config'!$T$19-'Quantification_Config'!$S$19))*100),'Quantification_Config'!$U$2),""),"")</x:f>
        <x:v>50</x:v>
      </x:c>
      <x:c r="BB222" t="inlineStr">
        <x:is>
          <x:t xml:space="preserve">SYSTEM-TEST-ONLY-NO-NETWORK-NOT-AN-EDUCATIONAL-EVALUATION</x:t>
        </x:is>
      </x:c>
      <x:c r="BC222" t="inlineStr">
        <x:is>
          <x:t xml:space="preserve"/>
        </x:is>
      </x:c>
      <x:c r="BD222" t="inlineStr">
        <x:is>
          <x:t xml:space="preserve">NONE</x:t>
        </x:is>
      </x:c>
      <x:c r="BE222" t="inlineStr">
        <x:is>
          <x:t xml:space="preserve"/>
        </x:is>
      </x:c>
      <x:c r="BF222" t="inlineStr">
        <x:is>
          <x:t xml:space="preserve">SUCCESS</x:t>
        </x:is>
      </x:c>
      <x:c r="BG222" t="n">
        <x:f>IF((COUNT('Quantification_Results'!BA222)=1),IFERROR(ROUND((SUM(('Quantification_Results'!BA222*'Quantification_Config'!$R$19))/SUM('Quantification_Config'!$R$19)),'Quantification_Config'!$U$2),""),"")</x:f>
        <x:v>50</x:v>
      </x:c>
      <x:c r="BH222" t="n">
        <x:f>IF((COUNT('Quantification_Results'!BG222)=1),IFERROR(ROUND((SUM(('Quantification_Results'!BG222*'Quantification_Config'!$R$18))/SUM('Quantification_Config'!$R$18)),'Quantification_Config'!$U$2),""),"")</x:f>
        <x:v>50</x:v>
      </x:c>
      <x:c r="BI222">
        <x:f>IF((COUNT('Quantification_Results'!L222,'Quantification_Results'!X222,'Quantification_Results'!AJ222,'Quantification_Results'!AV222,'Quantification_Results'!BH222)=5),IFERROR(ROUND((SUM(('Quantification_Results'!L222*'Quantification_Config'!$R$4),('Quantification_Results'!X222*'Quantification_Config'!$R$7),('Quantification_Results'!AJ222*'Quantification_Config'!$R$10),('Quantification_Results'!AV222*'Quantification_Config'!$R$13),('Quantification_Results'!BH222*'Quantification_Config'!$R$16))/SUM('Quantification_Config'!$R$4,'Quantification_Config'!$R$7,'Quantification_Config'!$R$10,'Quantification_Config'!$R$13,'Quantification_Config'!$R$16)),'Quantification_Config'!$U$2),""),"")</x:f>
      </x:c>
    </x:row>
    <x:row r="223">
      <x:c r="A223" t="n">
        <x:v>1</x:v>
      </x:c>
      <x:c r="B223" t="n">
        <x:v>5</x:v>
      </x:c>
      <x:c r="C223"/>
      <x:c r="D223" t="n">
        <x:f>IF(('Quantification_Results'!A223&lt;&gt;1),"",IF(('Quantification_Results'!C223=""),IF(ISNUMBER('Quantification_Results'!B223),IF(('Quantification_Results'!B223&lt;'Quantification_Config'!$S$6),"",IF(('Quantification_Results'!B223&gt;'Quantification_Config'!$T$6),"",'Quantification_Results'!B223)),""),IF(ISNUMBER('Quantification_Results'!C223),IF(('Quantification_Results'!C223&lt;'Quantification_Config'!$S$6),"",IF(('Quantification_Results'!C223&gt;'Quantification_Config'!$T$6),"",'Quantification_Results'!C223)),"")))</x:f>
        <x:v>5</x:v>
      </x:c>
      <x:c r="E223" t="n">
        <x:f>IF(ISNUMBER('Quantification_Results'!D223),IFERROR(ROUND(((('Quantification_Results'!D223-'Quantification_Config'!$S$6)/('Quantification_Config'!$T$6-'Quantification_Config'!$S$6))*100),'Quantification_Config'!$U$2),""),"")</x:f>
        <x:v>50</x:v>
      </x:c>
      <x:c r="F223" t="inlineStr">
        <x:is>
          <x:t xml:space="preserve">SYSTEM-TEST-ONLY-NO-NETWORK-NOT-AN-EDUCATIONAL-EVALUATION</x:t>
        </x:is>
      </x:c>
      <x:c r="G223" t="inlineStr">
        <x:is>
          <x:t xml:space="preserve"/>
        </x:is>
      </x:c>
      <x:c r="H223" t="inlineStr">
        <x:is>
          <x:t xml:space="preserve">NONE</x:t>
        </x:is>
      </x:c>
      <x:c r="I223" t="inlineStr">
        <x:is>
          <x:t xml:space="preserve"/>
        </x:is>
      </x:c>
      <x:c r="J223" t="inlineStr">
        <x:is>
          <x:t xml:space="preserve">SUCCESS</x:t>
        </x:is>
      </x:c>
      <x:c r="K223" t="n">
        <x:f>IF((COUNT('Quantification_Results'!E223)=1),IFERROR(ROUND((SUM(('Quantification_Results'!E223*'Quantification_Config'!$R$6))/SUM('Quantification_Config'!$R$6)),'Quantification_Config'!$U$2),""),"")</x:f>
        <x:v>50</x:v>
      </x:c>
      <x:c r="L223" t="n">
        <x:f>IF((COUNT('Quantification_Results'!K223)=1),IFERROR(ROUND((SUM(('Quantification_Results'!K223*'Quantification_Config'!$R$5))/SUM('Quantification_Config'!$R$5)),'Quantification_Config'!$U$2),""),"")</x:f>
        <x:v>50</x:v>
      </x:c>
      <x:c r="M223" t="n">
        <x:v>1</x:v>
      </x:c>
      <x:c r="N223" t="n">
        <x:v>5</x:v>
      </x:c>
      <x:c r="O223"/>
      <x:c r="P223" t="n">
        <x:f>IF(('Quantification_Results'!M223&lt;&gt;1),"",IF(('Quantification_Results'!O223=""),IF(ISNUMBER('Quantification_Results'!N223),IF(('Quantification_Results'!N223&lt;'Quantification_Config'!$S$9),"",IF(('Quantification_Results'!N223&gt;'Quantification_Config'!$T$9),"",'Quantification_Results'!N223)),""),IF(ISNUMBER('Quantification_Results'!O223),IF(('Quantification_Results'!O223&lt;'Quantification_Config'!$S$9),"",IF(('Quantification_Results'!O223&gt;'Quantification_Config'!$T$9),"",'Quantification_Results'!O223)),"")))</x:f>
        <x:v>5</x:v>
      </x:c>
      <x:c r="Q223" t="n">
        <x:f>IF(ISNUMBER('Quantification_Results'!P223),IFERROR(ROUND(((('Quantification_Results'!P223-'Quantification_Config'!$S$9)/('Quantification_Config'!$T$9-'Quantification_Config'!$S$9))*100),'Quantification_Config'!$U$2),""),"")</x:f>
        <x:v>50</x:v>
      </x:c>
      <x:c r="R223" t="inlineStr">
        <x:is>
          <x:t xml:space="preserve">SYSTEM-TEST-ONLY-NO-NETWORK-NOT-AN-EDUCATIONAL-EVALUATION</x:t>
        </x:is>
      </x:c>
      <x:c r="S223" t="inlineStr">
        <x:is>
          <x:t xml:space="preserve"/>
        </x:is>
      </x:c>
      <x:c r="T223" t="inlineStr">
        <x:is>
          <x:t xml:space="preserve">NONE</x:t>
        </x:is>
      </x:c>
      <x:c r="U223" t="inlineStr">
        <x:is>
          <x:t xml:space="preserve"/>
        </x:is>
      </x:c>
      <x:c r="V223" t="inlineStr">
        <x:is>
          <x:t xml:space="preserve">SUCCESS</x:t>
        </x:is>
      </x:c>
      <x:c r="W223" t="n">
        <x:f>IF((COUNT('Quantification_Results'!Q223)=1),IFERROR(ROUND((SUM(('Quantification_Results'!Q223*'Quantification_Config'!$R$9))/SUM('Quantification_Config'!$R$9)),'Quantification_Config'!$U$2),""),"")</x:f>
        <x:v>50</x:v>
      </x:c>
      <x:c r="X223" t="n">
        <x:f>IF((COUNT('Quantification_Results'!W223)=1),IFERROR(ROUND((SUM(('Quantification_Results'!W223*'Quantification_Config'!$R$8))/SUM('Quantification_Config'!$R$8)),'Quantification_Config'!$U$2),""),"")</x:f>
        <x:v>50</x:v>
      </x:c>
      <x:c r="Y223" t="n">
        <x:v>0</x:v>
      </x:c>
      <x:c r="Z223"/>
      <x:c r="AA223"/>
      <x:c r="AB223">
        <x:f>IF(('Quantification_Results'!Y223&lt;&gt;1),"",IF(('Quantification_Results'!AA223=""),IF(ISNUMBER('Quantification_Results'!Z223),IF(('Quantification_Results'!Z223&lt;'Quantification_Config'!$S$12),"",IF(('Quantification_Results'!Z223&gt;'Quantification_Config'!$T$12),"",'Quantification_Results'!Z223)),""),IF(ISNUMBER('Quantification_Results'!AA223),IF(('Quantification_Results'!AA223&lt;'Quantification_Config'!$S$12),"",IF(('Quantification_Results'!AA223&gt;'Quantification_Config'!$T$12),"",'Quantification_Results'!AA223)),"")))</x:f>
      </x:c>
      <x:c r="AC223">
        <x:f>IF(ISNUMBER('Quantification_Results'!AB223),IFERROR(ROUND(((('Quantification_Results'!AB223-'Quantification_Config'!$S$12)/('Quantification_Config'!$T$12-'Quantification_Config'!$S$12))*100),'Quantification_Config'!$U$2),""),"")</x:f>
      </x:c>
      <x:c r="AD223" t="inlineStr">
        <x:is>
          <x:t xml:space="preserve"/>
        </x:is>
      </x:c>
      <x:c r="AE223" t="inlineStr">
        <x:is>
          <x:t xml:space="preserve"/>
        </x:is>
      </x:c>
      <x:c r="AF223" t="inlineStr">
        <x:is>
          <x:t xml:space="preserve"/>
        </x:is>
      </x:c>
      <x:c r="AG223" t="inlineStr">
        <x:is>
          <x:t xml:space="preserve"/>
        </x:is>
      </x:c>
      <x:c r="AH223" t="inlineStr">
        <x:is>
          <x:t xml:space="preserve">EMPTY</x:t>
        </x:is>
      </x:c>
      <x:c r="AI223">
        <x:f>IF((COUNT('Quantification_Results'!AC223)=1),IFERROR(ROUND((SUM(('Quantification_Results'!AC223*'Quantification_Config'!$R$12))/SUM('Quantification_Config'!$R$12)),'Quantification_Config'!$U$2),""),"")</x:f>
      </x:c>
      <x:c r="AJ223">
        <x:f>IF((COUNT('Quantification_Results'!AI223)=1),IFERROR(ROUND((SUM(('Quantification_Results'!AI223*'Quantification_Config'!$R$11))/SUM('Quantification_Config'!$R$11)),'Quantification_Config'!$U$2),""),"")</x:f>
      </x:c>
      <x:c r="AK223" t="n">
        <x:v>1</x:v>
      </x:c>
      <x:c r="AL223" t="n">
        <x:v>5</x:v>
      </x:c>
      <x:c r="AM223"/>
      <x:c r="AN223" t="n">
        <x:f>IF(('Quantification_Results'!AK223&lt;&gt;1),"",IF(('Quantification_Results'!AM223=""),IF(ISNUMBER('Quantification_Results'!AL223),IF(('Quantification_Results'!AL223&lt;'Quantification_Config'!$S$15),"",IF(('Quantification_Results'!AL223&gt;'Quantification_Config'!$T$15),"",'Quantification_Results'!AL223)),""),IF(ISNUMBER('Quantification_Results'!AM223),IF(('Quantification_Results'!AM223&lt;'Quantification_Config'!$S$15),"",IF(('Quantification_Results'!AM223&gt;'Quantification_Config'!$T$15),"",'Quantification_Results'!AM223)),"")))</x:f>
        <x:v>5</x:v>
      </x:c>
      <x:c r="AO223" t="n">
        <x:f>IF(ISNUMBER('Quantification_Results'!AN223),IFERROR(ROUND(((('Quantification_Results'!AN223-'Quantification_Config'!$S$15)/('Quantification_Config'!$T$15-'Quantification_Config'!$S$15))*100),'Quantification_Config'!$U$2),""),"")</x:f>
        <x:v>50</x:v>
      </x:c>
      <x:c r="AP223" t="inlineStr">
        <x:is>
          <x:t xml:space="preserve">SYSTEM-TEST-ONLY-NO-NETWORK-NOT-AN-EDUCATIONAL-EVALUATION</x:t>
        </x:is>
      </x:c>
      <x:c r="AQ223" t="inlineStr">
        <x:is>
          <x:t xml:space="preserve"/>
        </x:is>
      </x:c>
      <x:c r="AR223" t="inlineStr">
        <x:is>
          <x:t xml:space="preserve">NONE</x:t>
        </x:is>
      </x:c>
      <x:c r="AS223" t="inlineStr">
        <x:is>
          <x:t xml:space="preserve"/>
        </x:is>
      </x:c>
      <x:c r="AT223" t="inlineStr">
        <x:is>
          <x:t xml:space="preserve">SUCCESS</x:t>
        </x:is>
      </x:c>
      <x:c r="AU223" t="n">
        <x:f>IF((COUNT('Quantification_Results'!AO223)=1),IFERROR(ROUND((SUM(('Quantification_Results'!AO223*'Quantification_Config'!$R$15))/SUM('Quantification_Config'!$R$15)),'Quantification_Config'!$U$2),""),"")</x:f>
        <x:v>50</x:v>
      </x:c>
      <x:c r="AV223" t="n">
        <x:f>IF((COUNT('Quantification_Results'!AU223)=1),IFERROR(ROUND((SUM(('Quantification_Results'!AU223*'Quantification_Config'!$R$14))/SUM('Quantification_Config'!$R$14)),'Quantification_Config'!$U$2),""),"")</x:f>
        <x:v>50</x:v>
      </x:c>
      <x:c r="AW223" t="n">
        <x:v>0</x:v>
      </x:c>
      <x:c r="AX223"/>
      <x:c r="AY223"/>
      <x:c r="AZ223">
        <x:f>IF(('Quantification_Results'!AW223&lt;&gt;1),"",IF(('Quantification_Results'!AY223=""),IF(ISNUMBER('Quantification_Results'!AX223),IF(('Quantification_Results'!AX223&lt;'Quantification_Config'!$S$19),"",IF(('Quantification_Results'!AX223&gt;'Quantification_Config'!$T$19),"",'Quantification_Results'!AX223)),""),IF(ISNUMBER('Quantification_Results'!AY223),IF(('Quantification_Results'!AY223&lt;'Quantification_Config'!$S$19),"",IF(('Quantification_Results'!AY223&gt;'Quantification_Config'!$T$19),"",'Quantification_Results'!AY223)),"")))</x:f>
      </x:c>
      <x:c r="BA223">
        <x:f>IF(ISNUMBER('Quantification_Results'!AZ223),IFERROR(ROUND(((('Quantification_Results'!AZ223-'Quantification_Config'!$S$19)/('Quantification_Config'!$T$19-'Quantification_Config'!$S$19))*100),'Quantification_Config'!$U$2),""),"")</x:f>
      </x:c>
      <x:c r="BB223" t="inlineStr">
        <x:is>
          <x:t xml:space="preserve"/>
        </x:is>
      </x:c>
      <x:c r="BC223" t="inlineStr">
        <x:is>
          <x:t xml:space="preserve"/>
        </x:is>
      </x:c>
      <x:c r="BD223" t="inlineStr">
        <x:is>
          <x:t xml:space="preserve"/>
        </x:is>
      </x:c>
      <x:c r="BE223" t="inlineStr">
        <x:is>
          <x:t xml:space="preserve"/>
        </x:is>
      </x:c>
      <x:c r="BF223" t="inlineStr">
        <x:is>
          <x:t xml:space="preserve">EMPTY</x:t>
        </x:is>
      </x:c>
      <x:c r="BG223">
        <x:f>IF((COUNT('Quantification_Results'!BA223)=1),IFERROR(ROUND((SUM(('Quantification_Results'!BA223*'Quantification_Config'!$R$19))/SUM('Quantification_Config'!$R$19)),'Quantification_Config'!$U$2),""),"")</x:f>
      </x:c>
      <x:c r="BH223">
        <x:f>IF((COUNT('Quantification_Results'!BG223)=1),IFERROR(ROUND((SUM(('Quantification_Results'!BG223*'Quantification_Config'!$R$18))/SUM('Quantification_Config'!$R$18)),'Quantification_Config'!$U$2),""),"")</x:f>
      </x:c>
      <x:c r="BI223">
        <x:f>IF((COUNT('Quantification_Results'!L223,'Quantification_Results'!X223,'Quantification_Results'!AJ223,'Quantification_Results'!AV223,'Quantification_Results'!BH223)=5),IFERROR(ROUND((SUM(('Quantification_Results'!L223*'Quantification_Config'!$R$4),('Quantification_Results'!X223*'Quantification_Config'!$R$7),('Quantification_Results'!AJ223*'Quantification_Config'!$R$10),('Quantification_Results'!AV223*'Quantification_Config'!$R$13),('Quantification_Results'!BH223*'Quantification_Config'!$R$16))/SUM('Quantification_Config'!$R$4,'Quantification_Config'!$R$7,'Quantification_Config'!$R$10,'Quantification_Config'!$R$13,'Quantification_Config'!$R$16)),'Quantification_Config'!$U$2),""),"")</x:f>
      </x:c>
    </x:row>
    <x:row r="224">
      <x:c r="A224" t="n">
        <x:v>1</x:v>
      </x:c>
      <x:c r="B224" t="n">
        <x:v>5</x:v>
      </x:c>
      <x:c r="C224"/>
      <x:c r="D224" t="n">
        <x:f>IF(('Quantification_Results'!A224&lt;&gt;1),"",IF(('Quantification_Results'!C224=""),IF(ISNUMBER('Quantification_Results'!B224),IF(('Quantification_Results'!B224&lt;'Quantification_Config'!$S$6),"",IF(('Quantification_Results'!B224&gt;'Quantification_Config'!$T$6),"",'Quantification_Results'!B224)),""),IF(ISNUMBER('Quantification_Results'!C224),IF(('Quantification_Results'!C224&lt;'Quantification_Config'!$S$6),"",IF(('Quantification_Results'!C224&gt;'Quantification_Config'!$T$6),"",'Quantification_Results'!C224)),"")))</x:f>
        <x:v>5</x:v>
      </x:c>
      <x:c r="E224" t="n">
        <x:f>IF(ISNUMBER('Quantification_Results'!D224),IFERROR(ROUND(((('Quantification_Results'!D224-'Quantification_Config'!$S$6)/('Quantification_Config'!$T$6-'Quantification_Config'!$S$6))*100),'Quantification_Config'!$U$2),""),"")</x:f>
        <x:v>50</x:v>
      </x:c>
      <x:c r="F224" t="inlineStr">
        <x:is>
          <x:t xml:space="preserve">SYSTEM-TEST-ONLY-NO-NETWORK-NOT-AN-EDUCATIONAL-EVALUATION</x:t>
        </x:is>
      </x:c>
      <x:c r="G224" t="inlineStr">
        <x:is>
          <x:t xml:space="preserve"/>
        </x:is>
      </x:c>
      <x:c r="H224" t="inlineStr">
        <x:is>
          <x:t xml:space="preserve">NONE</x:t>
        </x:is>
      </x:c>
      <x:c r="I224" t="inlineStr">
        <x:is>
          <x:t xml:space="preserve"/>
        </x:is>
      </x:c>
      <x:c r="J224" t="inlineStr">
        <x:is>
          <x:t xml:space="preserve">SUCCESS</x:t>
        </x:is>
      </x:c>
      <x:c r="K224" t="n">
        <x:f>IF((COUNT('Quantification_Results'!E224)=1),IFERROR(ROUND((SUM(('Quantification_Results'!E224*'Quantification_Config'!$R$6))/SUM('Quantification_Config'!$R$6)),'Quantification_Config'!$U$2),""),"")</x:f>
        <x:v>50</x:v>
      </x:c>
      <x:c r="L224" t="n">
        <x:f>IF((COUNT('Quantification_Results'!K224)=1),IFERROR(ROUND((SUM(('Quantification_Results'!K224*'Quantification_Config'!$R$5))/SUM('Quantification_Config'!$R$5)),'Quantification_Config'!$U$2),""),"")</x:f>
        <x:v>50</x:v>
      </x:c>
      <x:c r="M224" t="n">
        <x:v>1</x:v>
      </x:c>
      <x:c r="N224" t="n">
        <x:v>5</x:v>
      </x:c>
      <x:c r="O224"/>
      <x:c r="P224" t="n">
        <x:f>IF(('Quantification_Results'!M224&lt;&gt;1),"",IF(('Quantification_Results'!O224=""),IF(ISNUMBER('Quantification_Results'!N224),IF(('Quantification_Results'!N224&lt;'Quantification_Config'!$S$9),"",IF(('Quantification_Results'!N224&gt;'Quantification_Config'!$T$9),"",'Quantification_Results'!N224)),""),IF(ISNUMBER('Quantification_Results'!O224),IF(('Quantification_Results'!O224&lt;'Quantification_Config'!$S$9),"",IF(('Quantification_Results'!O224&gt;'Quantification_Config'!$T$9),"",'Quantification_Results'!O224)),"")))</x:f>
        <x:v>5</x:v>
      </x:c>
      <x:c r="Q224" t="n">
        <x:f>IF(ISNUMBER('Quantification_Results'!P224),IFERROR(ROUND(((('Quantification_Results'!P224-'Quantification_Config'!$S$9)/('Quantification_Config'!$T$9-'Quantification_Config'!$S$9))*100),'Quantification_Config'!$U$2),""),"")</x:f>
        <x:v>50</x:v>
      </x:c>
      <x:c r="R224" t="inlineStr">
        <x:is>
          <x:t xml:space="preserve">SYSTEM-TEST-ONLY-NO-NETWORK-NOT-AN-EDUCATIONAL-EVALUATION</x:t>
        </x:is>
      </x:c>
      <x:c r="S224" t="inlineStr">
        <x:is>
          <x:t xml:space="preserve"/>
        </x:is>
      </x:c>
      <x:c r="T224" t="inlineStr">
        <x:is>
          <x:t xml:space="preserve">NONE</x:t>
        </x:is>
      </x:c>
      <x:c r="U224" t="inlineStr">
        <x:is>
          <x:t xml:space="preserve"/>
        </x:is>
      </x:c>
      <x:c r="V224" t="inlineStr">
        <x:is>
          <x:t xml:space="preserve">SUCCESS</x:t>
        </x:is>
      </x:c>
      <x:c r="W224" t="n">
        <x:f>IF((COUNT('Quantification_Results'!Q224)=1),IFERROR(ROUND((SUM(('Quantification_Results'!Q224*'Quantification_Config'!$R$9))/SUM('Quantification_Config'!$R$9)),'Quantification_Config'!$U$2),""),"")</x:f>
        <x:v>50</x:v>
      </x:c>
      <x:c r="X224" t="n">
        <x:f>IF((COUNT('Quantification_Results'!W224)=1),IFERROR(ROUND((SUM(('Quantification_Results'!W224*'Quantification_Config'!$R$8))/SUM('Quantification_Config'!$R$8)),'Quantification_Config'!$U$2),""),"")</x:f>
        <x:v>50</x:v>
      </x:c>
      <x:c r="Y224" t="n">
        <x:v>0</x:v>
      </x:c>
      <x:c r="Z224"/>
      <x:c r="AA224"/>
      <x:c r="AB224">
        <x:f>IF(('Quantification_Results'!Y224&lt;&gt;1),"",IF(('Quantification_Results'!AA224=""),IF(ISNUMBER('Quantification_Results'!Z224),IF(('Quantification_Results'!Z224&lt;'Quantification_Config'!$S$12),"",IF(('Quantification_Results'!Z224&gt;'Quantification_Config'!$T$12),"",'Quantification_Results'!Z224)),""),IF(ISNUMBER('Quantification_Results'!AA224),IF(('Quantification_Results'!AA224&lt;'Quantification_Config'!$S$12),"",IF(('Quantification_Results'!AA224&gt;'Quantification_Config'!$T$12),"",'Quantification_Results'!AA224)),"")))</x:f>
      </x:c>
      <x:c r="AC224">
        <x:f>IF(ISNUMBER('Quantification_Results'!AB224),IFERROR(ROUND(((('Quantification_Results'!AB224-'Quantification_Config'!$S$12)/('Quantification_Config'!$T$12-'Quantification_Config'!$S$12))*100),'Quantification_Config'!$U$2),""),"")</x:f>
      </x:c>
      <x:c r="AD224" t="inlineStr">
        <x:is>
          <x:t xml:space="preserve"/>
        </x:is>
      </x:c>
      <x:c r="AE224" t="inlineStr">
        <x:is>
          <x:t xml:space="preserve"/>
        </x:is>
      </x:c>
      <x:c r="AF224" t="inlineStr">
        <x:is>
          <x:t xml:space="preserve"/>
        </x:is>
      </x:c>
      <x:c r="AG224" t="inlineStr">
        <x:is>
          <x:t xml:space="preserve"/>
        </x:is>
      </x:c>
      <x:c r="AH224" t="inlineStr">
        <x:is>
          <x:t xml:space="preserve">EMPTY</x:t>
        </x:is>
      </x:c>
      <x:c r="AI224">
        <x:f>IF((COUNT('Quantification_Results'!AC224)=1),IFERROR(ROUND((SUM(('Quantification_Results'!AC224*'Quantification_Config'!$R$12))/SUM('Quantification_Config'!$R$12)),'Quantification_Config'!$U$2),""),"")</x:f>
      </x:c>
      <x:c r="AJ224">
        <x:f>IF((COUNT('Quantification_Results'!AI224)=1),IFERROR(ROUND((SUM(('Quantification_Results'!AI224*'Quantification_Config'!$R$11))/SUM('Quantification_Config'!$R$11)),'Quantification_Config'!$U$2),""),"")</x:f>
      </x:c>
      <x:c r="AK224" t="n">
        <x:v>1</x:v>
      </x:c>
      <x:c r="AL224" t="n">
        <x:v>5</x:v>
      </x:c>
      <x:c r="AM224"/>
      <x:c r="AN224" t="n">
        <x:f>IF(('Quantification_Results'!AK224&lt;&gt;1),"",IF(('Quantification_Results'!AM224=""),IF(ISNUMBER('Quantification_Results'!AL224),IF(('Quantification_Results'!AL224&lt;'Quantification_Config'!$S$15),"",IF(('Quantification_Results'!AL224&gt;'Quantification_Config'!$T$15),"",'Quantification_Results'!AL224)),""),IF(ISNUMBER('Quantification_Results'!AM224),IF(('Quantification_Results'!AM224&lt;'Quantification_Config'!$S$15),"",IF(('Quantification_Results'!AM224&gt;'Quantification_Config'!$T$15),"",'Quantification_Results'!AM224)),"")))</x:f>
        <x:v>5</x:v>
      </x:c>
      <x:c r="AO224" t="n">
        <x:f>IF(ISNUMBER('Quantification_Results'!AN224),IFERROR(ROUND(((('Quantification_Results'!AN224-'Quantification_Config'!$S$15)/('Quantification_Config'!$T$15-'Quantification_Config'!$S$15))*100),'Quantification_Config'!$U$2),""),"")</x:f>
        <x:v>50</x:v>
      </x:c>
      <x:c r="AP224" t="inlineStr">
        <x:is>
          <x:t xml:space="preserve">SYSTEM-TEST-ONLY-NO-NETWORK-NOT-AN-EDUCATIONAL-EVALUATION</x:t>
        </x:is>
      </x:c>
      <x:c r="AQ224" t="inlineStr">
        <x:is>
          <x:t xml:space="preserve"/>
        </x:is>
      </x:c>
      <x:c r="AR224" t="inlineStr">
        <x:is>
          <x:t xml:space="preserve">NONE</x:t>
        </x:is>
      </x:c>
      <x:c r="AS224" t="inlineStr">
        <x:is>
          <x:t xml:space="preserve"/>
        </x:is>
      </x:c>
      <x:c r="AT224" t="inlineStr">
        <x:is>
          <x:t xml:space="preserve">SUCCESS</x:t>
        </x:is>
      </x:c>
      <x:c r="AU224" t="n">
        <x:f>IF((COUNT('Quantification_Results'!AO224)=1),IFERROR(ROUND((SUM(('Quantification_Results'!AO224*'Quantification_Config'!$R$15))/SUM('Quantification_Config'!$R$15)),'Quantification_Config'!$U$2),""),"")</x:f>
        <x:v>50</x:v>
      </x:c>
      <x:c r="AV224" t="n">
        <x:f>IF((COUNT('Quantification_Results'!AU224)=1),IFERROR(ROUND((SUM(('Quantification_Results'!AU224*'Quantification_Config'!$R$14))/SUM('Quantification_Config'!$R$14)),'Quantification_Config'!$U$2),""),"")</x:f>
        <x:v>50</x:v>
      </x:c>
      <x:c r="AW224" t="n">
        <x:v>1</x:v>
      </x:c>
      <x:c r="AX224" t="n">
        <x:v>5</x:v>
      </x:c>
      <x:c r="AY224"/>
      <x:c r="AZ224" t="n">
        <x:f>IF(('Quantification_Results'!AW224&lt;&gt;1),"",IF(('Quantification_Results'!AY224=""),IF(ISNUMBER('Quantification_Results'!AX224),IF(('Quantification_Results'!AX224&lt;'Quantification_Config'!$S$19),"",IF(('Quantification_Results'!AX224&gt;'Quantification_Config'!$T$19),"",'Quantification_Results'!AX224)),""),IF(ISNUMBER('Quantification_Results'!AY224),IF(('Quantification_Results'!AY224&lt;'Quantification_Config'!$S$19),"",IF(('Quantification_Results'!AY224&gt;'Quantification_Config'!$T$19),"",'Quantification_Results'!AY224)),"")))</x:f>
        <x:v>5</x:v>
      </x:c>
      <x:c r="BA224" t="n">
        <x:f>IF(ISNUMBER('Quantification_Results'!AZ224),IFERROR(ROUND(((('Quantification_Results'!AZ224-'Quantification_Config'!$S$19)/('Quantification_Config'!$T$19-'Quantification_Config'!$S$19))*100),'Quantification_Config'!$U$2),""),"")</x:f>
        <x:v>50</x:v>
      </x:c>
      <x:c r="BB224" t="inlineStr">
        <x:is>
          <x:t xml:space="preserve">SYSTEM-TEST-ONLY-NO-NETWORK-NOT-AN-EDUCATIONAL-EVALUATION</x:t>
        </x:is>
      </x:c>
      <x:c r="BC224" t="inlineStr">
        <x:is>
          <x:t xml:space="preserve"/>
        </x:is>
      </x:c>
      <x:c r="BD224" t="inlineStr">
        <x:is>
          <x:t xml:space="preserve">NONE</x:t>
        </x:is>
      </x:c>
      <x:c r="BE224" t="inlineStr">
        <x:is>
          <x:t xml:space="preserve"/>
        </x:is>
      </x:c>
      <x:c r="BF224" t="inlineStr">
        <x:is>
          <x:t xml:space="preserve">SUCCESS</x:t>
        </x:is>
      </x:c>
      <x:c r="BG224" t="n">
        <x:f>IF((COUNT('Quantification_Results'!BA224)=1),IFERROR(ROUND((SUM(('Quantification_Results'!BA224*'Quantification_Config'!$R$19))/SUM('Quantification_Config'!$R$19)),'Quantification_Config'!$U$2),""),"")</x:f>
        <x:v>50</x:v>
      </x:c>
      <x:c r="BH224" t="n">
        <x:f>IF((COUNT('Quantification_Results'!BG224)=1),IFERROR(ROUND((SUM(('Quantification_Results'!BG224*'Quantification_Config'!$R$18))/SUM('Quantification_Config'!$R$18)),'Quantification_Config'!$U$2),""),"")</x:f>
        <x:v>50</x:v>
      </x:c>
      <x:c r="BI224">
        <x:f>IF((COUNT('Quantification_Results'!L224,'Quantification_Results'!X224,'Quantification_Results'!AJ224,'Quantification_Results'!AV224,'Quantification_Results'!BH224)=5),IFERROR(ROUND((SUM(('Quantification_Results'!L224*'Quantification_Config'!$R$4),('Quantification_Results'!X224*'Quantification_Config'!$R$7),('Quantification_Results'!AJ224*'Quantification_Config'!$R$10),('Quantification_Results'!AV224*'Quantification_Config'!$R$13),('Quantification_Results'!BH224*'Quantification_Config'!$R$16))/SUM('Quantification_Config'!$R$4,'Quantification_Config'!$R$7,'Quantification_Config'!$R$10,'Quantification_Config'!$R$13,'Quantification_Config'!$R$16)),'Quantification_Config'!$U$2),""),"")</x:f>
      </x:c>
    </x:row>
    <x:row r="225">
      <x:c r="A225" t="n">
        <x:v>1</x:v>
      </x:c>
      <x:c r="B225" t="n">
        <x:v>5</x:v>
      </x:c>
      <x:c r="C225"/>
      <x:c r="D225" t="n">
        <x:f>IF(('Quantification_Results'!A225&lt;&gt;1),"",IF(('Quantification_Results'!C225=""),IF(ISNUMBER('Quantification_Results'!B225),IF(('Quantification_Results'!B225&lt;'Quantification_Config'!$S$6),"",IF(('Quantification_Results'!B225&gt;'Quantification_Config'!$T$6),"",'Quantification_Results'!B225)),""),IF(ISNUMBER('Quantification_Results'!C225),IF(('Quantification_Results'!C225&lt;'Quantification_Config'!$S$6),"",IF(('Quantification_Results'!C225&gt;'Quantification_Config'!$T$6),"",'Quantification_Results'!C225)),"")))</x:f>
        <x:v>5</x:v>
      </x:c>
      <x:c r="E225" t="n">
        <x:f>IF(ISNUMBER('Quantification_Results'!D225),IFERROR(ROUND(((('Quantification_Results'!D225-'Quantification_Config'!$S$6)/('Quantification_Config'!$T$6-'Quantification_Config'!$S$6))*100),'Quantification_Config'!$U$2),""),"")</x:f>
        <x:v>50</x:v>
      </x:c>
      <x:c r="F225" t="inlineStr">
        <x:is>
          <x:t xml:space="preserve">SYSTEM-TEST-ONLY-NO-NETWORK-NOT-AN-EDUCATIONAL-EVALUATION</x:t>
        </x:is>
      </x:c>
      <x:c r="G225" t="inlineStr">
        <x:is>
          <x:t xml:space="preserve"/>
        </x:is>
      </x:c>
      <x:c r="H225" t="inlineStr">
        <x:is>
          <x:t xml:space="preserve">NONE</x:t>
        </x:is>
      </x:c>
      <x:c r="I225" t="inlineStr">
        <x:is>
          <x:t xml:space="preserve"/>
        </x:is>
      </x:c>
      <x:c r="J225" t="inlineStr">
        <x:is>
          <x:t xml:space="preserve">SUCCESS</x:t>
        </x:is>
      </x:c>
      <x:c r="K225" t="n">
        <x:f>IF((COUNT('Quantification_Results'!E225)=1),IFERROR(ROUND((SUM(('Quantification_Results'!E225*'Quantification_Config'!$R$6))/SUM('Quantification_Config'!$R$6)),'Quantification_Config'!$U$2),""),"")</x:f>
        <x:v>50</x:v>
      </x:c>
      <x:c r="L225" t="n">
        <x:f>IF((COUNT('Quantification_Results'!K225)=1),IFERROR(ROUND((SUM(('Quantification_Results'!K225*'Quantification_Config'!$R$5))/SUM('Quantification_Config'!$R$5)),'Quantification_Config'!$U$2),""),"")</x:f>
        <x:v>50</x:v>
      </x:c>
      <x:c r="M225" t="n">
        <x:v>1</x:v>
      </x:c>
      <x:c r="N225" t="n">
        <x:v>5</x:v>
      </x:c>
      <x:c r="O225"/>
      <x:c r="P225" t="n">
        <x:f>IF(('Quantification_Results'!M225&lt;&gt;1),"",IF(('Quantification_Results'!O225=""),IF(ISNUMBER('Quantification_Results'!N225),IF(('Quantification_Results'!N225&lt;'Quantification_Config'!$S$9),"",IF(('Quantification_Results'!N225&gt;'Quantification_Config'!$T$9),"",'Quantification_Results'!N225)),""),IF(ISNUMBER('Quantification_Results'!O225),IF(('Quantification_Results'!O225&lt;'Quantification_Config'!$S$9),"",IF(('Quantification_Results'!O225&gt;'Quantification_Config'!$T$9),"",'Quantification_Results'!O225)),"")))</x:f>
        <x:v>5</x:v>
      </x:c>
      <x:c r="Q225" t="n">
        <x:f>IF(ISNUMBER('Quantification_Results'!P225),IFERROR(ROUND(((('Quantification_Results'!P225-'Quantification_Config'!$S$9)/('Quantification_Config'!$T$9-'Quantification_Config'!$S$9))*100),'Quantification_Config'!$U$2),""),"")</x:f>
        <x:v>50</x:v>
      </x:c>
      <x:c r="R225" t="inlineStr">
        <x:is>
          <x:t xml:space="preserve">SYSTEM-TEST-ONLY-NO-NETWORK-NOT-AN-EDUCATIONAL-EVALUATION</x:t>
        </x:is>
      </x:c>
      <x:c r="S225" t="inlineStr">
        <x:is>
          <x:t xml:space="preserve"/>
        </x:is>
      </x:c>
      <x:c r="T225" t="inlineStr">
        <x:is>
          <x:t xml:space="preserve">NONE</x:t>
        </x:is>
      </x:c>
      <x:c r="U225" t="inlineStr">
        <x:is>
          <x:t xml:space="preserve"/>
        </x:is>
      </x:c>
      <x:c r="V225" t="inlineStr">
        <x:is>
          <x:t xml:space="preserve">SUCCESS</x:t>
        </x:is>
      </x:c>
      <x:c r="W225" t="n">
        <x:f>IF((COUNT('Quantification_Results'!Q225)=1),IFERROR(ROUND((SUM(('Quantification_Results'!Q225*'Quantification_Config'!$R$9))/SUM('Quantification_Config'!$R$9)),'Quantification_Config'!$U$2),""),"")</x:f>
        <x:v>50</x:v>
      </x:c>
      <x:c r="X225" t="n">
        <x:f>IF((COUNT('Quantification_Results'!W225)=1),IFERROR(ROUND((SUM(('Quantification_Results'!W225*'Quantification_Config'!$R$8))/SUM('Quantification_Config'!$R$8)),'Quantification_Config'!$U$2),""),"")</x:f>
        <x:v>50</x:v>
      </x:c>
      <x:c r="Y225" t="n">
        <x:v>0</x:v>
      </x:c>
      <x:c r="Z225"/>
      <x:c r="AA225"/>
      <x:c r="AB225">
        <x:f>IF(('Quantification_Results'!Y225&lt;&gt;1),"",IF(('Quantification_Results'!AA225=""),IF(ISNUMBER('Quantification_Results'!Z225),IF(('Quantification_Results'!Z225&lt;'Quantification_Config'!$S$12),"",IF(('Quantification_Results'!Z225&gt;'Quantification_Config'!$T$12),"",'Quantification_Results'!Z225)),""),IF(ISNUMBER('Quantification_Results'!AA225),IF(('Quantification_Results'!AA225&lt;'Quantification_Config'!$S$12),"",IF(('Quantification_Results'!AA225&gt;'Quantification_Config'!$T$12),"",'Quantification_Results'!AA225)),"")))</x:f>
      </x:c>
      <x:c r="AC225">
        <x:f>IF(ISNUMBER('Quantification_Results'!AB225),IFERROR(ROUND(((('Quantification_Results'!AB225-'Quantification_Config'!$S$12)/('Quantification_Config'!$T$12-'Quantification_Config'!$S$12))*100),'Quantification_Config'!$U$2),""),"")</x:f>
      </x:c>
      <x:c r="AD225" t="inlineStr">
        <x:is>
          <x:t xml:space="preserve"/>
        </x:is>
      </x:c>
      <x:c r="AE225" t="inlineStr">
        <x:is>
          <x:t xml:space="preserve"/>
        </x:is>
      </x:c>
      <x:c r="AF225" t="inlineStr">
        <x:is>
          <x:t xml:space="preserve"/>
        </x:is>
      </x:c>
      <x:c r="AG225" t="inlineStr">
        <x:is>
          <x:t xml:space="preserve"/>
        </x:is>
      </x:c>
      <x:c r="AH225" t="inlineStr">
        <x:is>
          <x:t xml:space="preserve">EMPTY</x:t>
        </x:is>
      </x:c>
      <x:c r="AI225">
        <x:f>IF((COUNT('Quantification_Results'!AC225)=1),IFERROR(ROUND((SUM(('Quantification_Results'!AC225*'Quantification_Config'!$R$12))/SUM('Quantification_Config'!$R$12)),'Quantification_Config'!$U$2),""),"")</x:f>
      </x:c>
      <x:c r="AJ225">
        <x:f>IF((COUNT('Quantification_Results'!AI225)=1),IFERROR(ROUND((SUM(('Quantification_Results'!AI225*'Quantification_Config'!$R$11))/SUM('Quantification_Config'!$R$11)),'Quantification_Config'!$U$2),""),"")</x:f>
      </x:c>
      <x:c r="AK225" t="n">
        <x:v>1</x:v>
      </x:c>
      <x:c r="AL225" t="n">
        <x:v>5</x:v>
      </x:c>
      <x:c r="AM225"/>
      <x:c r="AN225" t="n">
        <x:f>IF(('Quantification_Results'!AK225&lt;&gt;1),"",IF(('Quantification_Results'!AM225=""),IF(ISNUMBER('Quantification_Results'!AL225),IF(('Quantification_Results'!AL225&lt;'Quantification_Config'!$S$15),"",IF(('Quantification_Results'!AL225&gt;'Quantification_Config'!$T$15),"",'Quantification_Results'!AL225)),""),IF(ISNUMBER('Quantification_Results'!AM225),IF(('Quantification_Results'!AM225&lt;'Quantification_Config'!$S$15),"",IF(('Quantification_Results'!AM225&gt;'Quantification_Config'!$T$15),"",'Quantification_Results'!AM225)),"")))</x:f>
        <x:v>5</x:v>
      </x:c>
      <x:c r="AO225" t="n">
        <x:f>IF(ISNUMBER('Quantification_Results'!AN225),IFERROR(ROUND(((('Quantification_Results'!AN225-'Quantification_Config'!$S$15)/('Quantification_Config'!$T$15-'Quantification_Config'!$S$15))*100),'Quantification_Config'!$U$2),""),"")</x:f>
        <x:v>50</x:v>
      </x:c>
      <x:c r="AP225" t="inlineStr">
        <x:is>
          <x:t xml:space="preserve">SYSTEM-TEST-ONLY-NO-NETWORK-NOT-AN-EDUCATIONAL-EVALUATION</x:t>
        </x:is>
      </x:c>
      <x:c r="AQ225" t="inlineStr">
        <x:is>
          <x:t xml:space="preserve"/>
        </x:is>
      </x:c>
      <x:c r="AR225" t="inlineStr">
        <x:is>
          <x:t xml:space="preserve">NONE</x:t>
        </x:is>
      </x:c>
      <x:c r="AS225" t="inlineStr">
        <x:is>
          <x:t xml:space="preserve"/>
        </x:is>
      </x:c>
      <x:c r="AT225" t="inlineStr">
        <x:is>
          <x:t xml:space="preserve">SUCCESS</x:t>
        </x:is>
      </x:c>
      <x:c r="AU225" t="n">
        <x:f>IF((COUNT('Quantification_Results'!AO225)=1),IFERROR(ROUND((SUM(('Quantification_Results'!AO225*'Quantification_Config'!$R$15))/SUM('Quantification_Config'!$R$15)),'Quantification_Config'!$U$2),""),"")</x:f>
        <x:v>50</x:v>
      </x:c>
      <x:c r="AV225" t="n">
        <x:f>IF((COUNT('Quantification_Results'!AU225)=1),IFERROR(ROUND((SUM(('Quantification_Results'!AU225*'Quantification_Config'!$R$14))/SUM('Quantification_Config'!$R$14)),'Quantification_Config'!$U$2),""),"")</x:f>
        <x:v>50</x:v>
      </x:c>
      <x:c r="AW225" t="n">
        <x:v>1</x:v>
      </x:c>
      <x:c r="AX225" t="n">
        <x:v>5</x:v>
      </x:c>
      <x:c r="AY225"/>
      <x:c r="AZ225" t="n">
        <x:f>IF(('Quantification_Results'!AW225&lt;&gt;1),"",IF(('Quantification_Results'!AY225=""),IF(ISNUMBER('Quantification_Results'!AX225),IF(('Quantification_Results'!AX225&lt;'Quantification_Config'!$S$19),"",IF(('Quantification_Results'!AX225&gt;'Quantification_Config'!$T$19),"",'Quantification_Results'!AX225)),""),IF(ISNUMBER('Quantification_Results'!AY225),IF(('Quantification_Results'!AY225&lt;'Quantification_Config'!$S$19),"",IF(('Quantification_Results'!AY225&gt;'Quantification_Config'!$T$19),"",'Quantification_Results'!AY225)),"")))</x:f>
        <x:v>5</x:v>
      </x:c>
      <x:c r="BA225" t="n">
        <x:f>IF(ISNUMBER('Quantification_Results'!AZ225),IFERROR(ROUND(((('Quantification_Results'!AZ225-'Quantification_Config'!$S$19)/('Quantification_Config'!$T$19-'Quantification_Config'!$S$19))*100),'Quantification_Config'!$U$2),""),"")</x:f>
        <x:v>50</x:v>
      </x:c>
      <x:c r="BB225" t="inlineStr">
        <x:is>
          <x:t xml:space="preserve">SYSTEM-TEST-ONLY-NO-NETWORK-NOT-AN-EDUCATIONAL-EVALUATION</x:t>
        </x:is>
      </x:c>
      <x:c r="BC225" t="inlineStr">
        <x:is>
          <x:t xml:space="preserve"/>
        </x:is>
      </x:c>
      <x:c r="BD225" t="inlineStr">
        <x:is>
          <x:t xml:space="preserve">NONE</x:t>
        </x:is>
      </x:c>
      <x:c r="BE225" t="inlineStr">
        <x:is>
          <x:t xml:space="preserve"/>
        </x:is>
      </x:c>
      <x:c r="BF225" t="inlineStr">
        <x:is>
          <x:t xml:space="preserve">SUCCESS</x:t>
        </x:is>
      </x:c>
      <x:c r="BG225" t="n">
        <x:f>IF((COUNT('Quantification_Results'!BA225)=1),IFERROR(ROUND((SUM(('Quantification_Results'!BA225*'Quantification_Config'!$R$19))/SUM('Quantification_Config'!$R$19)),'Quantification_Config'!$U$2),""),"")</x:f>
        <x:v>50</x:v>
      </x:c>
      <x:c r="BH225" t="n">
        <x:f>IF((COUNT('Quantification_Results'!BG225)=1),IFERROR(ROUND((SUM(('Quantification_Results'!BG225*'Quantification_Config'!$R$18))/SUM('Quantification_Config'!$R$18)),'Quantification_Config'!$U$2),""),"")</x:f>
        <x:v>50</x:v>
      </x:c>
      <x:c r="BI225">
        <x:f>IF((COUNT('Quantification_Results'!L225,'Quantification_Results'!X225,'Quantification_Results'!AJ225,'Quantification_Results'!AV225,'Quantification_Results'!BH225)=5),IFERROR(ROUND((SUM(('Quantification_Results'!L225*'Quantification_Config'!$R$4),('Quantification_Results'!X225*'Quantification_Config'!$R$7),('Quantification_Results'!AJ225*'Quantification_Config'!$R$10),('Quantification_Results'!AV225*'Quantification_Config'!$R$13),('Quantification_Results'!BH225*'Quantification_Config'!$R$16))/SUM('Quantification_Config'!$R$4,'Quantification_Config'!$R$7,'Quantification_Config'!$R$10,'Quantification_Config'!$R$13,'Quantification_Config'!$R$16)),'Quantification_Config'!$U$2),""),"")</x:f>
      </x:c>
    </x:row>
    <x:row r="226">
      <x:c r="A226" t="n">
        <x:v>1</x:v>
      </x:c>
      <x:c r="B226" t="n">
        <x:v>5</x:v>
      </x:c>
      <x:c r="C226"/>
      <x:c r="D226" t="n">
        <x:f>IF(('Quantification_Results'!A226&lt;&gt;1),"",IF(('Quantification_Results'!C226=""),IF(ISNUMBER('Quantification_Results'!B226),IF(('Quantification_Results'!B226&lt;'Quantification_Config'!$S$6),"",IF(('Quantification_Results'!B226&gt;'Quantification_Config'!$T$6),"",'Quantification_Results'!B226)),""),IF(ISNUMBER('Quantification_Results'!C226),IF(('Quantification_Results'!C226&lt;'Quantification_Config'!$S$6),"",IF(('Quantification_Results'!C226&gt;'Quantification_Config'!$T$6),"",'Quantification_Results'!C226)),"")))</x:f>
        <x:v>5</x:v>
      </x:c>
      <x:c r="E226" t="n">
        <x:f>IF(ISNUMBER('Quantification_Results'!D226),IFERROR(ROUND(((('Quantification_Results'!D226-'Quantification_Config'!$S$6)/('Quantification_Config'!$T$6-'Quantification_Config'!$S$6))*100),'Quantification_Config'!$U$2),""),"")</x:f>
        <x:v>50</x:v>
      </x:c>
      <x:c r="F226" t="inlineStr">
        <x:is>
          <x:t xml:space="preserve">SYSTEM-TEST-ONLY-NO-NETWORK-NOT-AN-EDUCATIONAL-EVALUATION</x:t>
        </x:is>
      </x:c>
      <x:c r="G226" t="inlineStr">
        <x:is>
          <x:t xml:space="preserve"/>
        </x:is>
      </x:c>
      <x:c r="H226" t="inlineStr">
        <x:is>
          <x:t xml:space="preserve">NONE</x:t>
        </x:is>
      </x:c>
      <x:c r="I226" t="inlineStr">
        <x:is>
          <x:t xml:space="preserve"/>
        </x:is>
      </x:c>
      <x:c r="J226" t="inlineStr">
        <x:is>
          <x:t xml:space="preserve">SUCCESS</x:t>
        </x:is>
      </x:c>
      <x:c r="K226" t="n">
        <x:f>IF((COUNT('Quantification_Results'!E226)=1),IFERROR(ROUND((SUM(('Quantification_Results'!E226*'Quantification_Config'!$R$6))/SUM('Quantification_Config'!$R$6)),'Quantification_Config'!$U$2),""),"")</x:f>
        <x:v>50</x:v>
      </x:c>
      <x:c r="L226" t="n">
        <x:f>IF((COUNT('Quantification_Results'!K226)=1),IFERROR(ROUND((SUM(('Quantification_Results'!K226*'Quantification_Config'!$R$5))/SUM('Quantification_Config'!$R$5)),'Quantification_Config'!$U$2),""),"")</x:f>
        <x:v>50</x:v>
      </x:c>
      <x:c r="M226" t="n">
        <x:v>1</x:v>
      </x:c>
      <x:c r="N226" t="n">
        <x:v>5</x:v>
      </x:c>
      <x:c r="O226"/>
      <x:c r="P226" t="n">
        <x:f>IF(('Quantification_Results'!M226&lt;&gt;1),"",IF(('Quantification_Results'!O226=""),IF(ISNUMBER('Quantification_Results'!N226),IF(('Quantification_Results'!N226&lt;'Quantification_Config'!$S$9),"",IF(('Quantification_Results'!N226&gt;'Quantification_Config'!$T$9),"",'Quantification_Results'!N226)),""),IF(ISNUMBER('Quantification_Results'!O226),IF(('Quantification_Results'!O226&lt;'Quantification_Config'!$S$9),"",IF(('Quantification_Results'!O226&gt;'Quantification_Config'!$T$9),"",'Quantification_Results'!O226)),"")))</x:f>
        <x:v>5</x:v>
      </x:c>
      <x:c r="Q226" t="n">
        <x:f>IF(ISNUMBER('Quantification_Results'!P226),IFERROR(ROUND(((('Quantification_Results'!P226-'Quantification_Config'!$S$9)/('Quantification_Config'!$T$9-'Quantification_Config'!$S$9))*100),'Quantification_Config'!$U$2),""),"")</x:f>
        <x:v>50</x:v>
      </x:c>
      <x:c r="R226" t="inlineStr">
        <x:is>
          <x:t xml:space="preserve">SYSTEM-TEST-ONLY-NO-NETWORK-NOT-AN-EDUCATIONAL-EVALUATION</x:t>
        </x:is>
      </x:c>
      <x:c r="S226" t="inlineStr">
        <x:is>
          <x:t xml:space="preserve"/>
        </x:is>
      </x:c>
      <x:c r="T226" t="inlineStr">
        <x:is>
          <x:t xml:space="preserve">NONE</x:t>
        </x:is>
      </x:c>
      <x:c r="U226" t="inlineStr">
        <x:is>
          <x:t xml:space="preserve"/>
        </x:is>
      </x:c>
      <x:c r="V226" t="inlineStr">
        <x:is>
          <x:t xml:space="preserve">SUCCESS</x:t>
        </x:is>
      </x:c>
      <x:c r="W226" t="n">
        <x:f>IF((COUNT('Quantification_Results'!Q226)=1),IFERROR(ROUND((SUM(('Quantification_Results'!Q226*'Quantification_Config'!$R$9))/SUM('Quantification_Config'!$R$9)),'Quantification_Config'!$U$2),""),"")</x:f>
        <x:v>50</x:v>
      </x:c>
      <x:c r="X226" t="n">
        <x:f>IF((COUNT('Quantification_Results'!W226)=1),IFERROR(ROUND((SUM(('Quantification_Results'!W226*'Quantification_Config'!$R$8))/SUM('Quantification_Config'!$R$8)),'Quantification_Config'!$U$2),""),"")</x:f>
        <x:v>50</x:v>
      </x:c>
      <x:c r="Y226" t="n">
        <x:v>0</x:v>
      </x:c>
      <x:c r="Z226"/>
      <x:c r="AA226"/>
      <x:c r="AB226">
        <x:f>IF(('Quantification_Results'!Y226&lt;&gt;1),"",IF(('Quantification_Results'!AA226=""),IF(ISNUMBER('Quantification_Results'!Z226),IF(('Quantification_Results'!Z226&lt;'Quantification_Config'!$S$12),"",IF(('Quantification_Results'!Z226&gt;'Quantification_Config'!$T$12),"",'Quantification_Results'!Z226)),""),IF(ISNUMBER('Quantification_Results'!AA226),IF(('Quantification_Results'!AA226&lt;'Quantification_Config'!$S$12),"",IF(('Quantification_Results'!AA226&gt;'Quantification_Config'!$T$12),"",'Quantification_Results'!AA226)),"")))</x:f>
      </x:c>
      <x:c r="AC226">
        <x:f>IF(ISNUMBER('Quantification_Results'!AB226),IFERROR(ROUND(((('Quantification_Results'!AB226-'Quantification_Config'!$S$12)/('Quantification_Config'!$T$12-'Quantification_Config'!$S$12))*100),'Quantification_Config'!$U$2),""),"")</x:f>
      </x:c>
      <x:c r="AD226" t="inlineStr">
        <x:is>
          <x:t xml:space="preserve"/>
        </x:is>
      </x:c>
      <x:c r="AE226" t="inlineStr">
        <x:is>
          <x:t xml:space="preserve"/>
        </x:is>
      </x:c>
      <x:c r="AF226" t="inlineStr">
        <x:is>
          <x:t xml:space="preserve"/>
        </x:is>
      </x:c>
      <x:c r="AG226" t="inlineStr">
        <x:is>
          <x:t xml:space="preserve"/>
        </x:is>
      </x:c>
      <x:c r="AH226" t="inlineStr">
        <x:is>
          <x:t xml:space="preserve">EMPTY</x:t>
        </x:is>
      </x:c>
      <x:c r="AI226">
        <x:f>IF((COUNT('Quantification_Results'!AC226)=1),IFERROR(ROUND((SUM(('Quantification_Results'!AC226*'Quantification_Config'!$R$12))/SUM('Quantification_Config'!$R$12)),'Quantification_Config'!$U$2),""),"")</x:f>
      </x:c>
      <x:c r="AJ226">
        <x:f>IF((COUNT('Quantification_Results'!AI226)=1),IFERROR(ROUND((SUM(('Quantification_Results'!AI226*'Quantification_Config'!$R$11))/SUM('Quantification_Config'!$R$11)),'Quantification_Config'!$U$2),""),"")</x:f>
      </x:c>
      <x:c r="AK226" t="n">
        <x:v>1</x:v>
      </x:c>
      <x:c r="AL226" t="n">
        <x:v>5</x:v>
      </x:c>
      <x:c r="AM226"/>
      <x:c r="AN226" t="n">
        <x:f>IF(('Quantification_Results'!AK226&lt;&gt;1),"",IF(('Quantification_Results'!AM226=""),IF(ISNUMBER('Quantification_Results'!AL226),IF(('Quantification_Results'!AL226&lt;'Quantification_Config'!$S$15),"",IF(('Quantification_Results'!AL226&gt;'Quantification_Config'!$T$15),"",'Quantification_Results'!AL226)),""),IF(ISNUMBER('Quantification_Results'!AM226),IF(('Quantification_Results'!AM226&lt;'Quantification_Config'!$S$15),"",IF(('Quantification_Results'!AM226&gt;'Quantification_Config'!$T$15),"",'Quantification_Results'!AM226)),"")))</x:f>
        <x:v>5</x:v>
      </x:c>
      <x:c r="AO226" t="n">
        <x:f>IF(ISNUMBER('Quantification_Results'!AN226),IFERROR(ROUND(((('Quantification_Results'!AN226-'Quantification_Config'!$S$15)/('Quantification_Config'!$T$15-'Quantification_Config'!$S$15))*100),'Quantification_Config'!$U$2),""),"")</x:f>
        <x:v>50</x:v>
      </x:c>
      <x:c r="AP226" t="inlineStr">
        <x:is>
          <x:t xml:space="preserve">SYSTEM-TEST-ONLY-NO-NETWORK-NOT-AN-EDUCATIONAL-EVALUATION</x:t>
        </x:is>
      </x:c>
      <x:c r="AQ226" t="inlineStr">
        <x:is>
          <x:t xml:space="preserve"/>
        </x:is>
      </x:c>
      <x:c r="AR226" t="inlineStr">
        <x:is>
          <x:t xml:space="preserve">NONE</x:t>
        </x:is>
      </x:c>
      <x:c r="AS226" t="inlineStr">
        <x:is>
          <x:t xml:space="preserve"/>
        </x:is>
      </x:c>
      <x:c r="AT226" t="inlineStr">
        <x:is>
          <x:t xml:space="preserve">SUCCESS</x:t>
        </x:is>
      </x:c>
      <x:c r="AU226" t="n">
        <x:f>IF((COUNT('Quantification_Results'!AO226)=1),IFERROR(ROUND((SUM(('Quantification_Results'!AO226*'Quantification_Config'!$R$15))/SUM('Quantification_Config'!$R$15)),'Quantification_Config'!$U$2),""),"")</x:f>
        <x:v>50</x:v>
      </x:c>
      <x:c r="AV226" t="n">
        <x:f>IF((COUNT('Quantification_Results'!AU226)=1),IFERROR(ROUND((SUM(('Quantification_Results'!AU226*'Quantification_Config'!$R$14))/SUM('Quantification_Config'!$R$14)),'Quantification_Config'!$U$2),""),"")</x:f>
        <x:v>50</x:v>
      </x:c>
      <x:c r="AW226" t="n">
        <x:v>1</x:v>
      </x:c>
      <x:c r="AX226" t="n">
        <x:v>5</x:v>
      </x:c>
      <x:c r="AY226"/>
      <x:c r="AZ226" t="n">
        <x:f>IF(('Quantification_Results'!AW226&lt;&gt;1),"",IF(('Quantification_Results'!AY226=""),IF(ISNUMBER('Quantification_Results'!AX226),IF(('Quantification_Results'!AX226&lt;'Quantification_Config'!$S$19),"",IF(('Quantification_Results'!AX226&gt;'Quantification_Config'!$T$19),"",'Quantification_Results'!AX226)),""),IF(ISNUMBER('Quantification_Results'!AY226),IF(('Quantification_Results'!AY226&lt;'Quantification_Config'!$S$19),"",IF(('Quantification_Results'!AY226&gt;'Quantification_Config'!$T$19),"",'Quantification_Results'!AY226)),"")))</x:f>
        <x:v>5</x:v>
      </x:c>
      <x:c r="BA226" t="n">
        <x:f>IF(ISNUMBER('Quantification_Results'!AZ226),IFERROR(ROUND(((('Quantification_Results'!AZ226-'Quantification_Config'!$S$19)/('Quantification_Config'!$T$19-'Quantification_Config'!$S$19))*100),'Quantification_Config'!$U$2),""),"")</x:f>
        <x:v>50</x:v>
      </x:c>
      <x:c r="BB226" t="inlineStr">
        <x:is>
          <x:t xml:space="preserve">SYSTEM-TEST-ONLY-NO-NETWORK-NOT-AN-EDUCATIONAL-EVALUATION</x:t>
        </x:is>
      </x:c>
      <x:c r="BC226" t="inlineStr">
        <x:is>
          <x:t xml:space="preserve"/>
        </x:is>
      </x:c>
      <x:c r="BD226" t="inlineStr">
        <x:is>
          <x:t xml:space="preserve">NONE</x:t>
        </x:is>
      </x:c>
      <x:c r="BE226" t="inlineStr">
        <x:is>
          <x:t xml:space="preserve"/>
        </x:is>
      </x:c>
      <x:c r="BF226" t="inlineStr">
        <x:is>
          <x:t xml:space="preserve">SUCCESS</x:t>
        </x:is>
      </x:c>
      <x:c r="BG226" t="n">
        <x:f>IF((COUNT('Quantification_Results'!BA226)=1),IFERROR(ROUND((SUM(('Quantification_Results'!BA226*'Quantification_Config'!$R$19))/SUM('Quantification_Config'!$R$19)),'Quantification_Config'!$U$2),""),"")</x:f>
        <x:v>50</x:v>
      </x:c>
      <x:c r="BH226" t="n">
        <x:f>IF((COUNT('Quantification_Results'!BG226)=1),IFERROR(ROUND((SUM(('Quantification_Results'!BG226*'Quantification_Config'!$R$18))/SUM('Quantification_Config'!$R$18)),'Quantification_Config'!$U$2),""),"")</x:f>
        <x:v>50</x:v>
      </x:c>
      <x:c r="BI226">
        <x:f>IF((COUNT('Quantification_Results'!L226,'Quantification_Results'!X226,'Quantification_Results'!AJ226,'Quantification_Results'!AV226,'Quantification_Results'!BH226)=5),IFERROR(ROUND((SUM(('Quantification_Results'!L226*'Quantification_Config'!$R$4),('Quantification_Results'!X226*'Quantification_Config'!$R$7),('Quantification_Results'!AJ226*'Quantification_Config'!$R$10),('Quantification_Results'!AV226*'Quantification_Config'!$R$13),('Quantification_Results'!BH226*'Quantification_Config'!$R$16))/SUM('Quantification_Config'!$R$4,'Quantification_Config'!$R$7,'Quantification_Config'!$R$10,'Quantification_Config'!$R$13,'Quantification_Config'!$R$16)),'Quantification_Config'!$U$2),""),"")</x:f>
      </x:c>
    </x:row>
    <x:row r="227">
      <x:c r="A227" t="n">
        <x:v>1</x:v>
      </x:c>
      <x:c r="B227" t="n">
        <x:v>5</x:v>
      </x:c>
      <x:c r="C227"/>
      <x:c r="D227" t="n">
        <x:f>IF(('Quantification_Results'!A227&lt;&gt;1),"",IF(('Quantification_Results'!C227=""),IF(ISNUMBER('Quantification_Results'!B227),IF(('Quantification_Results'!B227&lt;'Quantification_Config'!$S$6),"",IF(('Quantification_Results'!B227&gt;'Quantification_Config'!$T$6),"",'Quantification_Results'!B227)),""),IF(ISNUMBER('Quantification_Results'!C227),IF(('Quantification_Results'!C227&lt;'Quantification_Config'!$S$6),"",IF(('Quantification_Results'!C227&gt;'Quantification_Config'!$T$6),"",'Quantification_Results'!C227)),"")))</x:f>
        <x:v>5</x:v>
      </x:c>
      <x:c r="E227" t="n">
        <x:f>IF(ISNUMBER('Quantification_Results'!D227),IFERROR(ROUND(((('Quantification_Results'!D227-'Quantification_Config'!$S$6)/('Quantification_Config'!$T$6-'Quantification_Config'!$S$6))*100),'Quantification_Config'!$U$2),""),"")</x:f>
        <x:v>50</x:v>
      </x:c>
      <x:c r="F227" t="inlineStr">
        <x:is>
          <x:t xml:space="preserve">SYSTEM-TEST-ONLY-NO-NETWORK-NOT-AN-EDUCATIONAL-EVALUATION</x:t>
        </x:is>
      </x:c>
      <x:c r="G227" t="inlineStr">
        <x:is>
          <x:t xml:space="preserve"/>
        </x:is>
      </x:c>
      <x:c r="H227" t="inlineStr">
        <x:is>
          <x:t xml:space="preserve">NONE</x:t>
        </x:is>
      </x:c>
      <x:c r="I227" t="inlineStr">
        <x:is>
          <x:t xml:space="preserve"/>
        </x:is>
      </x:c>
      <x:c r="J227" t="inlineStr">
        <x:is>
          <x:t xml:space="preserve">SUCCESS</x:t>
        </x:is>
      </x:c>
      <x:c r="K227" t="n">
        <x:f>IF((COUNT('Quantification_Results'!E227)=1),IFERROR(ROUND((SUM(('Quantification_Results'!E227*'Quantification_Config'!$R$6))/SUM('Quantification_Config'!$R$6)),'Quantification_Config'!$U$2),""),"")</x:f>
        <x:v>50</x:v>
      </x:c>
      <x:c r="L227" t="n">
        <x:f>IF((COUNT('Quantification_Results'!K227)=1),IFERROR(ROUND((SUM(('Quantification_Results'!K227*'Quantification_Config'!$R$5))/SUM('Quantification_Config'!$R$5)),'Quantification_Config'!$U$2),""),"")</x:f>
        <x:v>50</x:v>
      </x:c>
      <x:c r="M227" t="n">
        <x:v>1</x:v>
      </x:c>
      <x:c r="N227" t="n">
        <x:v>5</x:v>
      </x:c>
      <x:c r="O227"/>
      <x:c r="P227" t="n">
        <x:f>IF(('Quantification_Results'!M227&lt;&gt;1),"",IF(('Quantification_Results'!O227=""),IF(ISNUMBER('Quantification_Results'!N227),IF(('Quantification_Results'!N227&lt;'Quantification_Config'!$S$9),"",IF(('Quantification_Results'!N227&gt;'Quantification_Config'!$T$9),"",'Quantification_Results'!N227)),""),IF(ISNUMBER('Quantification_Results'!O227),IF(('Quantification_Results'!O227&lt;'Quantification_Config'!$S$9),"",IF(('Quantification_Results'!O227&gt;'Quantification_Config'!$T$9),"",'Quantification_Results'!O227)),"")))</x:f>
        <x:v>5</x:v>
      </x:c>
      <x:c r="Q227" t="n">
        <x:f>IF(ISNUMBER('Quantification_Results'!P227),IFERROR(ROUND(((('Quantification_Results'!P227-'Quantification_Config'!$S$9)/('Quantification_Config'!$T$9-'Quantification_Config'!$S$9))*100),'Quantification_Config'!$U$2),""),"")</x:f>
        <x:v>50</x:v>
      </x:c>
      <x:c r="R227" t="inlineStr">
        <x:is>
          <x:t xml:space="preserve">SYSTEM-TEST-ONLY-NO-NETWORK-NOT-AN-EDUCATIONAL-EVALUATION</x:t>
        </x:is>
      </x:c>
      <x:c r="S227" t="inlineStr">
        <x:is>
          <x:t xml:space="preserve"/>
        </x:is>
      </x:c>
      <x:c r="T227" t="inlineStr">
        <x:is>
          <x:t xml:space="preserve">NONE</x:t>
        </x:is>
      </x:c>
      <x:c r="U227" t="inlineStr">
        <x:is>
          <x:t xml:space="preserve"/>
        </x:is>
      </x:c>
      <x:c r="V227" t="inlineStr">
        <x:is>
          <x:t xml:space="preserve">SUCCESS</x:t>
        </x:is>
      </x:c>
      <x:c r="W227" t="n">
        <x:f>IF((COUNT('Quantification_Results'!Q227)=1),IFERROR(ROUND((SUM(('Quantification_Results'!Q227*'Quantification_Config'!$R$9))/SUM('Quantification_Config'!$R$9)),'Quantification_Config'!$U$2),""),"")</x:f>
        <x:v>50</x:v>
      </x:c>
      <x:c r="X227" t="n">
        <x:f>IF((COUNT('Quantification_Results'!W227)=1),IFERROR(ROUND((SUM(('Quantification_Results'!W227*'Quantification_Config'!$R$8))/SUM('Quantification_Config'!$R$8)),'Quantification_Config'!$U$2),""),"")</x:f>
        <x:v>50</x:v>
      </x:c>
      <x:c r="Y227" t="n">
        <x:v>0</x:v>
      </x:c>
      <x:c r="Z227"/>
      <x:c r="AA227"/>
      <x:c r="AB227">
        <x:f>IF(('Quantification_Results'!Y227&lt;&gt;1),"",IF(('Quantification_Results'!AA227=""),IF(ISNUMBER('Quantification_Results'!Z227),IF(('Quantification_Results'!Z227&lt;'Quantification_Config'!$S$12),"",IF(('Quantification_Results'!Z227&gt;'Quantification_Config'!$T$12),"",'Quantification_Results'!Z227)),""),IF(ISNUMBER('Quantification_Results'!AA227),IF(('Quantification_Results'!AA227&lt;'Quantification_Config'!$S$12),"",IF(('Quantification_Results'!AA227&gt;'Quantification_Config'!$T$12),"",'Quantification_Results'!AA227)),"")))</x:f>
      </x:c>
      <x:c r="AC227">
        <x:f>IF(ISNUMBER('Quantification_Results'!AB227),IFERROR(ROUND(((('Quantification_Results'!AB227-'Quantification_Config'!$S$12)/('Quantification_Config'!$T$12-'Quantification_Config'!$S$12))*100),'Quantification_Config'!$U$2),""),"")</x:f>
      </x:c>
      <x:c r="AD227" t="inlineStr">
        <x:is>
          <x:t xml:space="preserve"/>
        </x:is>
      </x:c>
      <x:c r="AE227" t="inlineStr">
        <x:is>
          <x:t xml:space="preserve"/>
        </x:is>
      </x:c>
      <x:c r="AF227" t="inlineStr">
        <x:is>
          <x:t xml:space="preserve"/>
        </x:is>
      </x:c>
      <x:c r="AG227" t="inlineStr">
        <x:is>
          <x:t xml:space="preserve"/>
        </x:is>
      </x:c>
      <x:c r="AH227" t="inlineStr">
        <x:is>
          <x:t xml:space="preserve">EMPTY</x:t>
        </x:is>
      </x:c>
      <x:c r="AI227">
        <x:f>IF((COUNT('Quantification_Results'!AC227)=1),IFERROR(ROUND((SUM(('Quantification_Results'!AC227*'Quantification_Config'!$R$12))/SUM('Quantification_Config'!$R$12)),'Quantification_Config'!$U$2),""),"")</x:f>
      </x:c>
      <x:c r="AJ227">
        <x:f>IF((COUNT('Quantification_Results'!AI227)=1),IFERROR(ROUND((SUM(('Quantification_Results'!AI227*'Quantification_Config'!$R$11))/SUM('Quantification_Config'!$R$11)),'Quantification_Config'!$U$2),""),"")</x:f>
      </x:c>
      <x:c r="AK227" t="n">
        <x:v>1</x:v>
      </x:c>
      <x:c r="AL227" t="n">
        <x:v>5</x:v>
      </x:c>
      <x:c r="AM227"/>
      <x:c r="AN227" t="n">
        <x:f>IF(('Quantification_Results'!AK227&lt;&gt;1),"",IF(('Quantification_Results'!AM227=""),IF(ISNUMBER('Quantification_Results'!AL227),IF(('Quantification_Results'!AL227&lt;'Quantification_Config'!$S$15),"",IF(('Quantification_Results'!AL227&gt;'Quantification_Config'!$T$15),"",'Quantification_Results'!AL227)),""),IF(ISNUMBER('Quantification_Results'!AM227),IF(('Quantification_Results'!AM227&lt;'Quantification_Config'!$S$15),"",IF(('Quantification_Results'!AM227&gt;'Quantification_Config'!$T$15),"",'Quantification_Results'!AM227)),"")))</x:f>
        <x:v>5</x:v>
      </x:c>
      <x:c r="AO227" t="n">
        <x:f>IF(ISNUMBER('Quantification_Results'!AN227),IFERROR(ROUND(((('Quantification_Results'!AN227-'Quantification_Config'!$S$15)/('Quantification_Config'!$T$15-'Quantification_Config'!$S$15))*100),'Quantification_Config'!$U$2),""),"")</x:f>
        <x:v>50</x:v>
      </x:c>
      <x:c r="AP227" t="inlineStr">
        <x:is>
          <x:t xml:space="preserve">SYSTEM-TEST-ONLY-NO-NETWORK-NOT-AN-EDUCATIONAL-EVALUATION</x:t>
        </x:is>
      </x:c>
      <x:c r="AQ227" t="inlineStr">
        <x:is>
          <x:t xml:space="preserve"/>
        </x:is>
      </x:c>
      <x:c r="AR227" t="inlineStr">
        <x:is>
          <x:t xml:space="preserve">NONE</x:t>
        </x:is>
      </x:c>
      <x:c r="AS227" t="inlineStr">
        <x:is>
          <x:t xml:space="preserve"/>
        </x:is>
      </x:c>
      <x:c r="AT227" t="inlineStr">
        <x:is>
          <x:t xml:space="preserve">SUCCESS</x:t>
        </x:is>
      </x:c>
      <x:c r="AU227" t="n">
        <x:f>IF((COUNT('Quantification_Results'!AO227)=1),IFERROR(ROUND((SUM(('Quantification_Results'!AO227*'Quantification_Config'!$R$15))/SUM('Quantification_Config'!$R$15)),'Quantification_Config'!$U$2),""),"")</x:f>
        <x:v>50</x:v>
      </x:c>
      <x:c r="AV227" t="n">
        <x:f>IF((COUNT('Quantification_Results'!AU227)=1),IFERROR(ROUND((SUM(('Quantification_Results'!AU227*'Quantification_Config'!$R$14))/SUM('Quantification_Config'!$R$14)),'Quantification_Config'!$U$2),""),"")</x:f>
        <x:v>50</x:v>
      </x:c>
      <x:c r="AW227" t="n">
        <x:v>1</x:v>
      </x:c>
      <x:c r="AX227" t="n">
        <x:v>5</x:v>
      </x:c>
      <x:c r="AY227"/>
      <x:c r="AZ227" t="n">
        <x:f>IF(('Quantification_Results'!AW227&lt;&gt;1),"",IF(('Quantification_Results'!AY227=""),IF(ISNUMBER('Quantification_Results'!AX227),IF(('Quantification_Results'!AX227&lt;'Quantification_Config'!$S$19),"",IF(('Quantification_Results'!AX227&gt;'Quantification_Config'!$T$19),"",'Quantification_Results'!AX227)),""),IF(ISNUMBER('Quantification_Results'!AY227),IF(('Quantification_Results'!AY227&lt;'Quantification_Config'!$S$19),"",IF(('Quantification_Results'!AY227&gt;'Quantification_Config'!$T$19),"",'Quantification_Results'!AY227)),"")))</x:f>
        <x:v>5</x:v>
      </x:c>
      <x:c r="BA227" t="n">
        <x:f>IF(ISNUMBER('Quantification_Results'!AZ227),IFERROR(ROUND(((('Quantification_Results'!AZ227-'Quantification_Config'!$S$19)/('Quantification_Config'!$T$19-'Quantification_Config'!$S$19))*100),'Quantification_Config'!$U$2),""),"")</x:f>
        <x:v>50</x:v>
      </x:c>
      <x:c r="BB227" t="inlineStr">
        <x:is>
          <x:t xml:space="preserve">SYSTEM-TEST-ONLY-NO-NETWORK-NOT-AN-EDUCATIONAL-EVALUATION</x:t>
        </x:is>
      </x:c>
      <x:c r="BC227" t="inlineStr">
        <x:is>
          <x:t xml:space="preserve"/>
        </x:is>
      </x:c>
      <x:c r="BD227" t="inlineStr">
        <x:is>
          <x:t xml:space="preserve">NONE</x:t>
        </x:is>
      </x:c>
      <x:c r="BE227" t="inlineStr">
        <x:is>
          <x:t xml:space="preserve"/>
        </x:is>
      </x:c>
      <x:c r="BF227" t="inlineStr">
        <x:is>
          <x:t xml:space="preserve">SUCCESS</x:t>
        </x:is>
      </x:c>
      <x:c r="BG227" t="n">
        <x:f>IF((COUNT('Quantification_Results'!BA227)=1),IFERROR(ROUND((SUM(('Quantification_Results'!BA227*'Quantification_Config'!$R$19))/SUM('Quantification_Config'!$R$19)),'Quantification_Config'!$U$2),""),"")</x:f>
        <x:v>50</x:v>
      </x:c>
      <x:c r="BH227" t="n">
        <x:f>IF((COUNT('Quantification_Results'!BG227)=1),IFERROR(ROUND((SUM(('Quantification_Results'!BG227*'Quantification_Config'!$R$18))/SUM('Quantification_Config'!$R$18)),'Quantification_Config'!$U$2),""),"")</x:f>
        <x:v>50</x:v>
      </x:c>
      <x:c r="BI227">
        <x:f>IF((COUNT('Quantification_Results'!L227,'Quantification_Results'!X227,'Quantification_Results'!AJ227,'Quantification_Results'!AV227,'Quantification_Results'!BH227)=5),IFERROR(ROUND((SUM(('Quantification_Results'!L227*'Quantification_Config'!$R$4),('Quantification_Results'!X227*'Quantification_Config'!$R$7),('Quantification_Results'!AJ227*'Quantification_Config'!$R$10),('Quantification_Results'!AV227*'Quantification_Config'!$R$13),('Quantification_Results'!BH227*'Quantification_Config'!$R$16))/SUM('Quantification_Config'!$R$4,'Quantification_Config'!$R$7,'Quantification_Config'!$R$10,'Quantification_Config'!$R$13,'Quantification_Config'!$R$16)),'Quantification_Config'!$U$2),""),"")</x:f>
      </x:c>
    </x:row>
    <x:row r="228">
      <x:c r="A228" t="n">
        <x:v>1</x:v>
      </x:c>
      <x:c r="B228" t="n">
        <x:v>5</x:v>
      </x:c>
      <x:c r="C228"/>
      <x:c r="D228" t="n">
        <x:f>IF(('Quantification_Results'!A228&lt;&gt;1),"",IF(('Quantification_Results'!C228=""),IF(ISNUMBER('Quantification_Results'!B228),IF(('Quantification_Results'!B228&lt;'Quantification_Config'!$S$6),"",IF(('Quantification_Results'!B228&gt;'Quantification_Config'!$T$6),"",'Quantification_Results'!B228)),""),IF(ISNUMBER('Quantification_Results'!C228),IF(('Quantification_Results'!C228&lt;'Quantification_Config'!$S$6),"",IF(('Quantification_Results'!C228&gt;'Quantification_Config'!$T$6),"",'Quantification_Results'!C228)),"")))</x:f>
        <x:v>5</x:v>
      </x:c>
      <x:c r="E228" t="n">
        <x:f>IF(ISNUMBER('Quantification_Results'!D228),IFERROR(ROUND(((('Quantification_Results'!D228-'Quantification_Config'!$S$6)/('Quantification_Config'!$T$6-'Quantification_Config'!$S$6))*100),'Quantification_Config'!$U$2),""),"")</x:f>
        <x:v>50</x:v>
      </x:c>
      <x:c r="F228" t="inlineStr">
        <x:is>
          <x:t xml:space="preserve">SYSTEM-TEST-ONLY-NO-NETWORK-NOT-AN-EDUCATIONAL-EVALUATION</x:t>
        </x:is>
      </x:c>
      <x:c r="G228" t="inlineStr">
        <x:is>
          <x:t xml:space="preserve"/>
        </x:is>
      </x:c>
      <x:c r="H228" t="inlineStr">
        <x:is>
          <x:t xml:space="preserve">NONE</x:t>
        </x:is>
      </x:c>
      <x:c r="I228" t="inlineStr">
        <x:is>
          <x:t xml:space="preserve"/>
        </x:is>
      </x:c>
      <x:c r="J228" t="inlineStr">
        <x:is>
          <x:t xml:space="preserve">SUCCESS</x:t>
        </x:is>
      </x:c>
      <x:c r="K228" t="n">
        <x:f>IF((COUNT('Quantification_Results'!E228)=1),IFERROR(ROUND((SUM(('Quantification_Results'!E228*'Quantification_Config'!$R$6))/SUM('Quantification_Config'!$R$6)),'Quantification_Config'!$U$2),""),"")</x:f>
        <x:v>50</x:v>
      </x:c>
      <x:c r="L228" t="n">
        <x:f>IF((COUNT('Quantification_Results'!K228)=1),IFERROR(ROUND((SUM(('Quantification_Results'!K228*'Quantification_Config'!$R$5))/SUM('Quantification_Config'!$R$5)),'Quantification_Config'!$U$2),""),"")</x:f>
        <x:v>50</x:v>
      </x:c>
      <x:c r="M228" t="n">
        <x:v>1</x:v>
      </x:c>
      <x:c r="N228" t="n">
        <x:v>5</x:v>
      </x:c>
      <x:c r="O228"/>
      <x:c r="P228" t="n">
        <x:f>IF(('Quantification_Results'!M228&lt;&gt;1),"",IF(('Quantification_Results'!O228=""),IF(ISNUMBER('Quantification_Results'!N228),IF(('Quantification_Results'!N228&lt;'Quantification_Config'!$S$9),"",IF(('Quantification_Results'!N228&gt;'Quantification_Config'!$T$9),"",'Quantification_Results'!N228)),""),IF(ISNUMBER('Quantification_Results'!O228),IF(('Quantification_Results'!O228&lt;'Quantification_Config'!$S$9),"",IF(('Quantification_Results'!O228&gt;'Quantification_Config'!$T$9),"",'Quantification_Results'!O228)),"")))</x:f>
        <x:v>5</x:v>
      </x:c>
      <x:c r="Q228" t="n">
        <x:f>IF(ISNUMBER('Quantification_Results'!P228),IFERROR(ROUND(((('Quantification_Results'!P228-'Quantification_Config'!$S$9)/('Quantification_Config'!$T$9-'Quantification_Config'!$S$9))*100),'Quantification_Config'!$U$2),""),"")</x:f>
        <x:v>50</x:v>
      </x:c>
      <x:c r="R228" t="inlineStr">
        <x:is>
          <x:t xml:space="preserve">SYSTEM-TEST-ONLY-NO-NETWORK-NOT-AN-EDUCATIONAL-EVALUATION</x:t>
        </x:is>
      </x:c>
      <x:c r="S228" t="inlineStr">
        <x:is>
          <x:t xml:space="preserve"/>
        </x:is>
      </x:c>
      <x:c r="T228" t="inlineStr">
        <x:is>
          <x:t xml:space="preserve">NONE</x:t>
        </x:is>
      </x:c>
      <x:c r="U228" t="inlineStr">
        <x:is>
          <x:t xml:space="preserve"/>
        </x:is>
      </x:c>
      <x:c r="V228" t="inlineStr">
        <x:is>
          <x:t xml:space="preserve">SUCCESS</x:t>
        </x:is>
      </x:c>
      <x:c r="W228" t="n">
        <x:f>IF((COUNT('Quantification_Results'!Q228)=1),IFERROR(ROUND((SUM(('Quantification_Results'!Q228*'Quantification_Config'!$R$9))/SUM('Quantification_Config'!$R$9)),'Quantification_Config'!$U$2),""),"")</x:f>
        <x:v>50</x:v>
      </x:c>
      <x:c r="X228" t="n">
        <x:f>IF((COUNT('Quantification_Results'!W228)=1),IFERROR(ROUND((SUM(('Quantification_Results'!W228*'Quantification_Config'!$R$8))/SUM('Quantification_Config'!$R$8)),'Quantification_Config'!$U$2),""),"")</x:f>
        <x:v>50</x:v>
      </x:c>
      <x:c r="Y228" t="n">
        <x:v>1</x:v>
      </x:c>
      <x:c r="Z228" t="n">
        <x:v>5</x:v>
      </x:c>
      <x:c r="AA228"/>
      <x:c r="AB228" t="n">
        <x:f>IF(('Quantification_Results'!Y228&lt;&gt;1),"",IF(('Quantification_Results'!AA228=""),IF(ISNUMBER('Quantification_Results'!Z228),IF(('Quantification_Results'!Z228&lt;'Quantification_Config'!$S$12),"",IF(('Quantification_Results'!Z228&gt;'Quantification_Config'!$T$12),"",'Quantification_Results'!Z228)),""),IF(ISNUMBER('Quantification_Results'!AA228),IF(('Quantification_Results'!AA228&lt;'Quantification_Config'!$S$12),"",IF(('Quantification_Results'!AA228&gt;'Quantification_Config'!$T$12),"",'Quantification_Results'!AA228)),"")))</x:f>
        <x:v>5</x:v>
      </x:c>
      <x:c r="AC228" t="n">
        <x:f>IF(ISNUMBER('Quantification_Results'!AB228),IFERROR(ROUND(((('Quantification_Results'!AB228-'Quantification_Config'!$S$12)/('Quantification_Config'!$T$12-'Quantification_Config'!$S$12))*100),'Quantification_Config'!$U$2),""),"")</x:f>
        <x:v>50</x:v>
      </x:c>
      <x:c r="AD228" t="inlineStr">
        <x:is>
          <x:t xml:space="preserve">SYSTEM-TEST-ONLY-NO-NETWORK-NOT-AN-EDUCATIONAL-EVALUATION</x:t>
        </x:is>
      </x:c>
      <x:c r="AE228" t="inlineStr">
        <x:is>
          <x:t xml:space="preserve"/>
        </x:is>
      </x:c>
      <x:c r="AF228" t="inlineStr">
        <x:is>
          <x:t xml:space="preserve">NONE</x:t>
        </x:is>
      </x:c>
      <x:c r="AG228" t="inlineStr">
        <x:is>
          <x:t xml:space="preserve"/>
        </x:is>
      </x:c>
      <x:c r="AH228" t="inlineStr">
        <x:is>
          <x:t xml:space="preserve">SUCCESS</x:t>
        </x:is>
      </x:c>
      <x:c r="AI228" t="n">
        <x:f>IF((COUNT('Quantification_Results'!AC228)=1),IFERROR(ROUND((SUM(('Quantification_Results'!AC228*'Quantification_Config'!$R$12))/SUM('Quantification_Config'!$R$12)),'Quantification_Config'!$U$2),""),"")</x:f>
        <x:v>50</x:v>
      </x:c>
      <x:c r="AJ228" t="n">
        <x:f>IF((COUNT('Quantification_Results'!AI228)=1),IFERROR(ROUND((SUM(('Quantification_Results'!AI228*'Quantification_Config'!$R$11))/SUM('Quantification_Config'!$R$11)),'Quantification_Config'!$U$2),""),"")</x:f>
        <x:v>50</x:v>
      </x:c>
      <x:c r="AK228" t="n">
        <x:v>1</x:v>
      </x:c>
      <x:c r="AL228" t="n">
        <x:v>5</x:v>
      </x:c>
      <x:c r="AM228"/>
      <x:c r="AN228" t="n">
        <x:f>IF(('Quantification_Results'!AK228&lt;&gt;1),"",IF(('Quantification_Results'!AM228=""),IF(ISNUMBER('Quantification_Results'!AL228),IF(('Quantification_Results'!AL228&lt;'Quantification_Config'!$S$15),"",IF(('Quantification_Results'!AL228&gt;'Quantification_Config'!$T$15),"",'Quantification_Results'!AL228)),""),IF(ISNUMBER('Quantification_Results'!AM228),IF(('Quantification_Results'!AM228&lt;'Quantification_Config'!$S$15),"",IF(('Quantification_Results'!AM228&gt;'Quantification_Config'!$T$15),"",'Quantification_Results'!AM228)),"")))</x:f>
        <x:v>5</x:v>
      </x:c>
      <x:c r="AO228" t="n">
        <x:f>IF(ISNUMBER('Quantification_Results'!AN228),IFERROR(ROUND(((('Quantification_Results'!AN228-'Quantification_Config'!$S$15)/('Quantification_Config'!$T$15-'Quantification_Config'!$S$15))*100),'Quantification_Config'!$U$2),""),"")</x:f>
        <x:v>50</x:v>
      </x:c>
      <x:c r="AP228" t="inlineStr">
        <x:is>
          <x:t xml:space="preserve">SYSTEM-TEST-ONLY-NO-NETWORK-NOT-AN-EDUCATIONAL-EVALUATION</x:t>
        </x:is>
      </x:c>
      <x:c r="AQ228" t="inlineStr">
        <x:is>
          <x:t xml:space="preserve"/>
        </x:is>
      </x:c>
      <x:c r="AR228" t="inlineStr">
        <x:is>
          <x:t xml:space="preserve">NONE</x:t>
        </x:is>
      </x:c>
      <x:c r="AS228" t="inlineStr">
        <x:is>
          <x:t xml:space="preserve"/>
        </x:is>
      </x:c>
      <x:c r="AT228" t="inlineStr">
        <x:is>
          <x:t xml:space="preserve">SUCCESS</x:t>
        </x:is>
      </x:c>
      <x:c r="AU228" t="n">
        <x:f>IF((COUNT('Quantification_Results'!AO228)=1),IFERROR(ROUND((SUM(('Quantification_Results'!AO228*'Quantification_Config'!$R$15))/SUM('Quantification_Config'!$R$15)),'Quantification_Config'!$U$2),""),"")</x:f>
        <x:v>50</x:v>
      </x:c>
      <x:c r="AV228" t="n">
        <x:f>IF((COUNT('Quantification_Results'!AU228)=1),IFERROR(ROUND((SUM(('Quantification_Results'!AU228*'Quantification_Config'!$R$14))/SUM('Quantification_Config'!$R$14)),'Quantification_Config'!$U$2),""),"")</x:f>
        <x:v>50</x:v>
      </x:c>
      <x:c r="AW228" t="n">
        <x:v>1</x:v>
      </x:c>
      <x:c r="AX228" t="n">
        <x:v>5</x:v>
      </x:c>
      <x:c r="AY228"/>
      <x:c r="AZ228" t="n">
        <x:f>IF(('Quantification_Results'!AW228&lt;&gt;1),"",IF(('Quantification_Results'!AY228=""),IF(ISNUMBER('Quantification_Results'!AX228),IF(('Quantification_Results'!AX228&lt;'Quantification_Config'!$S$19),"",IF(('Quantification_Results'!AX228&gt;'Quantification_Config'!$T$19),"",'Quantification_Results'!AX228)),""),IF(ISNUMBER('Quantification_Results'!AY228),IF(('Quantification_Results'!AY228&lt;'Quantification_Config'!$S$19),"",IF(('Quantification_Results'!AY228&gt;'Quantification_Config'!$T$19),"",'Quantification_Results'!AY228)),"")))</x:f>
        <x:v>5</x:v>
      </x:c>
      <x:c r="BA228" t="n">
        <x:f>IF(ISNUMBER('Quantification_Results'!AZ228),IFERROR(ROUND(((('Quantification_Results'!AZ228-'Quantification_Config'!$S$19)/('Quantification_Config'!$T$19-'Quantification_Config'!$S$19))*100),'Quantification_Config'!$U$2),""),"")</x:f>
        <x:v>50</x:v>
      </x:c>
      <x:c r="BB228" t="inlineStr">
        <x:is>
          <x:t xml:space="preserve">SYSTEM-TEST-ONLY-NO-NETWORK-NOT-AN-EDUCATIONAL-EVALUATION</x:t>
        </x:is>
      </x:c>
      <x:c r="BC228" t="inlineStr">
        <x:is>
          <x:t xml:space="preserve"/>
        </x:is>
      </x:c>
      <x:c r="BD228" t="inlineStr">
        <x:is>
          <x:t xml:space="preserve">NONE</x:t>
        </x:is>
      </x:c>
      <x:c r="BE228" t="inlineStr">
        <x:is>
          <x:t xml:space="preserve"/>
        </x:is>
      </x:c>
      <x:c r="BF228" t="inlineStr">
        <x:is>
          <x:t xml:space="preserve">SUCCESS</x:t>
        </x:is>
      </x:c>
      <x:c r="BG228" t="n">
        <x:f>IF((COUNT('Quantification_Results'!BA228)=1),IFERROR(ROUND((SUM(('Quantification_Results'!BA228*'Quantification_Config'!$R$19))/SUM('Quantification_Config'!$R$19)),'Quantification_Config'!$U$2),""),"")</x:f>
        <x:v>50</x:v>
      </x:c>
      <x:c r="BH228" t="n">
        <x:f>IF((COUNT('Quantification_Results'!BG228)=1),IFERROR(ROUND((SUM(('Quantification_Results'!BG228*'Quantification_Config'!$R$18))/SUM('Quantification_Config'!$R$18)),'Quantification_Config'!$U$2),""),"")</x:f>
        <x:v>50</x:v>
      </x:c>
      <x:c r="BI228" t="n">
        <x:f>IF((COUNT('Quantification_Results'!L228,'Quantification_Results'!X228,'Quantification_Results'!AJ228,'Quantification_Results'!AV228,'Quantification_Results'!BH228)=5),IFERROR(ROUND((SUM(('Quantification_Results'!L228*'Quantification_Config'!$R$4),('Quantification_Results'!X228*'Quantification_Config'!$R$7),('Quantification_Results'!AJ228*'Quantification_Config'!$R$10),('Quantification_Results'!AV228*'Quantification_Config'!$R$13),('Quantification_Results'!BH228*'Quantification_Config'!$R$16))/SUM('Quantification_Config'!$R$4,'Quantification_Config'!$R$7,'Quantification_Config'!$R$10,'Quantification_Config'!$R$13,'Quantification_Config'!$R$16)),'Quantification_Config'!$U$2),""),"")</x:f>
        <x:v>50</x:v>
      </x:c>
    </x:row>
    <x:row r="229">
      <x:c r="A229" t="n">
        <x:v>1</x:v>
      </x:c>
      <x:c r="B229" t="n">
        <x:v>5</x:v>
      </x:c>
      <x:c r="C229"/>
      <x:c r="D229" t="n">
        <x:f>IF(('Quantification_Results'!A229&lt;&gt;1),"",IF(('Quantification_Results'!C229=""),IF(ISNUMBER('Quantification_Results'!B229),IF(('Quantification_Results'!B229&lt;'Quantification_Config'!$S$6),"",IF(('Quantification_Results'!B229&gt;'Quantification_Config'!$T$6),"",'Quantification_Results'!B229)),""),IF(ISNUMBER('Quantification_Results'!C229),IF(('Quantification_Results'!C229&lt;'Quantification_Config'!$S$6),"",IF(('Quantification_Results'!C229&gt;'Quantification_Config'!$T$6),"",'Quantification_Results'!C229)),"")))</x:f>
        <x:v>5</x:v>
      </x:c>
      <x:c r="E229" t="n">
        <x:f>IF(ISNUMBER('Quantification_Results'!D229),IFERROR(ROUND(((('Quantification_Results'!D229-'Quantification_Config'!$S$6)/('Quantification_Config'!$T$6-'Quantification_Config'!$S$6))*100),'Quantification_Config'!$U$2),""),"")</x:f>
        <x:v>50</x:v>
      </x:c>
      <x:c r="F229" t="inlineStr">
        <x:is>
          <x:t xml:space="preserve">SYSTEM-TEST-ONLY-NO-NETWORK-NOT-AN-EDUCATIONAL-EVALUATION</x:t>
        </x:is>
      </x:c>
      <x:c r="G229" t="inlineStr">
        <x:is>
          <x:t xml:space="preserve"/>
        </x:is>
      </x:c>
      <x:c r="H229" t="inlineStr">
        <x:is>
          <x:t xml:space="preserve">NONE</x:t>
        </x:is>
      </x:c>
      <x:c r="I229" t="inlineStr">
        <x:is>
          <x:t xml:space="preserve"/>
        </x:is>
      </x:c>
      <x:c r="J229" t="inlineStr">
        <x:is>
          <x:t xml:space="preserve">SUCCESS</x:t>
        </x:is>
      </x:c>
      <x:c r="K229" t="n">
        <x:f>IF((COUNT('Quantification_Results'!E229)=1),IFERROR(ROUND((SUM(('Quantification_Results'!E229*'Quantification_Config'!$R$6))/SUM('Quantification_Config'!$R$6)),'Quantification_Config'!$U$2),""),"")</x:f>
        <x:v>50</x:v>
      </x:c>
      <x:c r="L229" t="n">
        <x:f>IF((COUNT('Quantification_Results'!K229)=1),IFERROR(ROUND((SUM(('Quantification_Results'!K229*'Quantification_Config'!$R$5))/SUM('Quantification_Config'!$R$5)),'Quantification_Config'!$U$2),""),"")</x:f>
        <x:v>50</x:v>
      </x:c>
      <x:c r="M229" t="n">
        <x:v>1</x:v>
      </x:c>
      <x:c r="N229" t="n">
        <x:v>5</x:v>
      </x:c>
      <x:c r="O229"/>
      <x:c r="P229" t="n">
        <x:f>IF(('Quantification_Results'!M229&lt;&gt;1),"",IF(('Quantification_Results'!O229=""),IF(ISNUMBER('Quantification_Results'!N229),IF(('Quantification_Results'!N229&lt;'Quantification_Config'!$S$9),"",IF(('Quantification_Results'!N229&gt;'Quantification_Config'!$T$9),"",'Quantification_Results'!N229)),""),IF(ISNUMBER('Quantification_Results'!O229),IF(('Quantification_Results'!O229&lt;'Quantification_Config'!$S$9),"",IF(('Quantification_Results'!O229&gt;'Quantification_Config'!$T$9),"",'Quantification_Results'!O229)),"")))</x:f>
        <x:v>5</x:v>
      </x:c>
      <x:c r="Q229" t="n">
        <x:f>IF(ISNUMBER('Quantification_Results'!P229),IFERROR(ROUND(((('Quantification_Results'!P229-'Quantification_Config'!$S$9)/('Quantification_Config'!$T$9-'Quantification_Config'!$S$9))*100),'Quantification_Config'!$U$2),""),"")</x:f>
        <x:v>50</x:v>
      </x:c>
      <x:c r="R229" t="inlineStr">
        <x:is>
          <x:t xml:space="preserve">SYSTEM-TEST-ONLY-NO-NETWORK-NOT-AN-EDUCATIONAL-EVALUATION</x:t>
        </x:is>
      </x:c>
      <x:c r="S229" t="inlineStr">
        <x:is>
          <x:t xml:space="preserve"/>
        </x:is>
      </x:c>
      <x:c r="T229" t="inlineStr">
        <x:is>
          <x:t xml:space="preserve">NONE</x:t>
        </x:is>
      </x:c>
      <x:c r="U229" t="inlineStr">
        <x:is>
          <x:t xml:space="preserve"/>
        </x:is>
      </x:c>
      <x:c r="V229" t="inlineStr">
        <x:is>
          <x:t xml:space="preserve">SUCCESS</x:t>
        </x:is>
      </x:c>
      <x:c r="W229" t="n">
        <x:f>IF((COUNT('Quantification_Results'!Q229)=1),IFERROR(ROUND((SUM(('Quantification_Results'!Q229*'Quantification_Config'!$R$9))/SUM('Quantification_Config'!$R$9)),'Quantification_Config'!$U$2),""),"")</x:f>
        <x:v>50</x:v>
      </x:c>
      <x:c r="X229" t="n">
        <x:f>IF((COUNT('Quantification_Results'!W229)=1),IFERROR(ROUND((SUM(('Quantification_Results'!W229*'Quantification_Config'!$R$8))/SUM('Quantification_Config'!$R$8)),'Quantification_Config'!$U$2),""),"")</x:f>
        <x:v>50</x:v>
      </x:c>
      <x:c r="Y229" t="n">
        <x:v>0</x:v>
      </x:c>
      <x:c r="Z229"/>
      <x:c r="AA229"/>
      <x:c r="AB229">
        <x:f>IF(('Quantification_Results'!Y229&lt;&gt;1),"",IF(('Quantification_Results'!AA229=""),IF(ISNUMBER('Quantification_Results'!Z229),IF(('Quantification_Results'!Z229&lt;'Quantification_Config'!$S$12),"",IF(('Quantification_Results'!Z229&gt;'Quantification_Config'!$T$12),"",'Quantification_Results'!Z229)),""),IF(ISNUMBER('Quantification_Results'!AA229),IF(('Quantification_Results'!AA229&lt;'Quantification_Config'!$S$12),"",IF(('Quantification_Results'!AA229&gt;'Quantification_Config'!$T$12),"",'Quantification_Results'!AA229)),"")))</x:f>
      </x:c>
      <x:c r="AC229">
        <x:f>IF(ISNUMBER('Quantification_Results'!AB229),IFERROR(ROUND(((('Quantification_Results'!AB229-'Quantification_Config'!$S$12)/('Quantification_Config'!$T$12-'Quantification_Config'!$S$12))*100),'Quantification_Config'!$U$2),""),"")</x:f>
      </x:c>
      <x:c r="AD229" t="inlineStr">
        <x:is>
          <x:t xml:space="preserve"/>
        </x:is>
      </x:c>
      <x:c r="AE229" t="inlineStr">
        <x:is>
          <x:t xml:space="preserve"/>
        </x:is>
      </x:c>
      <x:c r="AF229" t="inlineStr">
        <x:is>
          <x:t xml:space="preserve"/>
        </x:is>
      </x:c>
      <x:c r="AG229" t="inlineStr">
        <x:is>
          <x:t xml:space="preserve"/>
        </x:is>
      </x:c>
      <x:c r="AH229" t="inlineStr">
        <x:is>
          <x:t xml:space="preserve">EMPTY</x:t>
        </x:is>
      </x:c>
      <x:c r="AI229">
        <x:f>IF((COUNT('Quantification_Results'!AC229)=1),IFERROR(ROUND((SUM(('Quantification_Results'!AC229*'Quantification_Config'!$R$12))/SUM('Quantification_Config'!$R$12)),'Quantification_Config'!$U$2),""),"")</x:f>
      </x:c>
      <x:c r="AJ229">
        <x:f>IF((COUNT('Quantification_Results'!AI229)=1),IFERROR(ROUND((SUM(('Quantification_Results'!AI229*'Quantification_Config'!$R$11))/SUM('Quantification_Config'!$R$11)),'Quantification_Config'!$U$2),""),"")</x:f>
      </x:c>
      <x:c r="AK229" t="n">
        <x:v>1</x:v>
      </x:c>
      <x:c r="AL229" t="n">
        <x:v>5</x:v>
      </x:c>
      <x:c r="AM229"/>
      <x:c r="AN229" t="n">
        <x:f>IF(('Quantification_Results'!AK229&lt;&gt;1),"",IF(('Quantification_Results'!AM229=""),IF(ISNUMBER('Quantification_Results'!AL229),IF(('Quantification_Results'!AL229&lt;'Quantification_Config'!$S$15),"",IF(('Quantification_Results'!AL229&gt;'Quantification_Config'!$T$15),"",'Quantification_Results'!AL229)),""),IF(ISNUMBER('Quantification_Results'!AM229),IF(('Quantification_Results'!AM229&lt;'Quantification_Config'!$S$15),"",IF(('Quantification_Results'!AM229&gt;'Quantification_Config'!$T$15),"",'Quantification_Results'!AM229)),"")))</x:f>
        <x:v>5</x:v>
      </x:c>
      <x:c r="AO229" t="n">
        <x:f>IF(ISNUMBER('Quantification_Results'!AN229),IFERROR(ROUND(((('Quantification_Results'!AN229-'Quantification_Config'!$S$15)/('Quantification_Config'!$T$15-'Quantification_Config'!$S$15))*100),'Quantification_Config'!$U$2),""),"")</x:f>
        <x:v>50</x:v>
      </x:c>
      <x:c r="AP229" t="inlineStr">
        <x:is>
          <x:t xml:space="preserve">SYSTEM-TEST-ONLY-NO-NETWORK-NOT-AN-EDUCATIONAL-EVALUATION</x:t>
        </x:is>
      </x:c>
      <x:c r="AQ229" t="inlineStr">
        <x:is>
          <x:t xml:space="preserve"/>
        </x:is>
      </x:c>
      <x:c r="AR229" t="inlineStr">
        <x:is>
          <x:t xml:space="preserve">NONE</x:t>
        </x:is>
      </x:c>
      <x:c r="AS229" t="inlineStr">
        <x:is>
          <x:t xml:space="preserve"/>
        </x:is>
      </x:c>
      <x:c r="AT229" t="inlineStr">
        <x:is>
          <x:t xml:space="preserve">SUCCESS</x:t>
        </x:is>
      </x:c>
      <x:c r="AU229" t="n">
        <x:f>IF((COUNT('Quantification_Results'!AO229)=1),IFERROR(ROUND((SUM(('Quantification_Results'!AO229*'Quantification_Config'!$R$15))/SUM('Quantification_Config'!$R$15)),'Quantification_Config'!$U$2),""),"")</x:f>
        <x:v>50</x:v>
      </x:c>
      <x:c r="AV229" t="n">
        <x:f>IF((COUNT('Quantification_Results'!AU229)=1),IFERROR(ROUND((SUM(('Quantification_Results'!AU229*'Quantification_Config'!$R$14))/SUM('Quantification_Config'!$R$14)),'Quantification_Config'!$U$2),""),"")</x:f>
        <x:v>50</x:v>
      </x:c>
      <x:c r="AW229" t="n">
        <x:v>1</x:v>
      </x:c>
      <x:c r="AX229" t="n">
        <x:v>5</x:v>
      </x:c>
      <x:c r="AY229"/>
      <x:c r="AZ229" t="n">
        <x:f>IF(('Quantification_Results'!AW229&lt;&gt;1),"",IF(('Quantification_Results'!AY229=""),IF(ISNUMBER('Quantification_Results'!AX229),IF(('Quantification_Results'!AX229&lt;'Quantification_Config'!$S$19),"",IF(('Quantification_Results'!AX229&gt;'Quantification_Config'!$T$19),"",'Quantification_Results'!AX229)),""),IF(ISNUMBER('Quantification_Results'!AY229),IF(('Quantification_Results'!AY229&lt;'Quantification_Config'!$S$19),"",IF(('Quantification_Results'!AY229&gt;'Quantification_Config'!$T$19),"",'Quantification_Results'!AY229)),"")))</x:f>
        <x:v>5</x:v>
      </x:c>
      <x:c r="BA229" t="n">
        <x:f>IF(ISNUMBER('Quantification_Results'!AZ229),IFERROR(ROUND(((('Quantification_Results'!AZ229-'Quantification_Config'!$S$19)/('Quantification_Config'!$T$19-'Quantification_Config'!$S$19))*100),'Quantification_Config'!$U$2),""),"")</x:f>
        <x:v>50</x:v>
      </x:c>
      <x:c r="BB229" t="inlineStr">
        <x:is>
          <x:t xml:space="preserve">SYSTEM-TEST-ONLY-NO-NETWORK-NOT-AN-EDUCATIONAL-EVALUATION</x:t>
        </x:is>
      </x:c>
      <x:c r="BC229" t="inlineStr">
        <x:is>
          <x:t xml:space="preserve"/>
        </x:is>
      </x:c>
      <x:c r="BD229" t="inlineStr">
        <x:is>
          <x:t xml:space="preserve">NONE</x:t>
        </x:is>
      </x:c>
      <x:c r="BE229" t="inlineStr">
        <x:is>
          <x:t xml:space="preserve"/>
        </x:is>
      </x:c>
      <x:c r="BF229" t="inlineStr">
        <x:is>
          <x:t xml:space="preserve">SUCCESS</x:t>
        </x:is>
      </x:c>
      <x:c r="BG229" t="n">
        <x:f>IF((COUNT('Quantification_Results'!BA229)=1),IFERROR(ROUND((SUM(('Quantification_Results'!BA229*'Quantification_Config'!$R$19))/SUM('Quantification_Config'!$R$19)),'Quantification_Config'!$U$2),""),"")</x:f>
        <x:v>50</x:v>
      </x:c>
      <x:c r="BH229" t="n">
        <x:f>IF((COUNT('Quantification_Results'!BG229)=1),IFERROR(ROUND((SUM(('Quantification_Results'!BG229*'Quantification_Config'!$R$18))/SUM('Quantification_Config'!$R$18)),'Quantification_Config'!$U$2),""),"")</x:f>
        <x:v>50</x:v>
      </x:c>
      <x:c r="BI229">
        <x:f>IF((COUNT('Quantification_Results'!L229,'Quantification_Results'!X229,'Quantification_Results'!AJ229,'Quantification_Results'!AV229,'Quantification_Results'!BH229)=5),IFERROR(ROUND((SUM(('Quantification_Results'!L229*'Quantification_Config'!$R$4),('Quantification_Results'!X229*'Quantification_Config'!$R$7),('Quantification_Results'!AJ229*'Quantification_Config'!$R$10),('Quantification_Results'!AV229*'Quantification_Config'!$R$13),('Quantification_Results'!BH229*'Quantification_Config'!$R$16))/SUM('Quantification_Config'!$R$4,'Quantification_Config'!$R$7,'Quantification_Config'!$R$10,'Quantification_Config'!$R$13,'Quantification_Config'!$R$16)),'Quantification_Config'!$U$2),""),"")</x:f>
      </x:c>
    </x:row>
    <x:row r="230">
      <x:c r="A230" t="n">
        <x:v>1</x:v>
      </x:c>
      <x:c r="B230" t="n">
        <x:v>5</x:v>
      </x:c>
      <x:c r="C230"/>
      <x:c r="D230" t="n">
        <x:f>IF(('Quantification_Results'!A230&lt;&gt;1),"",IF(('Quantification_Results'!C230=""),IF(ISNUMBER('Quantification_Results'!B230),IF(('Quantification_Results'!B230&lt;'Quantification_Config'!$S$6),"",IF(('Quantification_Results'!B230&gt;'Quantification_Config'!$T$6),"",'Quantification_Results'!B230)),""),IF(ISNUMBER('Quantification_Results'!C230),IF(('Quantification_Results'!C230&lt;'Quantification_Config'!$S$6),"",IF(('Quantification_Results'!C230&gt;'Quantification_Config'!$T$6),"",'Quantification_Results'!C230)),"")))</x:f>
        <x:v>5</x:v>
      </x:c>
      <x:c r="E230" t="n">
        <x:f>IF(ISNUMBER('Quantification_Results'!D230),IFERROR(ROUND(((('Quantification_Results'!D230-'Quantification_Config'!$S$6)/('Quantification_Config'!$T$6-'Quantification_Config'!$S$6))*100),'Quantification_Config'!$U$2),""),"")</x:f>
        <x:v>50</x:v>
      </x:c>
      <x:c r="F230" t="inlineStr">
        <x:is>
          <x:t xml:space="preserve">SYSTEM-TEST-ONLY-NO-NETWORK-NOT-AN-EDUCATIONAL-EVALUATION</x:t>
        </x:is>
      </x:c>
      <x:c r="G230" t="inlineStr">
        <x:is>
          <x:t xml:space="preserve"/>
        </x:is>
      </x:c>
      <x:c r="H230" t="inlineStr">
        <x:is>
          <x:t xml:space="preserve">NONE</x:t>
        </x:is>
      </x:c>
      <x:c r="I230" t="inlineStr">
        <x:is>
          <x:t xml:space="preserve"/>
        </x:is>
      </x:c>
      <x:c r="J230" t="inlineStr">
        <x:is>
          <x:t xml:space="preserve">SUCCESS</x:t>
        </x:is>
      </x:c>
      <x:c r="K230" t="n">
        <x:f>IF((COUNT('Quantification_Results'!E230)=1),IFERROR(ROUND((SUM(('Quantification_Results'!E230*'Quantification_Config'!$R$6))/SUM('Quantification_Config'!$R$6)),'Quantification_Config'!$U$2),""),"")</x:f>
        <x:v>50</x:v>
      </x:c>
      <x:c r="L230" t="n">
        <x:f>IF((COUNT('Quantification_Results'!K230)=1),IFERROR(ROUND((SUM(('Quantification_Results'!K230*'Quantification_Config'!$R$5))/SUM('Quantification_Config'!$R$5)),'Quantification_Config'!$U$2),""),"")</x:f>
        <x:v>50</x:v>
      </x:c>
      <x:c r="M230" t="n">
        <x:v>1</x:v>
      </x:c>
      <x:c r="N230" t="n">
        <x:v>5</x:v>
      </x:c>
      <x:c r="O230"/>
      <x:c r="P230" t="n">
        <x:f>IF(('Quantification_Results'!M230&lt;&gt;1),"",IF(('Quantification_Results'!O230=""),IF(ISNUMBER('Quantification_Results'!N230),IF(('Quantification_Results'!N230&lt;'Quantification_Config'!$S$9),"",IF(('Quantification_Results'!N230&gt;'Quantification_Config'!$T$9),"",'Quantification_Results'!N230)),""),IF(ISNUMBER('Quantification_Results'!O230),IF(('Quantification_Results'!O230&lt;'Quantification_Config'!$S$9),"",IF(('Quantification_Results'!O230&gt;'Quantification_Config'!$T$9),"",'Quantification_Results'!O230)),"")))</x:f>
        <x:v>5</x:v>
      </x:c>
      <x:c r="Q230" t="n">
        <x:f>IF(ISNUMBER('Quantification_Results'!P230),IFERROR(ROUND(((('Quantification_Results'!P230-'Quantification_Config'!$S$9)/('Quantification_Config'!$T$9-'Quantification_Config'!$S$9))*100),'Quantification_Config'!$U$2),""),"")</x:f>
        <x:v>50</x:v>
      </x:c>
      <x:c r="R230" t="inlineStr">
        <x:is>
          <x:t xml:space="preserve">SYSTEM-TEST-ONLY-NO-NETWORK-NOT-AN-EDUCATIONAL-EVALUATION</x:t>
        </x:is>
      </x:c>
      <x:c r="S230" t="inlineStr">
        <x:is>
          <x:t xml:space="preserve"/>
        </x:is>
      </x:c>
      <x:c r="T230" t="inlineStr">
        <x:is>
          <x:t xml:space="preserve">NONE</x:t>
        </x:is>
      </x:c>
      <x:c r="U230" t="inlineStr">
        <x:is>
          <x:t xml:space="preserve"/>
        </x:is>
      </x:c>
      <x:c r="V230" t="inlineStr">
        <x:is>
          <x:t xml:space="preserve">SUCCESS</x:t>
        </x:is>
      </x:c>
      <x:c r="W230" t="n">
        <x:f>IF((COUNT('Quantification_Results'!Q230)=1),IFERROR(ROUND((SUM(('Quantification_Results'!Q230*'Quantification_Config'!$R$9))/SUM('Quantification_Config'!$R$9)),'Quantification_Config'!$U$2),""),"")</x:f>
        <x:v>50</x:v>
      </x:c>
      <x:c r="X230" t="n">
        <x:f>IF((COUNT('Quantification_Results'!W230)=1),IFERROR(ROUND((SUM(('Quantification_Results'!W230*'Quantification_Config'!$R$8))/SUM('Quantification_Config'!$R$8)),'Quantification_Config'!$U$2),""),"")</x:f>
        <x:v>50</x:v>
      </x:c>
      <x:c r="Y230" t="n">
        <x:v>0</x:v>
      </x:c>
      <x:c r="Z230"/>
      <x:c r="AA230"/>
      <x:c r="AB230">
        <x:f>IF(('Quantification_Results'!Y230&lt;&gt;1),"",IF(('Quantification_Results'!AA230=""),IF(ISNUMBER('Quantification_Results'!Z230),IF(('Quantification_Results'!Z230&lt;'Quantification_Config'!$S$12),"",IF(('Quantification_Results'!Z230&gt;'Quantification_Config'!$T$12),"",'Quantification_Results'!Z230)),""),IF(ISNUMBER('Quantification_Results'!AA230),IF(('Quantification_Results'!AA230&lt;'Quantification_Config'!$S$12),"",IF(('Quantification_Results'!AA230&gt;'Quantification_Config'!$T$12),"",'Quantification_Results'!AA230)),"")))</x:f>
      </x:c>
      <x:c r="AC230">
        <x:f>IF(ISNUMBER('Quantification_Results'!AB230),IFERROR(ROUND(((('Quantification_Results'!AB230-'Quantification_Config'!$S$12)/('Quantification_Config'!$T$12-'Quantification_Config'!$S$12))*100),'Quantification_Config'!$U$2),""),"")</x:f>
      </x:c>
      <x:c r="AD230" t="inlineStr">
        <x:is>
          <x:t xml:space="preserve"/>
        </x:is>
      </x:c>
      <x:c r="AE230" t="inlineStr">
        <x:is>
          <x:t xml:space="preserve"/>
        </x:is>
      </x:c>
      <x:c r="AF230" t="inlineStr">
        <x:is>
          <x:t xml:space="preserve"/>
        </x:is>
      </x:c>
      <x:c r="AG230" t="inlineStr">
        <x:is>
          <x:t xml:space="preserve"/>
        </x:is>
      </x:c>
      <x:c r="AH230" t="inlineStr">
        <x:is>
          <x:t xml:space="preserve">EMPTY</x:t>
        </x:is>
      </x:c>
      <x:c r="AI230">
        <x:f>IF((COUNT('Quantification_Results'!AC230)=1),IFERROR(ROUND((SUM(('Quantification_Results'!AC230*'Quantification_Config'!$R$12))/SUM('Quantification_Config'!$R$12)),'Quantification_Config'!$U$2),""),"")</x:f>
      </x:c>
      <x:c r="AJ230">
        <x:f>IF((COUNT('Quantification_Results'!AI230)=1),IFERROR(ROUND((SUM(('Quantification_Results'!AI230*'Quantification_Config'!$R$11))/SUM('Quantification_Config'!$R$11)),'Quantification_Config'!$U$2),""),"")</x:f>
      </x:c>
      <x:c r="AK230" t="n">
        <x:v>1</x:v>
      </x:c>
      <x:c r="AL230" t="n">
        <x:v>5</x:v>
      </x:c>
      <x:c r="AM230"/>
      <x:c r="AN230" t="n">
        <x:f>IF(('Quantification_Results'!AK230&lt;&gt;1),"",IF(('Quantification_Results'!AM230=""),IF(ISNUMBER('Quantification_Results'!AL230),IF(('Quantification_Results'!AL230&lt;'Quantification_Config'!$S$15),"",IF(('Quantification_Results'!AL230&gt;'Quantification_Config'!$T$15),"",'Quantification_Results'!AL230)),""),IF(ISNUMBER('Quantification_Results'!AM230),IF(('Quantification_Results'!AM230&lt;'Quantification_Config'!$S$15),"",IF(('Quantification_Results'!AM230&gt;'Quantification_Config'!$T$15),"",'Quantification_Results'!AM230)),"")))</x:f>
        <x:v>5</x:v>
      </x:c>
      <x:c r="AO230" t="n">
        <x:f>IF(ISNUMBER('Quantification_Results'!AN230),IFERROR(ROUND(((('Quantification_Results'!AN230-'Quantification_Config'!$S$15)/('Quantification_Config'!$T$15-'Quantification_Config'!$S$15))*100),'Quantification_Config'!$U$2),""),"")</x:f>
        <x:v>50</x:v>
      </x:c>
      <x:c r="AP230" t="inlineStr">
        <x:is>
          <x:t xml:space="preserve">SYSTEM-TEST-ONLY-NO-NETWORK-NOT-AN-EDUCATIONAL-EVALUATION</x:t>
        </x:is>
      </x:c>
      <x:c r="AQ230" t="inlineStr">
        <x:is>
          <x:t xml:space="preserve"/>
        </x:is>
      </x:c>
      <x:c r="AR230" t="inlineStr">
        <x:is>
          <x:t xml:space="preserve">NONE</x:t>
        </x:is>
      </x:c>
      <x:c r="AS230" t="inlineStr">
        <x:is>
          <x:t xml:space="preserve"/>
        </x:is>
      </x:c>
      <x:c r="AT230" t="inlineStr">
        <x:is>
          <x:t xml:space="preserve">SUCCESS</x:t>
        </x:is>
      </x:c>
      <x:c r="AU230" t="n">
        <x:f>IF((COUNT('Quantification_Results'!AO230)=1),IFERROR(ROUND((SUM(('Quantification_Results'!AO230*'Quantification_Config'!$R$15))/SUM('Quantification_Config'!$R$15)),'Quantification_Config'!$U$2),""),"")</x:f>
        <x:v>50</x:v>
      </x:c>
      <x:c r="AV230" t="n">
        <x:f>IF((COUNT('Quantification_Results'!AU230)=1),IFERROR(ROUND((SUM(('Quantification_Results'!AU230*'Quantification_Config'!$R$14))/SUM('Quantification_Config'!$R$14)),'Quantification_Config'!$U$2),""),"")</x:f>
        <x:v>50</x:v>
      </x:c>
      <x:c r="AW230" t="n">
        <x:v>1</x:v>
      </x:c>
      <x:c r="AX230" t="n">
        <x:v>5</x:v>
      </x:c>
      <x:c r="AY230"/>
      <x:c r="AZ230" t="n">
        <x:f>IF(('Quantification_Results'!AW230&lt;&gt;1),"",IF(('Quantification_Results'!AY230=""),IF(ISNUMBER('Quantification_Results'!AX230),IF(('Quantification_Results'!AX230&lt;'Quantification_Config'!$S$19),"",IF(('Quantification_Results'!AX230&gt;'Quantification_Config'!$T$19),"",'Quantification_Results'!AX230)),""),IF(ISNUMBER('Quantification_Results'!AY230),IF(('Quantification_Results'!AY230&lt;'Quantification_Config'!$S$19),"",IF(('Quantification_Results'!AY230&gt;'Quantification_Config'!$T$19),"",'Quantification_Results'!AY230)),"")))</x:f>
        <x:v>5</x:v>
      </x:c>
      <x:c r="BA230" t="n">
        <x:f>IF(ISNUMBER('Quantification_Results'!AZ230),IFERROR(ROUND(((('Quantification_Results'!AZ230-'Quantification_Config'!$S$19)/('Quantification_Config'!$T$19-'Quantification_Config'!$S$19))*100),'Quantification_Config'!$U$2),""),"")</x:f>
        <x:v>50</x:v>
      </x:c>
      <x:c r="BB230" t="inlineStr">
        <x:is>
          <x:t xml:space="preserve">SYSTEM-TEST-ONLY-NO-NETWORK-NOT-AN-EDUCATIONAL-EVALUATION</x:t>
        </x:is>
      </x:c>
      <x:c r="BC230" t="inlineStr">
        <x:is>
          <x:t xml:space="preserve"/>
        </x:is>
      </x:c>
      <x:c r="BD230" t="inlineStr">
        <x:is>
          <x:t xml:space="preserve">NONE</x:t>
        </x:is>
      </x:c>
      <x:c r="BE230" t="inlineStr">
        <x:is>
          <x:t xml:space="preserve"/>
        </x:is>
      </x:c>
      <x:c r="BF230" t="inlineStr">
        <x:is>
          <x:t xml:space="preserve">SUCCESS</x:t>
        </x:is>
      </x:c>
      <x:c r="BG230" t="n">
        <x:f>IF((COUNT('Quantification_Results'!BA230)=1),IFERROR(ROUND((SUM(('Quantification_Results'!BA230*'Quantification_Config'!$R$19))/SUM('Quantification_Config'!$R$19)),'Quantification_Config'!$U$2),""),"")</x:f>
        <x:v>50</x:v>
      </x:c>
      <x:c r="BH230" t="n">
        <x:f>IF((COUNT('Quantification_Results'!BG230)=1),IFERROR(ROUND((SUM(('Quantification_Results'!BG230*'Quantification_Config'!$R$18))/SUM('Quantification_Config'!$R$18)),'Quantification_Config'!$U$2),""),"")</x:f>
        <x:v>50</x:v>
      </x:c>
      <x:c r="BI230">
        <x:f>IF((COUNT('Quantification_Results'!L230,'Quantification_Results'!X230,'Quantification_Results'!AJ230,'Quantification_Results'!AV230,'Quantification_Results'!BH230)=5),IFERROR(ROUND((SUM(('Quantification_Results'!L230*'Quantification_Config'!$R$4),('Quantification_Results'!X230*'Quantification_Config'!$R$7),('Quantification_Results'!AJ230*'Quantification_Config'!$R$10),('Quantification_Results'!AV230*'Quantification_Config'!$R$13),('Quantification_Results'!BH230*'Quantification_Config'!$R$16))/SUM('Quantification_Config'!$R$4,'Quantification_Config'!$R$7,'Quantification_Config'!$R$10,'Quantification_Config'!$R$13,'Quantification_Config'!$R$16)),'Quantification_Config'!$U$2),""),"")</x:f>
      </x:c>
    </x:row>
    <x:row r="231">
      <x:c r="A231" t="n">
        <x:v>1</x:v>
      </x:c>
      <x:c r="B231" t="n">
        <x:v>5</x:v>
      </x:c>
      <x:c r="C231"/>
      <x:c r="D231" t="n">
        <x:f>IF(('Quantification_Results'!A231&lt;&gt;1),"",IF(('Quantification_Results'!C231=""),IF(ISNUMBER('Quantification_Results'!B231),IF(('Quantification_Results'!B231&lt;'Quantification_Config'!$S$6),"",IF(('Quantification_Results'!B231&gt;'Quantification_Config'!$T$6),"",'Quantification_Results'!B231)),""),IF(ISNUMBER('Quantification_Results'!C231),IF(('Quantification_Results'!C231&lt;'Quantification_Config'!$S$6),"",IF(('Quantification_Results'!C231&gt;'Quantification_Config'!$T$6),"",'Quantification_Results'!C231)),"")))</x:f>
        <x:v>5</x:v>
      </x:c>
      <x:c r="E231" t="n">
        <x:f>IF(ISNUMBER('Quantification_Results'!D231),IFERROR(ROUND(((('Quantification_Results'!D231-'Quantification_Config'!$S$6)/('Quantification_Config'!$T$6-'Quantification_Config'!$S$6))*100),'Quantification_Config'!$U$2),""),"")</x:f>
        <x:v>50</x:v>
      </x:c>
      <x:c r="F231" t="inlineStr">
        <x:is>
          <x:t xml:space="preserve">SYSTEM-TEST-ONLY-NO-NETWORK-NOT-AN-EDUCATIONAL-EVALUATION</x:t>
        </x:is>
      </x:c>
      <x:c r="G231" t="inlineStr">
        <x:is>
          <x:t xml:space="preserve"/>
        </x:is>
      </x:c>
      <x:c r="H231" t="inlineStr">
        <x:is>
          <x:t xml:space="preserve">NONE</x:t>
        </x:is>
      </x:c>
      <x:c r="I231" t="inlineStr">
        <x:is>
          <x:t xml:space="preserve"/>
        </x:is>
      </x:c>
      <x:c r="J231" t="inlineStr">
        <x:is>
          <x:t xml:space="preserve">SUCCESS</x:t>
        </x:is>
      </x:c>
      <x:c r="K231" t="n">
        <x:f>IF((COUNT('Quantification_Results'!E231)=1),IFERROR(ROUND((SUM(('Quantification_Results'!E231*'Quantification_Config'!$R$6))/SUM('Quantification_Config'!$R$6)),'Quantification_Config'!$U$2),""),"")</x:f>
        <x:v>50</x:v>
      </x:c>
      <x:c r="L231" t="n">
        <x:f>IF((COUNT('Quantification_Results'!K231)=1),IFERROR(ROUND((SUM(('Quantification_Results'!K231*'Quantification_Config'!$R$5))/SUM('Quantification_Config'!$R$5)),'Quantification_Config'!$U$2),""),"")</x:f>
        <x:v>50</x:v>
      </x:c>
      <x:c r="M231" t="n">
        <x:v>1</x:v>
      </x:c>
      <x:c r="N231" t="n">
        <x:v>5</x:v>
      </x:c>
      <x:c r="O231"/>
      <x:c r="P231" t="n">
        <x:f>IF(('Quantification_Results'!M231&lt;&gt;1),"",IF(('Quantification_Results'!O231=""),IF(ISNUMBER('Quantification_Results'!N231),IF(('Quantification_Results'!N231&lt;'Quantification_Config'!$S$9),"",IF(('Quantification_Results'!N231&gt;'Quantification_Config'!$T$9),"",'Quantification_Results'!N231)),""),IF(ISNUMBER('Quantification_Results'!O231),IF(('Quantification_Results'!O231&lt;'Quantification_Config'!$S$9),"",IF(('Quantification_Results'!O231&gt;'Quantification_Config'!$T$9),"",'Quantification_Results'!O231)),"")))</x:f>
        <x:v>5</x:v>
      </x:c>
      <x:c r="Q231" t="n">
        <x:f>IF(ISNUMBER('Quantification_Results'!P231),IFERROR(ROUND(((('Quantification_Results'!P231-'Quantification_Config'!$S$9)/('Quantification_Config'!$T$9-'Quantification_Config'!$S$9))*100),'Quantification_Config'!$U$2),""),"")</x:f>
        <x:v>50</x:v>
      </x:c>
      <x:c r="R231" t="inlineStr">
        <x:is>
          <x:t xml:space="preserve">SYSTEM-TEST-ONLY-NO-NETWORK-NOT-AN-EDUCATIONAL-EVALUATION</x:t>
        </x:is>
      </x:c>
      <x:c r="S231" t="inlineStr">
        <x:is>
          <x:t xml:space="preserve"/>
        </x:is>
      </x:c>
      <x:c r="T231" t="inlineStr">
        <x:is>
          <x:t xml:space="preserve">NONE</x:t>
        </x:is>
      </x:c>
      <x:c r="U231" t="inlineStr">
        <x:is>
          <x:t xml:space="preserve"/>
        </x:is>
      </x:c>
      <x:c r="V231" t="inlineStr">
        <x:is>
          <x:t xml:space="preserve">SUCCESS</x:t>
        </x:is>
      </x:c>
      <x:c r="W231" t="n">
        <x:f>IF((COUNT('Quantification_Results'!Q231)=1),IFERROR(ROUND((SUM(('Quantification_Results'!Q231*'Quantification_Config'!$R$9))/SUM('Quantification_Config'!$R$9)),'Quantification_Config'!$U$2),""),"")</x:f>
        <x:v>50</x:v>
      </x:c>
      <x:c r="X231" t="n">
        <x:f>IF((COUNT('Quantification_Results'!W231)=1),IFERROR(ROUND((SUM(('Quantification_Results'!W231*'Quantification_Config'!$R$8))/SUM('Quantification_Config'!$R$8)),'Quantification_Config'!$U$2),""),"")</x:f>
        <x:v>50</x:v>
      </x:c>
      <x:c r="Y231" t="n">
        <x:v>0</x:v>
      </x:c>
      <x:c r="Z231"/>
      <x:c r="AA231"/>
      <x:c r="AB231">
        <x:f>IF(('Quantification_Results'!Y231&lt;&gt;1),"",IF(('Quantification_Results'!AA231=""),IF(ISNUMBER('Quantification_Results'!Z231),IF(('Quantification_Results'!Z231&lt;'Quantification_Config'!$S$12),"",IF(('Quantification_Results'!Z231&gt;'Quantification_Config'!$T$12),"",'Quantification_Results'!Z231)),""),IF(ISNUMBER('Quantification_Results'!AA231),IF(('Quantification_Results'!AA231&lt;'Quantification_Config'!$S$12),"",IF(('Quantification_Results'!AA231&gt;'Quantification_Config'!$T$12),"",'Quantification_Results'!AA231)),"")))</x:f>
      </x:c>
      <x:c r="AC231">
        <x:f>IF(ISNUMBER('Quantification_Results'!AB231),IFERROR(ROUND(((('Quantification_Results'!AB231-'Quantification_Config'!$S$12)/('Quantification_Config'!$T$12-'Quantification_Config'!$S$12))*100),'Quantification_Config'!$U$2),""),"")</x:f>
      </x:c>
      <x:c r="AD231" t="inlineStr">
        <x:is>
          <x:t xml:space="preserve"/>
        </x:is>
      </x:c>
      <x:c r="AE231" t="inlineStr">
        <x:is>
          <x:t xml:space="preserve"/>
        </x:is>
      </x:c>
      <x:c r="AF231" t="inlineStr">
        <x:is>
          <x:t xml:space="preserve"/>
        </x:is>
      </x:c>
      <x:c r="AG231" t="inlineStr">
        <x:is>
          <x:t xml:space="preserve"/>
        </x:is>
      </x:c>
      <x:c r="AH231" t="inlineStr">
        <x:is>
          <x:t xml:space="preserve">EMPTY</x:t>
        </x:is>
      </x:c>
      <x:c r="AI231">
        <x:f>IF((COUNT('Quantification_Results'!AC231)=1),IFERROR(ROUND((SUM(('Quantification_Results'!AC231*'Quantification_Config'!$R$12))/SUM('Quantification_Config'!$R$12)),'Quantification_Config'!$U$2),""),"")</x:f>
      </x:c>
      <x:c r="AJ231">
        <x:f>IF((COUNT('Quantification_Results'!AI231)=1),IFERROR(ROUND((SUM(('Quantification_Results'!AI231*'Quantification_Config'!$R$11))/SUM('Quantification_Config'!$R$11)),'Quantification_Config'!$U$2),""),"")</x:f>
      </x:c>
      <x:c r="AK231" t="n">
        <x:v>1</x:v>
      </x:c>
      <x:c r="AL231" t="n">
        <x:v>5</x:v>
      </x:c>
      <x:c r="AM231"/>
      <x:c r="AN231" t="n">
        <x:f>IF(('Quantification_Results'!AK231&lt;&gt;1),"",IF(('Quantification_Results'!AM231=""),IF(ISNUMBER('Quantification_Results'!AL231),IF(('Quantification_Results'!AL231&lt;'Quantification_Config'!$S$15),"",IF(('Quantification_Results'!AL231&gt;'Quantification_Config'!$T$15),"",'Quantification_Results'!AL231)),""),IF(ISNUMBER('Quantification_Results'!AM231),IF(('Quantification_Results'!AM231&lt;'Quantification_Config'!$S$15),"",IF(('Quantification_Results'!AM231&gt;'Quantification_Config'!$T$15),"",'Quantification_Results'!AM231)),"")))</x:f>
        <x:v>5</x:v>
      </x:c>
      <x:c r="AO231" t="n">
        <x:f>IF(ISNUMBER('Quantification_Results'!AN231),IFERROR(ROUND(((('Quantification_Results'!AN231-'Quantification_Config'!$S$15)/('Quantification_Config'!$T$15-'Quantification_Config'!$S$15))*100),'Quantification_Config'!$U$2),""),"")</x:f>
        <x:v>50</x:v>
      </x:c>
      <x:c r="AP231" t="inlineStr">
        <x:is>
          <x:t xml:space="preserve">SYSTEM-TEST-ONLY-NO-NETWORK-NOT-AN-EDUCATIONAL-EVALUATION</x:t>
        </x:is>
      </x:c>
      <x:c r="AQ231" t="inlineStr">
        <x:is>
          <x:t xml:space="preserve"/>
        </x:is>
      </x:c>
      <x:c r="AR231" t="inlineStr">
        <x:is>
          <x:t xml:space="preserve">NONE</x:t>
        </x:is>
      </x:c>
      <x:c r="AS231" t="inlineStr">
        <x:is>
          <x:t xml:space="preserve"/>
        </x:is>
      </x:c>
      <x:c r="AT231" t="inlineStr">
        <x:is>
          <x:t xml:space="preserve">SUCCESS</x:t>
        </x:is>
      </x:c>
      <x:c r="AU231" t="n">
        <x:f>IF((COUNT('Quantification_Results'!AO231)=1),IFERROR(ROUND((SUM(('Quantification_Results'!AO231*'Quantification_Config'!$R$15))/SUM('Quantification_Config'!$R$15)),'Quantification_Config'!$U$2),""),"")</x:f>
        <x:v>50</x:v>
      </x:c>
      <x:c r="AV231" t="n">
        <x:f>IF((COUNT('Quantification_Results'!AU231)=1),IFERROR(ROUND((SUM(('Quantification_Results'!AU231*'Quantification_Config'!$R$14))/SUM('Quantification_Config'!$R$14)),'Quantification_Config'!$U$2),""),"")</x:f>
        <x:v>50</x:v>
      </x:c>
      <x:c r="AW231" t="n">
        <x:v>1</x:v>
      </x:c>
      <x:c r="AX231" t="n">
        <x:v>5</x:v>
      </x:c>
      <x:c r="AY231"/>
      <x:c r="AZ231" t="n">
        <x:f>IF(('Quantification_Results'!AW231&lt;&gt;1),"",IF(('Quantification_Results'!AY231=""),IF(ISNUMBER('Quantification_Results'!AX231),IF(('Quantification_Results'!AX231&lt;'Quantification_Config'!$S$19),"",IF(('Quantification_Results'!AX231&gt;'Quantification_Config'!$T$19),"",'Quantification_Results'!AX231)),""),IF(ISNUMBER('Quantification_Results'!AY231),IF(('Quantification_Results'!AY231&lt;'Quantification_Config'!$S$19),"",IF(('Quantification_Results'!AY231&gt;'Quantification_Config'!$T$19),"",'Quantification_Results'!AY231)),"")))</x:f>
        <x:v>5</x:v>
      </x:c>
      <x:c r="BA231" t="n">
        <x:f>IF(ISNUMBER('Quantification_Results'!AZ231),IFERROR(ROUND(((('Quantification_Results'!AZ231-'Quantification_Config'!$S$19)/('Quantification_Config'!$T$19-'Quantification_Config'!$S$19))*100),'Quantification_Config'!$U$2),""),"")</x:f>
        <x:v>50</x:v>
      </x:c>
      <x:c r="BB231" t="inlineStr">
        <x:is>
          <x:t xml:space="preserve">SYSTEM-TEST-ONLY-NO-NETWORK-NOT-AN-EDUCATIONAL-EVALUATION</x:t>
        </x:is>
      </x:c>
      <x:c r="BC231" t="inlineStr">
        <x:is>
          <x:t xml:space="preserve"/>
        </x:is>
      </x:c>
      <x:c r="BD231" t="inlineStr">
        <x:is>
          <x:t xml:space="preserve">NONE</x:t>
        </x:is>
      </x:c>
      <x:c r="BE231" t="inlineStr">
        <x:is>
          <x:t xml:space="preserve"/>
        </x:is>
      </x:c>
      <x:c r="BF231" t="inlineStr">
        <x:is>
          <x:t xml:space="preserve">SUCCESS</x:t>
        </x:is>
      </x:c>
      <x:c r="BG231" t="n">
        <x:f>IF((COUNT('Quantification_Results'!BA231)=1),IFERROR(ROUND((SUM(('Quantification_Results'!BA231*'Quantification_Config'!$R$19))/SUM('Quantification_Config'!$R$19)),'Quantification_Config'!$U$2),""),"")</x:f>
        <x:v>50</x:v>
      </x:c>
      <x:c r="BH231" t="n">
        <x:f>IF((COUNT('Quantification_Results'!BG231)=1),IFERROR(ROUND((SUM(('Quantification_Results'!BG231*'Quantification_Config'!$R$18))/SUM('Quantification_Config'!$R$18)),'Quantification_Config'!$U$2),""),"")</x:f>
        <x:v>50</x:v>
      </x:c>
      <x:c r="BI231">
        <x:f>IF((COUNT('Quantification_Results'!L231,'Quantification_Results'!X231,'Quantification_Results'!AJ231,'Quantification_Results'!AV231,'Quantification_Results'!BH231)=5),IFERROR(ROUND((SUM(('Quantification_Results'!L231*'Quantification_Config'!$R$4),('Quantification_Results'!X231*'Quantification_Config'!$R$7),('Quantification_Results'!AJ231*'Quantification_Config'!$R$10),('Quantification_Results'!AV231*'Quantification_Config'!$R$13),('Quantification_Results'!BH231*'Quantification_Config'!$R$16))/SUM('Quantification_Config'!$R$4,'Quantification_Config'!$R$7,'Quantification_Config'!$R$10,'Quantification_Config'!$R$13,'Quantification_Config'!$R$16)),'Quantification_Config'!$U$2),""),"")</x:f>
      </x:c>
    </x:row>
    <x:row r="232">
      <x:c r="A232" t="n">
        <x:v>1</x:v>
      </x:c>
      <x:c r="B232" t="n">
        <x:v>5</x:v>
      </x:c>
      <x:c r="C232"/>
      <x:c r="D232" t="n">
        <x:f>IF(('Quantification_Results'!A232&lt;&gt;1),"",IF(('Quantification_Results'!C232=""),IF(ISNUMBER('Quantification_Results'!B232),IF(('Quantification_Results'!B232&lt;'Quantification_Config'!$S$6),"",IF(('Quantification_Results'!B232&gt;'Quantification_Config'!$T$6),"",'Quantification_Results'!B232)),""),IF(ISNUMBER('Quantification_Results'!C232),IF(('Quantification_Results'!C232&lt;'Quantification_Config'!$S$6),"",IF(('Quantification_Results'!C232&gt;'Quantification_Config'!$T$6),"",'Quantification_Results'!C232)),"")))</x:f>
        <x:v>5</x:v>
      </x:c>
      <x:c r="E232" t="n">
        <x:f>IF(ISNUMBER('Quantification_Results'!D232),IFERROR(ROUND(((('Quantification_Results'!D232-'Quantification_Config'!$S$6)/('Quantification_Config'!$T$6-'Quantification_Config'!$S$6))*100),'Quantification_Config'!$U$2),""),"")</x:f>
        <x:v>50</x:v>
      </x:c>
      <x:c r="F232" t="inlineStr">
        <x:is>
          <x:t xml:space="preserve">SYSTEM-TEST-ONLY-NO-NETWORK-NOT-AN-EDUCATIONAL-EVALUATION</x:t>
        </x:is>
      </x:c>
      <x:c r="G232" t="inlineStr">
        <x:is>
          <x:t xml:space="preserve"/>
        </x:is>
      </x:c>
      <x:c r="H232" t="inlineStr">
        <x:is>
          <x:t xml:space="preserve">NONE</x:t>
        </x:is>
      </x:c>
      <x:c r="I232" t="inlineStr">
        <x:is>
          <x:t xml:space="preserve"/>
        </x:is>
      </x:c>
      <x:c r="J232" t="inlineStr">
        <x:is>
          <x:t xml:space="preserve">SUCCESS</x:t>
        </x:is>
      </x:c>
      <x:c r="K232" t="n">
        <x:f>IF((COUNT('Quantification_Results'!E232)=1),IFERROR(ROUND((SUM(('Quantification_Results'!E232*'Quantification_Config'!$R$6))/SUM('Quantification_Config'!$R$6)),'Quantification_Config'!$U$2),""),"")</x:f>
        <x:v>50</x:v>
      </x:c>
      <x:c r="L232" t="n">
        <x:f>IF((COUNT('Quantification_Results'!K232)=1),IFERROR(ROUND((SUM(('Quantification_Results'!K232*'Quantification_Config'!$R$5))/SUM('Quantification_Config'!$R$5)),'Quantification_Config'!$U$2),""),"")</x:f>
        <x:v>50</x:v>
      </x:c>
      <x:c r="M232" t="n">
        <x:v>1</x:v>
      </x:c>
      <x:c r="N232" t="n">
        <x:v>5</x:v>
      </x:c>
      <x:c r="O232"/>
      <x:c r="P232" t="n">
        <x:f>IF(('Quantification_Results'!M232&lt;&gt;1),"",IF(('Quantification_Results'!O232=""),IF(ISNUMBER('Quantification_Results'!N232),IF(('Quantification_Results'!N232&lt;'Quantification_Config'!$S$9),"",IF(('Quantification_Results'!N232&gt;'Quantification_Config'!$T$9),"",'Quantification_Results'!N232)),""),IF(ISNUMBER('Quantification_Results'!O232),IF(('Quantification_Results'!O232&lt;'Quantification_Config'!$S$9),"",IF(('Quantification_Results'!O232&gt;'Quantification_Config'!$T$9),"",'Quantification_Results'!O232)),"")))</x:f>
        <x:v>5</x:v>
      </x:c>
      <x:c r="Q232" t="n">
        <x:f>IF(ISNUMBER('Quantification_Results'!P232),IFERROR(ROUND(((('Quantification_Results'!P232-'Quantification_Config'!$S$9)/('Quantification_Config'!$T$9-'Quantification_Config'!$S$9))*100),'Quantification_Config'!$U$2),""),"")</x:f>
        <x:v>50</x:v>
      </x:c>
      <x:c r="R232" t="inlineStr">
        <x:is>
          <x:t xml:space="preserve">SYSTEM-TEST-ONLY-NO-NETWORK-NOT-AN-EDUCATIONAL-EVALUATION</x:t>
        </x:is>
      </x:c>
      <x:c r="S232" t="inlineStr">
        <x:is>
          <x:t xml:space="preserve"/>
        </x:is>
      </x:c>
      <x:c r="T232" t="inlineStr">
        <x:is>
          <x:t xml:space="preserve">NONE</x:t>
        </x:is>
      </x:c>
      <x:c r="U232" t="inlineStr">
        <x:is>
          <x:t xml:space="preserve"/>
        </x:is>
      </x:c>
      <x:c r="V232" t="inlineStr">
        <x:is>
          <x:t xml:space="preserve">SUCCESS</x:t>
        </x:is>
      </x:c>
      <x:c r="W232" t="n">
        <x:f>IF((COUNT('Quantification_Results'!Q232)=1),IFERROR(ROUND((SUM(('Quantification_Results'!Q232*'Quantification_Config'!$R$9))/SUM('Quantification_Config'!$R$9)),'Quantification_Config'!$U$2),""),"")</x:f>
        <x:v>50</x:v>
      </x:c>
      <x:c r="X232" t="n">
        <x:f>IF((COUNT('Quantification_Results'!W232)=1),IFERROR(ROUND((SUM(('Quantification_Results'!W232*'Quantification_Config'!$R$8))/SUM('Quantification_Config'!$R$8)),'Quantification_Config'!$U$2),""),"")</x:f>
        <x:v>50</x:v>
      </x:c>
      <x:c r="Y232" t="n">
        <x:v>0</x:v>
      </x:c>
      <x:c r="Z232"/>
      <x:c r="AA232"/>
      <x:c r="AB232">
        <x:f>IF(('Quantification_Results'!Y232&lt;&gt;1),"",IF(('Quantification_Results'!AA232=""),IF(ISNUMBER('Quantification_Results'!Z232),IF(('Quantification_Results'!Z232&lt;'Quantification_Config'!$S$12),"",IF(('Quantification_Results'!Z232&gt;'Quantification_Config'!$T$12),"",'Quantification_Results'!Z232)),""),IF(ISNUMBER('Quantification_Results'!AA232),IF(('Quantification_Results'!AA232&lt;'Quantification_Config'!$S$12),"",IF(('Quantification_Results'!AA232&gt;'Quantification_Config'!$T$12),"",'Quantification_Results'!AA232)),"")))</x:f>
      </x:c>
      <x:c r="AC232">
        <x:f>IF(ISNUMBER('Quantification_Results'!AB232),IFERROR(ROUND(((('Quantification_Results'!AB232-'Quantification_Config'!$S$12)/('Quantification_Config'!$T$12-'Quantification_Config'!$S$12))*100),'Quantification_Config'!$U$2),""),"")</x:f>
      </x:c>
      <x:c r="AD232" t="inlineStr">
        <x:is>
          <x:t xml:space="preserve"/>
        </x:is>
      </x:c>
      <x:c r="AE232" t="inlineStr">
        <x:is>
          <x:t xml:space="preserve"/>
        </x:is>
      </x:c>
      <x:c r="AF232" t="inlineStr">
        <x:is>
          <x:t xml:space="preserve"/>
        </x:is>
      </x:c>
      <x:c r="AG232" t="inlineStr">
        <x:is>
          <x:t xml:space="preserve"/>
        </x:is>
      </x:c>
      <x:c r="AH232" t="inlineStr">
        <x:is>
          <x:t xml:space="preserve">EMPTY</x:t>
        </x:is>
      </x:c>
      <x:c r="AI232">
        <x:f>IF((COUNT('Quantification_Results'!AC232)=1),IFERROR(ROUND((SUM(('Quantification_Results'!AC232*'Quantification_Config'!$R$12))/SUM('Quantification_Config'!$R$12)),'Quantification_Config'!$U$2),""),"")</x:f>
      </x:c>
      <x:c r="AJ232">
        <x:f>IF((COUNT('Quantification_Results'!AI232)=1),IFERROR(ROUND((SUM(('Quantification_Results'!AI232*'Quantification_Config'!$R$11))/SUM('Quantification_Config'!$R$11)),'Quantification_Config'!$U$2),""),"")</x:f>
      </x:c>
      <x:c r="AK232" t="n">
        <x:v>1</x:v>
      </x:c>
      <x:c r="AL232" t="n">
        <x:v>5</x:v>
      </x:c>
      <x:c r="AM232"/>
      <x:c r="AN232" t="n">
        <x:f>IF(('Quantification_Results'!AK232&lt;&gt;1),"",IF(('Quantification_Results'!AM232=""),IF(ISNUMBER('Quantification_Results'!AL232),IF(('Quantification_Results'!AL232&lt;'Quantification_Config'!$S$15),"",IF(('Quantification_Results'!AL232&gt;'Quantification_Config'!$T$15),"",'Quantification_Results'!AL232)),""),IF(ISNUMBER('Quantification_Results'!AM232),IF(('Quantification_Results'!AM232&lt;'Quantification_Config'!$S$15),"",IF(('Quantification_Results'!AM232&gt;'Quantification_Config'!$T$15),"",'Quantification_Results'!AM232)),"")))</x:f>
        <x:v>5</x:v>
      </x:c>
      <x:c r="AO232" t="n">
        <x:f>IF(ISNUMBER('Quantification_Results'!AN232),IFERROR(ROUND(((('Quantification_Results'!AN232-'Quantification_Config'!$S$15)/('Quantification_Config'!$T$15-'Quantification_Config'!$S$15))*100),'Quantification_Config'!$U$2),""),"")</x:f>
        <x:v>50</x:v>
      </x:c>
      <x:c r="AP232" t="inlineStr">
        <x:is>
          <x:t xml:space="preserve">SYSTEM-TEST-ONLY-NO-NETWORK-NOT-AN-EDUCATIONAL-EVALUATION</x:t>
        </x:is>
      </x:c>
      <x:c r="AQ232" t="inlineStr">
        <x:is>
          <x:t xml:space="preserve"/>
        </x:is>
      </x:c>
      <x:c r="AR232" t="inlineStr">
        <x:is>
          <x:t xml:space="preserve">NONE</x:t>
        </x:is>
      </x:c>
      <x:c r="AS232" t="inlineStr">
        <x:is>
          <x:t xml:space="preserve"/>
        </x:is>
      </x:c>
      <x:c r="AT232" t="inlineStr">
        <x:is>
          <x:t xml:space="preserve">SUCCESS</x:t>
        </x:is>
      </x:c>
      <x:c r="AU232" t="n">
        <x:f>IF((COUNT('Quantification_Results'!AO232)=1),IFERROR(ROUND((SUM(('Quantification_Results'!AO232*'Quantification_Config'!$R$15))/SUM('Quantification_Config'!$R$15)),'Quantification_Config'!$U$2),""),"")</x:f>
        <x:v>50</x:v>
      </x:c>
      <x:c r="AV232" t="n">
        <x:f>IF((COUNT('Quantification_Results'!AU232)=1),IFERROR(ROUND((SUM(('Quantification_Results'!AU232*'Quantification_Config'!$R$14))/SUM('Quantification_Config'!$R$14)),'Quantification_Config'!$U$2),""),"")</x:f>
        <x:v>50</x:v>
      </x:c>
      <x:c r="AW232" t="n">
        <x:v>1</x:v>
      </x:c>
      <x:c r="AX232" t="n">
        <x:v>5</x:v>
      </x:c>
      <x:c r="AY232"/>
      <x:c r="AZ232" t="n">
        <x:f>IF(('Quantification_Results'!AW232&lt;&gt;1),"",IF(('Quantification_Results'!AY232=""),IF(ISNUMBER('Quantification_Results'!AX232),IF(('Quantification_Results'!AX232&lt;'Quantification_Config'!$S$19),"",IF(('Quantification_Results'!AX232&gt;'Quantification_Config'!$T$19),"",'Quantification_Results'!AX232)),""),IF(ISNUMBER('Quantification_Results'!AY232),IF(('Quantification_Results'!AY232&lt;'Quantification_Config'!$S$19),"",IF(('Quantification_Results'!AY232&gt;'Quantification_Config'!$T$19),"",'Quantification_Results'!AY232)),"")))</x:f>
        <x:v>5</x:v>
      </x:c>
      <x:c r="BA232" t="n">
        <x:f>IF(ISNUMBER('Quantification_Results'!AZ232),IFERROR(ROUND(((('Quantification_Results'!AZ232-'Quantification_Config'!$S$19)/('Quantification_Config'!$T$19-'Quantification_Config'!$S$19))*100),'Quantification_Config'!$U$2),""),"")</x:f>
        <x:v>50</x:v>
      </x:c>
      <x:c r="BB232" t="inlineStr">
        <x:is>
          <x:t xml:space="preserve">SYSTEM-TEST-ONLY-NO-NETWORK-NOT-AN-EDUCATIONAL-EVALUATION</x:t>
        </x:is>
      </x:c>
      <x:c r="BC232" t="inlineStr">
        <x:is>
          <x:t xml:space="preserve"/>
        </x:is>
      </x:c>
      <x:c r="BD232" t="inlineStr">
        <x:is>
          <x:t xml:space="preserve">NONE</x:t>
        </x:is>
      </x:c>
      <x:c r="BE232" t="inlineStr">
        <x:is>
          <x:t xml:space="preserve"/>
        </x:is>
      </x:c>
      <x:c r="BF232" t="inlineStr">
        <x:is>
          <x:t xml:space="preserve">SUCCESS</x:t>
        </x:is>
      </x:c>
      <x:c r="BG232" t="n">
        <x:f>IF((COUNT('Quantification_Results'!BA232)=1),IFERROR(ROUND((SUM(('Quantification_Results'!BA232*'Quantification_Config'!$R$19))/SUM('Quantification_Config'!$R$19)),'Quantification_Config'!$U$2),""),"")</x:f>
        <x:v>50</x:v>
      </x:c>
      <x:c r="BH232" t="n">
        <x:f>IF((COUNT('Quantification_Results'!BG232)=1),IFERROR(ROUND((SUM(('Quantification_Results'!BG232*'Quantification_Config'!$R$18))/SUM('Quantification_Config'!$R$18)),'Quantification_Config'!$U$2),""),"")</x:f>
        <x:v>50</x:v>
      </x:c>
      <x:c r="BI232">
        <x:f>IF((COUNT('Quantification_Results'!L232,'Quantification_Results'!X232,'Quantification_Results'!AJ232,'Quantification_Results'!AV232,'Quantification_Results'!BH232)=5),IFERROR(ROUND((SUM(('Quantification_Results'!L232*'Quantification_Config'!$R$4),('Quantification_Results'!X232*'Quantification_Config'!$R$7),('Quantification_Results'!AJ232*'Quantification_Config'!$R$10),('Quantification_Results'!AV232*'Quantification_Config'!$R$13),('Quantification_Results'!BH232*'Quantification_Config'!$R$16))/SUM('Quantification_Config'!$R$4,'Quantification_Config'!$R$7,'Quantification_Config'!$R$10,'Quantification_Config'!$R$13,'Quantification_Config'!$R$16)),'Quantification_Config'!$U$2),""),"")</x:f>
      </x:c>
    </x:row>
    <x:row r="233">
      <x:c r="A233" t="n">
        <x:v>1</x:v>
      </x:c>
      <x:c r="B233" t="n">
        <x:v>5</x:v>
      </x:c>
      <x:c r="C233"/>
      <x:c r="D233" t="n">
        <x:f>IF(('Quantification_Results'!A233&lt;&gt;1),"",IF(('Quantification_Results'!C233=""),IF(ISNUMBER('Quantification_Results'!B233),IF(('Quantification_Results'!B233&lt;'Quantification_Config'!$S$6),"",IF(('Quantification_Results'!B233&gt;'Quantification_Config'!$T$6),"",'Quantification_Results'!B233)),""),IF(ISNUMBER('Quantification_Results'!C233),IF(('Quantification_Results'!C233&lt;'Quantification_Config'!$S$6),"",IF(('Quantification_Results'!C233&gt;'Quantification_Config'!$T$6),"",'Quantification_Results'!C233)),"")))</x:f>
        <x:v>5</x:v>
      </x:c>
      <x:c r="E233" t="n">
        <x:f>IF(ISNUMBER('Quantification_Results'!D233),IFERROR(ROUND(((('Quantification_Results'!D233-'Quantification_Config'!$S$6)/('Quantification_Config'!$T$6-'Quantification_Config'!$S$6))*100),'Quantification_Config'!$U$2),""),"")</x:f>
        <x:v>50</x:v>
      </x:c>
      <x:c r="F233" t="inlineStr">
        <x:is>
          <x:t xml:space="preserve">SYSTEM-TEST-ONLY-NO-NETWORK-NOT-AN-EDUCATIONAL-EVALUATION</x:t>
        </x:is>
      </x:c>
      <x:c r="G233" t="inlineStr">
        <x:is>
          <x:t xml:space="preserve"/>
        </x:is>
      </x:c>
      <x:c r="H233" t="inlineStr">
        <x:is>
          <x:t xml:space="preserve">NONE</x:t>
        </x:is>
      </x:c>
      <x:c r="I233" t="inlineStr">
        <x:is>
          <x:t xml:space="preserve"/>
        </x:is>
      </x:c>
      <x:c r="J233" t="inlineStr">
        <x:is>
          <x:t xml:space="preserve">SUCCESS</x:t>
        </x:is>
      </x:c>
      <x:c r="K233" t="n">
        <x:f>IF((COUNT('Quantification_Results'!E233)=1),IFERROR(ROUND((SUM(('Quantification_Results'!E233*'Quantification_Config'!$R$6))/SUM('Quantification_Config'!$R$6)),'Quantification_Config'!$U$2),""),"")</x:f>
        <x:v>50</x:v>
      </x:c>
      <x:c r="L233" t="n">
        <x:f>IF((COUNT('Quantification_Results'!K233)=1),IFERROR(ROUND((SUM(('Quantification_Results'!K233*'Quantification_Config'!$R$5))/SUM('Quantification_Config'!$R$5)),'Quantification_Config'!$U$2),""),"")</x:f>
        <x:v>50</x:v>
      </x:c>
      <x:c r="M233" t="n">
        <x:v>1</x:v>
      </x:c>
      <x:c r="N233" t="n">
        <x:v>5</x:v>
      </x:c>
      <x:c r="O233"/>
      <x:c r="P233" t="n">
        <x:f>IF(('Quantification_Results'!M233&lt;&gt;1),"",IF(('Quantification_Results'!O233=""),IF(ISNUMBER('Quantification_Results'!N233),IF(('Quantification_Results'!N233&lt;'Quantification_Config'!$S$9),"",IF(('Quantification_Results'!N233&gt;'Quantification_Config'!$T$9),"",'Quantification_Results'!N233)),""),IF(ISNUMBER('Quantification_Results'!O233),IF(('Quantification_Results'!O233&lt;'Quantification_Config'!$S$9),"",IF(('Quantification_Results'!O233&gt;'Quantification_Config'!$T$9),"",'Quantification_Results'!O233)),"")))</x:f>
        <x:v>5</x:v>
      </x:c>
      <x:c r="Q233" t="n">
        <x:f>IF(ISNUMBER('Quantification_Results'!P233),IFERROR(ROUND(((('Quantification_Results'!P233-'Quantification_Config'!$S$9)/('Quantification_Config'!$T$9-'Quantification_Config'!$S$9))*100),'Quantification_Config'!$U$2),""),"")</x:f>
        <x:v>50</x:v>
      </x:c>
      <x:c r="R233" t="inlineStr">
        <x:is>
          <x:t xml:space="preserve">SYSTEM-TEST-ONLY-NO-NETWORK-NOT-AN-EDUCATIONAL-EVALUATION</x:t>
        </x:is>
      </x:c>
      <x:c r="S233" t="inlineStr">
        <x:is>
          <x:t xml:space="preserve"/>
        </x:is>
      </x:c>
      <x:c r="T233" t="inlineStr">
        <x:is>
          <x:t xml:space="preserve">NONE</x:t>
        </x:is>
      </x:c>
      <x:c r="U233" t="inlineStr">
        <x:is>
          <x:t xml:space="preserve"/>
        </x:is>
      </x:c>
      <x:c r="V233" t="inlineStr">
        <x:is>
          <x:t xml:space="preserve">SUCCESS</x:t>
        </x:is>
      </x:c>
      <x:c r="W233" t="n">
        <x:f>IF((COUNT('Quantification_Results'!Q233)=1),IFERROR(ROUND((SUM(('Quantification_Results'!Q233*'Quantification_Config'!$R$9))/SUM('Quantification_Config'!$R$9)),'Quantification_Config'!$U$2),""),"")</x:f>
        <x:v>50</x:v>
      </x:c>
      <x:c r="X233" t="n">
        <x:f>IF((COUNT('Quantification_Results'!W233)=1),IFERROR(ROUND((SUM(('Quantification_Results'!W233*'Quantification_Config'!$R$8))/SUM('Quantification_Config'!$R$8)),'Quantification_Config'!$U$2),""),"")</x:f>
        <x:v>50</x:v>
      </x:c>
      <x:c r="Y233" t="n">
        <x:v>1</x:v>
      </x:c>
      <x:c r="Z233" t="n">
        <x:v>5</x:v>
      </x:c>
      <x:c r="AA233"/>
      <x:c r="AB233" t="n">
        <x:f>IF(('Quantification_Results'!Y233&lt;&gt;1),"",IF(('Quantification_Results'!AA233=""),IF(ISNUMBER('Quantification_Results'!Z233),IF(('Quantification_Results'!Z233&lt;'Quantification_Config'!$S$12),"",IF(('Quantification_Results'!Z233&gt;'Quantification_Config'!$T$12),"",'Quantification_Results'!Z233)),""),IF(ISNUMBER('Quantification_Results'!AA233),IF(('Quantification_Results'!AA233&lt;'Quantification_Config'!$S$12),"",IF(('Quantification_Results'!AA233&gt;'Quantification_Config'!$T$12),"",'Quantification_Results'!AA233)),"")))</x:f>
        <x:v>5</x:v>
      </x:c>
      <x:c r="AC233" t="n">
        <x:f>IF(ISNUMBER('Quantification_Results'!AB233),IFERROR(ROUND(((('Quantification_Results'!AB233-'Quantification_Config'!$S$12)/('Quantification_Config'!$T$12-'Quantification_Config'!$S$12))*100),'Quantification_Config'!$U$2),""),"")</x:f>
        <x:v>50</x:v>
      </x:c>
      <x:c r="AD233" t="inlineStr">
        <x:is>
          <x:t xml:space="preserve">SYSTEM-TEST-ONLY-NO-NETWORK-NOT-AN-EDUCATIONAL-EVALUATION</x:t>
        </x:is>
      </x:c>
      <x:c r="AE233" t="inlineStr">
        <x:is>
          <x:t xml:space="preserve"/>
        </x:is>
      </x:c>
      <x:c r="AF233" t="inlineStr">
        <x:is>
          <x:t xml:space="preserve">NONE</x:t>
        </x:is>
      </x:c>
      <x:c r="AG233" t="inlineStr">
        <x:is>
          <x:t xml:space="preserve"/>
        </x:is>
      </x:c>
      <x:c r="AH233" t="inlineStr">
        <x:is>
          <x:t xml:space="preserve">SUCCESS</x:t>
        </x:is>
      </x:c>
      <x:c r="AI233" t="n">
        <x:f>IF((COUNT('Quantification_Results'!AC233)=1),IFERROR(ROUND((SUM(('Quantification_Results'!AC233*'Quantification_Config'!$R$12))/SUM('Quantification_Config'!$R$12)),'Quantification_Config'!$U$2),""),"")</x:f>
        <x:v>50</x:v>
      </x:c>
      <x:c r="AJ233" t="n">
        <x:f>IF((COUNT('Quantification_Results'!AI233)=1),IFERROR(ROUND((SUM(('Quantification_Results'!AI233*'Quantification_Config'!$R$11))/SUM('Quantification_Config'!$R$11)),'Quantification_Config'!$U$2),""),"")</x:f>
        <x:v>50</x:v>
      </x:c>
      <x:c r="AK233" t="n">
        <x:v>1</x:v>
      </x:c>
      <x:c r="AL233" t="n">
        <x:v>5</x:v>
      </x:c>
      <x:c r="AM233"/>
      <x:c r="AN233" t="n">
        <x:f>IF(('Quantification_Results'!AK233&lt;&gt;1),"",IF(('Quantification_Results'!AM233=""),IF(ISNUMBER('Quantification_Results'!AL233),IF(('Quantification_Results'!AL233&lt;'Quantification_Config'!$S$15),"",IF(('Quantification_Results'!AL233&gt;'Quantification_Config'!$T$15),"",'Quantification_Results'!AL233)),""),IF(ISNUMBER('Quantification_Results'!AM233),IF(('Quantification_Results'!AM233&lt;'Quantification_Config'!$S$15),"",IF(('Quantification_Results'!AM233&gt;'Quantification_Config'!$T$15),"",'Quantification_Results'!AM233)),"")))</x:f>
        <x:v>5</x:v>
      </x:c>
      <x:c r="AO233" t="n">
        <x:f>IF(ISNUMBER('Quantification_Results'!AN233),IFERROR(ROUND(((('Quantification_Results'!AN233-'Quantification_Config'!$S$15)/('Quantification_Config'!$T$15-'Quantification_Config'!$S$15))*100),'Quantification_Config'!$U$2),""),"")</x:f>
        <x:v>50</x:v>
      </x:c>
      <x:c r="AP233" t="inlineStr">
        <x:is>
          <x:t xml:space="preserve">SYSTEM-TEST-ONLY-NO-NETWORK-NOT-AN-EDUCATIONAL-EVALUATION</x:t>
        </x:is>
      </x:c>
      <x:c r="AQ233" t="inlineStr">
        <x:is>
          <x:t xml:space="preserve"/>
        </x:is>
      </x:c>
      <x:c r="AR233" t="inlineStr">
        <x:is>
          <x:t xml:space="preserve">NONE</x:t>
        </x:is>
      </x:c>
      <x:c r="AS233" t="inlineStr">
        <x:is>
          <x:t xml:space="preserve"/>
        </x:is>
      </x:c>
      <x:c r="AT233" t="inlineStr">
        <x:is>
          <x:t xml:space="preserve">SUCCESS</x:t>
        </x:is>
      </x:c>
      <x:c r="AU233" t="n">
        <x:f>IF((COUNT('Quantification_Results'!AO233)=1),IFERROR(ROUND((SUM(('Quantification_Results'!AO233*'Quantification_Config'!$R$15))/SUM('Quantification_Config'!$R$15)),'Quantification_Config'!$U$2),""),"")</x:f>
        <x:v>50</x:v>
      </x:c>
      <x:c r="AV233" t="n">
        <x:f>IF((COUNT('Quantification_Results'!AU233)=1),IFERROR(ROUND((SUM(('Quantification_Results'!AU233*'Quantification_Config'!$R$14))/SUM('Quantification_Config'!$R$14)),'Quantification_Config'!$U$2),""),"")</x:f>
        <x:v>50</x:v>
      </x:c>
      <x:c r="AW233" t="n">
        <x:v>1</x:v>
      </x:c>
      <x:c r="AX233" t="n">
        <x:v>5</x:v>
      </x:c>
      <x:c r="AY233"/>
      <x:c r="AZ233" t="n">
        <x:f>IF(('Quantification_Results'!AW233&lt;&gt;1),"",IF(('Quantification_Results'!AY233=""),IF(ISNUMBER('Quantification_Results'!AX233),IF(('Quantification_Results'!AX233&lt;'Quantification_Config'!$S$19),"",IF(('Quantification_Results'!AX233&gt;'Quantification_Config'!$T$19),"",'Quantification_Results'!AX233)),""),IF(ISNUMBER('Quantification_Results'!AY233),IF(('Quantification_Results'!AY233&lt;'Quantification_Config'!$S$19),"",IF(('Quantification_Results'!AY233&gt;'Quantification_Config'!$T$19),"",'Quantification_Results'!AY233)),"")))</x:f>
        <x:v>5</x:v>
      </x:c>
      <x:c r="BA233" t="n">
        <x:f>IF(ISNUMBER('Quantification_Results'!AZ233),IFERROR(ROUND(((('Quantification_Results'!AZ233-'Quantification_Config'!$S$19)/('Quantification_Config'!$T$19-'Quantification_Config'!$S$19))*100),'Quantification_Config'!$U$2),""),"")</x:f>
        <x:v>50</x:v>
      </x:c>
      <x:c r="BB233" t="inlineStr">
        <x:is>
          <x:t xml:space="preserve">SYSTEM-TEST-ONLY-NO-NETWORK-NOT-AN-EDUCATIONAL-EVALUATION</x:t>
        </x:is>
      </x:c>
      <x:c r="BC233" t="inlineStr">
        <x:is>
          <x:t xml:space="preserve"/>
        </x:is>
      </x:c>
      <x:c r="BD233" t="inlineStr">
        <x:is>
          <x:t xml:space="preserve">NONE</x:t>
        </x:is>
      </x:c>
      <x:c r="BE233" t="inlineStr">
        <x:is>
          <x:t xml:space="preserve"/>
        </x:is>
      </x:c>
      <x:c r="BF233" t="inlineStr">
        <x:is>
          <x:t xml:space="preserve">SUCCESS</x:t>
        </x:is>
      </x:c>
      <x:c r="BG233" t="n">
        <x:f>IF((COUNT('Quantification_Results'!BA233)=1),IFERROR(ROUND((SUM(('Quantification_Results'!BA233*'Quantification_Config'!$R$19))/SUM('Quantification_Config'!$R$19)),'Quantification_Config'!$U$2),""),"")</x:f>
        <x:v>50</x:v>
      </x:c>
      <x:c r="BH233" t="n">
        <x:f>IF((COUNT('Quantification_Results'!BG233)=1),IFERROR(ROUND((SUM(('Quantification_Results'!BG233*'Quantification_Config'!$R$18))/SUM('Quantification_Config'!$R$18)),'Quantification_Config'!$U$2),""),"")</x:f>
        <x:v>50</x:v>
      </x:c>
      <x:c r="BI233" t="n">
        <x:f>IF((COUNT('Quantification_Results'!L233,'Quantification_Results'!X233,'Quantification_Results'!AJ233,'Quantification_Results'!AV233,'Quantification_Results'!BH233)=5),IFERROR(ROUND((SUM(('Quantification_Results'!L233*'Quantification_Config'!$R$4),('Quantification_Results'!X233*'Quantification_Config'!$R$7),('Quantification_Results'!AJ233*'Quantification_Config'!$R$10),('Quantification_Results'!AV233*'Quantification_Config'!$R$13),('Quantification_Results'!BH233*'Quantification_Config'!$R$16))/SUM('Quantification_Config'!$R$4,'Quantification_Config'!$R$7,'Quantification_Config'!$R$10,'Quantification_Config'!$R$13,'Quantification_Config'!$R$16)),'Quantification_Config'!$U$2),""),"")</x:f>
        <x:v>50</x:v>
      </x:c>
    </x:row>
    <x:row r="234">
      <x:c r="A234" t="n">
        <x:v>1</x:v>
      </x:c>
      <x:c r="B234" t="n">
        <x:v>5</x:v>
      </x:c>
      <x:c r="C234"/>
      <x:c r="D234" t="n">
        <x:f>IF(('Quantification_Results'!A234&lt;&gt;1),"",IF(('Quantification_Results'!C234=""),IF(ISNUMBER('Quantification_Results'!B234),IF(('Quantification_Results'!B234&lt;'Quantification_Config'!$S$6),"",IF(('Quantification_Results'!B234&gt;'Quantification_Config'!$T$6),"",'Quantification_Results'!B234)),""),IF(ISNUMBER('Quantification_Results'!C234),IF(('Quantification_Results'!C234&lt;'Quantification_Config'!$S$6),"",IF(('Quantification_Results'!C234&gt;'Quantification_Config'!$T$6),"",'Quantification_Results'!C234)),"")))</x:f>
        <x:v>5</x:v>
      </x:c>
      <x:c r="E234" t="n">
        <x:f>IF(ISNUMBER('Quantification_Results'!D234),IFERROR(ROUND(((('Quantification_Results'!D234-'Quantification_Config'!$S$6)/('Quantification_Config'!$T$6-'Quantification_Config'!$S$6))*100),'Quantification_Config'!$U$2),""),"")</x:f>
        <x:v>50</x:v>
      </x:c>
      <x:c r="F234" t="inlineStr">
        <x:is>
          <x:t xml:space="preserve">SYSTEM-TEST-ONLY-NO-NETWORK-NOT-AN-EDUCATIONAL-EVALUATION</x:t>
        </x:is>
      </x:c>
      <x:c r="G234" t="inlineStr">
        <x:is>
          <x:t xml:space="preserve"/>
        </x:is>
      </x:c>
      <x:c r="H234" t="inlineStr">
        <x:is>
          <x:t xml:space="preserve">NONE</x:t>
        </x:is>
      </x:c>
      <x:c r="I234" t="inlineStr">
        <x:is>
          <x:t xml:space="preserve"/>
        </x:is>
      </x:c>
      <x:c r="J234" t="inlineStr">
        <x:is>
          <x:t xml:space="preserve">SUCCESS</x:t>
        </x:is>
      </x:c>
      <x:c r="K234" t="n">
        <x:f>IF((COUNT('Quantification_Results'!E234)=1),IFERROR(ROUND((SUM(('Quantification_Results'!E234*'Quantification_Config'!$R$6))/SUM('Quantification_Config'!$R$6)),'Quantification_Config'!$U$2),""),"")</x:f>
        <x:v>50</x:v>
      </x:c>
      <x:c r="L234" t="n">
        <x:f>IF((COUNT('Quantification_Results'!K234)=1),IFERROR(ROUND((SUM(('Quantification_Results'!K234*'Quantification_Config'!$R$5))/SUM('Quantification_Config'!$R$5)),'Quantification_Config'!$U$2),""),"")</x:f>
        <x:v>50</x:v>
      </x:c>
      <x:c r="M234" t="n">
        <x:v>1</x:v>
      </x:c>
      <x:c r="N234" t="n">
        <x:v>5</x:v>
      </x:c>
      <x:c r="O234"/>
      <x:c r="P234" t="n">
        <x:f>IF(('Quantification_Results'!M234&lt;&gt;1),"",IF(('Quantification_Results'!O234=""),IF(ISNUMBER('Quantification_Results'!N234),IF(('Quantification_Results'!N234&lt;'Quantification_Config'!$S$9),"",IF(('Quantification_Results'!N234&gt;'Quantification_Config'!$T$9),"",'Quantification_Results'!N234)),""),IF(ISNUMBER('Quantification_Results'!O234),IF(('Quantification_Results'!O234&lt;'Quantification_Config'!$S$9),"",IF(('Quantification_Results'!O234&gt;'Quantification_Config'!$T$9),"",'Quantification_Results'!O234)),"")))</x:f>
        <x:v>5</x:v>
      </x:c>
      <x:c r="Q234" t="n">
        <x:f>IF(ISNUMBER('Quantification_Results'!P234),IFERROR(ROUND(((('Quantification_Results'!P234-'Quantification_Config'!$S$9)/('Quantification_Config'!$T$9-'Quantification_Config'!$S$9))*100),'Quantification_Config'!$U$2),""),"")</x:f>
        <x:v>50</x:v>
      </x:c>
      <x:c r="R234" t="inlineStr">
        <x:is>
          <x:t xml:space="preserve">SYSTEM-TEST-ONLY-NO-NETWORK-NOT-AN-EDUCATIONAL-EVALUATION</x:t>
        </x:is>
      </x:c>
      <x:c r="S234" t="inlineStr">
        <x:is>
          <x:t xml:space="preserve"/>
        </x:is>
      </x:c>
      <x:c r="T234" t="inlineStr">
        <x:is>
          <x:t xml:space="preserve">NONE</x:t>
        </x:is>
      </x:c>
      <x:c r="U234" t="inlineStr">
        <x:is>
          <x:t xml:space="preserve"/>
        </x:is>
      </x:c>
      <x:c r="V234" t="inlineStr">
        <x:is>
          <x:t xml:space="preserve">SUCCESS</x:t>
        </x:is>
      </x:c>
      <x:c r="W234" t="n">
        <x:f>IF((COUNT('Quantification_Results'!Q234)=1),IFERROR(ROUND((SUM(('Quantification_Results'!Q234*'Quantification_Config'!$R$9))/SUM('Quantification_Config'!$R$9)),'Quantification_Config'!$U$2),""),"")</x:f>
        <x:v>50</x:v>
      </x:c>
      <x:c r="X234" t="n">
        <x:f>IF((COUNT('Quantification_Results'!W234)=1),IFERROR(ROUND((SUM(('Quantification_Results'!W234*'Quantification_Config'!$R$8))/SUM('Quantification_Config'!$R$8)),'Quantification_Config'!$U$2),""),"")</x:f>
        <x:v>50</x:v>
      </x:c>
      <x:c r="Y234" t="n">
        <x:v>0</x:v>
      </x:c>
      <x:c r="Z234"/>
      <x:c r="AA234"/>
      <x:c r="AB234">
        <x:f>IF(('Quantification_Results'!Y234&lt;&gt;1),"",IF(('Quantification_Results'!AA234=""),IF(ISNUMBER('Quantification_Results'!Z234),IF(('Quantification_Results'!Z234&lt;'Quantification_Config'!$S$12),"",IF(('Quantification_Results'!Z234&gt;'Quantification_Config'!$T$12),"",'Quantification_Results'!Z234)),""),IF(ISNUMBER('Quantification_Results'!AA234),IF(('Quantification_Results'!AA234&lt;'Quantification_Config'!$S$12),"",IF(('Quantification_Results'!AA234&gt;'Quantification_Config'!$T$12),"",'Quantification_Results'!AA234)),"")))</x:f>
      </x:c>
      <x:c r="AC234">
        <x:f>IF(ISNUMBER('Quantification_Results'!AB234),IFERROR(ROUND(((('Quantification_Results'!AB234-'Quantification_Config'!$S$12)/('Quantification_Config'!$T$12-'Quantification_Config'!$S$12))*100),'Quantification_Config'!$U$2),""),"")</x:f>
      </x:c>
      <x:c r="AD234" t="inlineStr">
        <x:is>
          <x:t xml:space="preserve"/>
        </x:is>
      </x:c>
      <x:c r="AE234" t="inlineStr">
        <x:is>
          <x:t xml:space="preserve"/>
        </x:is>
      </x:c>
      <x:c r="AF234" t="inlineStr">
        <x:is>
          <x:t xml:space="preserve"/>
        </x:is>
      </x:c>
      <x:c r="AG234" t="inlineStr">
        <x:is>
          <x:t xml:space="preserve"/>
        </x:is>
      </x:c>
      <x:c r="AH234" t="inlineStr">
        <x:is>
          <x:t xml:space="preserve">EMPTY</x:t>
        </x:is>
      </x:c>
      <x:c r="AI234">
        <x:f>IF((COUNT('Quantification_Results'!AC234)=1),IFERROR(ROUND((SUM(('Quantification_Results'!AC234*'Quantification_Config'!$R$12))/SUM('Quantification_Config'!$R$12)),'Quantification_Config'!$U$2),""),"")</x:f>
      </x:c>
      <x:c r="AJ234">
        <x:f>IF((COUNT('Quantification_Results'!AI234)=1),IFERROR(ROUND((SUM(('Quantification_Results'!AI234*'Quantification_Config'!$R$11))/SUM('Quantification_Config'!$R$11)),'Quantification_Config'!$U$2),""),"")</x:f>
      </x:c>
      <x:c r="AK234" t="n">
        <x:v>1</x:v>
      </x:c>
      <x:c r="AL234" t="n">
        <x:v>5</x:v>
      </x:c>
      <x:c r="AM234"/>
      <x:c r="AN234" t="n">
        <x:f>IF(('Quantification_Results'!AK234&lt;&gt;1),"",IF(('Quantification_Results'!AM234=""),IF(ISNUMBER('Quantification_Results'!AL234),IF(('Quantification_Results'!AL234&lt;'Quantification_Config'!$S$15),"",IF(('Quantification_Results'!AL234&gt;'Quantification_Config'!$T$15),"",'Quantification_Results'!AL234)),""),IF(ISNUMBER('Quantification_Results'!AM234),IF(('Quantification_Results'!AM234&lt;'Quantification_Config'!$S$15),"",IF(('Quantification_Results'!AM234&gt;'Quantification_Config'!$T$15),"",'Quantification_Results'!AM234)),"")))</x:f>
        <x:v>5</x:v>
      </x:c>
      <x:c r="AO234" t="n">
        <x:f>IF(ISNUMBER('Quantification_Results'!AN234),IFERROR(ROUND(((('Quantification_Results'!AN234-'Quantification_Config'!$S$15)/('Quantification_Config'!$T$15-'Quantification_Config'!$S$15))*100),'Quantification_Config'!$U$2),""),"")</x:f>
        <x:v>50</x:v>
      </x:c>
      <x:c r="AP234" t="inlineStr">
        <x:is>
          <x:t xml:space="preserve">SYSTEM-TEST-ONLY-NO-NETWORK-NOT-AN-EDUCATIONAL-EVALUATION</x:t>
        </x:is>
      </x:c>
      <x:c r="AQ234" t="inlineStr">
        <x:is>
          <x:t xml:space="preserve"/>
        </x:is>
      </x:c>
      <x:c r="AR234" t="inlineStr">
        <x:is>
          <x:t xml:space="preserve">NONE</x:t>
        </x:is>
      </x:c>
      <x:c r="AS234" t="inlineStr">
        <x:is>
          <x:t xml:space="preserve"/>
        </x:is>
      </x:c>
      <x:c r="AT234" t="inlineStr">
        <x:is>
          <x:t xml:space="preserve">SUCCESS</x:t>
        </x:is>
      </x:c>
      <x:c r="AU234" t="n">
        <x:f>IF((COUNT('Quantification_Results'!AO234)=1),IFERROR(ROUND((SUM(('Quantification_Results'!AO234*'Quantification_Config'!$R$15))/SUM('Quantification_Config'!$R$15)),'Quantification_Config'!$U$2),""),"")</x:f>
        <x:v>50</x:v>
      </x:c>
      <x:c r="AV234" t="n">
        <x:f>IF((COUNT('Quantification_Results'!AU234)=1),IFERROR(ROUND((SUM(('Quantification_Results'!AU234*'Quantification_Config'!$R$14))/SUM('Quantification_Config'!$R$14)),'Quantification_Config'!$U$2),""),"")</x:f>
        <x:v>50</x:v>
      </x:c>
      <x:c r="AW234" t="n">
        <x:v>1</x:v>
      </x:c>
      <x:c r="AX234" t="n">
        <x:v>5</x:v>
      </x:c>
      <x:c r="AY234"/>
      <x:c r="AZ234" t="n">
        <x:f>IF(('Quantification_Results'!AW234&lt;&gt;1),"",IF(('Quantification_Results'!AY234=""),IF(ISNUMBER('Quantification_Results'!AX234),IF(('Quantification_Results'!AX234&lt;'Quantification_Config'!$S$19),"",IF(('Quantification_Results'!AX234&gt;'Quantification_Config'!$T$19),"",'Quantification_Results'!AX234)),""),IF(ISNUMBER('Quantification_Results'!AY234),IF(('Quantification_Results'!AY234&lt;'Quantification_Config'!$S$19),"",IF(('Quantification_Results'!AY234&gt;'Quantification_Config'!$T$19),"",'Quantification_Results'!AY234)),"")))</x:f>
        <x:v>5</x:v>
      </x:c>
      <x:c r="BA234" t="n">
        <x:f>IF(ISNUMBER('Quantification_Results'!AZ234),IFERROR(ROUND(((('Quantification_Results'!AZ234-'Quantification_Config'!$S$19)/('Quantification_Config'!$T$19-'Quantification_Config'!$S$19))*100),'Quantification_Config'!$U$2),""),"")</x:f>
        <x:v>50</x:v>
      </x:c>
      <x:c r="BB234" t="inlineStr">
        <x:is>
          <x:t xml:space="preserve">SYSTEM-TEST-ONLY-NO-NETWORK-NOT-AN-EDUCATIONAL-EVALUATION</x:t>
        </x:is>
      </x:c>
      <x:c r="BC234" t="inlineStr">
        <x:is>
          <x:t xml:space="preserve"/>
        </x:is>
      </x:c>
      <x:c r="BD234" t="inlineStr">
        <x:is>
          <x:t xml:space="preserve">NONE</x:t>
        </x:is>
      </x:c>
      <x:c r="BE234" t="inlineStr">
        <x:is>
          <x:t xml:space="preserve"/>
        </x:is>
      </x:c>
      <x:c r="BF234" t="inlineStr">
        <x:is>
          <x:t xml:space="preserve">SUCCESS</x:t>
        </x:is>
      </x:c>
      <x:c r="BG234" t="n">
        <x:f>IF((COUNT('Quantification_Results'!BA234)=1),IFERROR(ROUND((SUM(('Quantification_Results'!BA234*'Quantification_Config'!$R$19))/SUM('Quantification_Config'!$R$19)),'Quantification_Config'!$U$2),""),"")</x:f>
        <x:v>50</x:v>
      </x:c>
      <x:c r="BH234" t="n">
        <x:f>IF((COUNT('Quantification_Results'!BG234)=1),IFERROR(ROUND((SUM(('Quantification_Results'!BG234*'Quantification_Config'!$R$18))/SUM('Quantification_Config'!$R$18)),'Quantification_Config'!$U$2),""),"")</x:f>
        <x:v>50</x:v>
      </x:c>
      <x:c r="BI234">
        <x:f>IF((COUNT('Quantification_Results'!L234,'Quantification_Results'!X234,'Quantification_Results'!AJ234,'Quantification_Results'!AV234,'Quantification_Results'!BH234)=5),IFERROR(ROUND((SUM(('Quantification_Results'!L234*'Quantification_Config'!$R$4),('Quantification_Results'!X234*'Quantification_Config'!$R$7),('Quantification_Results'!AJ234*'Quantification_Config'!$R$10),('Quantification_Results'!AV234*'Quantification_Config'!$R$13),('Quantification_Results'!BH234*'Quantification_Config'!$R$16))/SUM('Quantification_Config'!$R$4,'Quantification_Config'!$R$7,'Quantification_Config'!$R$10,'Quantification_Config'!$R$13,'Quantification_Config'!$R$16)),'Quantification_Config'!$U$2),""),"")</x:f>
      </x:c>
    </x:row>
    <x:row r="235">
      <x:c r="A235" t="n">
        <x:v>1</x:v>
      </x:c>
      <x:c r="B235" t="n">
        <x:v>5</x:v>
      </x:c>
      <x:c r="C235"/>
      <x:c r="D235" t="n">
        <x:f>IF(('Quantification_Results'!A235&lt;&gt;1),"",IF(('Quantification_Results'!C235=""),IF(ISNUMBER('Quantification_Results'!B235),IF(('Quantification_Results'!B235&lt;'Quantification_Config'!$S$6),"",IF(('Quantification_Results'!B235&gt;'Quantification_Config'!$T$6),"",'Quantification_Results'!B235)),""),IF(ISNUMBER('Quantification_Results'!C235),IF(('Quantification_Results'!C235&lt;'Quantification_Config'!$S$6),"",IF(('Quantification_Results'!C235&gt;'Quantification_Config'!$T$6),"",'Quantification_Results'!C235)),"")))</x:f>
        <x:v>5</x:v>
      </x:c>
      <x:c r="E235" t="n">
        <x:f>IF(ISNUMBER('Quantification_Results'!D235),IFERROR(ROUND(((('Quantification_Results'!D235-'Quantification_Config'!$S$6)/('Quantification_Config'!$T$6-'Quantification_Config'!$S$6))*100),'Quantification_Config'!$U$2),""),"")</x:f>
        <x:v>50</x:v>
      </x:c>
      <x:c r="F235" t="inlineStr">
        <x:is>
          <x:t xml:space="preserve">SYSTEM-TEST-ONLY-NO-NETWORK-NOT-AN-EDUCATIONAL-EVALUATION</x:t>
        </x:is>
      </x:c>
      <x:c r="G235" t="inlineStr">
        <x:is>
          <x:t xml:space="preserve"/>
        </x:is>
      </x:c>
      <x:c r="H235" t="inlineStr">
        <x:is>
          <x:t xml:space="preserve">NONE</x:t>
        </x:is>
      </x:c>
      <x:c r="I235" t="inlineStr">
        <x:is>
          <x:t xml:space="preserve"/>
        </x:is>
      </x:c>
      <x:c r="J235" t="inlineStr">
        <x:is>
          <x:t xml:space="preserve">SUCCESS</x:t>
        </x:is>
      </x:c>
      <x:c r="K235" t="n">
        <x:f>IF((COUNT('Quantification_Results'!E235)=1),IFERROR(ROUND((SUM(('Quantification_Results'!E235*'Quantification_Config'!$R$6))/SUM('Quantification_Config'!$R$6)),'Quantification_Config'!$U$2),""),"")</x:f>
        <x:v>50</x:v>
      </x:c>
      <x:c r="L235" t="n">
        <x:f>IF((COUNT('Quantification_Results'!K235)=1),IFERROR(ROUND((SUM(('Quantification_Results'!K235*'Quantification_Config'!$R$5))/SUM('Quantification_Config'!$R$5)),'Quantification_Config'!$U$2),""),"")</x:f>
        <x:v>50</x:v>
      </x:c>
      <x:c r="M235" t="n">
        <x:v>1</x:v>
      </x:c>
      <x:c r="N235" t="n">
        <x:v>5</x:v>
      </x:c>
      <x:c r="O235"/>
      <x:c r="P235" t="n">
        <x:f>IF(('Quantification_Results'!M235&lt;&gt;1),"",IF(('Quantification_Results'!O235=""),IF(ISNUMBER('Quantification_Results'!N235),IF(('Quantification_Results'!N235&lt;'Quantification_Config'!$S$9),"",IF(('Quantification_Results'!N235&gt;'Quantification_Config'!$T$9),"",'Quantification_Results'!N235)),""),IF(ISNUMBER('Quantification_Results'!O235),IF(('Quantification_Results'!O235&lt;'Quantification_Config'!$S$9),"",IF(('Quantification_Results'!O235&gt;'Quantification_Config'!$T$9),"",'Quantification_Results'!O235)),"")))</x:f>
        <x:v>5</x:v>
      </x:c>
      <x:c r="Q235" t="n">
        <x:f>IF(ISNUMBER('Quantification_Results'!P235),IFERROR(ROUND(((('Quantification_Results'!P235-'Quantification_Config'!$S$9)/('Quantification_Config'!$T$9-'Quantification_Config'!$S$9))*100),'Quantification_Config'!$U$2),""),"")</x:f>
        <x:v>50</x:v>
      </x:c>
      <x:c r="R235" t="inlineStr">
        <x:is>
          <x:t xml:space="preserve">SYSTEM-TEST-ONLY-NO-NETWORK-NOT-AN-EDUCATIONAL-EVALUATION</x:t>
        </x:is>
      </x:c>
      <x:c r="S235" t="inlineStr">
        <x:is>
          <x:t xml:space="preserve"/>
        </x:is>
      </x:c>
      <x:c r="T235" t="inlineStr">
        <x:is>
          <x:t xml:space="preserve">NONE</x:t>
        </x:is>
      </x:c>
      <x:c r="U235" t="inlineStr">
        <x:is>
          <x:t xml:space="preserve"/>
        </x:is>
      </x:c>
      <x:c r="V235" t="inlineStr">
        <x:is>
          <x:t xml:space="preserve">SUCCESS</x:t>
        </x:is>
      </x:c>
      <x:c r="W235" t="n">
        <x:f>IF((COUNT('Quantification_Results'!Q235)=1),IFERROR(ROUND((SUM(('Quantification_Results'!Q235*'Quantification_Config'!$R$9))/SUM('Quantification_Config'!$R$9)),'Quantification_Config'!$U$2),""),"")</x:f>
        <x:v>50</x:v>
      </x:c>
      <x:c r="X235" t="n">
        <x:f>IF((COUNT('Quantification_Results'!W235)=1),IFERROR(ROUND((SUM(('Quantification_Results'!W235*'Quantification_Config'!$R$8))/SUM('Quantification_Config'!$R$8)),'Quantification_Config'!$U$2),""),"")</x:f>
        <x:v>50</x:v>
      </x:c>
      <x:c r="Y235" t="n">
        <x:v>0</x:v>
      </x:c>
      <x:c r="Z235"/>
      <x:c r="AA235"/>
      <x:c r="AB235">
        <x:f>IF(('Quantification_Results'!Y235&lt;&gt;1),"",IF(('Quantification_Results'!AA235=""),IF(ISNUMBER('Quantification_Results'!Z235),IF(('Quantification_Results'!Z235&lt;'Quantification_Config'!$S$12),"",IF(('Quantification_Results'!Z235&gt;'Quantification_Config'!$T$12),"",'Quantification_Results'!Z235)),""),IF(ISNUMBER('Quantification_Results'!AA235),IF(('Quantification_Results'!AA235&lt;'Quantification_Config'!$S$12),"",IF(('Quantification_Results'!AA235&gt;'Quantification_Config'!$T$12),"",'Quantification_Results'!AA235)),"")))</x:f>
      </x:c>
      <x:c r="AC235">
        <x:f>IF(ISNUMBER('Quantification_Results'!AB235),IFERROR(ROUND(((('Quantification_Results'!AB235-'Quantification_Config'!$S$12)/('Quantification_Config'!$T$12-'Quantification_Config'!$S$12))*100),'Quantification_Config'!$U$2),""),"")</x:f>
      </x:c>
      <x:c r="AD235" t="inlineStr">
        <x:is>
          <x:t xml:space="preserve"/>
        </x:is>
      </x:c>
      <x:c r="AE235" t="inlineStr">
        <x:is>
          <x:t xml:space="preserve"/>
        </x:is>
      </x:c>
      <x:c r="AF235" t="inlineStr">
        <x:is>
          <x:t xml:space="preserve"/>
        </x:is>
      </x:c>
      <x:c r="AG235" t="inlineStr">
        <x:is>
          <x:t xml:space="preserve"/>
        </x:is>
      </x:c>
      <x:c r="AH235" t="inlineStr">
        <x:is>
          <x:t xml:space="preserve">EMPTY</x:t>
        </x:is>
      </x:c>
      <x:c r="AI235">
        <x:f>IF((COUNT('Quantification_Results'!AC235)=1),IFERROR(ROUND((SUM(('Quantification_Results'!AC235*'Quantification_Config'!$R$12))/SUM('Quantification_Config'!$R$12)),'Quantification_Config'!$U$2),""),"")</x:f>
      </x:c>
      <x:c r="AJ235">
        <x:f>IF((COUNT('Quantification_Results'!AI235)=1),IFERROR(ROUND((SUM(('Quantification_Results'!AI235*'Quantification_Config'!$R$11))/SUM('Quantification_Config'!$R$11)),'Quantification_Config'!$U$2),""),"")</x:f>
      </x:c>
      <x:c r="AK235" t="n">
        <x:v>1</x:v>
      </x:c>
      <x:c r="AL235" t="n">
        <x:v>5</x:v>
      </x:c>
      <x:c r="AM235"/>
      <x:c r="AN235" t="n">
        <x:f>IF(('Quantification_Results'!AK235&lt;&gt;1),"",IF(('Quantification_Results'!AM235=""),IF(ISNUMBER('Quantification_Results'!AL235),IF(('Quantification_Results'!AL235&lt;'Quantification_Config'!$S$15),"",IF(('Quantification_Results'!AL235&gt;'Quantification_Config'!$T$15),"",'Quantification_Results'!AL235)),""),IF(ISNUMBER('Quantification_Results'!AM235),IF(('Quantification_Results'!AM235&lt;'Quantification_Config'!$S$15),"",IF(('Quantification_Results'!AM235&gt;'Quantification_Config'!$T$15),"",'Quantification_Results'!AM235)),"")))</x:f>
        <x:v>5</x:v>
      </x:c>
      <x:c r="AO235" t="n">
        <x:f>IF(ISNUMBER('Quantification_Results'!AN235),IFERROR(ROUND(((('Quantification_Results'!AN235-'Quantification_Config'!$S$15)/('Quantification_Config'!$T$15-'Quantification_Config'!$S$15))*100),'Quantification_Config'!$U$2),""),"")</x:f>
        <x:v>50</x:v>
      </x:c>
      <x:c r="AP235" t="inlineStr">
        <x:is>
          <x:t xml:space="preserve">SYSTEM-TEST-ONLY-NO-NETWORK-NOT-AN-EDUCATIONAL-EVALUATION</x:t>
        </x:is>
      </x:c>
      <x:c r="AQ235" t="inlineStr">
        <x:is>
          <x:t xml:space="preserve"/>
        </x:is>
      </x:c>
      <x:c r="AR235" t="inlineStr">
        <x:is>
          <x:t xml:space="preserve">NONE</x:t>
        </x:is>
      </x:c>
      <x:c r="AS235" t="inlineStr">
        <x:is>
          <x:t xml:space="preserve"/>
        </x:is>
      </x:c>
      <x:c r="AT235" t="inlineStr">
        <x:is>
          <x:t xml:space="preserve">SUCCESS</x:t>
        </x:is>
      </x:c>
      <x:c r="AU235" t="n">
        <x:f>IF((COUNT('Quantification_Results'!AO235)=1),IFERROR(ROUND((SUM(('Quantification_Results'!AO235*'Quantification_Config'!$R$15))/SUM('Quantification_Config'!$R$15)),'Quantification_Config'!$U$2),""),"")</x:f>
        <x:v>50</x:v>
      </x:c>
      <x:c r="AV235" t="n">
        <x:f>IF((COUNT('Quantification_Results'!AU235)=1),IFERROR(ROUND((SUM(('Quantification_Results'!AU235*'Quantification_Config'!$R$14))/SUM('Quantification_Config'!$R$14)),'Quantification_Config'!$U$2),""),"")</x:f>
        <x:v>50</x:v>
      </x:c>
      <x:c r="AW235" t="n">
        <x:v>1</x:v>
      </x:c>
      <x:c r="AX235" t="n">
        <x:v>5</x:v>
      </x:c>
      <x:c r="AY235"/>
      <x:c r="AZ235" t="n">
        <x:f>IF(('Quantification_Results'!AW235&lt;&gt;1),"",IF(('Quantification_Results'!AY235=""),IF(ISNUMBER('Quantification_Results'!AX235),IF(('Quantification_Results'!AX235&lt;'Quantification_Config'!$S$19),"",IF(('Quantification_Results'!AX235&gt;'Quantification_Config'!$T$19),"",'Quantification_Results'!AX235)),""),IF(ISNUMBER('Quantification_Results'!AY235),IF(('Quantification_Results'!AY235&lt;'Quantification_Config'!$S$19),"",IF(('Quantification_Results'!AY235&gt;'Quantification_Config'!$T$19),"",'Quantification_Results'!AY235)),"")))</x:f>
        <x:v>5</x:v>
      </x:c>
      <x:c r="BA235" t="n">
        <x:f>IF(ISNUMBER('Quantification_Results'!AZ235),IFERROR(ROUND(((('Quantification_Results'!AZ235-'Quantification_Config'!$S$19)/('Quantification_Config'!$T$19-'Quantification_Config'!$S$19))*100),'Quantification_Config'!$U$2),""),"")</x:f>
        <x:v>50</x:v>
      </x:c>
      <x:c r="BB235" t="inlineStr">
        <x:is>
          <x:t xml:space="preserve">SYSTEM-TEST-ONLY-NO-NETWORK-NOT-AN-EDUCATIONAL-EVALUATION</x:t>
        </x:is>
      </x:c>
      <x:c r="BC235" t="inlineStr">
        <x:is>
          <x:t xml:space="preserve"/>
        </x:is>
      </x:c>
      <x:c r="BD235" t="inlineStr">
        <x:is>
          <x:t xml:space="preserve">NONE</x:t>
        </x:is>
      </x:c>
      <x:c r="BE235" t="inlineStr">
        <x:is>
          <x:t xml:space="preserve"/>
        </x:is>
      </x:c>
      <x:c r="BF235" t="inlineStr">
        <x:is>
          <x:t xml:space="preserve">SUCCESS</x:t>
        </x:is>
      </x:c>
      <x:c r="BG235" t="n">
        <x:f>IF((COUNT('Quantification_Results'!BA235)=1),IFERROR(ROUND((SUM(('Quantification_Results'!BA235*'Quantification_Config'!$R$19))/SUM('Quantification_Config'!$R$19)),'Quantification_Config'!$U$2),""),"")</x:f>
        <x:v>50</x:v>
      </x:c>
      <x:c r="BH235" t="n">
        <x:f>IF((COUNT('Quantification_Results'!BG235)=1),IFERROR(ROUND((SUM(('Quantification_Results'!BG235*'Quantification_Config'!$R$18))/SUM('Quantification_Config'!$R$18)),'Quantification_Config'!$U$2),""),"")</x:f>
        <x:v>50</x:v>
      </x:c>
      <x:c r="BI235">
        <x:f>IF((COUNT('Quantification_Results'!L235,'Quantification_Results'!X235,'Quantification_Results'!AJ235,'Quantification_Results'!AV235,'Quantification_Results'!BH235)=5),IFERROR(ROUND((SUM(('Quantification_Results'!L235*'Quantification_Config'!$R$4),('Quantification_Results'!X235*'Quantification_Config'!$R$7),('Quantification_Results'!AJ235*'Quantification_Config'!$R$10),('Quantification_Results'!AV235*'Quantification_Config'!$R$13),('Quantification_Results'!BH235*'Quantification_Config'!$R$16))/SUM('Quantification_Config'!$R$4,'Quantification_Config'!$R$7,'Quantification_Config'!$R$10,'Quantification_Config'!$R$13,'Quantification_Config'!$R$16)),'Quantification_Config'!$U$2),""),"")</x:f>
      </x:c>
    </x:row>
    <x:row r="236">
      <x:c r="A236" t="n">
        <x:v>1</x:v>
      </x:c>
      <x:c r="B236" t="n">
        <x:v>5</x:v>
      </x:c>
      <x:c r="C236"/>
      <x:c r="D236" t="n">
        <x:f>IF(('Quantification_Results'!A236&lt;&gt;1),"",IF(('Quantification_Results'!C236=""),IF(ISNUMBER('Quantification_Results'!B236),IF(('Quantification_Results'!B236&lt;'Quantification_Config'!$S$6),"",IF(('Quantification_Results'!B236&gt;'Quantification_Config'!$T$6),"",'Quantification_Results'!B236)),""),IF(ISNUMBER('Quantification_Results'!C236),IF(('Quantification_Results'!C236&lt;'Quantification_Config'!$S$6),"",IF(('Quantification_Results'!C236&gt;'Quantification_Config'!$T$6),"",'Quantification_Results'!C236)),"")))</x:f>
        <x:v>5</x:v>
      </x:c>
      <x:c r="E236" t="n">
        <x:f>IF(ISNUMBER('Quantification_Results'!D236),IFERROR(ROUND(((('Quantification_Results'!D236-'Quantification_Config'!$S$6)/('Quantification_Config'!$T$6-'Quantification_Config'!$S$6))*100),'Quantification_Config'!$U$2),""),"")</x:f>
        <x:v>50</x:v>
      </x:c>
      <x:c r="F236" t="inlineStr">
        <x:is>
          <x:t xml:space="preserve">SYSTEM-TEST-ONLY-NO-NETWORK-NOT-AN-EDUCATIONAL-EVALUATION</x:t>
        </x:is>
      </x:c>
      <x:c r="G236" t="inlineStr">
        <x:is>
          <x:t xml:space="preserve"/>
        </x:is>
      </x:c>
      <x:c r="H236" t="inlineStr">
        <x:is>
          <x:t xml:space="preserve">NONE</x:t>
        </x:is>
      </x:c>
      <x:c r="I236" t="inlineStr">
        <x:is>
          <x:t xml:space="preserve"/>
        </x:is>
      </x:c>
      <x:c r="J236" t="inlineStr">
        <x:is>
          <x:t xml:space="preserve">SUCCESS</x:t>
        </x:is>
      </x:c>
      <x:c r="K236" t="n">
        <x:f>IF((COUNT('Quantification_Results'!E236)=1),IFERROR(ROUND((SUM(('Quantification_Results'!E236*'Quantification_Config'!$R$6))/SUM('Quantification_Config'!$R$6)),'Quantification_Config'!$U$2),""),"")</x:f>
        <x:v>50</x:v>
      </x:c>
      <x:c r="L236" t="n">
        <x:f>IF((COUNT('Quantification_Results'!K236)=1),IFERROR(ROUND((SUM(('Quantification_Results'!K236*'Quantification_Config'!$R$5))/SUM('Quantification_Config'!$R$5)),'Quantification_Config'!$U$2),""),"")</x:f>
        <x:v>50</x:v>
      </x:c>
      <x:c r="M236" t="n">
        <x:v>1</x:v>
      </x:c>
      <x:c r="N236" t="n">
        <x:v>5</x:v>
      </x:c>
      <x:c r="O236"/>
      <x:c r="P236" t="n">
        <x:f>IF(('Quantification_Results'!M236&lt;&gt;1),"",IF(('Quantification_Results'!O236=""),IF(ISNUMBER('Quantification_Results'!N236),IF(('Quantification_Results'!N236&lt;'Quantification_Config'!$S$9),"",IF(('Quantification_Results'!N236&gt;'Quantification_Config'!$T$9),"",'Quantification_Results'!N236)),""),IF(ISNUMBER('Quantification_Results'!O236),IF(('Quantification_Results'!O236&lt;'Quantification_Config'!$S$9),"",IF(('Quantification_Results'!O236&gt;'Quantification_Config'!$T$9),"",'Quantification_Results'!O236)),"")))</x:f>
        <x:v>5</x:v>
      </x:c>
      <x:c r="Q236" t="n">
        <x:f>IF(ISNUMBER('Quantification_Results'!P236),IFERROR(ROUND(((('Quantification_Results'!P236-'Quantification_Config'!$S$9)/('Quantification_Config'!$T$9-'Quantification_Config'!$S$9))*100),'Quantification_Config'!$U$2),""),"")</x:f>
        <x:v>50</x:v>
      </x:c>
      <x:c r="R236" t="inlineStr">
        <x:is>
          <x:t xml:space="preserve">SYSTEM-TEST-ONLY-NO-NETWORK-NOT-AN-EDUCATIONAL-EVALUATION</x:t>
        </x:is>
      </x:c>
      <x:c r="S236" t="inlineStr">
        <x:is>
          <x:t xml:space="preserve"/>
        </x:is>
      </x:c>
      <x:c r="T236" t="inlineStr">
        <x:is>
          <x:t xml:space="preserve">NONE</x:t>
        </x:is>
      </x:c>
      <x:c r="U236" t="inlineStr">
        <x:is>
          <x:t xml:space="preserve"/>
        </x:is>
      </x:c>
      <x:c r="V236" t="inlineStr">
        <x:is>
          <x:t xml:space="preserve">SUCCESS</x:t>
        </x:is>
      </x:c>
      <x:c r="W236" t="n">
        <x:f>IF((COUNT('Quantification_Results'!Q236)=1),IFERROR(ROUND((SUM(('Quantification_Results'!Q236*'Quantification_Config'!$R$9))/SUM('Quantification_Config'!$R$9)),'Quantification_Config'!$U$2),""),"")</x:f>
        <x:v>50</x:v>
      </x:c>
      <x:c r="X236" t="n">
        <x:f>IF((COUNT('Quantification_Results'!W236)=1),IFERROR(ROUND((SUM(('Quantification_Results'!W236*'Quantification_Config'!$R$8))/SUM('Quantification_Config'!$R$8)),'Quantification_Config'!$U$2),""),"")</x:f>
        <x:v>50</x:v>
      </x:c>
      <x:c r="Y236" t="n">
        <x:v>0</x:v>
      </x:c>
      <x:c r="Z236"/>
      <x:c r="AA236"/>
      <x:c r="AB236">
        <x:f>IF(('Quantification_Results'!Y236&lt;&gt;1),"",IF(('Quantification_Results'!AA236=""),IF(ISNUMBER('Quantification_Results'!Z236),IF(('Quantification_Results'!Z236&lt;'Quantification_Config'!$S$12),"",IF(('Quantification_Results'!Z236&gt;'Quantification_Config'!$T$12),"",'Quantification_Results'!Z236)),""),IF(ISNUMBER('Quantification_Results'!AA236),IF(('Quantification_Results'!AA236&lt;'Quantification_Config'!$S$12),"",IF(('Quantification_Results'!AA236&gt;'Quantification_Config'!$T$12),"",'Quantification_Results'!AA236)),"")))</x:f>
      </x:c>
      <x:c r="AC236">
        <x:f>IF(ISNUMBER('Quantification_Results'!AB236),IFERROR(ROUND(((('Quantification_Results'!AB236-'Quantification_Config'!$S$12)/('Quantification_Config'!$T$12-'Quantification_Config'!$S$12))*100),'Quantification_Config'!$U$2),""),"")</x:f>
      </x:c>
      <x:c r="AD236" t="inlineStr">
        <x:is>
          <x:t xml:space="preserve"/>
        </x:is>
      </x:c>
      <x:c r="AE236" t="inlineStr">
        <x:is>
          <x:t xml:space="preserve"/>
        </x:is>
      </x:c>
      <x:c r="AF236" t="inlineStr">
        <x:is>
          <x:t xml:space="preserve"/>
        </x:is>
      </x:c>
      <x:c r="AG236" t="inlineStr">
        <x:is>
          <x:t xml:space="preserve"/>
        </x:is>
      </x:c>
      <x:c r="AH236" t="inlineStr">
        <x:is>
          <x:t xml:space="preserve">EMPTY</x:t>
        </x:is>
      </x:c>
      <x:c r="AI236">
        <x:f>IF((COUNT('Quantification_Results'!AC236)=1),IFERROR(ROUND((SUM(('Quantification_Results'!AC236*'Quantification_Config'!$R$12))/SUM('Quantification_Config'!$R$12)),'Quantification_Config'!$U$2),""),"")</x:f>
      </x:c>
      <x:c r="AJ236">
        <x:f>IF((COUNT('Quantification_Results'!AI236)=1),IFERROR(ROUND((SUM(('Quantification_Results'!AI236*'Quantification_Config'!$R$11))/SUM('Quantification_Config'!$R$11)),'Quantification_Config'!$U$2),""),"")</x:f>
      </x:c>
      <x:c r="AK236" t="n">
        <x:v>1</x:v>
      </x:c>
      <x:c r="AL236" t="n">
        <x:v>5</x:v>
      </x:c>
      <x:c r="AM236"/>
      <x:c r="AN236" t="n">
        <x:f>IF(('Quantification_Results'!AK236&lt;&gt;1),"",IF(('Quantification_Results'!AM236=""),IF(ISNUMBER('Quantification_Results'!AL236),IF(('Quantification_Results'!AL236&lt;'Quantification_Config'!$S$15),"",IF(('Quantification_Results'!AL236&gt;'Quantification_Config'!$T$15),"",'Quantification_Results'!AL236)),""),IF(ISNUMBER('Quantification_Results'!AM236),IF(('Quantification_Results'!AM236&lt;'Quantification_Config'!$S$15),"",IF(('Quantification_Results'!AM236&gt;'Quantification_Config'!$T$15),"",'Quantification_Results'!AM236)),"")))</x:f>
        <x:v>5</x:v>
      </x:c>
      <x:c r="AO236" t="n">
        <x:f>IF(ISNUMBER('Quantification_Results'!AN236),IFERROR(ROUND(((('Quantification_Results'!AN236-'Quantification_Config'!$S$15)/('Quantification_Config'!$T$15-'Quantification_Config'!$S$15))*100),'Quantification_Config'!$U$2),""),"")</x:f>
        <x:v>50</x:v>
      </x:c>
      <x:c r="AP236" t="inlineStr">
        <x:is>
          <x:t xml:space="preserve">SYSTEM-TEST-ONLY-NO-NETWORK-NOT-AN-EDUCATIONAL-EVALUATION</x:t>
        </x:is>
      </x:c>
      <x:c r="AQ236" t="inlineStr">
        <x:is>
          <x:t xml:space="preserve"/>
        </x:is>
      </x:c>
      <x:c r="AR236" t="inlineStr">
        <x:is>
          <x:t xml:space="preserve">NONE</x:t>
        </x:is>
      </x:c>
      <x:c r="AS236" t="inlineStr">
        <x:is>
          <x:t xml:space="preserve"/>
        </x:is>
      </x:c>
      <x:c r="AT236" t="inlineStr">
        <x:is>
          <x:t xml:space="preserve">SUCCESS</x:t>
        </x:is>
      </x:c>
      <x:c r="AU236" t="n">
        <x:f>IF((COUNT('Quantification_Results'!AO236)=1),IFERROR(ROUND((SUM(('Quantification_Results'!AO236*'Quantification_Config'!$R$15))/SUM('Quantification_Config'!$R$15)),'Quantification_Config'!$U$2),""),"")</x:f>
        <x:v>50</x:v>
      </x:c>
      <x:c r="AV236" t="n">
        <x:f>IF((COUNT('Quantification_Results'!AU236)=1),IFERROR(ROUND((SUM(('Quantification_Results'!AU236*'Quantification_Config'!$R$14))/SUM('Quantification_Config'!$R$14)),'Quantification_Config'!$U$2),""),"")</x:f>
        <x:v>50</x:v>
      </x:c>
      <x:c r="AW236" t="n">
        <x:v>1</x:v>
      </x:c>
      <x:c r="AX236" t="n">
        <x:v>5</x:v>
      </x:c>
      <x:c r="AY236"/>
      <x:c r="AZ236" t="n">
        <x:f>IF(('Quantification_Results'!AW236&lt;&gt;1),"",IF(('Quantification_Results'!AY236=""),IF(ISNUMBER('Quantification_Results'!AX236),IF(('Quantification_Results'!AX236&lt;'Quantification_Config'!$S$19),"",IF(('Quantification_Results'!AX236&gt;'Quantification_Config'!$T$19),"",'Quantification_Results'!AX236)),""),IF(ISNUMBER('Quantification_Results'!AY236),IF(('Quantification_Results'!AY236&lt;'Quantification_Config'!$S$19),"",IF(('Quantification_Results'!AY236&gt;'Quantification_Config'!$T$19),"",'Quantification_Results'!AY236)),"")))</x:f>
        <x:v>5</x:v>
      </x:c>
      <x:c r="BA236" t="n">
        <x:f>IF(ISNUMBER('Quantification_Results'!AZ236),IFERROR(ROUND(((('Quantification_Results'!AZ236-'Quantification_Config'!$S$19)/('Quantification_Config'!$T$19-'Quantification_Config'!$S$19))*100),'Quantification_Config'!$U$2),""),"")</x:f>
        <x:v>50</x:v>
      </x:c>
      <x:c r="BB236" t="inlineStr">
        <x:is>
          <x:t xml:space="preserve">SYSTEM-TEST-ONLY-NO-NETWORK-NOT-AN-EDUCATIONAL-EVALUATION</x:t>
        </x:is>
      </x:c>
      <x:c r="BC236" t="inlineStr">
        <x:is>
          <x:t xml:space="preserve"/>
        </x:is>
      </x:c>
      <x:c r="BD236" t="inlineStr">
        <x:is>
          <x:t xml:space="preserve">NONE</x:t>
        </x:is>
      </x:c>
      <x:c r="BE236" t="inlineStr">
        <x:is>
          <x:t xml:space="preserve"/>
        </x:is>
      </x:c>
      <x:c r="BF236" t="inlineStr">
        <x:is>
          <x:t xml:space="preserve">SUCCESS</x:t>
        </x:is>
      </x:c>
      <x:c r="BG236" t="n">
        <x:f>IF((COUNT('Quantification_Results'!BA236)=1),IFERROR(ROUND((SUM(('Quantification_Results'!BA236*'Quantification_Config'!$R$19))/SUM('Quantification_Config'!$R$19)),'Quantification_Config'!$U$2),""),"")</x:f>
        <x:v>50</x:v>
      </x:c>
      <x:c r="BH236" t="n">
        <x:f>IF((COUNT('Quantification_Results'!BG236)=1),IFERROR(ROUND((SUM(('Quantification_Results'!BG236*'Quantification_Config'!$R$18))/SUM('Quantification_Config'!$R$18)),'Quantification_Config'!$U$2),""),"")</x:f>
        <x:v>50</x:v>
      </x:c>
      <x:c r="BI236">
        <x:f>IF((COUNT('Quantification_Results'!L236,'Quantification_Results'!X236,'Quantification_Results'!AJ236,'Quantification_Results'!AV236,'Quantification_Results'!BH236)=5),IFERROR(ROUND((SUM(('Quantification_Results'!L236*'Quantification_Config'!$R$4),('Quantification_Results'!X236*'Quantification_Config'!$R$7),('Quantification_Results'!AJ236*'Quantification_Config'!$R$10),('Quantification_Results'!AV236*'Quantification_Config'!$R$13),('Quantification_Results'!BH236*'Quantification_Config'!$R$16))/SUM('Quantification_Config'!$R$4,'Quantification_Config'!$R$7,'Quantification_Config'!$R$10,'Quantification_Config'!$R$13,'Quantification_Config'!$R$16)),'Quantification_Config'!$U$2),""),"")</x:f>
      </x:c>
    </x:row>
    <x:row r="237">
      <x:c r="A237" t="n">
        <x:v>1</x:v>
      </x:c>
      <x:c r="B237" t="n">
        <x:v>5</x:v>
      </x:c>
      <x:c r="C237"/>
      <x:c r="D237" t="n">
        <x:f>IF(('Quantification_Results'!A237&lt;&gt;1),"",IF(('Quantification_Results'!C237=""),IF(ISNUMBER('Quantification_Results'!B237),IF(('Quantification_Results'!B237&lt;'Quantification_Config'!$S$6),"",IF(('Quantification_Results'!B237&gt;'Quantification_Config'!$T$6),"",'Quantification_Results'!B237)),""),IF(ISNUMBER('Quantification_Results'!C237),IF(('Quantification_Results'!C237&lt;'Quantification_Config'!$S$6),"",IF(('Quantification_Results'!C237&gt;'Quantification_Config'!$T$6),"",'Quantification_Results'!C237)),"")))</x:f>
        <x:v>5</x:v>
      </x:c>
      <x:c r="E237" t="n">
        <x:f>IF(ISNUMBER('Quantification_Results'!D237),IFERROR(ROUND(((('Quantification_Results'!D237-'Quantification_Config'!$S$6)/('Quantification_Config'!$T$6-'Quantification_Config'!$S$6))*100),'Quantification_Config'!$U$2),""),"")</x:f>
        <x:v>50</x:v>
      </x:c>
      <x:c r="F237" t="inlineStr">
        <x:is>
          <x:t xml:space="preserve">SYSTEM-TEST-ONLY-NO-NETWORK-NOT-AN-EDUCATIONAL-EVALUATION</x:t>
        </x:is>
      </x:c>
      <x:c r="G237" t="inlineStr">
        <x:is>
          <x:t xml:space="preserve"/>
        </x:is>
      </x:c>
      <x:c r="H237" t="inlineStr">
        <x:is>
          <x:t xml:space="preserve">NONE</x:t>
        </x:is>
      </x:c>
      <x:c r="I237" t="inlineStr">
        <x:is>
          <x:t xml:space="preserve"/>
        </x:is>
      </x:c>
      <x:c r="J237" t="inlineStr">
        <x:is>
          <x:t xml:space="preserve">SUCCESS</x:t>
        </x:is>
      </x:c>
      <x:c r="K237" t="n">
        <x:f>IF((COUNT('Quantification_Results'!E237)=1),IFERROR(ROUND((SUM(('Quantification_Results'!E237*'Quantification_Config'!$R$6))/SUM('Quantification_Config'!$R$6)),'Quantification_Config'!$U$2),""),"")</x:f>
        <x:v>50</x:v>
      </x:c>
      <x:c r="L237" t="n">
        <x:f>IF((COUNT('Quantification_Results'!K237)=1),IFERROR(ROUND((SUM(('Quantification_Results'!K237*'Quantification_Config'!$R$5))/SUM('Quantification_Config'!$R$5)),'Quantification_Config'!$U$2),""),"")</x:f>
        <x:v>50</x:v>
      </x:c>
      <x:c r="M237" t="n">
        <x:v>1</x:v>
      </x:c>
      <x:c r="N237" t="n">
        <x:v>5</x:v>
      </x:c>
      <x:c r="O237"/>
      <x:c r="P237" t="n">
        <x:f>IF(('Quantification_Results'!M237&lt;&gt;1),"",IF(('Quantification_Results'!O237=""),IF(ISNUMBER('Quantification_Results'!N237),IF(('Quantification_Results'!N237&lt;'Quantification_Config'!$S$9),"",IF(('Quantification_Results'!N237&gt;'Quantification_Config'!$T$9),"",'Quantification_Results'!N237)),""),IF(ISNUMBER('Quantification_Results'!O237),IF(('Quantification_Results'!O237&lt;'Quantification_Config'!$S$9),"",IF(('Quantification_Results'!O237&gt;'Quantification_Config'!$T$9),"",'Quantification_Results'!O237)),"")))</x:f>
        <x:v>5</x:v>
      </x:c>
      <x:c r="Q237" t="n">
        <x:f>IF(ISNUMBER('Quantification_Results'!P237),IFERROR(ROUND(((('Quantification_Results'!P237-'Quantification_Config'!$S$9)/('Quantification_Config'!$T$9-'Quantification_Config'!$S$9))*100),'Quantification_Config'!$U$2),""),"")</x:f>
        <x:v>50</x:v>
      </x:c>
      <x:c r="R237" t="inlineStr">
        <x:is>
          <x:t xml:space="preserve">SYSTEM-TEST-ONLY-NO-NETWORK-NOT-AN-EDUCATIONAL-EVALUATION</x:t>
        </x:is>
      </x:c>
      <x:c r="S237" t="inlineStr">
        <x:is>
          <x:t xml:space="preserve"/>
        </x:is>
      </x:c>
      <x:c r="T237" t="inlineStr">
        <x:is>
          <x:t xml:space="preserve">NONE</x:t>
        </x:is>
      </x:c>
      <x:c r="U237" t="inlineStr">
        <x:is>
          <x:t xml:space="preserve"/>
        </x:is>
      </x:c>
      <x:c r="V237" t="inlineStr">
        <x:is>
          <x:t xml:space="preserve">SUCCESS</x:t>
        </x:is>
      </x:c>
      <x:c r="W237" t="n">
        <x:f>IF((COUNT('Quantification_Results'!Q237)=1),IFERROR(ROUND((SUM(('Quantification_Results'!Q237*'Quantification_Config'!$R$9))/SUM('Quantification_Config'!$R$9)),'Quantification_Config'!$U$2),""),"")</x:f>
        <x:v>50</x:v>
      </x:c>
      <x:c r="X237" t="n">
        <x:f>IF((COUNT('Quantification_Results'!W237)=1),IFERROR(ROUND((SUM(('Quantification_Results'!W237*'Quantification_Config'!$R$8))/SUM('Quantification_Config'!$R$8)),'Quantification_Config'!$U$2),""),"")</x:f>
        <x:v>50</x:v>
      </x:c>
      <x:c r="Y237" t="n">
        <x:v>0</x:v>
      </x:c>
      <x:c r="Z237"/>
      <x:c r="AA237"/>
      <x:c r="AB237">
        <x:f>IF(('Quantification_Results'!Y237&lt;&gt;1),"",IF(('Quantification_Results'!AA237=""),IF(ISNUMBER('Quantification_Results'!Z237),IF(('Quantification_Results'!Z237&lt;'Quantification_Config'!$S$12),"",IF(('Quantification_Results'!Z237&gt;'Quantification_Config'!$T$12),"",'Quantification_Results'!Z237)),""),IF(ISNUMBER('Quantification_Results'!AA237),IF(('Quantification_Results'!AA237&lt;'Quantification_Config'!$S$12),"",IF(('Quantification_Results'!AA237&gt;'Quantification_Config'!$T$12),"",'Quantification_Results'!AA237)),"")))</x:f>
      </x:c>
      <x:c r="AC237">
        <x:f>IF(ISNUMBER('Quantification_Results'!AB237),IFERROR(ROUND(((('Quantification_Results'!AB237-'Quantification_Config'!$S$12)/('Quantification_Config'!$T$12-'Quantification_Config'!$S$12))*100),'Quantification_Config'!$U$2),""),"")</x:f>
      </x:c>
      <x:c r="AD237" t="inlineStr">
        <x:is>
          <x:t xml:space="preserve"/>
        </x:is>
      </x:c>
      <x:c r="AE237" t="inlineStr">
        <x:is>
          <x:t xml:space="preserve"/>
        </x:is>
      </x:c>
      <x:c r="AF237" t="inlineStr">
        <x:is>
          <x:t xml:space="preserve"/>
        </x:is>
      </x:c>
      <x:c r="AG237" t="inlineStr">
        <x:is>
          <x:t xml:space="preserve"/>
        </x:is>
      </x:c>
      <x:c r="AH237" t="inlineStr">
        <x:is>
          <x:t xml:space="preserve">EMPTY</x:t>
        </x:is>
      </x:c>
      <x:c r="AI237">
        <x:f>IF((COUNT('Quantification_Results'!AC237)=1),IFERROR(ROUND((SUM(('Quantification_Results'!AC237*'Quantification_Config'!$R$12))/SUM('Quantification_Config'!$R$12)),'Quantification_Config'!$U$2),""),"")</x:f>
      </x:c>
      <x:c r="AJ237">
        <x:f>IF((COUNT('Quantification_Results'!AI237)=1),IFERROR(ROUND((SUM(('Quantification_Results'!AI237*'Quantification_Config'!$R$11))/SUM('Quantification_Config'!$R$11)),'Quantification_Config'!$U$2),""),"")</x:f>
      </x:c>
      <x:c r="AK237" t="n">
        <x:v>1</x:v>
      </x:c>
      <x:c r="AL237" t="n">
        <x:v>5</x:v>
      </x:c>
      <x:c r="AM237"/>
      <x:c r="AN237" t="n">
        <x:f>IF(('Quantification_Results'!AK237&lt;&gt;1),"",IF(('Quantification_Results'!AM237=""),IF(ISNUMBER('Quantification_Results'!AL237),IF(('Quantification_Results'!AL237&lt;'Quantification_Config'!$S$15),"",IF(('Quantification_Results'!AL237&gt;'Quantification_Config'!$T$15),"",'Quantification_Results'!AL237)),""),IF(ISNUMBER('Quantification_Results'!AM237),IF(('Quantification_Results'!AM237&lt;'Quantification_Config'!$S$15),"",IF(('Quantification_Results'!AM237&gt;'Quantification_Config'!$T$15),"",'Quantification_Results'!AM237)),"")))</x:f>
        <x:v>5</x:v>
      </x:c>
      <x:c r="AO237" t="n">
        <x:f>IF(ISNUMBER('Quantification_Results'!AN237),IFERROR(ROUND(((('Quantification_Results'!AN237-'Quantification_Config'!$S$15)/('Quantification_Config'!$T$15-'Quantification_Config'!$S$15))*100),'Quantification_Config'!$U$2),""),"")</x:f>
        <x:v>50</x:v>
      </x:c>
      <x:c r="AP237" t="inlineStr">
        <x:is>
          <x:t xml:space="preserve">SYSTEM-TEST-ONLY-NO-NETWORK-NOT-AN-EDUCATIONAL-EVALUATION</x:t>
        </x:is>
      </x:c>
      <x:c r="AQ237" t="inlineStr">
        <x:is>
          <x:t xml:space="preserve"/>
        </x:is>
      </x:c>
      <x:c r="AR237" t="inlineStr">
        <x:is>
          <x:t xml:space="preserve">NONE</x:t>
        </x:is>
      </x:c>
      <x:c r="AS237" t="inlineStr">
        <x:is>
          <x:t xml:space="preserve"/>
        </x:is>
      </x:c>
      <x:c r="AT237" t="inlineStr">
        <x:is>
          <x:t xml:space="preserve">SUCCESS</x:t>
        </x:is>
      </x:c>
      <x:c r="AU237" t="n">
        <x:f>IF((COUNT('Quantification_Results'!AO237)=1),IFERROR(ROUND((SUM(('Quantification_Results'!AO237*'Quantification_Config'!$R$15))/SUM('Quantification_Config'!$R$15)),'Quantification_Config'!$U$2),""),"")</x:f>
        <x:v>50</x:v>
      </x:c>
      <x:c r="AV237" t="n">
        <x:f>IF((COUNT('Quantification_Results'!AU237)=1),IFERROR(ROUND((SUM(('Quantification_Results'!AU237*'Quantification_Config'!$R$14))/SUM('Quantification_Config'!$R$14)),'Quantification_Config'!$U$2),""),"")</x:f>
        <x:v>50</x:v>
      </x:c>
      <x:c r="AW237" t="n">
        <x:v>1</x:v>
      </x:c>
      <x:c r="AX237" t="n">
        <x:v>5</x:v>
      </x:c>
      <x:c r="AY237"/>
      <x:c r="AZ237" t="n">
        <x:f>IF(('Quantification_Results'!AW237&lt;&gt;1),"",IF(('Quantification_Results'!AY237=""),IF(ISNUMBER('Quantification_Results'!AX237),IF(('Quantification_Results'!AX237&lt;'Quantification_Config'!$S$19),"",IF(('Quantification_Results'!AX237&gt;'Quantification_Config'!$T$19),"",'Quantification_Results'!AX237)),""),IF(ISNUMBER('Quantification_Results'!AY237),IF(('Quantification_Results'!AY237&lt;'Quantification_Config'!$S$19),"",IF(('Quantification_Results'!AY237&gt;'Quantification_Config'!$T$19),"",'Quantification_Results'!AY237)),"")))</x:f>
        <x:v>5</x:v>
      </x:c>
      <x:c r="BA237" t="n">
        <x:f>IF(ISNUMBER('Quantification_Results'!AZ237),IFERROR(ROUND(((('Quantification_Results'!AZ237-'Quantification_Config'!$S$19)/('Quantification_Config'!$T$19-'Quantification_Config'!$S$19))*100),'Quantification_Config'!$U$2),""),"")</x:f>
        <x:v>50</x:v>
      </x:c>
      <x:c r="BB237" t="inlineStr">
        <x:is>
          <x:t xml:space="preserve">SYSTEM-TEST-ONLY-NO-NETWORK-NOT-AN-EDUCATIONAL-EVALUATION</x:t>
        </x:is>
      </x:c>
      <x:c r="BC237" t="inlineStr">
        <x:is>
          <x:t xml:space="preserve"/>
        </x:is>
      </x:c>
      <x:c r="BD237" t="inlineStr">
        <x:is>
          <x:t xml:space="preserve">NONE</x:t>
        </x:is>
      </x:c>
      <x:c r="BE237" t="inlineStr">
        <x:is>
          <x:t xml:space="preserve"/>
        </x:is>
      </x:c>
      <x:c r="BF237" t="inlineStr">
        <x:is>
          <x:t xml:space="preserve">SUCCESS</x:t>
        </x:is>
      </x:c>
      <x:c r="BG237" t="n">
        <x:f>IF((COUNT('Quantification_Results'!BA237)=1),IFERROR(ROUND((SUM(('Quantification_Results'!BA237*'Quantification_Config'!$R$19))/SUM('Quantification_Config'!$R$19)),'Quantification_Config'!$U$2),""),"")</x:f>
        <x:v>50</x:v>
      </x:c>
      <x:c r="BH237" t="n">
        <x:f>IF((COUNT('Quantification_Results'!BG237)=1),IFERROR(ROUND((SUM(('Quantification_Results'!BG237*'Quantification_Config'!$R$18))/SUM('Quantification_Config'!$R$18)),'Quantification_Config'!$U$2),""),"")</x:f>
        <x:v>50</x:v>
      </x:c>
      <x:c r="BI237">
        <x:f>IF((COUNT('Quantification_Results'!L237,'Quantification_Results'!X237,'Quantification_Results'!AJ237,'Quantification_Results'!AV237,'Quantification_Results'!BH237)=5),IFERROR(ROUND((SUM(('Quantification_Results'!L237*'Quantification_Config'!$R$4),('Quantification_Results'!X237*'Quantification_Config'!$R$7),('Quantification_Results'!AJ237*'Quantification_Config'!$R$10),('Quantification_Results'!AV237*'Quantification_Config'!$R$13),('Quantification_Results'!BH237*'Quantification_Config'!$R$16))/SUM('Quantification_Config'!$R$4,'Quantification_Config'!$R$7,'Quantification_Config'!$R$10,'Quantification_Config'!$R$13,'Quantification_Config'!$R$16)),'Quantification_Config'!$U$2),""),"")</x:f>
      </x:c>
    </x:row>
    <x:row r="238">
      <x:c r="A238" t="n">
        <x:v>1</x:v>
      </x:c>
      <x:c r="B238" t="n">
        <x:v>5</x:v>
      </x:c>
      <x:c r="C238"/>
      <x:c r="D238" t="n">
        <x:f>IF(('Quantification_Results'!A238&lt;&gt;1),"",IF(('Quantification_Results'!C238=""),IF(ISNUMBER('Quantification_Results'!B238),IF(('Quantification_Results'!B238&lt;'Quantification_Config'!$S$6),"",IF(('Quantification_Results'!B238&gt;'Quantification_Config'!$T$6),"",'Quantification_Results'!B238)),""),IF(ISNUMBER('Quantification_Results'!C238),IF(('Quantification_Results'!C238&lt;'Quantification_Config'!$S$6),"",IF(('Quantification_Results'!C238&gt;'Quantification_Config'!$T$6),"",'Quantification_Results'!C238)),"")))</x:f>
        <x:v>5</x:v>
      </x:c>
      <x:c r="E238" t="n">
        <x:f>IF(ISNUMBER('Quantification_Results'!D238),IFERROR(ROUND(((('Quantification_Results'!D238-'Quantification_Config'!$S$6)/('Quantification_Config'!$T$6-'Quantification_Config'!$S$6))*100),'Quantification_Config'!$U$2),""),"")</x:f>
        <x:v>50</x:v>
      </x:c>
      <x:c r="F238" t="inlineStr">
        <x:is>
          <x:t xml:space="preserve">SYSTEM-TEST-ONLY-NO-NETWORK-NOT-AN-EDUCATIONAL-EVALUATION</x:t>
        </x:is>
      </x:c>
      <x:c r="G238" t="inlineStr">
        <x:is>
          <x:t xml:space="preserve"/>
        </x:is>
      </x:c>
      <x:c r="H238" t="inlineStr">
        <x:is>
          <x:t xml:space="preserve">NONE</x:t>
        </x:is>
      </x:c>
      <x:c r="I238" t="inlineStr">
        <x:is>
          <x:t xml:space="preserve"/>
        </x:is>
      </x:c>
      <x:c r="J238" t="inlineStr">
        <x:is>
          <x:t xml:space="preserve">SUCCESS</x:t>
        </x:is>
      </x:c>
      <x:c r="K238" t="n">
        <x:f>IF((COUNT('Quantification_Results'!E238)=1),IFERROR(ROUND((SUM(('Quantification_Results'!E238*'Quantification_Config'!$R$6))/SUM('Quantification_Config'!$R$6)),'Quantification_Config'!$U$2),""),"")</x:f>
        <x:v>50</x:v>
      </x:c>
      <x:c r="L238" t="n">
        <x:f>IF((COUNT('Quantification_Results'!K238)=1),IFERROR(ROUND((SUM(('Quantification_Results'!K238*'Quantification_Config'!$R$5))/SUM('Quantification_Config'!$R$5)),'Quantification_Config'!$U$2),""),"")</x:f>
        <x:v>50</x:v>
      </x:c>
      <x:c r="M238" t="n">
        <x:v>1</x:v>
      </x:c>
      <x:c r="N238" t="n">
        <x:v>5</x:v>
      </x:c>
      <x:c r="O238"/>
      <x:c r="P238" t="n">
        <x:f>IF(('Quantification_Results'!M238&lt;&gt;1),"",IF(('Quantification_Results'!O238=""),IF(ISNUMBER('Quantification_Results'!N238),IF(('Quantification_Results'!N238&lt;'Quantification_Config'!$S$9),"",IF(('Quantification_Results'!N238&gt;'Quantification_Config'!$T$9),"",'Quantification_Results'!N238)),""),IF(ISNUMBER('Quantification_Results'!O238),IF(('Quantification_Results'!O238&lt;'Quantification_Config'!$S$9),"",IF(('Quantification_Results'!O238&gt;'Quantification_Config'!$T$9),"",'Quantification_Results'!O238)),"")))</x:f>
        <x:v>5</x:v>
      </x:c>
      <x:c r="Q238" t="n">
        <x:f>IF(ISNUMBER('Quantification_Results'!P238),IFERROR(ROUND(((('Quantification_Results'!P238-'Quantification_Config'!$S$9)/('Quantification_Config'!$T$9-'Quantification_Config'!$S$9))*100),'Quantification_Config'!$U$2),""),"")</x:f>
        <x:v>50</x:v>
      </x:c>
      <x:c r="R238" t="inlineStr">
        <x:is>
          <x:t xml:space="preserve">SYSTEM-TEST-ONLY-NO-NETWORK-NOT-AN-EDUCATIONAL-EVALUATION</x:t>
        </x:is>
      </x:c>
      <x:c r="S238" t="inlineStr">
        <x:is>
          <x:t xml:space="preserve"/>
        </x:is>
      </x:c>
      <x:c r="T238" t="inlineStr">
        <x:is>
          <x:t xml:space="preserve">NONE</x:t>
        </x:is>
      </x:c>
      <x:c r="U238" t="inlineStr">
        <x:is>
          <x:t xml:space="preserve"/>
        </x:is>
      </x:c>
      <x:c r="V238" t="inlineStr">
        <x:is>
          <x:t xml:space="preserve">SUCCESS</x:t>
        </x:is>
      </x:c>
      <x:c r="W238" t="n">
        <x:f>IF((COUNT('Quantification_Results'!Q238)=1),IFERROR(ROUND((SUM(('Quantification_Results'!Q238*'Quantification_Config'!$R$9))/SUM('Quantification_Config'!$R$9)),'Quantification_Config'!$U$2),""),"")</x:f>
        <x:v>50</x:v>
      </x:c>
      <x:c r="X238" t="n">
        <x:f>IF((COUNT('Quantification_Results'!W238)=1),IFERROR(ROUND((SUM(('Quantification_Results'!W238*'Quantification_Config'!$R$8))/SUM('Quantification_Config'!$R$8)),'Quantification_Config'!$U$2),""),"")</x:f>
        <x:v>50</x:v>
      </x:c>
      <x:c r="Y238" t="n">
        <x:v>0</x:v>
      </x:c>
      <x:c r="Z238"/>
      <x:c r="AA238"/>
      <x:c r="AB238">
        <x:f>IF(('Quantification_Results'!Y238&lt;&gt;1),"",IF(('Quantification_Results'!AA238=""),IF(ISNUMBER('Quantification_Results'!Z238),IF(('Quantification_Results'!Z238&lt;'Quantification_Config'!$S$12),"",IF(('Quantification_Results'!Z238&gt;'Quantification_Config'!$T$12),"",'Quantification_Results'!Z238)),""),IF(ISNUMBER('Quantification_Results'!AA238),IF(('Quantification_Results'!AA238&lt;'Quantification_Config'!$S$12),"",IF(('Quantification_Results'!AA238&gt;'Quantification_Config'!$T$12),"",'Quantification_Results'!AA238)),"")))</x:f>
      </x:c>
      <x:c r="AC238">
        <x:f>IF(ISNUMBER('Quantification_Results'!AB238),IFERROR(ROUND(((('Quantification_Results'!AB238-'Quantification_Config'!$S$12)/('Quantification_Config'!$T$12-'Quantification_Config'!$S$12))*100),'Quantification_Config'!$U$2),""),"")</x:f>
      </x:c>
      <x:c r="AD238" t="inlineStr">
        <x:is>
          <x:t xml:space="preserve"/>
        </x:is>
      </x:c>
      <x:c r="AE238" t="inlineStr">
        <x:is>
          <x:t xml:space="preserve"/>
        </x:is>
      </x:c>
      <x:c r="AF238" t="inlineStr">
        <x:is>
          <x:t xml:space="preserve"/>
        </x:is>
      </x:c>
      <x:c r="AG238" t="inlineStr">
        <x:is>
          <x:t xml:space="preserve"/>
        </x:is>
      </x:c>
      <x:c r="AH238" t="inlineStr">
        <x:is>
          <x:t xml:space="preserve">EMPTY</x:t>
        </x:is>
      </x:c>
      <x:c r="AI238">
        <x:f>IF((COUNT('Quantification_Results'!AC238)=1),IFERROR(ROUND((SUM(('Quantification_Results'!AC238*'Quantification_Config'!$R$12))/SUM('Quantification_Config'!$R$12)),'Quantification_Config'!$U$2),""),"")</x:f>
      </x:c>
      <x:c r="AJ238">
        <x:f>IF((COUNT('Quantification_Results'!AI238)=1),IFERROR(ROUND((SUM(('Quantification_Results'!AI238*'Quantification_Config'!$R$11))/SUM('Quantification_Config'!$R$11)),'Quantification_Config'!$U$2),""),"")</x:f>
      </x:c>
      <x:c r="AK238" t="n">
        <x:v>1</x:v>
      </x:c>
      <x:c r="AL238" t="n">
        <x:v>5</x:v>
      </x:c>
      <x:c r="AM238"/>
      <x:c r="AN238" t="n">
        <x:f>IF(('Quantification_Results'!AK238&lt;&gt;1),"",IF(('Quantification_Results'!AM238=""),IF(ISNUMBER('Quantification_Results'!AL238),IF(('Quantification_Results'!AL238&lt;'Quantification_Config'!$S$15),"",IF(('Quantification_Results'!AL238&gt;'Quantification_Config'!$T$15),"",'Quantification_Results'!AL238)),""),IF(ISNUMBER('Quantification_Results'!AM238),IF(('Quantification_Results'!AM238&lt;'Quantification_Config'!$S$15),"",IF(('Quantification_Results'!AM238&gt;'Quantification_Config'!$T$15),"",'Quantification_Results'!AM238)),"")))</x:f>
        <x:v>5</x:v>
      </x:c>
      <x:c r="AO238" t="n">
        <x:f>IF(ISNUMBER('Quantification_Results'!AN238),IFERROR(ROUND(((('Quantification_Results'!AN238-'Quantification_Config'!$S$15)/('Quantification_Config'!$T$15-'Quantification_Config'!$S$15))*100),'Quantification_Config'!$U$2),""),"")</x:f>
        <x:v>50</x:v>
      </x:c>
      <x:c r="AP238" t="inlineStr">
        <x:is>
          <x:t xml:space="preserve">SYSTEM-TEST-ONLY-NO-NETWORK-NOT-AN-EDUCATIONAL-EVALUATION</x:t>
        </x:is>
      </x:c>
      <x:c r="AQ238" t="inlineStr">
        <x:is>
          <x:t xml:space="preserve"/>
        </x:is>
      </x:c>
      <x:c r="AR238" t="inlineStr">
        <x:is>
          <x:t xml:space="preserve">NONE</x:t>
        </x:is>
      </x:c>
      <x:c r="AS238" t="inlineStr">
        <x:is>
          <x:t xml:space="preserve"/>
        </x:is>
      </x:c>
      <x:c r="AT238" t="inlineStr">
        <x:is>
          <x:t xml:space="preserve">SUCCESS</x:t>
        </x:is>
      </x:c>
      <x:c r="AU238" t="n">
        <x:f>IF((COUNT('Quantification_Results'!AO238)=1),IFERROR(ROUND((SUM(('Quantification_Results'!AO238*'Quantification_Config'!$R$15))/SUM('Quantification_Config'!$R$15)),'Quantification_Config'!$U$2),""),"")</x:f>
        <x:v>50</x:v>
      </x:c>
      <x:c r="AV238" t="n">
        <x:f>IF((COUNT('Quantification_Results'!AU238)=1),IFERROR(ROUND((SUM(('Quantification_Results'!AU238*'Quantification_Config'!$R$14))/SUM('Quantification_Config'!$R$14)),'Quantification_Config'!$U$2),""),"")</x:f>
        <x:v>50</x:v>
      </x:c>
      <x:c r="AW238" t="n">
        <x:v>1</x:v>
      </x:c>
      <x:c r="AX238" t="n">
        <x:v>5</x:v>
      </x:c>
      <x:c r="AY238"/>
      <x:c r="AZ238" t="n">
        <x:f>IF(('Quantification_Results'!AW238&lt;&gt;1),"",IF(('Quantification_Results'!AY238=""),IF(ISNUMBER('Quantification_Results'!AX238),IF(('Quantification_Results'!AX238&lt;'Quantification_Config'!$S$19),"",IF(('Quantification_Results'!AX238&gt;'Quantification_Config'!$T$19),"",'Quantification_Results'!AX238)),""),IF(ISNUMBER('Quantification_Results'!AY238),IF(('Quantification_Results'!AY238&lt;'Quantification_Config'!$S$19),"",IF(('Quantification_Results'!AY238&gt;'Quantification_Config'!$T$19),"",'Quantification_Results'!AY238)),"")))</x:f>
        <x:v>5</x:v>
      </x:c>
      <x:c r="BA238" t="n">
        <x:f>IF(ISNUMBER('Quantification_Results'!AZ238),IFERROR(ROUND(((('Quantification_Results'!AZ238-'Quantification_Config'!$S$19)/('Quantification_Config'!$T$19-'Quantification_Config'!$S$19))*100),'Quantification_Config'!$U$2),""),"")</x:f>
        <x:v>50</x:v>
      </x:c>
      <x:c r="BB238" t="inlineStr">
        <x:is>
          <x:t xml:space="preserve">SYSTEM-TEST-ONLY-NO-NETWORK-NOT-AN-EDUCATIONAL-EVALUATION</x:t>
        </x:is>
      </x:c>
      <x:c r="BC238" t="inlineStr">
        <x:is>
          <x:t xml:space="preserve"/>
        </x:is>
      </x:c>
      <x:c r="BD238" t="inlineStr">
        <x:is>
          <x:t xml:space="preserve">NONE</x:t>
        </x:is>
      </x:c>
      <x:c r="BE238" t="inlineStr">
        <x:is>
          <x:t xml:space="preserve"/>
        </x:is>
      </x:c>
      <x:c r="BF238" t="inlineStr">
        <x:is>
          <x:t xml:space="preserve">SUCCESS</x:t>
        </x:is>
      </x:c>
      <x:c r="BG238" t="n">
        <x:f>IF((COUNT('Quantification_Results'!BA238)=1),IFERROR(ROUND((SUM(('Quantification_Results'!BA238*'Quantification_Config'!$R$19))/SUM('Quantification_Config'!$R$19)),'Quantification_Config'!$U$2),""),"")</x:f>
        <x:v>50</x:v>
      </x:c>
      <x:c r="BH238" t="n">
        <x:f>IF((COUNT('Quantification_Results'!BG238)=1),IFERROR(ROUND((SUM(('Quantification_Results'!BG238*'Quantification_Config'!$R$18))/SUM('Quantification_Config'!$R$18)),'Quantification_Config'!$U$2),""),"")</x:f>
        <x:v>50</x:v>
      </x:c>
      <x:c r="BI238">
        <x:f>IF((COUNT('Quantification_Results'!L238,'Quantification_Results'!X238,'Quantification_Results'!AJ238,'Quantification_Results'!AV238,'Quantification_Results'!BH238)=5),IFERROR(ROUND((SUM(('Quantification_Results'!L238*'Quantification_Config'!$R$4),('Quantification_Results'!X238*'Quantification_Config'!$R$7),('Quantification_Results'!AJ238*'Quantification_Config'!$R$10),('Quantification_Results'!AV238*'Quantification_Config'!$R$13),('Quantification_Results'!BH238*'Quantification_Config'!$R$16))/SUM('Quantification_Config'!$R$4,'Quantification_Config'!$R$7,'Quantification_Config'!$R$10,'Quantification_Config'!$R$13,'Quantification_Config'!$R$16)),'Quantification_Config'!$U$2),""),"")</x:f>
      </x:c>
    </x:row>
    <x:row r="239">
      <x:c r="A239" t="n">
        <x:v>1</x:v>
      </x:c>
      <x:c r="B239" t="n">
        <x:v>5</x:v>
      </x:c>
      <x:c r="C239"/>
      <x:c r="D239" t="n">
        <x:f>IF(('Quantification_Results'!A239&lt;&gt;1),"",IF(('Quantification_Results'!C239=""),IF(ISNUMBER('Quantification_Results'!B239),IF(('Quantification_Results'!B239&lt;'Quantification_Config'!$S$6),"",IF(('Quantification_Results'!B239&gt;'Quantification_Config'!$T$6),"",'Quantification_Results'!B239)),""),IF(ISNUMBER('Quantification_Results'!C239),IF(('Quantification_Results'!C239&lt;'Quantification_Config'!$S$6),"",IF(('Quantification_Results'!C239&gt;'Quantification_Config'!$T$6),"",'Quantification_Results'!C239)),"")))</x:f>
        <x:v>5</x:v>
      </x:c>
      <x:c r="E239" t="n">
        <x:f>IF(ISNUMBER('Quantification_Results'!D239),IFERROR(ROUND(((('Quantification_Results'!D239-'Quantification_Config'!$S$6)/('Quantification_Config'!$T$6-'Quantification_Config'!$S$6))*100),'Quantification_Config'!$U$2),""),"")</x:f>
        <x:v>50</x:v>
      </x:c>
      <x:c r="F239" t="inlineStr">
        <x:is>
          <x:t xml:space="preserve">SYSTEM-TEST-ONLY-NO-NETWORK-NOT-AN-EDUCATIONAL-EVALUATION</x:t>
        </x:is>
      </x:c>
      <x:c r="G239" t="inlineStr">
        <x:is>
          <x:t xml:space="preserve"/>
        </x:is>
      </x:c>
      <x:c r="H239" t="inlineStr">
        <x:is>
          <x:t xml:space="preserve">NONE</x:t>
        </x:is>
      </x:c>
      <x:c r="I239" t="inlineStr">
        <x:is>
          <x:t xml:space="preserve"/>
        </x:is>
      </x:c>
      <x:c r="J239" t="inlineStr">
        <x:is>
          <x:t xml:space="preserve">SUCCESS</x:t>
        </x:is>
      </x:c>
      <x:c r="K239" t="n">
        <x:f>IF((COUNT('Quantification_Results'!E239)=1),IFERROR(ROUND((SUM(('Quantification_Results'!E239*'Quantification_Config'!$R$6))/SUM('Quantification_Config'!$R$6)),'Quantification_Config'!$U$2),""),"")</x:f>
        <x:v>50</x:v>
      </x:c>
      <x:c r="L239" t="n">
        <x:f>IF((COUNT('Quantification_Results'!K239)=1),IFERROR(ROUND((SUM(('Quantification_Results'!K239*'Quantification_Config'!$R$5))/SUM('Quantification_Config'!$R$5)),'Quantification_Config'!$U$2),""),"")</x:f>
        <x:v>50</x:v>
      </x:c>
      <x:c r="M239" t="n">
        <x:v>1</x:v>
      </x:c>
      <x:c r="N239" t="n">
        <x:v>5</x:v>
      </x:c>
      <x:c r="O239"/>
      <x:c r="P239" t="n">
        <x:f>IF(('Quantification_Results'!M239&lt;&gt;1),"",IF(('Quantification_Results'!O239=""),IF(ISNUMBER('Quantification_Results'!N239),IF(('Quantification_Results'!N239&lt;'Quantification_Config'!$S$9),"",IF(('Quantification_Results'!N239&gt;'Quantification_Config'!$T$9),"",'Quantification_Results'!N239)),""),IF(ISNUMBER('Quantification_Results'!O239),IF(('Quantification_Results'!O239&lt;'Quantification_Config'!$S$9),"",IF(('Quantification_Results'!O239&gt;'Quantification_Config'!$T$9),"",'Quantification_Results'!O239)),"")))</x:f>
        <x:v>5</x:v>
      </x:c>
      <x:c r="Q239" t="n">
        <x:f>IF(ISNUMBER('Quantification_Results'!P239),IFERROR(ROUND(((('Quantification_Results'!P239-'Quantification_Config'!$S$9)/('Quantification_Config'!$T$9-'Quantification_Config'!$S$9))*100),'Quantification_Config'!$U$2),""),"")</x:f>
        <x:v>50</x:v>
      </x:c>
      <x:c r="R239" t="inlineStr">
        <x:is>
          <x:t xml:space="preserve">SYSTEM-TEST-ONLY-NO-NETWORK-NOT-AN-EDUCATIONAL-EVALUATION</x:t>
        </x:is>
      </x:c>
      <x:c r="S239" t="inlineStr">
        <x:is>
          <x:t xml:space="preserve"/>
        </x:is>
      </x:c>
      <x:c r="T239" t="inlineStr">
        <x:is>
          <x:t xml:space="preserve">NONE</x:t>
        </x:is>
      </x:c>
      <x:c r="U239" t="inlineStr">
        <x:is>
          <x:t xml:space="preserve"/>
        </x:is>
      </x:c>
      <x:c r="V239" t="inlineStr">
        <x:is>
          <x:t xml:space="preserve">SUCCESS</x:t>
        </x:is>
      </x:c>
      <x:c r="W239" t="n">
        <x:f>IF((COUNT('Quantification_Results'!Q239)=1),IFERROR(ROUND((SUM(('Quantification_Results'!Q239*'Quantification_Config'!$R$9))/SUM('Quantification_Config'!$R$9)),'Quantification_Config'!$U$2),""),"")</x:f>
        <x:v>50</x:v>
      </x:c>
      <x:c r="X239" t="n">
        <x:f>IF((COUNT('Quantification_Results'!W239)=1),IFERROR(ROUND((SUM(('Quantification_Results'!W239*'Quantification_Config'!$R$8))/SUM('Quantification_Config'!$R$8)),'Quantification_Config'!$U$2),""),"")</x:f>
        <x:v>50</x:v>
      </x:c>
      <x:c r="Y239" t="n">
        <x:v>0</x:v>
      </x:c>
      <x:c r="Z239"/>
      <x:c r="AA239"/>
      <x:c r="AB239">
        <x:f>IF(('Quantification_Results'!Y239&lt;&gt;1),"",IF(('Quantification_Results'!AA239=""),IF(ISNUMBER('Quantification_Results'!Z239),IF(('Quantification_Results'!Z239&lt;'Quantification_Config'!$S$12),"",IF(('Quantification_Results'!Z239&gt;'Quantification_Config'!$T$12),"",'Quantification_Results'!Z239)),""),IF(ISNUMBER('Quantification_Results'!AA239),IF(('Quantification_Results'!AA239&lt;'Quantification_Config'!$S$12),"",IF(('Quantification_Results'!AA239&gt;'Quantification_Config'!$T$12),"",'Quantification_Results'!AA239)),"")))</x:f>
      </x:c>
      <x:c r="AC239">
        <x:f>IF(ISNUMBER('Quantification_Results'!AB239),IFERROR(ROUND(((('Quantification_Results'!AB239-'Quantification_Config'!$S$12)/('Quantification_Config'!$T$12-'Quantification_Config'!$S$12))*100),'Quantification_Config'!$U$2),""),"")</x:f>
      </x:c>
      <x:c r="AD239" t="inlineStr">
        <x:is>
          <x:t xml:space="preserve"/>
        </x:is>
      </x:c>
      <x:c r="AE239" t="inlineStr">
        <x:is>
          <x:t xml:space="preserve"/>
        </x:is>
      </x:c>
      <x:c r="AF239" t="inlineStr">
        <x:is>
          <x:t xml:space="preserve"/>
        </x:is>
      </x:c>
      <x:c r="AG239" t="inlineStr">
        <x:is>
          <x:t xml:space="preserve"/>
        </x:is>
      </x:c>
      <x:c r="AH239" t="inlineStr">
        <x:is>
          <x:t xml:space="preserve">EMPTY</x:t>
        </x:is>
      </x:c>
      <x:c r="AI239">
        <x:f>IF((COUNT('Quantification_Results'!AC239)=1),IFERROR(ROUND((SUM(('Quantification_Results'!AC239*'Quantification_Config'!$R$12))/SUM('Quantification_Config'!$R$12)),'Quantification_Config'!$U$2),""),"")</x:f>
      </x:c>
      <x:c r="AJ239">
        <x:f>IF((COUNT('Quantification_Results'!AI239)=1),IFERROR(ROUND((SUM(('Quantification_Results'!AI239*'Quantification_Config'!$R$11))/SUM('Quantification_Config'!$R$11)),'Quantification_Config'!$U$2),""),"")</x:f>
      </x:c>
      <x:c r="AK239" t="n">
        <x:v>1</x:v>
      </x:c>
      <x:c r="AL239" t="n">
        <x:v>5</x:v>
      </x:c>
      <x:c r="AM239"/>
      <x:c r="AN239" t="n">
        <x:f>IF(('Quantification_Results'!AK239&lt;&gt;1),"",IF(('Quantification_Results'!AM239=""),IF(ISNUMBER('Quantification_Results'!AL239),IF(('Quantification_Results'!AL239&lt;'Quantification_Config'!$S$15),"",IF(('Quantification_Results'!AL239&gt;'Quantification_Config'!$T$15),"",'Quantification_Results'!AL239)),""),IF(ISNUMBER('Quantification_Results'!AM239),IF(('Quantification_Results'!AM239&lt;'Quantification_Config'!$S$15),"",IF(('Quantification_Results'!AM239&gt;'Quantification_Config'!$T$15),"",'Quantification_Results'!AM239)),"")))</x:f>
        <x:v>5</x:v>
      </x:c>
      <x:c r="AO239" t="n">
        <x:f>IF(ISNUMBER('Quantification_Results'!AN239),IFERROR(ROUND(((('Quantification_Results'!AN239-'Quantification_Config'!$S$15)/('Quantification_Config'!$T$15-'Quantification_Config'!$S$15))*100),'Quantification_Config'!$U$2),""),"")</x:f>
        <x:v>50</x:v>
      </x:c>
      <x:c r="AP239" t="inlineStr">
        <x:is>
          <x:t xml:space="preserve">SYSTEM-TEST-ONLY-NO-NETWORK-NOT-AN-EDUCATIONAL-EVALUATION</x:t>
        </x:is>
      </x:c>
      <x:c r="AQ239" t="inlineStr">
        <x:is>
          <x:t xml:space="preserve"/>
        </x:is>
      </x:c>
      <x:c r="AR239" t="inlineStr">
        <x:is>
          <x:t xml:space="preserve">NONE</x:t>
        </x:is>
      </x:c>
      <x:c r="AS239" t="inlineStr">
        <x:is>
          <x:t xml:space="preserve"/>
        </x:is>
      </x:c>
      <x:c r="AT239" t="inlineStr">
        <x:is>
          <x:t xml:space="preserve">SUCCESS</x:t>
        </x:is>
      </x:c>
      <x:c r="AU239" t="n">
        <x:f>IF((COUNT('Quantification_Results'!AO239)=1),IFERROR(ROUND((SUM(('Quantification_Results'!AO239*'Quantification_Config'!$R$15))/SUM('Quantification_Config'!$R$15)),'Quantification_Config'!$U$2),""),"")</x:f>
        <x:v>50</x:v>
      </x:c>
      <x:c r="AV239" t="n">
        <x:f>IF((COUNT('Quantification_Results'!AU239)=1),IFERROR(ROUND((SUM(('Quantification_Results'!AU239*'Quantification_Config'!$R$14))/SUM('Quantification_Config'!$R$14)),'Quantification_Config'!$U$2),""),"")</x:f>
        <x:v>50</x:v>
      </x:c>
      <x:c r="AW239" t="n">
        <x:v>1</x:v>
      </x:c>
      <x:c r="AX239" t="n">
        <x:v>5</x:v>
      </x:c>
      <x:c r="AY239"/>
      <x:c r="AZ239" t="n">
        <x:f>IF(('Quantification_Results'!AW239&lt;&gt;1),"",IF(('Quantification_Results'!AY239=""),IF(ISNUMBER('Quantification_Results'!AX239),IF(('Quantification_Results'!AX239&lt;'Quantification_Config'!$S$19),"",IF(('Quantification_Results'!AX239&gt;'Quantification_Config'!$T$19),"",'Quantification_Results'!AX239)),""),IF(ISNUMBER('Quantification_Results'!AY239),IF(('Quantification_Results'!AY239&lt;'Quantification_Config'!$S$19),"",IF(('Quantification_Results'!AY239&gt;'Quantification_Config'!$T$19),"",'Quantification_Results'!AY239)),"")))</x:f>
        <x:v>5</x:v>
      </x:c>
      <x:c r="BA239" t="n">
        <x:f>IF(ISNUMBER('Quantification_Results'!AZ239),IFERROR(ROUND(((('Quantification_Results'!AZ239-'Quantification_Config'!$S$19)/('Quantification_Config'!$T$19-'Quantification_Config'!$S$19))*100),'Quantification_Config'!$U$2),""),"")</x:f>
        <x:v>50</x:v>
      </x:c>
      <x:c r="BB239" t="inlineStr">
        <x:is>
          <x:t xml:space="preserve">SYSTEM-TEST-ONLY-NO-NETWORK-NOT-AN-EDUCATIONAL-EVALUATION</x:t>
        </x:is>
      </x:c>
      <x:c r="BC239" t="inlineStr">
        <x:is>
          <x:t xml:space="preserve"/>
        </x:is>
      </x:c>
      <x:c r="BD239" t="inlineStr">
        <x:is>
          <x:t xml:space="preserve">NONE</x:t>
        </x:is>
      </x:c>
      <x:c r="BE239" t="inlineStr">
        <x:is>
          <x:t xml:space="preserve"/>
        </x:is>
      </x:c>
      <x:c r="BF239" t="inlineStr">
        <x:is>
          <x:t xml:space="preserve">SUCCESS</x:t>
        </x:is>
      </x:c>
      <x:c r="BG239" t="n">
        <x:f>IF((COUNT('Quantification_Results'!BA239)=1),IFERROR(ROUND((SUM(('Quantification_Results'!BA239*'Quantification_Config'!$R$19))/SUM('Quantification_Config'!$R$19)),'Quantification_Config'!$U$2),""),"")</x:f>
        <x:v>50</x:v>
      </x:c>
      <x:c r="BH239" t="n">
        <x:f>IF((COUNT('Quantification_Results'!BG239)=1),IFERROR(ROUND((SUM(('Quantification_Results'!BG239*'Quantification_Config'!$R$18))/SUM('Quantification_Config'!$R$18)),'Quantification_Config'!$U$2),""),"")</x:f>
        <x:v>50</x:v>
      </x:c>
      <x:c r="BI239">
        <x:f>IF((COUNT('Quantification_Results'!L239,'Quantification_Results'!X239,'Quantification_Results'!AJ239,'Quantification_Results'!AV239,'Quantification_Results'!BH239)=5),IFERROR(ROUND((SUM(('Quantification_Results'!L239*'Quantification_Config'!$R$4),('Quantification_Results'!X239*'Quantification_Config'!$R$7),('Quantification_Results'!AJ239*'Quantification_Config'!$R$10),('Quantification_Results'!AV239*'Quantification_Config'!$R$13),('Quantification_Results'!BH239*'Quantification_Config'!$R$16))/SUM('Quantification_Config'!$R$4,'Quantification_Config'!$R$7,'Quantification_Config'!$R$10,'Quantification_Config'!$R$13,'Quantification_Config'!$R$16)),'Quantification_Config'!$U$2),""),"")</x:f>
      </x:c>
    </x:row>
    <x:row r="240">
      <x:c r="A240" t="n">
        <x:v>1</x:v>
      </x:c>
      <x:c r="B240" t="n">
        <x:v>5</x:v>
      </x:c>
      <x:c r="C240"/>
      <x:c r="D240" t="n">
        <x:f>IF(('Quantification_Results'!A240&lt;&gt;1),"",IF(('Quantification_Results'!C240=""),IF(ISNUMBER('Quantification_Results'!B240),IF(('Quantification_Results'!B240&lt;'Quantification_Config'!$S$6),"",IF(('Quantification_Results'!B240&gt;'Quantification_Config'!$T$6),"",'Quantification_Results'!B240)),""),IF(ISNUMBER('Quantification_Results'!C240),IF(('Quantification_Results'!C240&lt;'Quantification_Config'!$S$6),"",IF(('Quantification_Results'!C240&gt;'Quantification_Config'!$T$6),"",'Quantification_Results'!C240)),"")))</x:f>
        <x:v>5</x:v>
      </x:c>
      <x:c r="E240" t="n">
        <x:f>IF(ISNUMBER('Quantification_Results'!D240),IFERROR(ROUND(((('Quantification_Results'!D240-'Quantification_Config'!$S$6)/('Quantification_Config'!$T$6-'Quantification_Config'!$S$6))*100),'Quantification_Config'!$U$2),""),"")</x:f>
        <x:v>50</x:v>
      </x:c>
      <x:c r="F240" t="inlineStr">
        <x:is>
          <x:t xml:space="preserve">SYSTEM-TEST-ONLY-NO-NETWORK-NOT-AN-EDUCATIONAL-EVALUATION</x:t>
        </x:is>
      </x:c>
      <x:c r="G240" t="inlineStr">
        <x:is>
          <x:t xml:space="preserve"/>
        </x:is>
      </x:c>
      <x:c r="H240" t="inlineStr">
        <x:is>
          <x:t xml:space="preserve">NONE</x:t>
        </x:is>
      </x:c>
      <x:c r="I240" t="inlineStr">
        <x:is>
          <x:t xml:space="preserve"/>
        </x:is>
      </x:c>
      <x:c r="J240" t="inlineStr">
        <x:is>
          <x:t xml:space="preserve">SUCCESS</x:t>
        </x:is>
      </x:c>
      <x:c r="K240" t="n">
        <x:f>IF((COUNT('Quantification_Results'!E240)=1),IFERROR(ROUND((SUM(('Quantification_Results'!E240*'Quantification_Config'!$R$6))/SUM('Quantification_Config'!$R$6)),'Quantification_Config'!$U$2),""),"")</x:f>
        <x:v>50</x:v>
      </x:c>
      <x:c r="L240" t="n">
        <x:f>IF((COUNT('Quantification_Results'!K240)=1),IFERROR(ROUND((SUM(('Quantification_Results'!K240*'Quantification_Config'!$R$5))/SUM('Quantification_Config'!$R$5)),'Quantification_Config'!$U$2),""),"")</x:f>
        <x:v>50</x:v>
      </x:c>
      <x:c r="M240" t="n">
        <x:v>1</x:v>
      </x:c>
      <x:c r="N240" t="n">
        <x:v>5</x:v>
      </x:c>
      <x:c r="O240"/>
      <x:c r="P240" t="n">
        <x:f>IF(('Quantification_Results'!M240&lt;&gt;1),"",IF(('Quantification_Results'!O240=""),IF(ISNUMBER('Quantification_Results'!N240),IF(('Quantification_Results'!N240&lt;'Quantification_Config'!$S$9),"",IF(('Quantification_Results'!N240&gt;'Quantification_Config'!$T$9),"",'Quantification_Results'!N240)),""),IF(ISNUMBER('Quantification_Results'!O240),IF(('Quantification_Results'!O240&lt;'Quantification_Config'!$S$9),"",IF(('Quantification_Results'!O240&gt;'Quantification_Config'!$T$9),"",'Quantification_Results'!O240)),"")))</x:f>
        <x:v>5</x:v>
      </x:c>
      <x:c r="Q240" t="n">
        <x:f>IF(ISNUMBER('Quantification_Results'!P240),IFERROR(ROUND(((('Quantification_Results'!P240-'Quantification_Config'!$S$9)/('Quantification_Config'!$T$9-'Quantification_Config'!$S$9))*100),'Quantification_Config'!$U$2),""),"")</x:f>
        <x:v>50</x:v>
      </x:c>
      <x:c r="R240" t="inlineStr">
        <x:is>
          <x:t xml:space="preserve">SYSTEM-TEST-ONLY-NO-NETWORK-NOT-AN-EDUCATIONAL-EVALUATION</x:t>
        </x:is>
      </x:c>
      <x:c r="S240" t="inlineStr">
        <x:is>
          <x:t xml:space="preserve"/>
        </x:is>
      </x:c>
      <x:c r="T240" t="inlineStr">
        <x:is>
          <x:t xml:space="preserve">NONE</x:t>
        </x:is>
      </x:c>
      <x:c r="U240" t="inlineStr">
        <x:is>
          <x:t xml:space="preserve"/>
        </x:is>
      </x:c>
      <x:c r="V240" t="inlineStr">
        <x:is>
          <x:t xml:space="preserve">SUCCESS</x:t>
        </x:is>
      </x:c>
      <x:c r="W240" t="n">
        <x:f>IF((COUNT('Quantification_Results'!Q240)=1),IFERROR(ROUND((SUM(('Quantification_Results'!Q240*'Quantification_Config'!$R$9))/SUM('Quantification_Config'!$R$9)),'Quantification_Config'!$U$2),""),"")</x:f>
        <x:v>50</x:v>
      </x:c>
      <x:c r="X240" t="n">
        <x:f>IF((COUNT('Quantification_Results'!W240)=1),IFERROR(ROUND((SUM(('Quantification_Results'!W240*'Quantification_Config'!$R$8))/SUM('Quantification_Config'!$R$8)),'Quantification_Config'!$U$2),""),"")</x:f>
        <x:v>50</x:v>
      </x:c>
      <x:c r="Y240" t="n">
        <x:v>0</x:v>
      </x:c>
      <x:c r="Z240"/>
      <x:c r="AA240"/>
      <x:c r="AB240">
        <x:f>IF(('Quantification_Results'!Y240&lt;&gt;1),"",IF(('Quantification_Results'!AA240=""),IF(ISNUMBER('Quantification_Results'!Z240),IF(('Quantification_Results'!Z240&lt;'Quantification_Config'!$S$12),"",IF(('Quantification_Results'!Z240&gt;'Quantification_Config'!$T$12),"",'Quantification_Results'!Z240)),""),IF(ISNUMBER('Quantification_Results'!AA240),IF(('Quantification_Results'!AA240&lt;'Quantification_Config'!$S$12),"",IF(('Quantification_Results'!AA240&gt;'Quantification_Config'!$T$12),"",'Quantification_Results'!AA240)),"")))</x:f>
      </x:c>
      <x:c r="AC240">
        <x:f>IF(ISNUMBER('Quantification_Results'!AB240),IFERROR(ROUND(((('Quantification_Results'!AB240-'Quantification_Config'!$S$12)/('Quantification_Config'!$T$12-'Quantification_Config'!$S$12))*100),'Quantification_Config'!$U$2),""),"")</x:f>
      </x:c>
      <x:c r="AD240" t="inlineStr">
        <x:is>
          <x:t xml:space="preserve"/>
        </x:is>
      </x:c>
      <x:c r="AE240" t="inlineStr">
        <x:is>
          <x:t xml:space="preserve"/>
        </x:is>
      </x:c>
      <x:c r="AF240" t="inlineStr">
        <x:is>
          <x:t xml:space="preserve"/>
        </x:is>
      </x:c>
      <x:c r="AG240" t="inlineStr">
        <x:is>
          <x:t xml:space="preserve"/>
        </x:is>
      </x:c>
      <x:c r="AH240" t="inlineStr">
        <x:is>
          <x:t xml:space="preserve">EMPTY</x:t>
        </x:is>
      </x:c>
      <x:c r="AI240">
        <x:f>IF((COUNT('Quantification_Results'!AC240)=1),IFERROR(ROUND((SUM(('Quantification_Results'!AC240*'Quantification_Config'!$R$12))/SUM('Quantification_Config'!$R$12)),'Quantification_Config'!$U$2),""),"")</x:f>
      </x:c>
      <x:c r="AJ240">
        <x:f>IF((COUNT('Quantification_Results'!AI240)=1),IFERROR(ROUND((SUM(('Quantification_Results'!AI240*'Quantification_Config'!$R$11))/SUM('Quantification_Config'!$R$11)),'Quantification_Config'!$U$2),""),"")</x:f>
      </x:c>
      <x:c r="AK240" t="n">
        <x:v>1</x:v>
      </x:c>
      <x:c r="AL240" t="n">
        <x:v>5</x:v>
      </x:c>
      <x:c r="AM240"/>
      <x:c r="AN240" t="n">
        <x:f>IF(('Quantification_Results'!AK240&lt;&gt;1),"",IF(('Quantification_Results'!AM240=""),IF(ISNUMBER('Quantification_Results'!AL240),IF(('Quantification_Results'!AL240&lt;'Quantification_Config'!$S$15),"",IF(('Quantification_Results'!AL240&gt;'Quantification_Config'!$T$15),"",'Quantification_Results'!AL240)),""),IF(ISNUMBER('Quantification_Results'!AM240),IF(('Quantification_Results'!AM240&lt;'Quantification_Config'!$S$15),"",IF(('Quantification_Results'!AM240&gt;'Quantification_Config'!$T$15),"",'Quantification_Results'!AM240)),"")))</x:f>
        <x:v>5</x:v>
      </x:c>
      <x:c r="AO240" t="n">
        <x:f>IF(ISNUMBER('Quantification_Results'!AN240),IFERROR(ROUND(((('Quantification_Results'!AN240-'Quantification_Config'!$S$15)/('Quantification_Config'!$T$15-'Quantification_Config'!$S$15))*100),'Quantification_Config'!$U$2),""),"")</x:f>
        <x:v>50</x:v>
      </x:c>
      <x:c r="AP240" t="inlineStr">
        <x:is>
          <x:t xml:space="preserve">SYSTEM-TEST-ONLY-NO-NETWORK-NOT-AN-EDUCATIONAL-EVALUATION</x:t>
        </x:is>
      </x:c>
      <x:c r="AQ240" t="inlineStr">
        <x:is>
          <x:t xml:space="preserve"/>
        </x:is>
      </x:c>
      <x:c r="AR240" t="inlineStr">
        <x:is>
          <x:t xml:space="preserve">NONE</x:t>
        </x:is>
      </x:c>
      <x:c r="AS240" t="inlineStr">
        <x:is>
          <x:t xml:space="preserve"/>
        </x:is>
      </x:c>
      <x:c r="AT240" t="inlineStr">
        <x:is>
          <x:t xml:space="preserve">SUCCESS</x:t>
        </x:is>
      </x:c>
      <x:c r="AU240" t="n">
        <x:f>IF((COUNT('Quantification_Results'!AO240)=1),IFERROR(ROUND((SUM(('Quantification_Results'!AO240*'Quantification_Config'!$R$15))/SUM('Quantification_Config'!$R$15)),'Quantification_Config'!$U$2),""),"")</x:f>
        <x:v>50</x:v>
      </x:c>
      <x:c r="AV240" t="n">
        <x:f>IF((COUNT('Quantification_Results'!AU240)=1),IFERROR(ROUND((SUM(('Quantification_Results'!AU240*'Quantification_Config'!$R$14))/SUM('Quantification_Config'!$R$14)),'Quantification_Config'!$U$2),""),"")</x:f>
        <x:v>50</x:v>
      </x:c>
      <x:c r="AW240" t="n">
        <x:v>1</x:v>
      </x:c>
      <x:c r="AX240" t="n">
        <x:v>5</x:v>
      </x:c>
      <x:c r="AY240"/>
      <x:c r="AZ240" t="n">
        <x:f>IF(('Quantification_Results'!AW240&lt;&gt;1),"",IF(('Quantification_Results'!AY240=""),IF(ISNUMBER('Quantification_Results'!AX240),IF(('Quantification_Results'!AX240&lt;'Quantification_Config'!$S$19),"",IF(('Quantification_Results'!AX240&gt;'Quantification_Config'!$T$19),"",'Quantification_Results'!AX240)),""),IF(ISNUMBER('Quantification_Results'!AY240),IF(('Quantification_Results'!AY240&lt;'Quantification_Config'!$S$19),"",IF(('Quantification_Results'!AY240&gt;'Quantification_Config'!$T$19),"",'Quantification_Results'!AY240)),"")))</x:f>
        <x:v>5</x:v>
      </x:c>
      <x:c r="BA240" t="n">
        <x:f>IF(ISNUMBER('Quantification_Results'!AZ240),IFERROR(ROUND(((('Quantification_Results'!AZ240-'Quantification_Config'!$S$19)/('Quantification_Config'!$T$19-'Quantification_Config'!$S$19))*100),'Quantification_Config'!$U$2),""),"")</x:f>
        <x:v>50</x:v>
      </x:c>
      <x:c r="BB240" t="inlineStr">
        <x:is>
          <x:t xml:space="preserve">SYSTEM-TEST-ONLY-NO-NETWORK-NOT-AN-EDUCATIONAL-EVALUATION</x:t>
        </x:is>
      </x:c>
      <x:c r="BC240" t="inlineStr">
        <x:is>
          <x:t xml:space="preserve"/>
        </x:is>
      </x:c>
      <x:c r="BD240" t="inlineStr">
        <x:is>
          <x:t xml:space="preserve">NONE</x:t>
        </x:is>
      </x:c>
      <x:c r="BE240" t="inlineStr">
        <x:is>
          <x:t xml:space="preserve"/>
        </x:is>
      </x:c>
      <x:c r="BF240" t="inlineStr">
        <x:is>
          <x:t xml:space="preserve">SUCCESS</x:t>
        </x:is>
      </x:c>
      <x:c r="BG240" t="n">
        <x:f>IF((COUNT('Quantification_Results'!BA240)=1),IFERROR(ROUND((SUM(('Quantification_Results'!BA240*'Quantification_Config'!$R$19))/SUM('Quantification_Config'!$R$19)),'Quantification_Config'!$U$2),""),"")</x:f>
        <x:v>50</x:v>
      </x:c>
      <x:c r="BH240" t="n">
        <x:f>IF((COUNT('Quantification_Results'!BG240)=1),IFERROR(ROUND((SUM(('Quantification_Results'!BG240*'Quantification_Config'!$R$18))/SUM('Quantification_Config'!$R$18)),'Quantification_Config'!$U$2),""),"")</x:f>
        <x:v>50</x:v>
      </x:c>
      <x:c r="BI240">
        <x:f>IF((COUNT('Quantification_Results'!L240,'Quantification_Results'!X240,'Quantification_Results'!AJ240,'Quantification_Results'!AV240,'Quantification_Results'!BH240)=5),IFERROR(ROUND((SUM(('Quantification_Results'!L240*'Quantification_Config'!$R$4),('Quantification_Results'!X240*'Quantification_Config'!$R$7),('Quantification_Results'!AJ240*'Quantification_Config'!$R$10),('Quantification_Results'!AV240*'Quantification_Config'!$R$13),('Quantification_Results'!BH240*'Quantification_Config'!$R$16))/SUM('Quantification_Config'!$R$4,'Quantification_Config'!$R$7,'Quantification_Config'!$R$10,'Quantification_Config'!$R$13,'Quantification_Config'!$R$16)),'Quantification_Config'!$U$2),""),"")</x:f>
      </x:c>
    </x:row>
    <x:row r="241">
      <x:c r="A241" t="n">
        <x:v>1</x:v>
      </x:c>
      <x:c r="B241" t="n">
        <x:v>5</x:v>
      </x:c>
      <x:c r="C241"/>
      <x:c r="D241" t="n">
        <x:f>IF(('Quantification_Results'!A241&lt;&gt;1),"",IF(('Quantification_Results'!C241=""),IF(ISNUMBER('Quantification_Results'!B241),IF(('Quantification_Results'!B241&lt;'Quantification_Config'!$S$6),"",IF(('Quantification_Results'!B241&gt;'Quantification_Config'!$T$6),"",'Quantification_Results'!B241)),""),IF(ISNUMBER('Quantification_Results'!C241),IF(('Quantification_Results'!C241&lt;'Quantification_Config'!$S$6),"",IF(('Quantification_Results'!C241&gt;'Quantification_Config'!$T$6),"",'Quantification_Results'!C241)),"")))</x:f>
        <x:v>5</x:v>
      </x:c>
      <x:c r="E241" t="n">
        <x:f>IF(ISNUMBER('Quantification_Results'!D241),IFERROR(ROUND(((('Quantification_Results'!D241-'Quantification_Config'!$S$6)/('Quantification_Config'!$T$6-'Quantification_Config'!$S$6))*100),'Quantification_Config'!$U$2),""),"")</x:f>
        <x:v>50</x:v>
      </x:c>
      <x:c r="F241" t="inlineStr">
        <x:is>
          <x:t xml:space="preserve">SYSTEM-TEST-ONLY-NO-NETWORK-NOT-AN-EDUCATIONAL-EVALUATION</x:t>
        </x:is>
      </x:c>
      <x:c r="G241" t="inlineStr">
        <x:is>
          <x:t xml:space="preserve"/>
        </x:is>
      </x:c>
      <x:c r="H241" t="inlineStr">
        <x:is>
          <x:t xml:space="preserve">NONE</x:t>
        </x:is>
      </x:c>
      <x:c r="I241" t="inlineStr">
        <x:is>
          <x:t xml:space="preserve"/>
        </x:is>
      </x:c>
      <x:c r="J241" t="inlineStr">
        <x:is>
          <x:t xml:space="preserve">SUCCESS</x:t>
        </x:is>
      </x:c>
      <x:c r="K241" t="n">
        <x:f>IF((COUNT('Quantification_Results'!E241)=1),IFERROR(ROUND((SUM(('Quantification_Results'!E241*'Quantification_Config'!$R$6))/SUM('Quantification_Config'!$R$6)),'Quantification_Config'!$U$2),""),"")</x:f>
        <x:v>50</x:v>
      </x:c>
      <x:c r="L241" t="n">
        <x:f>IF((COUNT('Quantification_Results'!K241)=1),IFERROR(ROUND((SUM(('Quantification_Results'!K241*'Quantification_Config'!$R$5))/SUM('Quantification_Config'!$R$5)),'Quantification_Config'!$U$2),""),"")</x:f>
        <x:v>50</x:v>
      </x:c>
      <x:c r="M241" t="n">
        <x:v>1</x:v>
      </x:c>
      <x:c r="N241" t="n">
        <x:v>5</x:v>
      </x:c>
      <x:c r="O241"/>
      <x:c r="P241" t="n">
        <x:f>IF(('Quantification_Results'!M241&lt;&gt;1),"",IF(('Quantification_Results'!O241=""),IF(ISNUMBER('Quantification_Results'!N241),IF(('Quantification_Results'!N241&lt;'Quantification_Config'!$S$9),"",IF(('Quantification_Results'!N241&gt;'Quantification_Config'!$T$9),"",'Quantification_Results'!N241)),""),IF(ISNUMBER('Quantification_Results'!O241),IF(('Quantification_Results'!O241&lt;'Quantification_Config'!$S$9),"",IF(('Quantification_Results'!O241&gt;'Quantification_Config'!$T$9),"",'Quantification_Results'!O241)),"")))</x:f>
        <x:v>5</x:v>
      </x:c>
      <x:c r="Q241" t="n">
        <x:f>IF(ISNUMBER('Quantification_Results'!P241),IFERROR(ROUND(((('Quantification_Results'!P241-'Quantification_Config'!$S$9)/('Quantification_Config'!$T$9-'Quantification_Config'!$S$9))*100),'Quantification_Config'!$U$2),""),"")</x:f>
        <x:v>50</x:v>
      </x:c>
      <x:c r="R241" t="inlineStr">
        <x:is>
          <x:t xml:space="preserve">SYSTEM-TEST-ONLY-NO-NETWORK-NOT-AN-EDUCATIONAL-EVALUATION</x:t>
        </x:is>
      </x:c>
      <x:c r="S241" t="inlineStr">
        <x:is>
          <x:t xml:space="preserve"/>
        </x:is>
      </x:c>
      <x:c r="T241" t="inlineStr">
        <x:is>
          <x:t xml:space="preserve">NONE</x:t>
        </x:is>
      </x:c>
      <x:c r="U241" t="inlineStr">
        <x:is>
          <x:t xml:space="preserve"/>
        </x:is>
      </x:c>
      <x:c r="V241" t="inlineStr">
        <x:is>
          <x:t xml:space="preserve">SUCCESS</x:t>
        </x:is>
      </x:c>
      <x:c r="W241" t="n">
        <x:f>IF((COUNT('Quantification_Results'!Q241)=1),IFERROR(ROUND((SUM(('Quantification_Results'!Q241*'Quantification_Config'!$R$9))/SUM('Quantification_Config'!$R$9)),'Quantification_Config'!$U$2),""),"")</x:f>
        <x:v>50</x:v>
      </x:c>
      <x:c r="X241" t="n">
        <x:f>IF((COUNT('Quantification_Results'!W241)=1),IFERROR(ROUND((SUM(('Quantification_Results'!W241*'Quantification_Config'!$R$8))/SUM('Quantification_Config'!$R$8)),'Quantification_Config'!$U$2),""),"")</x:f>
        <x:v>50</x:v>
      </x:c>
      <x:c r="Y241" t="n">
        <x:v>0</x:v>
      </x:c>
      <x:c r="Z241"/>
      <x:c r="AA241"/>
      <x:c r="AB241">
        <x:f>IF(('Quantification_Results'!Y241&lt;&gt;1),"",IF(('Quantification_Results'!AA241=""),IF(ISNUMBER('Quantification_Results'!Z241),IF(('Quantification_Results'!Z241&lt;'Quantification_Config'!$S$12),"",IF(('Quantification_Results'!Z241&gt;'Quantification_Config'!$T$12),"",'Quantification_Results'!Z241)),""),IF(ISNUMBER('Quantification_Results'!AA241),IF(('Quantification_Results'!AA241&lt;'Quantification_Config'!$S$12),"",IF(('Quantification_Results'!AA241&gt;'Quantification_Config'!$T$12),"",'Quantification_Results'!AA241)),"")))</x:f>
      </x:c>
      <x:c r="AC241">
        <x:f>IF(ISNUMBER('Quantification_Results'!AB241),IFERROR(ROUND(((('Quantification_Results'!AB241-'Quantification_Config'!$S$12)/('Quantification_Config'!$T$12-'Quantification_Config'!$S$12))*100),'Quantification_Config'!$U$2),""),"")</x:f>
      </x:c>
      <x:c r="AD241" t="inlineStr">
        <x:is>
          <x:t xml:space="preserve"/>
        </x:is>
      </x:c>
      <x:c r="AE241" t="inlineStr">
        <x:is>
          <x:t xml:space="preserve"/>
        </x:is>
      </x:c>
      <x:c r="AF241" t="inlineStr">
        <x:is>
          <x:t xml:space="preserve"/>
        </x:is>
      </x:c>
      <x:c r="AG241" t="inlineStr">
        <x:is>
          <x:t xml:space="preserve"/>
        </x:is>
      </x:c>
      <x:c r="AH241" t="inlineStr">
        <x:is>
          <x:t xml:space="preserve">EMPTY</x:t>
        </x:is>
      </x:c>
      <x:c r="AI241">
        <x:f>IF((COUNT('Quantification_Results'!AC241)=1),IFERROR(ROUND((SUM(('Quantification_Results'!AC241*'Quantification_Config'!$R$12))/SUM('Quantification_Config'!$R$12)),'Quantification_Config'!$U$2),""),"")</x:f>
      </x:c>
      <x:c r="AJ241">
        <x:f>IF((COUNT('Quantification_Results'!AI241)=1),IFERROR(ROUND((SUM(('Quantification_Results'!AI241*'Quantification_Config'!$R$11))/SUM('Quantification_Config'!$R$11)),'Quantification_Config'!$U$2),""),"")</x:f>
      </x:c>
      <x:c r="AK241" t="n">
        <x:v>1</x:v>
      </x:c>
      <x:c r="AL241" t="n">
        <x:v>5</x:v>
      </x:c>
      <x:c r="AM241"/>
      <x:c r="AN241" t="n">
        <x:f>IF(('Quantification_Results'!AK241&lt;&gt;1),"",IF(('Quantification_Results'!AM241=""),IF(ISNUMBER('Quantification_Results'!AL241),IF(('Quantification_Results'!AL241&lt;'Quantification_Config'!$S$15),"",IF(('Quantification_Results'!AL241&gt;'Quantification_Config'!$T$15),"",'Quantification_Results'!AL241)),""),IF(ISNUMBER('Quantification_Results'!AM241),IF(('Quantification_Results'!AM241&lt;'Quantification_Config'!$S$15),"",IF(('Quantification_Results'!AM241&gt;'Quantification_Config'!$T$15),"",'Quantification_Results'!AM241)),"")))</x:f>
        <x:v>5</x:v>
      </x:c>
      <x:c r="AO241" t="n">
        <x:f>IF(ISNUMBER('Quantification_Results'!AN241),IFERROR(ROUND(((('Quantification_Results'!AN241-'Quantification_Config'!$S$15)/('Quantification_Config'!$T$15-'Quantification_Config'!$S$15))*100),'Quantification_Config'!$U$2),""),"")</x:f>
        <x:v>50</x:v>
      </x:c>
      <x:c r="AP241" t="inlineStr">
        <x:is>
          <x:t xml:space="preserve">SYSTEM-TEST-ONLY-NO-NETWORK-NOT-AN-EDUCATIONAL-EVALUATION</x:t>
        </x:is>
      </x:c>
      <x:c r="AQ241" t="inlineStr">
        <x:is>
          <x:t xml:space="preserve"/>
        </x:is>
      </x:c>
      <x:c r="AR241" t="inlineStr">
        <x:is>
          <x:t xml:space="preserve">NONE</x:t>
        </x:is>
      </x:c>
      <x:c r="AS241" t="inlineStr">
        <x:is>
          <x:t xml:space="preserve"/>
        </x:is>
      </x:c>
      <x:c r="AT241" t="inlineStr">
        <x:is>
          <x:t xml:space="preserve">SUCCESS</x:t>
        </x:is>
      </x:c>
      <x:c r="AU241" t="n">
        <x:f>IF((COUNT('Quantification_Results'!AO241)=1),IFERROR(ROUND((SUM(('Quantification_Results'!AO241*'Quantification_Config'!$R$15))/SUM('Quantification_Config'!$R$15)),'Quantification_Config'!$U$2),""),"")</x:f>
        <x:v>50</x:v>
      </x:c>
      <x:c r="AV241" t="n">
        <x:f>IF((COUNT('Quantification_Results'!AU241)=1),IFERROR(ROUND((SUM(('Quantification_Results'!AU241*'Quantification_Config'!$R$14))/SUM('Quantification_Config'!$R$14)),'Quantification_Config'!$U$2),""),"")</x:f>
        <x:v>50</x:v>
      </x:c>
      <x:c r="AW241" t="n">
        <x:v>1</x:v>
      </x:c>
      <x:c r="AX241" t="n">
        <x:v>5</x:v>
      </x:c>
      <x:c r="AY241"/>
      <x:c r="AZ241" t="n">
        <x:f>IF(('Quantification_Results'!AW241&lt;&gt;1),"",IF(('Quantification_Results'!AY241=""),IF(ISNUMBER('Quantification_Results'!AX241),IF(('Quantification_Results'!AX241&lt;'Quantification_Config'!$S$19),"",IF(('Quantification_Results'!AX241&gt;'Quantification_Config'!$T$19),"",'Quantification_Results'!AX241)),""),IF(ISNUMBER('Quantification_Results'!AY241),IF(('Quantification_Results'!AY241&lt;'Quantification_Config'!$S$19),"",IF(('Quantification_Results'!AY241&gt;'Quantification_Config'!$T$19),"",'Quantification_Results'!AY241)),"")))</x:f>
        <x:v>5</x:v>
      </x:c>
      <x:c r="BA241" t="n">
        <x:f>IF(ISNUMBER('Quantification_Results'!AZ241),IFERROR(ROUND(((('Quantification_Results'!AZ241-'Quantification_Config'!$S$19)/('Quantification_Config'!$T$19-'Quantification_Config'!$S$19))*100),'Quantification_Config'!$U$2),""),"")</x:f>
        <x:v>50</x:v>
      </x:c>
      <x:c r="BB241" t="inlineStr">
        <x:is>
          <x:t xml:space="preserve">SYSTEM-TEST-ONLY-NO-NETWORK-NOT-AN-EDUCATIONAL-EVALUATION</x:t>
        </x:is>
      </x:c>
      <x:c r="BC241" t="inlineStr">
        <x:is>
          <x:t xml:space="preserve"/>
        </x:is>
      </x:c>
      <x:c r="BD241" t="inlineStr">
        <x:is>
          <x:t xml:space="preserve">NONE</x:t>
        </x:is>
      </x:c>
      <x:c r="BE241" t="inlineStr">
        <x:is>
          <x:t xml:space="preserve"/>
        </x:is>
      </x:c>
      <x:c r="BF241" t="inlineStr">
        <x:is>
          <x:t xml:space="preserve">SUCCESS</x:t>
        </x:is>
      </x:c>
      <x:c r="BG241" t="n">
        <x:f>IF((COUNT('Quantification_Results'!BA241)=1),IFERROR(ROUND((SUM(('Quantification_Results'!BA241*'Quantification_Config'!$R$19))/SUM('Quantification_Config'!$R$19)),'Quantification_Config'!$U$2),""),"")</x:f>
        <x:v>50</x:v>
      </x:c>
      <x:c r="BH241" t="n">
        <x:f>IF((COUNT('Quantification_Results'!BG241)=1),IFERROR(ROUND((SUM(('Quantification_Results'!BG241*'Quantification_Config'!$R$18))/SUM('Quantification_Config'!$R$18)),'Quantification_Config'!$U$2),""),"")</x:f>
        <x:v>50</x:v>
      </x:c>
      <x:c r="BI241">
        <x:f>IF((COUNT('Quantification_Results'!L241,'Quantification_Results'!X241,'Quantification_Results'!AJ241,'Quantification_Results'!AV241,'Quantification_Results'!BH241)=5),IFERROR(ROUND((SUM(('Quantification_Results'!L241*'Quantification_Config'!$R$4),('Quantification_Results'!X241*'Quantification_Config'!$R$7),('Quantification_Results'!AJ241*'Quantification_Config'!$R$10),('Quantification_Results'!AV241*'Quantification_Config'!$R$13),('Quantification_Results'!BH241*'Quantification_Config'!$R$16))/SUM('Quantification_Config'!$R$4,'Quantification_Config'!$R$7,'Quantification_Config'!$R$10,'Quantification_Config'!$R$13,'Quantification_Config'!$R$16)),'Quantification_Config'!$U$2),""),"")</x:f>
      </x:c>
    </x:row>
    <x:row r="242">
      <x:c r="A242" t="n">
        <x:v>1</x:v>
      </x:c>
      <x:c r="B242" t="n">
        <x:v>5</x:v>
      </x:c>
      <x:c r="C242"/>
      <x:c r="D242" t="n">
        <x:f>IF(('Quantification_Results'!A242&lt;&gt;1),"",IF(('Quantification_Results'!C242=""),IF(ISNUMBER('Quantification_Results'!B242),IF(('Quantification_Results'!B242&lt;'Quantification_Config'!$S$6),"",IF(('Quantification_Results'!B242&gt;'Quantification_Config'!$T$6),"",'Quantification_Results'!B242)),""),IF(ISNUMBER('Quantification_Results'!C242),IF(('Quantification_Results'!C242&lt;'Quantification_Config'!$S$6),"",IF(('Quantification_Results'!C242&gt;'Quantification_Config'!$T$6),"",'Quantification_Results'!C242)),"")))</x:f>
        <x:v>5</x:v>
      </x:c>
      <x:c r="E242" t="n">
        <x:f>IF(ISNUMBER('Quantification_Results'!D242),IFERROR(ROUND(((('Quantification_Results'!D242-'Quantification_Config'!$S$6)/('Quantification_Config'!$T$6-'Quantification_Config'!$S$6))*100),'Quantification_Config'!$U$2),""),"")</x:f>
        <x:v>50</x:v>
      </x:c>
      <x:c r="F242" t="inlineStr">
        <x:is>
          <x:t xml:space="preserve">SYSTEM-TEST-ONLY-NO-NETWORK-NOT-AN-EDUCATIONAL-EVALUATION</x:t>
        </x:is>
      </x:c>
      <x:c r="G242" t="inlineStr">
        <x:is>
          <x:t xml:space="preserve"/>
        </x:is>
      </x:c>
      <x:c r="H242" t="inlineStr">
        <x:is>
          <x:t xml:space="preserve">NONE</x:t>
        </x:is>
      </x:c>
      <x:c r="I242" t="inlineStr">
        <x:is>
          <x:t xml:space="preserve"/>
        </x:is>
      </x:c>
      <x:c r="J242" t="inlineStr">
        <x:is>
          <x:t xml:space="preserve">SUCCESS</x:t>
        </x:is>
      </x:c>
      <x:c r="K242" t="n">
        <x:f>IF((COUNT('Quantification_Results'!E242)=1),IFERROR(ROUND((SUM(('Quantification_Results'!E242*'Quantification_Config'!$R$6))/SUM('Quantification_Config'!$R$6)),'Quantification_Config'!$U$2),""),"")</x:f>
        <x:v>50</x:v>
      </x:c>
      <x:c r="L242" t="n">
        <x:f>IF((COUNT('Quantification_Results'!K242)=1),IFERROR(ROUND((SUM(('Quantification_Results'!K242*'Quantification_Config'!$R$5))/SUM('Quantification_Config'!$R$5)),'Quantification_Config'!$U$2),""),"")</x:f>
        <x:v>50</x:v>
      </x:c>
      <x:c r="M242" t="n">
        <x:v>1</x:v>
      </x:c>
      <x:c r="N242" t="n">
        <x:v>5</x:v>
      </x:c>
      <x:c r="O242"/>
      <x:c r="P242" t="n">
        <x:f>IF(('Quantification_Results'!M242&lt;&gt;1),"",IF(('Quantification_Results'!O242=""),IF(ISNUMBER('Quantification_Results'!N242),IF(('Quantification_Results'!N242&lt;'Quantification_Config'!$S$9),"",IF(('Quantification_Results'!N242&gt;'Quantification_Config'!$T$9),"",'Quantification_Results'!N242)),""),IF(ISNUMBER('Quantification_Results'!O242),IF(('Quantification_Results'!O242&lt;'Quantification_Config'!$S$9),"",IF(('Quantification_Results'!O242&gt;'Quantification_Config'!$T$9),"",'Quantification_Results'!O242)),"")))</x:f>
        <x:v>5</x:v>
      </x:c>
      <x:c r="Q242" t="n">
        <x:f>IF(ISNUMBER('Quantification_Results'!P242),IFERROR(ROUND(((('Quantification_Results'!P242-'Quantification_Config'!$S$9)/('Quantification_Config'!$T$9-'Quantification_Config'!$S$9))*100),'Quantification_Config'!$U$2),""),"")</x:f>
        <x:v>50</x:v>
      </x:c>
      <x:c r="R242" t="inlineStr">
        <x:is>
          <x:t xml:space="preserve">SYSTEM-TEST-ONLY-NO-NETWORK-NOT-AN-EDUCATIONAL-EVALUATION</x:t>
        </x:is>
      </x:c>
      <x:c r="S242" t="inlineStr">
        <x:is>
          <x:t xml:space="preserve"/>
        </x:is>
      </x:c>
      <x:c r="T242" t="inlineStr">
        <x:is>
          <x:t xml:space="preserve">NONE</x:t>
        </x:is>
      </x:c>
      <x:c r="U242" t="inlineStr">
        <x:is>
          <x:t xml:space="preserve"/>
        </x:is>
      </x:c>
      <x:c r="V242" t="inlineStr">
        <x:is>
          <x:t xml:space="preserve">SUCCESS</x:t>
        </x:is>
      </x:c>
      <x:c r="W242" t="n">
        <x:f>IF((COUNT('Quantification_Results'!Q242)=1),IFERROR(ROUND((SUM(('Quantification_Results'!Q242*'Quantification_Config'!$R$9))/SUM('Quantification_Config'!$R$9)),'Quantification_Config'!$U$2),""),"")</x:f>
        <x:v>50</x:v>
      </x:c>
      <x:c r="X242" t="n">
        <x:f>IF((COUNT('Quantification_Results'!W242)=1),IFERROR(ROUND((SUM(('Quantification_Results'!W242*'Quantification_Config'!$R$8))/SUM('Quantification_Config'!$R$8)),'Quantification_Config'!$U$2),""),"")</x:f>
        <x:v>50</x:v>
      </x:c>
      <x:c r="Y242" t="n">
        <x:v>0</x:v>
      </x:c>
      <x:c r="Z242"/>
      <x:c r="AA242"/>
      <x:c r="AB242">
        <x:f>IF(('Quantification_Results'!Y242&lt;&gt;1),"",IF(('Quantification_Results'!AA242=""),IF(ISNUMBER('Quantification_Results'!Z242),IF(('Quantification_Results'!Z242&lt;'Quantification_Config'!$S$12),"",IF(('Quantification_Results'!Z242&gt;'Quantification_Config'!$T$12),"",'Quantification_Results'!Z242)),""),IF(ISNUMBER('Quantification_Results'!AA242),IF(('Quantification_Results'!AA242&lt;'Quantification_Config'!$S$12),"",IF(('Quantification_Results'!AA242&gt;'Quantification_Config'!$T$12),"",'Quantification_Results'!AA242)),"")))</x:f>
      </x:c>
      <x:c r="AC242">
        <x:f>IF(ISNUMBER('Quantification_Results'!AB242),IFERROR(ROUND(((('Quantification_Results'!AB242-'Quantification_Config'!$S$12)/('Quantification_Config'!$T$12-'Quantification_Config'!$S$12))*100),'Quantification_Config'!$U$2),""),"")</x:f>
      </x:c>
      <x:c r="AD242" t="inlineStr">
        <x:is>
          <x:t xml:space="preserve"/>
        </x:is>
      </x:c>
      <x:c r="AE242" t="inlineStr">
        <x:is>
          <x:t xml:space="preserve"/>
        </x:is>
      </x:c>
      <x:c r="AF242" t="inlineStr">
        <x:is>
          <x:t xml:space="preserve"/>
        </x:is>
      </x:c>
      <x:c r="AG242" t="inlineStr">
        <x:is>
          <x:t xml:space="preserve"/>
        </x:is>
      </x:c>
      <x:c r="AH242" t="inlineStr">
        <x:is>
          <x:t xml:space="preserve">EMPTY</x:t>
        </x:is>
      </x:c>
      <x:c r="AI242">
        <x:f>IF((COUNT('Quantification_Results'!AC242)=1),IFERROR(ROUND((SUM(('Quantification_Results'!AC242*'Quantification_Config'!$R$12))/SUM('Quantification_Config'!$R$12)),'Quantification_Config'!$U$2),""),"")</x:f>
      </x:c>
      <x:c r="AJ242">
        <x:f>IF((COUNT('Quantification_Results'!AI242)=1),IFERROR(ROUND((SUM(('Quantification_Results'!AI242*'Quantification_Config'!$R$11))/SUM('Quantification_Config'!$R$11)),'Quantification_Config'!$U$2),""),"")</x:f>
      </x:c>
      <x:c r="AK242" t="n">
        <x:v>1</x:v>
      </x:c>
      <x:c r="AL242" t="n">
        <x:v>5</x:v>
      </x:c>
      <x:c r="AM242"/>
      <x:c r="AN242" t="n">
        <x:f>IF(('Quantification_Results'!AK242&lt;&gt;1),"",IF(('Quantification_Results'!AM242=""),IF(ISNUMBER('Quantification_Results'!AL242),IF(('Quantification_Results'!AL242&lt;'Quantification_Config'!$S$15),"",IF(('Quantification_Results'!AL242&gt;'Quantification_Config'!$T$15),"",'Quantification_Results'!AL242)),""),IF(ISNUMBER('Quantification_Results'!AM242),IF(('Quantification_Results'!AM242&lt;'Quantification_Config'!$S$15),"",IF(('Quantification_Results'!AM242&gt;'Quantification_Config'!$T$15),"",'Quantification_Results'!AM242)),"")))</x:f>
        <x:v>5</x:v>
      </x:c>
      <x:c r="AO242" t="n">
        <x:f>IF(ISNUMBER('Quantification_Results'!AN242),IFERROR(ROUND(((('Quantification_Results'!AN242-'Quantification_Config'!$S$15)/('Quantification_Config'!$T$15-'Quantification_Config'!$S$15))*100),'Quantification_Config'!$U$2),""),"")</x:f>
        <x:v>50</x:v>
      </x:c>
      <x:c r="AP242" t="inlineStr">
        <x:is>
          <x:t xml:space="preserve">SYSTEM-TEST-ONLY-NO-NETWORK-NOT-AN-EDUCATIONAL-EVALUATION</x:t>
        </x:is>
      </x:c>
      <x:c r="AQ242" t="inlineStr">
        <x:is>
          <x:t xml:space="preserve"/>
        </x:is>
      </x:c>
      <x:c r="AR242" t="inlineStr">
        <x:is>
          <x:t xml:space="preserve">NONE</x:t>
        </x:is>
      </x:c>
      <x:c r="AS242" t="inlineStr">
        <x:is>
          <x:t xml:space="preserve"/>
        </x:is>
      </x:c>
      <x:c r="AT242" t="inlineStr">
        <x:is>
          <x:t xml:space="preserve">SUCCESS</x:t>
        </x:is>
      </x:c>
      <x:c r="AU242" t="n">
        <x:f>IF((COUNT('Quantification_Results'!AO242)=1),IFERROR(ROUND((SUM(('Quantification_Results'!AO242*'Quantification_Config'!$R$15))/SUM('Quantification_Config'!$R$15)),'Quantification_Config'!$U$2),""),"")</x:f>
        <x:v>50</x:v>
      </x:c>
      <x:c r="AV242" t="n">
        <x:f>IF((COUNT('Quantification_Results'!AU242)=1),IFERROR(ROUND((SUM(('Quantification_Results'!AU242*'Quantification_Config'!$R$14))/SUM('Quantification_Config'!$R$14)),'Quantification_Config'!$U$2),""),"")</x:f>
        <x:v>50</x:v>
      </x:c>
      <x:c r="AW242" t="n">
        <x:v>1</x:v>
      </x:c>
      <x:c r="AX242" t="n">
        <x:v>5</x:v>
      </x:c>
      <x:c r="AY242"/>
      <x:c r="AZ242" t="n">
        <x:f>IF(('Quantification_Results'!AW242&lt;&gt;1),"",IF(('Quantification_Results'!AY242=""),IF(ISNUMBER('Quantification_Results'!AX242),IF(('Quantification_Results'!AX242&lt;'Quantification_Config'!$S$19),"",IF(('Quantification_Results'!AX242&gt;'Quantification_Config'!$T$19),"",'Quantification_Results'!AX242)),""),IF(ISNUMBER('Quantification_Results'!AY242),IF(('Quantification_Results'!AY242&lt;'Quantification_Config'!$S$19),"",IF(('Quantification_Results'!AY242&gt;'Quantification_Config'!$T$19),"",'Quantification_Results'!AY242)),"")))</x:f>
        <x:v>5</x:v>
      </x:c>
      <x:c r="BA242" t="n">
        <x:f>IF(ISNUMBER('Quantification_Results'!AZ242),IFERROR(ROUND(((('Quantification_Results'!AZ242-'Quantification_Config'!$S$19)/('Quantification_Config'!$T$19-'Quantification_Config'!$S$19))*100),'Quantification_Config'!$U$2),""),"")</x:f>
        <x:v>50</x:v>
      </x:c>
      <x:c r="BB242" t="inlineStr">
        <x:is>
          <x:t xml:space="preserve">SYSTEM-TEST-ONLY-NO-NETWORK-NOT-AN-EDUCATIONAL-EVALUATION</x:t>
        </x:is>
      </x:c>
      <x:c r="BC242" t="inlineStr">
        <x:is>
          <x:t xml:space="preserve"/>
        </x:is>
      </x:c>
      <x:c r="BD242" t="inlineStr">
        <x:is>
          <x:t xml:space="preserve">NONE</x:t>
        </x:is>
      </x:c>
      <x:c r="BE242" t="inlineStr">
        <x:is>
          <x:t xml:space="preserve"/>
        </x:is>
      </x:c>
      <x:c r="BF242" t="inlineStr">
        <x:is>
          <x:t xml:space="preserve">SUCCESS</x:t>
        </x:is>
      </x:c>
      <x:c r="BG242" t="n">
        <x:f>IF((COUNT('Quantification_Results'!BA242)=1),IFERROR(ROUND((SUM(('Quantification_Results'!BA242*'Quantification_Config'!$R$19))/SUM('Quantification_Config'!$R$19)),'Quantification_Config'!$U$2),""),"")</x:f>
        <x:v>50</x:v>
      </x:c>
      <x:c r="BH242" t="n">
        <x:f>IF((COUNT('Quantification_Results'!BG242)=1),IFERROR(ROUND((SUM(('Quantification_Results'!BG242*'Quantification_Config'!$R$18))/SUM('Quantification_Config'!$R$18)),'Quantification_Config'!$U$2),""),"")</x:f>
        <x:v>50</x:v>
      </x:c>
      <x:c r="BI242">
        <x:f>IF((COUNT('Quantification_Results'!L242,'Quantification_Results'!X242,'Quantification_Results'!AJ242,'Quantification_Results'!AV242,'Quantification_Results'!BH242)=5),IFERROR(ROUND((SUM(('Quantification_Results'!L242*'Quantification_Config'!$R$4),('Quantification_Results'!X242*'Quantification_Config'!$R$7),('Quantification_Results'!AJ242*'Quantification_Config'!$R$10),('Quantification_Results'!AV242*'Quantification_Config'!$R$13),('Quantification_Results'!BH242*'Quantification_Config'!$R$16))/SUM('Quantification_Config'!$R$4,'Quantification_Config'!$R$7,'Quantification_Config'!$R$10,'Quantification_Config'!$R$13,'Quantification_Config'!$R$16)),'Quantification_Config'!$U$2),""),"")</x:f>
      </x:c>
    </x:row>
    <x:row r="243">
      <x:c r="A243" t="n">
        <x:v>1</x:v>
      </x:c>
      <x:c r="B243" t="n">
        <x:v>5</x:v>
      </x:c>
      <x:c r="C243"/>
      <x:c r="D243" t="n">
        <x:f>IF(('Quantification_Results'!A243&lt;&gt;1),"",IF(('Quantification_Results'!C243=""),IF(ISNUMBER('Quantification_Results'!B243),IF(('Quantification_Results'!B243&lt;'Quantification_Config'!$S$6),"",IF(('Quantification_Results'!B243&gt;'Quantification_Config'!$T$6),"",'Quantification_Results'!B243)),""),IF(ISNUMBER('Quantification_Results'!C243),IF(('Quantification_Results'!C243&lt;'Quantification_Config'!$S$6),"",IF(('Quantification_Results'!C243&gt;'Quantification_Config'!$T$6),"",'Quantification_Results'!C243)),"")))</x:f>
        <x:v>5</x:v>
      </x:c>
      <x:c r="E243" t="n">
        <x:f>IF(ISNUMBER('Quantification_Results'!D243),IFERROR(ROUND(((('Quantification_Results'!D243-'Quantification_Config'!$S$6)/('Quantification_Config'!$T$6-'Quantification_Config'!$S$6))*100),'Quantification_Config'!$U$2),""),"")</x:f>
        <x:v>50</x:v>
      </x:c>
      <x:c r="F243" t="inlineStr">
        <x:is>
          <x:t xml:space="preserve">SYSTEM-TEST-ONLY-NO-NETWORK-NOT-AN-EDUCATIONAL-EVALUATION</x:t>
        </x:is>
      </x:c>
      <x:c r="G243" t="inlineStr">
        <x:is>
          <x:t xml:space="preserve"/>
        </x:is>
      </x:c>
      <x:c r="H243" t="inlineStr">
        <x:is>
          <x:t xml:space="preserve">NONE</x:t>
        </x:is>
      </x:c>
      <x:c r="I243" t="inlineStr">
        <x:is>
          <x:t xml:space="preserve"/>
        </x:is>
      </x:c>
      <x:c r="J243" t="inlineStr">
        <x:is>
          <x:t xml:space="preserve">SUCCESS</x:t>
        </x:is>
      </x:c>
      <x:c r="K243" t="n">
        <x:f>IF((COUNT('Quantification_Results'!E243)=1),IFERROR(ROUND((SUM(('Quantification_Results'!E243*'Quantification_Config'!$R$6))/SUM('Quantification_Config'!$R$6)),'Quantification_Config'!$U$2),""),"")</x:f>
        <x:v>50</x:v>
      </x:c>
      <x:c r="L243" t="n">
        <x:f>IF((COUNT('Quantification_Results'!K243)=1),IFERROR(ROUND((SUM(('Quantification_Results'!K243*'Quantification_Config'!$R$5))/SUM('Quantification_Config'!$R$5)),'Quantification_Config'!$U$2),""),"")</x:f>
        <x:v>50</x:v>
      </x:c>
      <x:c r="M243" t="n">
        <x:v>1</x:v>
      </x:c>
      <x:c r="N243" t="n">
        <x:v>5</x:v>
      </x:c>
      <x:c r="O243"/>
      <x:c r="P243" t="n">
        <x:f>IF(('Quantification_Results'!M243&lt;&gt;1),"",IF(('Quantification_Results'!O243=""),IF(ISNUMBER('Quantification_Results'!N243),IF(('Quantification_Results'!N243&lt;'Quantification_Config'!$S$9),"",IF(('Quantification_Results'!N243&gt;'Quantification_Config'!$T$9),"",'Quantification_Results'!N243)),""),IF(ISNUMBER('Quantification_Results'!O243),IF(('Quantification_Results'!O243&lt;'Quantification_Config'!$S$9),"",IF(('Quantification_Results'!O243&gt;'Quantification_Config'!$T$9),"",'Quantification_Results'!O243)),"")))</x:f>
        <x:v>5</x:v>
      </x:c>
      <x:c r="Q243" t="n">
        <x:f>IF(ISNUMBER('Quantification_Results'!P243),IFERROR(ROUND(((('Quantification_Results'!P243-'Quantification_Config'!$S$9)/('Quantification_Config'!$T$9-'Quantification_Config'!$S$9))*100),'Quantification_Config'!$U$2),""),"")</x:f>
        <x:v>50</x:v>
      </x:c>
      <x:c r="R243" t="inlineStr">
        <x:is>
          <x:t xml:space="preserve">SYSTEM-TEST-ONLY-NO-NETWORK-NOT-AN-EDUCATIONAL-EVALUATION</x:t>
        </x:is>
      </x:c>
      <x:c r="S243" t="inlineStr">
        <x:is>
          <x:t xml:space="preserve"/>
        </x:is>
      </x:c>
      <x:c r="T243" t="inlineStr">
        <x:is>
          <x:t xml:space="preserve">NONE</x:t>
        </x:is>
      </x:c>
      <x:c r="U243" t="inlineStr">
        <x:is>
          <x:t xml:space="preserve"/>
        </x:is>
      </x:c>
      <x:c r="V243" t="inlineStr">
        <x:is>
          <x:t xml:space="preserve">SUCCESS</x:t>
        </x:is>
      </x:c>
      <x:c r="W243" t="n">
        <x:f>IF((COUNT('Quantification_Results'!Q243)=1),IFERROR(ROUND((SUM(('Quantification_Results'!Q243*'Quantification_Config'!$R$9))/SUM('Quantification_Config'!$R$9)),'Quantification_Config'!$U$2),""),"")</x:f>
        <x:v>50</x:v>
      </x:c>
      <x:c r="X243" t="n">
        <x:f>IF((COUNT('Quantification_Results'!W243)=1),IFERROR(ROUND((SUM(('Quantification_Results'!W243*'Quantification_Config'!$R$8))/SUM('Quantification_Config'!$R$8)),'Quantification_Config'!$U$2),""),"")</x:f>
        <x:v>50</x:v>
      </x:c>
      <x:c r="Y243" t="n">
        <x:v>0</x:v>
      </x:c>
      <x:c r="Z243"/>
      <x:c r="AA243"/>
      <x:c r="AB243">
        <x:f>IF(('Quantification_Results'!Y243&lt;&gt;1),"",IF(('Quantification_Results'!AA243=""),IF(ISNUMBER('Quantification_Results'!Z243),IF(('Quantification_Results'!Z243&lt;'Quantification_Config'!$S$12),"",IF(('Quantification_Results'!Z243&gt;'Quantification_Config'!$T$12),"",'Quantification_Results'!Z243)),""),IF(ISNUMBER('Quantification_Results'!AA243),IF(('Quantification_Results'!AA243&lt;'Quantification_Config'!$S$12),"",IF(('Quantification_Results'!AA243&gt;'Quantification_Config'!$T$12),"",'Quantification_Results'!AA243)),"")))</x:f>
      </x:c>
      <x:c r="AC243">
        <x:f>IF(ISNUMBER('Quantification_Results'!AB243),IFERROR(ROUND(((('Quantification_Results'!AB243-'Quantification_Config'!$S$12)/('Quantification_Config'!$T$12-'Quantification_Config'!$S$12))*100),'Quantification_Config'!$U$2),""),"")</x:f>
      </x:c>
      <x:c r="AD243" t="inlineStr">
        <x:is>
          <x:t xml:space="preserve"/>
        </x:is>
      </x:c>
      <x:c r="AE243" t="inlineStr">
        <x:is>
          <x:t xml:space="preserve"/>
        </x:is>
      </x:c>
      <x:c r="AF243" t="inlineStr">
        <x:is>
          <x:t xml:space="preserve"/>
        </x:is>
      </x:c>
      <x:c r="AG243" t="inlineStr">
        <x:is>
          <x:t xml:space="preserve"/>
        </x:is>
      </x:c>
      <x:c r="AH243" t="inlineStr">
        <x:is>
          <x:t xml:space="preserve">EMPTY</x:t>
        </x:is>
      </x:c>
      <x:c r="AI243">
        <x:f>IF((COUNT('Quantification_Results'!AC243)=1),IFERROR(ROUND((SUM(('Quantification_Results'!AC243*'Quantification_Config'!$R$12))/SUM('Quantification_Config'!$R$12)),'Quantification_Config'!$U$2),""),"")</x:f>
      </x:c>
      <x:c r="AJ243">
        <x:f>IF((COUNT('Quantification_Results'!AI243)=1),IFERROR(ROUND((SUM(('Quantification_Results'!AI243*'Quantification_Config'!$R$11))/SUM('Quantification_Config'!$R$11)),'Quantification_Config'!$U$2),""),"")</x:f>
      </x:c>
      <x:c r="AK243" t="n">
        <x:v>1</x:v>
      </x:c>
      <x:c r="AL243" t="n">
        <x:v>5</x:v>
      </x:c>
      <x:c r="AM243"/>
      <x:c r="AN243" t="n">
        <x:f>IF(('Quantification_Results'!AK243&lt;&gt;1),"",IF(('Quantification_Results'!AM243=""),IF(ISNUMBER('Quantification_Results'!AL243),IF(('Quantification_Results'!AL243&lt;'Quantification_Config'!$S$15),"",IF(('Quantification_Results'!AL243&gt;'Quantification_Config'!$T$15),"",'Quantification_Results'!AL243)),""),IF(ISNUMBER('Quantification_Results'!AM243),IF(('Quantification_Results'!AM243&lt;'Quantification_Config'!$S$15),"",IF(('Quantification_Results'!AM243&gt;'Quantification_Config'!$T$15),"",'Quantification_Results'!AM243)),"")))</x:f>
        <x:v>5</x:v>
      </x:c>
      <x:c r="AO243" t="n">
        <x:f>IF(ISNUMBER('Quantification_Results'!AN243),IFERROR(ROUND(((('Quantification_Results'!AN243-'Quantification_Config'!$S$15)/('Quantification_Config'!$T$15-'Quantification_Config'!$S$15))*100),'Quantification_Config'!$U$2),""),"")</x:f>
        <x:v>50</x:v>
      </x:c>
      <x:c r="AP243" t="inlineStr">
        <x:is>
          <x:t xml:space="preserve">SYSTEM-TEST-ONLY-NO-NETWORK-NOT-AN-EDUCATIONAL-EVALUATION</x:t>
        </x:is>
      </x:c>
      <x:c r="AQ243" t="inlineStr">
        <x:is>
          <x:t xml:space="preserve"/>
        </x:is>
      </x:c>
      <x:c r="AR243" t="inlineStr">
        <x:is>
          <x:t xml:space="preserve">NONE</x:t>
        </x:is>
      </x:c>
      <x:c r="AS243" t="inlineStr">
        <x:is>
          <x:t xml:space="preserve"/>
        </x:is>
      </x:c>
      <x:c r="AT243" t="inlineStr">
        <x:is>
          <x:t xml:space="preserve">SUCCESS</x:t>
        </x:is>
      </x:c>
      <x:c r="AU243" t="n">
        <x:f>IF((COUNT('Quantification_Results'!AO243)=1),IFERROR(ROUND((SUM(('Quantification_Results'!AO243*'Quantification_Config'!$R$15))/SUM('Quantification_Config'!$R$15)),'Quantification_Config'!$U$2),""),"")</x:f>
        <x:v>50</x:v>
      </x:c>
      <x:c r="AV243" t="n">
        <x:f>IF((COUNT('Quantification_Results'!AU243)=1),IFERROR(ROUND((SUM(('Quantification_Results'!AU243*'Quantification_Config'!$R$14))/SUM('Quantification_Config'!$R$14)),'Quantification_Config'!$U$2),""),"")</x:f>
        <x:v>50</x:v>
      </x:c>
      <x:c r="AW243" t="n">
        <x:v>0</x:v>
      </x:c>
      <x:c r="AX243"/>
      <x:c r="AY243"/>
      <x:c r="AZ243">
        <x:f>IF(('Quantification_Results'!AW243&lt;&gt;1),"",IF(('Quantification_Results'!AY243=""),IF(ISNUMBER('Quantification_Results'!AX243),IF(('Quantification_Results'!AX243&lt;'Quantification_Config'!$S$19),"",IF(('Quantification_Results'!AX243&gt;'Quantification_Config'!$T$19),"",'Quantification_Results'!AX243)),""),IF(ISNUMBER('Quantification_Results'!AY243),IF(('Quantification_Results'!AY243&lt;'Quantification_Config'!$S$19),"",IF(('Quantification_Results'!AY243&gt;'Quantification_Config'!$T$19),"",'Quantification_Results'!AY243)),"")))</x:f>
      </x:c>
      <x:c r="BA243">
        <x:f>IF(ISNUMBER('Quantification_Results'!AZ243),IFERROR(ROUND(((('Quantification_Results'!AZ243-'Quantification_Config'!$S$19)/('Quantification_Config'!$T$19-'Quantification_Config'!$S$19))*100),'Quantification_Config'!$U$2),""),"")</x:f>
      </x:c>
      <x:c r="BB243" t="inlineStr">
        <x:is>
          <x:t xml:space="preserve"/>
        </x:is>
      </x:c>
      <x:c r="BC243" t="inlineStr">
        <x:is>
          <x:t xml:space="preserve"/>
        </x:is>
      </x:c>
      <x:c r="BD243" t="inlineStr">
        <x:is>
          <x:t xml:space="preserve"/>
        </x:is>
      </x:c>
      <x:c r="BE243" t="inlineStr">
        <x:is>
          <x:t xml:space="preserve"/>
        </x:is>
      </x:c>
      <x:c r="BF243" t="inlineStr">
        <x:is>
          <x:t xml:space="preserve">EMPTY</x:t>
        </x:is>
      </x:c>
      <x:c r="BG243">
        <x:f>IF((COUNT('Quantification_Results'!BA243)=1),IFERROR(ROUND((SUM(('Quantification_Results'!BA243*'Quantification_Config'!$R$19))/SUM('Quantification_Config'!$R$19)),'Quantification_Config'!$U$2),""),"")</x:f>
      </x:c>
      <x:c r="BH243">
        <x:f>IF((COUNT('Quantification_Results'!BG243)=1),IFERROR(ROUND((SUM(('Quantification_Results'!BG243*'Quantification_Config'!$R$18))/SUM('Quantification_Config'!$R$18)),'Quantification_Config'!$U$2),""),"")</x:f>
      </x:c>
      <x:c r="BI243">
        <x:f>IF((COUNT('Quantification_Results'!L243,'Quantification_Results'!X243,'Quantification_Results'!AJ243,'Quantification_Results'!AV243,'Quantification_Results'!BH243)=5),IFERROR(ROUND((SUM(('Quantification_Results'!L243*'Quantification_Config'!$R$4),('Quantification_Results'!X243*'Quantification_Config'!$R$7),('Quantification_Results'!AJ243*'Quantification_Config'!$R$10),('Quantification_Results'!AV243*'Quantification_Config'!$R$13),('Quantification_Results'!BH243*'Quantification_Config'!$R$16))/SUM('Quantification_Config'!$R$4,'Quantification_Config'!$R$7,'Quantification_Config'!$R$10,'Quantification_Config'!$R$13,'Quantification_Config'!$R$16)),'Quantification_Config'!$U$2),""),"")</x:f>
      </x:c>
    </x:row>
    <x:row r="244">
      <x:c r="A244" t="n">
        <x:v>1</x:v>
      </x:c>
      <x:c r="B244" t="n">
        <x:v>5</x:v>
      </x:c>
      <x:c r="C244"/>
      <x:c r="D244" t="n">
        <x:f>IF(('Quantification_Results'!A244&lt;&gt;1),"",IF(('Quantification_Results'!C244=""),IF(ISNUMBER('Quantification_Results'!B244),IF(('Quantification_Results'!B244&lt;'Quantification_Config'!$S$6),"",IF(('Quantification_Results'!B244&gt;'Quantification_Config'!$T$6),"",'Quantification_Results'!B244)),""),IF(ISNUMBER('Quantification_Results'!C244),IF(('Quantification_Results'!C244&lt;'Quantification_Config'!$S$6),"",IF(('Quantification_Results'!C244&gt;'Quantification_Config'!$T$6),"",'Quantification_Results'!C244)),"")))</x:f>
        <x:v>5</x:v>
      </x:c>
      <x:c r="E244" t="n">
        <x:f>IF(ISNUMBER('Quantification_Results'!D244),IFERROR(ROUND(((('Quantification_Results'!D244-'Quantification_Config'!$S$6)/('Quantification_Config'!$T$6-'Quantification_Config'!$S$6))*100),'Quantification_Config'!$U$2),""),"")</x:f>
        <x:v>50</x:v>
      </x:c>
      <x:c r="F244" t="inlineStr">
        <x:is>
          <x:t xml:space="preserve">SYSTEM-TEST-ONLY-NO-NETWORK-NOT-AN-EDUCATIONAL-EVALUATION</x:t>
        </x:is>
      </x:c>
      <x:c r="G244" t="inlineStr">
        <x:is>
          <x:t xml:space="preserve"/>
        </x:is>
      </x:c>
      <x:c r="H244" t="inlineStr">
        <x:is>
          <x:t xml:space="preserve">NONE</x:t>
        </x:is>
      </x:c>
      <x:c r="I244" t="inlineStr">
        <x:is>
          <x:t xml:space="preserve"/>
        </x:is>
      </x:c>
      <x:c r="J244" t="inlineStr">
        <x:is>
          <x:t xml:space="preserve">SUCCESS</x:t>
        </x:is>
      </x:c>
      <x:c r="K244" t="n">
        <x:f>IF((COUNT('Quantification_Results'!E244)=1),IFERROR(ROUND((SUM(('Quantification_Results'!E244*'Quantification_Config'!$R$6))/SUM('Quantification_Config'!$R$6)),'Quantification_Config'!$U$2),""),"")</x:f>
        <x:v>50</x:v>
      </x:c>
      <x:c r="L244" t="n">
        <x:f>IF((COUNT('Quantification_Results'!K244)=1),IFERROR(ROUND((SUM(('Quantification_Results'!K244*'Quantification_Config'!$R$5))/SUM('Quantification_Config'!$R$5)),'Quantification_Config'!$U$2),""),"")</x:f>
        <x:v>50</x:v>
      </x:c>
      <x:c r="M244" t="n">
        <x:v>1</x:v>
      </x:c>
      <x:c r="N244" t="n">
        <x:v>5</x:v>
      </x:c>
      <x:c r="O244"/>
      <x:c r="P244" t="n">
        <x:f>IF(('Quantification_Results'!M244&lt;&gt;1),"",IF(('Quantification_Results'!O244=""),IF(ISNUMBER('Quantification_Results'!N244),IF(('Quantification_Results'!N244&lt;'Quantification_Config'!$S$9),"",IF(('Quantification_Results'!N244&gt;'Quantification_Config'!$T$9),"",'Quantification_Results'!N244)),""),IF(ISNUMBER('Quantification_Results'!O244),IF(('Quantification_Results'!O244&lt;'Quantification_Config'!$S$9),"",IF(('Quantification_Results'!O244&gt;'Quantification_Config'!$T$9),"",'Quantification_Results'!O244)),"")))</x:f>
        <x:v>5</x:v>
      </x:c>
      <x:c r="Q244" t="n">
        <x:f>IF(ISNUMBER('Quantification_Results'!P244),IFERROR(ROUND(((('Quantification_Results'!P244-'Quantification_Config'!$S$9)/('Quantification_Config'!$T$9-'Quantification_Config'!$S$9))*100),'Quantification_Config'!$U$2),""),"")</x:f>
        <x:v>50</x:v>
      </x:c>
      <x:c r="R244" t="inlineStr">
        <x:is>
          <x:t xml:space="preserve">SYSTEM-TEST-ONLY-NO-NETWORK-NOT-AN-EDUCATIONAL-EVALUATION</x:t>
        </x:is>
      </x:c>
      <x:c r="S244" t="inlineStr">
        <x:is>
          <x:t xml:space="preserve"/>
        </x:is>
      </x:c>
      <x:c r="T244" t="inlineStr">
        <x:is>
          <x:t xml:space="preserve">NONE</x:t>
        </x:is>
      </x:c>
      <x:c r="U244" t="inlineStr">
        <x:is>
          <x:t xml:space="preserve"/>
        </x:is>
      </x:c>
      <x:c r="V244" t="inlineStr">
        <x:is>
          <x:t xml:space="preserve">SUCCESS</x:t>
        </x:is>
      </x:c>
      <x:c r="W244" t="n">
        <x:f>IF((COUNT('Quantification_Results'!Q244)=1),IFERROR(ROUND((SUM(('Quantification_Results'!Q244*'Quantification_Config'!$R$9))/SUM('Quantification_Config'!$R$9)),'Quantification_Config'!$U$2),""),"")</x:f>
        <x:v>50</x:v>
      </x:c>
      <x:c r="X244" t="n">
        <x:f>IF((COUNT('Quantification_Results'!W244)=1),IFERROR(ROUND((SUM(('Quantification_Results'!W244*'Quantification_Config'!$R$8))/SUM('Quantification_Config'!$R$8)),'Quantification_Config'!$U$2),""),"")</x:f>
        <x:v>50</x:v>
      </x:c>
      <x:c r="Y244" t="n">
        <x:v>0</x:v>
      </x:c>
      <x:c r="Z244"/>
      <x:c r="AA244"/>
      <x:c r="AB244">
        <x:f>IF(('Quantification_Results'!Y244&lt;&gt;1),"",IF(('Quantification_Results'!AA244=""),IF(ISNUMBER('Quantification_Results'!Z244),IF(('Quantification_Results'!Z244&lt;'Quantification_Config'!$S$12),"",IF(('Quantification_Results'!Z244&gt;'Quantification_Config'!$T$12),"",'Quantification_Results'!Z244)),""),IF(ISNUMBER('Quantification_Results'!AA244),IF(('Quantification_Results'!AA244&lt;'Quantification_Config'!$S$12),"",IF(('Quantification_Results'!AA244&gt;'Quantification_Config'!$T$12),"",'Quantification_Results'!AA244)),"")))</x:f>
      </x:c>
      <x:c r="AC244">
        <x:f>IF(ISNUMBER('Quantification_Results'!AB244),IFERROR(ROUND(((('Quantification_Results'!AB244-'Quantification_Config'!$S$12)/('Quantification_Config'!$T$12-'Quantification_Config'!$S$12))*100),'Quantification_Config'!$U$2),""),"")</x:f>
      </x:c>
      <x:c r="AD244" t="inlineStr">
        <x:is>
          <x:t xml:space="preserve"/>
        </x:is>
      </x:c>
      <x:c r="AE244" t="inlineStr">
        <x:is>
          <x:t xml:space="preserve"/>
        </x:is>
      </x:c>
      <x:c r="AF244" t="inlineStr">
        <x:is>
          <x:t xml:space="preserve"/>
        </x:is>
      </x:c>
      <x:c r="AG244" t="inlineStr">
        <x:is>
          <x:t xml:space="preserve"/>
        </x:is>
      </x:c>
      <x:c r="AH244" t="inlineStr">
        <x:is>
          <x:t xml:space="preserve">EMPTY</x:t>
        </x:is>
      </x:c>
      <x:c r="AI244">
        <x:f>IF((COUNT('Quantification_Results'!AC244)=1),IFERROR(ROUND((SUM(('Quantification_Results'!AC244*'Quantification_Config'!$R$12))/SUM('Quantification_Config'!$R$12)),'Quantification_Config'!$U$2),""),"")</x:f>
      </x:c>
      <x:c r="AJ244">
        <x:f>IF((COUNT('Quantification_Results'!AI244)=1),IFERROR(ROUND((SUM(('Quantification_Results'!AI244*'Quantification_Config'!$R$11))/SUM('Quantification_Config'!$R$11)),'Quantification_Config'!$U$2),""),"")</x:f>
      </x:c>
      <x:c r="AK244" t="n">
        <x:v>1</x:v>
      </x:c>
      <x:c r="AL244" t="n">
        <x:v>5</x:v>
      </x:c>
      <x:c r="AM244"/>
      <x:c r="AN244" t="n">
        <x:f>IF(('Quantification_Results'!AK244&lt;&gt;1),"",IF(('Quantification_Results'!AM244=""),IF(ISNUMBER('Quantification_Results'!AL244),IF(('Quantification_Results'!AL244&lt;'Quantification_Config'!$S$15),"",IF(('Quantification_Results'!AL244&gt;'Quantification_Config'!$T$15),"",'Quantification_Results'!AL244)),""),IF(ISNUMBER('Quantification_Results'!AM244),IF(('Quantification_Results'!AM244&lt;'Quantification_Config'!$S$15),"",IF(('Quantification_Results'!AM244&gt;'Quantification_Config'!$T$15),"",'Quantification_Results'!AM244)),"")))</x:f>
        <x:v>5</x:v>
      </x:c>
      <x:c r="AO244" t="n">
        <x:f>IF(ISNUMBER('Quantification_Results'!AN244),IFERROR(ROUND(((('Quantification_Results'!AN244-'Quantification_Config'!$S$15)/('Quantification_Config'!$T$15-'Quantification_Config'!$S$15))*100),'Quantification_Config'!$U$2),""),"")</x:f>
        <x:v>50</x:v>
      </x:c>
      <x:c r="AP244" t="inlineStr">
        <x:is>
          <x:t xml:space="preserve">SYSTEM-TEST-ONLY-NO-NETWORK-NOT-AN-EDUCATIONAL-EVALUATION</x:t>
        </x:is>
      </x:c>
      <x:c r="AQ244" t="inlineStr">
        <x:is>
          <x:t xml:space="preserve"/>
        </x:is>
      </x:c>
      <x:c r="AR244" t="inlineStr">
        <x:is>
          <x:t xml:space="preserve">NONE</x:t>
        </x:is>
      </x:c>
      <x:c r="AS244" t="inlineStr">
        <x:is>
          <x:t xml:space="preserve"/>
        </x:is>
      </x:c>
      <x:c r="AT244" t="inlineStr">
        <x:is>
          <x:t xml:space="preserve">SUCCESS</x:t>
        </x:is>
      </x:c>
      <x:c r="AU244" t="n">
        <x:f>IF((COUNT('Quantification_Results'!AO244)=1),IFERROR(ROUND((SUM(('Quantification_Results'!AO244*'Quantification_Config'!$R$15))/SUM('Quantification_Config'!$R$15)),'Quantification_Config'!$U$2),""),"")</x:f>
        <x:v>50</x:v>
      </x:c>
      <x:c r="AV244" t="n">
        <x:f>IF((COUNT('Quantification_Results'!AU244)=1),IFERROR(ROUND((SUM(('Quantification_Results'!AU244*'Quantification_Config'!$R$14))/SUM('Quantification_Config'!$R$14)),'Quantification_Config'!$U$2),""),"")</x:f>
        <x:v>50</x:v>
      </x:c>
      <x:c r="AW244" t="n">
        <x:v>1</x:v>
      </x:c>
      <x:c r="AX244" t="n">
        <x:v>5</x:v>
      </x:c>
      <x:c r="AY244"/>
      <x:c r="AZ244" t="n">
        <x:f>IF(('Quantification_Results'!AW244&lt;&gt;1),"",IF(('Quantification_Results'!AY244=""),IF(ISNUMBER('Quantification_Results'!AX244),IF(('Quantification_Results'!AX244&lt;'Quantification_Config'!$S$19),"",IF(('Quantification_Results'!AX244&gt;'Quantification_Config'!$T$19),"",'Quantification_Results'!AX244)),""),IF(ISNUMBER('Quantification_Results'!AY244),IF(('Quantification_Results'!AY244&lt;'Quantification_Config'!$S$19),"",IF(('Quantification_Results'!AY244&gt;'Quantification_Config'!$T$19),"",'Quantification_Results'!AY244)),"")))</x:f>
        <x:v>5</x:v>
      </x:c>
      <x:c r="BA244" t="n">
        <x:f>IF(ISNUMBER('Quantification_Results'!AZ244),IFERROR(ROUND(((('Quantification_Results'!AZ244-'Quantification_Config'!$S$19)/('Quantification_Config'!$T$19-'Quantification_Config'!$S$19))*100),'Quantification_Config'!$U$2),""),"")</x:f>
        <x:v>50</x:v>
      </x:c>
      <x:c r="BB244" t="inlineStr">
        <x:is>
          <x:t xml:space="preserve">SYSTEM-TEST-ONLY-NO-NETWORK-NOT-AN-EDUCATIONAL-EVALUATION</x:t>
        </x:is>
      </x:c>
      <x:c r="BC244" t="inlineStr">
        <x:is>
          <x:t xml:space="preserve"/>
        </x:is>
      </x:c>
      <x:c r="BD244" t="inlineStr">
        <x:is>
          <x:t xml:space="preserve">NONE</x:t>
        </x:is>
      </x:c>
      <x:c r="BE244" t="inlineStr">
        <x:is>
          <x:t xml:space="preserve"/>
        </x:is>
      </x:c>
      <x:c r="BF244" t="inlineStr">
        <x:is>
          <x:t xml:space="preserve">SUCCESS</x:t>
        </x:is>
      </x:c>
      <x:c r="BG244" t="n">
        <x:f>IF((COUNT('Quantification_Results'!BA244)=1),IFERROR(ROUND((SUM(('Quantification_Results'!BA244*'Quantification_Config'!$R$19))/SUM('Quantification_Config'!$R$19)),'Quantification_Config'!$U$2),""),"")</x:f>
        <x:v>50</x:v>
      </x:c>
      <x:c r="BH244" t="n">
        <x:f>IF((COUNT('Quantification_Results'!BG244)=1),IFERROR(ROUND((SUM(('Quantification_Results'!BG244*'Quantification_Config'!$R$18))/SUM('Quantification_Config'!$R$18)),'Quantification_Config'!$U$2),""),"")</x:f>
        <x:v>50</x:v>
      </x:c>
      <x:c r="BI244">
        <x:f>IF((COUNT('Quantification_Results'!L244,'Quantification_Results'!X244,'Quantification_Results'!AJ244,'Quantification_Results'!AV244,'Quantification_Results'!BH244)=5),IFERROR(ROUND((SUM(('Quantification_Results'!L244*'Quantification_Config'!$R$4),('Quantification_Results'!X244*'Quantification_Config'!$R$7),('Quantification_Results'!AJ244*'Quantification_Config'!$R$10),('Quantification_Results'!AV244*'Quantification_Config'!$R$13),('Quantification_Results'!BH244*'Quantification_Config'!$R$16))/SUM('Quantification_Config'!$R$4,'Quantification_Config'!$R$7,'Quantification_Config'!$R$10,'Quantification_Config'!$R$13,'Quantification_Config'!$R$16)),'Quantification_Config'!$U$2),""),"")</x:f>
      </x:c>
    </x:row>
    <x:row r="245">
      <x:c r="A245" t="n">
        <x:v>1</x:v>
      </x:c>
      <x:c r="B245" t="n">
        <x:v>5</x:v>
      </x:c>
      <x:c r="C245"/>
      <x:c r="D245" t="n">
        <x:f>IF(('Quantification_Results'!A245&lt;&gt;1),"",IF(('Quantification_Results'!C245=""),IF(ISNUMBER('Quantification_Results'!B245),IF(('Quantification_Results'!B245&lt;'Quantification_Config'!$S$6),"",IF(('Quantification_Results'!B245&gt;'Quantification_Config'!$T$6),"",'Quantification_Results'!B245)),""),IF(ISNUMBER('Quantification_Results'!C245),IF(('Quantification_Results'!C245&lt;'Quantification_Config'!$S$6),"",IF(('Quantification_Results'!C245&gt;'Quantification_Config'!$T$6),"",'Quantification_Results'!C245)),"")))</x:f>
        <x:v>5</x:v>
      </x:c>
      <x:c r="E245" t="n">
        <x:f>IF(ISNUMBER('Quantification_Results'!D245),IFERROR(ROUND(((('Quantification_Results'!D245-'Quantification_Config'!$S$6)/('Quantification_Config'!$T$6-'Quantification_Config'!$S$6))*100),'Quantification_Config'!$U$2),""),"")</x:f>
        <x:v>50</x:v>
      </x:c>
      <x:c r="F245" t="inlineStr">
        <x:is>
          <x:t xml:space="preserve">SYSTEM-TEST-ONLY-NO-NETWORK-NOT-AN-EDUCATIONAL-EVALUATION</x:t>
        </x:is>
      </x:c>
      <x:c r="G245" t="inlineStr">
        <x:is>
          <x:t xml:space="preserve"/>
        </x:is>
      </x:c>
      <x:c r="H245" t="inlineStr">
        <x:is>
          <x:t xml:space="preserve">NONE</x:t>
        </x:is>
      </x:c>
      <x:c r="I245" t="inlineStr">
        <x:is>
          <x:t xml:space="preserve"/>
        </x:is>
      </x:c>
      <x:c r="J245" t="inlineStr">
        <x:is>
          <x:t xml:space="preserve">SUCCESS</x:t>
        </x:is>
      </x:c>
      <x:c r="K245" t="n">
        <x:f>IF((COUNT('Quantification_Results'!E245)=1),IFERROR(ROUND((SUM(('Quantification_Results'!E245*'Quantification_Config'!$R$6))/SUM('Quantification_Config'!$R$6)),'Quantification_Config'!$U$2),""),"")</x:f>
        <x:v>50</x:v>
      </x:c>
      <x:c r="L245" t="n">
        <x:f>IF((COUNT('Quantification_Results'!K245)=1),IFERROR(ROUND((SUM(('Quantification_Results'!K245*'Quantification_Config'!$R$5))/SUM('Quantification_Config'!$R$5)),'Quantification_Config'!$U$2),""),"")</x:f>
        <x:v>50</x:v>
      </x:c>
      <x:c r="M245" t="n">
        <x:v>1</x:v>
      </x:c>
      <x:c r="N245" t="n">
        <x:v>5</x:v>
      </x:c>
      <x:c r="O245"/>
      <x:c r="P245" t="n">
        <x:f>IF(('Quantification_Results'!M245&lt;&gt;1),"",IF(('Quantification_Results'!O245=""),IF(ISNUMBER('Quantification_Results'!N245),IF(('Quantification_Results'!N245&lt;'Quantification_Config'!$S$9),"",IF(('Quantification_Results'!N245&gt;'Quantification_Config'!$T$9),"",'Quantification_Results'!N245)),""),IF(ISNUMBER('Quantification_Results'!O245),IF(('Quantification_Results'!O245&lt;'Quantification_Config'!$S$9),"",IF(('Quantification_Results'!O245&gt;'Quantification_Config'!$T$9),"",'Quantification_Results'!O245)),"")))</x:f>
        <x:v>5</x:v>
      </x:c>
      <x:c r="Q245" t="n">
        <x:f>IF(ISNUMBER('Quantification_Results'!P245),IFERROR(ROUND(((('Quantification_Results'!P245-'Quantification_Config'!$S$9)/('Quantification_Config'!$T$9-'Quantification_Config'!$S$9))*100),'Quantification_Config'!$U$2),""),"")</x:f>
        <x:v>50</x:v>
      </x:c>
      <x:c r="R245" t="inlineStr">
        <x:is>
          <x:t xml:space="preserve">SYSTEM-TEST-ONLY-NO-NETWORK-NOT-AN-EDUCATIONAL-EVALUATION</x:t>
        </x:is>
      </x:c>
      <x:c r="S245" t="inlineStr">
        <x:is>
          <x:t xml:space="preserve"/>
        </x:is>
      </x:c>
      <x:c r="T245" t="inlineStr">
        <x:is>
          <x:t xml:space="preserve">NONE</x:t>
        </x:is>
      </x:c>
      <x:c r="U245" t="inlineStr">
        <x:is>
          <x:t xml:space="preserve"/>
        </x:is>
      </x:c>
      <x:c r="V245" t="inlineStr">
        <x:is>
          <x:t xml:space="preserve">SUCCESS</x:t>
        </x:is>
      </x:c>
      <x:c r="W245" t="n">
        <x:f>IF((COUNT('Quantification_Results'!Q245)=1),IFERROR(ROUND((SUM(('Quantification_Results'!Q245*'Quantification_Config'!$R$9))/SUM('Quantification_Config'!$R$9)),'Quantification_Config'!$U$2),""),"")</x:f>
        <x:v>50</x:v>
      </x:c>
      <x:c r="X245" t="n">
        <x:f>IF((COUNT('Quantification_Results'!W245)=1),IFERROR(ROUND((SUM(('Quantification_Results'!W245*'Quantification_Config'!$R$8))/SUM('Quantification_Config'!$R$8)),'Quantification_Config'!$U$2),""),"")</x:f>
        <x:v>50</x:v>
      </x:c>
      <x:c r="Y245" t="n">
        <x:v>0</x:v>
      </x:c>
      <x:c r="Z245"/>
      <x:c r="AA245"/>
      <x:c r="AB245">
        <x:f>IF(('Quantification_Results'!Y245&lt;&gt;1),"",IF(('Quantification_Results'!AA245=""),IF(ISNUMBER('Quantification_Results'!Z245),IF(('Quantification_Results'!Z245&lt;'Quantification_Config'!$S$12),"",IF(('Quantification_Results'!Z245&gt;'Quantification_Config'!$T$12),"",'Quantification_Results'!Z245)),""),IF(ISNUMBER('Quantification_Results'!AA245),IF(('Quantification_Results'!AA245&lt;'Quantification_Config'!$S$12),"",IF(('Quantification_Results'!AA245&gt;'Quantification_Config'!$T$12),"",'Quantification_Results'!AA245)),"")))</x:f>
      </x:c>
      <x:c r="AC245">
        <x:f>IF(ISNUMBER('Quantification_Results'!AB245),IFERROR(ROUND(((('Quantification_Results'!AB245-'Quantification_Config'!$S$12)/('Quantification_Config'!$T$12-'Quantification_Config'!$S$12))*100),'Quantification_Config'!$U$2),""),"")</x:f>
      </x:c>
      <x:c r="AD245" t="inlineStr">
        <x:is>
          <x:t xml:space="preserve"/>
        </x:is>
      </x:c>
      <x:c r="AE245" t="inlineStr">
        <x:is>
          <x:t xml:space="preserve"/>
        </x:is>
      </x:c>
      <x:c r="AF245" t="inlineStr">
        <x:is>
          <x:t xml:space="preserve"/>
        </x:is>
      </x:c>
      <x:c r="AG245" t="inlineStr">
        <x:is>
          <x:t xml:space="preserve"/>
        </x:is>
      </x:c>
      <x:c r="AH245" t="inlineStr">
        <x:is>
          <x:t xml:space="preserve">EMPTY</x:t>
        </x:is>
      </x:c>
      <x:c r="AI245">
        <x:f>IF((COUNT('Quantification_Results'!AC245)=1),IFERROR(ROUND((SUM(('Quantification_Results'!AC245*'Quantification_Config'!$R$12))/SUM('Quantification_Config'!$R$12)),'Quantification_Config'!$U$2),""),"")</x:f>
      </x:c>
      <x:c r="AJ245">
        <x:f>IF((COUNT('Quantification_Results'!AI245)=1),IFERROR(ROUND((SUM(('Quantification_Results'!AI245*'Quantification_Config'!$R$11))/SUM('Quantification_Config'!$R$11)),'Quantification_Config'!$U$2),""),"")</x:f>
      </x:c>
      <x:c r="AK245" t="n">
        <x:v>1</x:v>
      </x:c>
      <x:c r="AL245" t="n">
        <x:v>5</x:v>
      </x:c>
      <x:c r="AM245"/>
      <x:c r="AN245" t="n">
        <x:f>IF(('Quantification_Results'!AK245&lt;&gt;1),"",IF(('Quantification_Results'!AM245=""),IF(ISNUMBER('Quantification_Results'!AL245),IF(('Quantification_Results'!AL245&lt;'Quantification_Config'!$S$15),"",IF(('Quantification_Results'!AL245&gt;'Quantification_Config'!$T$15),"",'Quantification_Results'!AL245)),""),IF(ISNUMBER('Quantification_Results'!AM245),IF(('Quantification_Results'!AM245&lt;'Quantification_Config'!$S$15),"",IF(('Quantification_Results'!AM245&gt;'Quantification_Config'!$T$15),"",'Quantification_Results'!AM245)),"")))</x:f>
        <x:v>5</x:v>
      </x:c>
      <x:c r="AO245" t="n">
        <x:f>IF(ISNUMBER('Quantification_Results'!AN245),IFERROR(ROUND(((('Quantification_Results'!AN245-'Quantification_Config'!$S$15)/('Quantification_Config'!$T$15-'Quantification_Config'!$S$15))*100),'Quantification_Config'!$U$2),""),"")</x:f>
        <x:v>50</x:v>
      </x:c>
      <x:c r="AP245" t="inlineStr">
        <x:is>
          <x:t xml:space="preserve">SYSTEM-TEST-ONLY-NO-NETWORK-NOT-AN-EDUCATIONAL-EVALUATION</x:t>
        </x:is>
      </x:c>
      <x:c r="AQ245" t="inlineStr">
        <x:is>
          <x:t xml:space="preserve"/>
        </x:is>
      </x:c>
      <x:c r="AR245" t="inlineStr">
        <x:is>
          <x:t xml:space="preserve">NONE</x:t>
        </x:is>
      </x:c>
      <x:c r="AS245" t="inlineStr">
        <x:is>
          <x:t xml:space="preserve"/>
        </x:is>
      </x:c>
      <x:c r="AT245" t="inlineStr">
        <x:is>
          <x:t xml:space="preserve">SUCCESS</x:t>
        </x:is>
      </x:c>
      <x:c r="AU245" t="n">
        <x:f>IF((COUNT('Quantification_Results'!AO245)=1),IFERROR(ROUND((SUM(('Quantification_Results'!AO245*'Quantification_Config'!$R$15))/SUM('Quantification_Config'!$R$15)),'Quantification_Config'!$U$2),""),"")</x:f>
        <x:v>50</x:v>
      </x:c>
      <x:c r="AV245" t="n">
        <x:f>IF((COUNT('Quantification_Results'!AU245)=1),IFERROR(ROUND((SUM(('Quantification_Results'!AU245*'Quantification_Config'!$R$14))/SUM('Quantification_Config'!$R$14)),'Quantification_Config'!$U$2),""),"")</x:f>
        <x:v>50</x:v>
      </x:c>
      <x:c r="AW245" t="n">
        <x:v>1</x:v>
      </x:c>
      <x:c r="AX245" t="n">
        <x:v>5</x:v>
      </x:c>
      <x:c r="AY245"/>
      <x:c r="AZ245" t="n">
        <x:f>IF(('Quantification_Results'!AW245&lt;&gt;1),"",IF(('Quantification_Results'!AY245=""),IF(ISNUMBER('Quantification_Results'!AX245),IF(('Quantification_Results'!AX245&lt;'Quantification_Config'!$S$19),"",IF(('Quantification_Results'!AX245&gt;'Quantification_Config'!$T$19),"",'Quantification_Results'!AX245)),""),IF(ISNUMBER('Quantification_Results'!AY245),IF(('Quantification_Results'!AY245&lt;'Quantification_Config'!$S$19),"",IF(('Quantification_Results'!AY245&gt;'Quantification_Config'!$T$19),"",'Quantification_Results'!AY245)),"")))</x:f>
        <x:v>5</x:v>
      </x:c>
      <x:c r="BA245" t="n">
        <x:f>IF(ISNUMBER('Quantification_Results'!AZ245),IFERROR(ROUND(((('Quantification_Results'!AZ245-'Quantification_Config'!$S$19)/('Quantification_Config'!$T$19-'Quantification_Config'!$S$19))*100),'Quantification_Config'!$U$2),""),"")</x:f>
        <x:v>50</x:v>
      </x:c>
      <x:c r="BB245" t="inlineStr">
        <x:is>
          <x:t xml:space="preserve">SYSTEM-TEST-ONLY-NO-NETWORK-NOT-AN-EDUCATIONAL-EVALUATION</x:t>
        </x:is>
      </x:c>
      <x:c r="BC245" t="inlineStr">
        <x:is>
          <x:t xml:space="preserve"/>
        </x:is>
      </x:c>
      <x:c r="BD245" t="inlineStr">
        <x:is>
          <x:t xml:space="preserve">NONE</x:t>
        </x:is>
      </x:c>
      <x:c r="BE245" t="inlineStr">
        <x:is>
          <x:t xml:space="preserve"/>
        </x:is>
      </x:c>
      <x:c r="BF245" t="inlineStr">
        <x:is>
          <x:t xml:space="preserve">SUCCESS</x:t>
        </x:is>
      </x:c>
      <x:c r="BG245" t="n">
        <x:f>IF((COUNT('Quantification_Results'!BA245)=1),IFERROR(ROUND((SUM(('Quantification_Results'!BA245*'Quantification_Config'!$R$19))/SUM('Quantification_Config'!$R$19)),'Quantification_Config'!$U$2),""),"")</x:f>
        <x:v>50</x:v>
      </x:c>
      <x:c r="BH245" t="n">
        <x:f>IF((COUNT('Quantification_Results'!BG245)=1),IFERROR(ROUND((SUM(('Quantification_Results'!BG245*'Quantification_Config'!$R$18))/SUM('Quantification_Config'!$R$18)),'Quantification_Config'!$U$2),""),"")</x:f>
        <x:v>50</x:v>
      </x:c>
      <x:c r="BI245">
        <x:f>IF((COUNT('Quantification_Results'!L245,'Quantification_Results'!X245,'Quantification_Results'!AJ245,'Quantification_Results'!AV245,'Quantification_Results'!BH245)=5),IFERROR(ROUND((SUM(('Quantification_Results'!L245*'Quantification_Config'!$R$4),('Quantification_Results'!X245*'Quantification_Config'!$R$7),('Quantification_Results'!AJ245*'Quantification_Config'!$R$10),('Quantification_Results'!AV245*'Quantification_Config'!$R$13),('Quantification_Results'!BH245*'Quantification_Config'!$R$16))/SUM('Quantification_Config'!$R$4,'Quantification_Config'!$R$7,'Quantification_Config'!$R$10,'Quantification_Config'!$R$13,'Quantification_Config'!$R$16)),'Quantification_Config'!$U$2),""),"")</x:f>
      </x:c>
    </x:row>
    <x:row r="246">
      <x:c r="A246" t="n">
        <x:v>1</x:v>
      </x:c>
      <x:c r="B246" t="n">
        <x:v>5</x:v>
      </x:c>
      <x:c r="C246"/>
      <x:c r="D246" t="n">
        <x:f>IF(('Quantification_Results'!A246&lt;&gt;1),"",IF(('Quantification_Results'!C246=""),IF(ISNUMBER('Quantification_Results'!B246),IF(('Quantification_Results'!B246&lt;'Quantification_Config'!$S$6),"",IF(('Quantification_Results'!B246&gt;'Quantification_Config'!$T$6),"",'Quantification_Results'!B246)),""),IF(ISNUMBER('Quantification_Results'!C246),IF(('Quantification_Results'!C246&lt;'Quantification_Config'!$S$6),"",IF(('Quantification_Results'!C246&gt;'Quantification_Config'!$T$6),"",'Quantification_Results'!C246)),"")))</x:f>
        <x:v>5</x:v>
      </x:c>
      <x:c r="E246" t="n">
        <x:f>IF(ISNUMBER('Quantification_Results'!D246),IFERROR(ROUND(((('Quantification_Results'!D246-'Quantification_Config'!$S$6)/('Quantification_Config'!$T$6-'Quantification_Config'!$S$6))*100),'Quantification_Config'!$U$2),""),"")</x:f>
        <x:v>50</x:v>
      </x:c>
      <x:c r="F246" t="inlineStr">
        <x:is>
          <x:t xml:space="preserve">SYSTEM-TEST-ONLY-NO-NETWORK-NOT-AN-EDUCATIONAL-EVALUATION</x:t>
        </x:is>
      </x:c>
      <x:c r="G246" t="inlineStr">
        <x:is>
          <x:t xml:space="preserve"/>
        </x:is>
      </x:c>
      <x:c r="H246" t="inlineStr">
        <x:is>
          <x:t xml:space="preserve">NONE</x:t>
        </x:is>
      </x:c>
      <x:c r="I246" t="inlineStr">
        <x:is>
          <x:t xml:space="preserve"/>
        </x:is>
      </x:c>
      <x:c r="J246" t="inlineStr">
        <x:is>
          <x:t xml:space="preserve">SUCCESS</x:t>
        </x:is>
      </x:c>
      <x:c r="K246" t="n">
        <x:f>IF((COUNT('Quantification_Results'!E246)=1),IFERROR(ROUND((SUM(('Quantification_Results'!E246*'Quantification_Config'!$R$6))/SUM('Quantification_Config'!$R$6)),'Quantification_Config'!$U$2),""),"")</x:f>
        <x:v>50</x:v>
      </x:c>
      <x:c r="L246" t="n">
        <x:f>IF((COUNT('Quantification_Results'!K246)=1),IFERROR(ROUND((SUM(('Quantification_Results'!K246*'Quantification_Config'!$R$5))/SUM('Quantification_Config'!$R$5)),'Quantification_Config'!$U$2),""),"")</x:f>
        <x:v>50</x:v>
      </x:c>
      <x:c r="M246" t="n">
        <x:v>1</x:v>
      </x:c>
      <x:c r="N246" t="n">
        <x:v>5</x:v>
      </x:c>
      <x:c r="O246"/>
      <x:c r="P246" t="n">
        <x:f>IF(('Quantification_Results'!M246&lt;&gt;1),"",IF(('Quantification_Results'!O246=""),IF(ISNUMBER('Quantification_Results'!N246),IF(('Quantification_Results'!N246&lt;'Quantification_Config'!$S$9),"",IF(('Quantification_Results'!N246&gt;'Quantification_Config'!$T$9),"",'Quantification_Results'!N246)),""),IF(ISNUMBER('Quantification_Results'!O246),IF(('Quantification_Results'!O246&lt;'Quantification_Config'!$S$9),"",IF(('Quantification_Results'!O246&gt;'Quantification_Config'!$T$9),"",'Quantification_Results'!O246)),"")))</x:f>
        <x:v>5</x:v>
      </x:c>
      <x:c r="Q246" t="n">
        <x:f>IF(ISNUMBER('Quantification_Results'!P246),IFERROR(ROUND(((('Quantification_Results'!P246-'Quantification_Config'!$S$9)/('Quantification_Config'!$T$9-'Quantification_Config'!$S$9))*100),'Quantification_Config'!$U$2),""),"")</x:f>
        <x:v>50</x:v>
      </x:c>
      <x:c r="R246" t="inlineStr">
        <x:is>
          <x:t xml:space="preserve">SYSTEM-TEST-ONLY-NO-NETWORK-NOT-AN-EDUCATIONAL-EVALUATION</x:t>
        </x:is>
      </x:c>
      <x:c r="S246" t="inlineStr">
        <x:is>
          <x:t xml:space="preserve"/>
        </x:is>
      </x:c>
      <x:c r="T246" t="inlineStr">
        <x:is>
          <x:t xml:space="preserve">NONE</x:t>
        </x:is>
      </x:c>
      <x:c r="U246" t="inlineStr">
        <x:is>
          <x:t xml:space="preserve"/>
        </x:is>
      </x:c>
      <x:c r="V246" t="inlineStr">
        <x:is>
          <x:t xml:space="preserve">SUCCESS</x:t>
        </x:is>
      </x:c>
      <x:c r="W246" t="n">
        <x:f>IF((COUNT('Quantification_Results'!Q246)=1),IFERROR(ROUND((SUM(('Quantification_Results'!Q246*'Quantification_Config'!$R$9))/SUM('Quantification_Config'!$R$9)),'Quantification_Config'!$U$2),""),"")</x:f>
        <x:v>50</x:v>
      </x:c>
      <x:c r="X246" t="n">
        <x:f>IF((COUNT('Quantification_Results'!W246)=1),IFERROR(ROUND((SUM(('Quantification_Results'!W246*'Quantification_Config'!$R$8))/SUM('Quantification_Config'!$R$8)),'Quantification_Config'!$U$2),""),"")</x:f>
        <x:v>50</x:v>
      </x:c>
      <x:c r="Y246" t="n">
        <x:v>0</x:v>
      </x:c>
      <x:c r="Z246"/>
      <x:c r="AA246"/>
      <x:c r="AB246">
        <x:f>IF(('Quantification_Results'!Y246&lt;&gt;1),"",IF(('Quantification_Results'!AA246=""),IF(ISNUMBER('Quantification_Results'!Z246),IF(('Quantification_Results'!Z246&lt;'Quantification_Config'!$S$12),"",IF(('Quantification_Results'!Z246&gt;'Quantification_Config'!$T$12),"",'Quantification_Results'!Z246)),""),IF(ISNUMBER('Quantification_Results'!AA246),IF(('Quantification_Results'!AA246&lt;'Quantification_Config'!$S$12),"",IF(('Quantification_Results'!AA246&gt;'Quantification_Config'!$T$12),"",'Quantification_Results'!AA246)),"")))</x:f>
      </x:c>
      <x:c r="AC246">
        <x:f>IF(ISNUMBER('Quantification_Results'!AB246),IFERROR(ROUND(((('Quantification_Results'!AB246-'Quantification_Config'!$S$12)/('Quantification_Config'!$T$12-'Quantification_Config'!$S$12))*100),'Quantification_Config'!$U$2),""),"")</x:f>
      </x:c>
      <x:c r="AD246" t="inlineStr">
        <x:is>
          <x:t xml:space="preserve"/>
        </x:is>
      </x:c>
      <x:c r="AE246" t="inlineStr">
        <x:is>
          <x:t xml:space="preserve"/>
        </x:is>
      </x:c>
      <x:c r="AF246" t="inlineStr">
        <x:is>
          <x:t xml:space="preserve"/>
        </x:is>
      </x:c>
      <x:c r="AG246" t="inlineStr">
        <x:is>
          <x:t xml:space="preserve"/>
        </x:is>
      </x:c>
      <x:c r="AH246" t="inlineStr">
        <x:is>
          <x:t xml:space="preserve">EMPTY</x:t>
        </x:is>
      </x:c>
      <x:c r="AI246">
        <x:f>IF((COUNT('Quantification_Results'!AC246)=1),IFERROR(ROUND((SUM(('Quantification_Results'!AC246*'Quantification_Config'!$R$12))/SUM('Quantification_Config'!$R$12)),'Quantification_Config'!$U$2),""),"")</x:f>
      </x:c>
      <x:c r="AJ246">
        <x:f>IF((COUNT('Quantification_Results'!AI246)=1),IFERROR(ROUND((SUM(('Quantification_Results'!AI246*'Quantification_Config'!$R$11))/SUM('Quantification_Config'!$R$11)),'Quantification_Config'!$U$2),""),"")</x:f>
      </x:c>
      <x:c r="AK246" t="n">
        <x:v>1</x:v>
      </x:c>
      <x:c r="AL246" t="n">
        <x:v>5</x:v>
      </x:c>
      <x:c r="AM246"/>
      <x:c r="AN246" t="n">
        <x:f>IF(('Quantification_Results'!AK246&lt;&gt;1),"",IF(('Quantification_Results'!AM246=""),IF(ISNUMBER('Quantification_Results'!AL246),IF(('Quantification_Results'!AL246&lt;'Quantification_Config'!$S$15),"",IF(('Quantification_Results'!AL246&gt;'Quantification_Config'!$T$15),"",'Quantification_Results'!AL246)),""),IF(ISNUMBER('Quantification_Results'!AM246),IF(('Quantification_Results'!AM246&lt;'Quantification_Config'!$S$15),"",IF(('Quantification_Results'!AM246&gt;'Quantification_Config'!$T$15),"",'Quantification_Results'!AM246)),"")))</x:f>
        <x:v>5</x:v>
      </x:c>
      <x:c r="AO246" t="n">
        <x:f>IF(ISNUMBER('Quantification_Results'!AN246),IFERROR(ROUND(((('Quantification_Results'!AN246-'Quantification_Config'!$S$15)/('Quantification_Config'!$T$15-'Quantification_Config'!$S$15))*100),'Quantification_Config'!$U$2),""),"")</x:f>
        <x:v>50</x:v>
      </x:c>
      <x:c r="AP246" t="inlineStr">
        <x:is>
          <x:t xml:space="preserve">SYSTEM-TEST-ONLY-NO-NETWORK-NOT-AN-EDUCATIONAL-EVALUATION</x:t>
        </x:is>
      </x:c>
      <x:c r="AQ246" t="inlineStr">
        <x:is>
          <x:t xml:space="preserve"/>
        </x:is>
      </x:c>
      <x:c r="AR246" t="inlineStr">
        <x:is>
          <x:t xml:space="preserve">NONE</x:t>
        </x:is>
      </x:c>
      <x:c r="AS246" t="inlineStr">
        <x:is>
          <x:t xml:space="preserve"/>
        </x:is>
      </x:c>
      <x:c r="AT246" t="inlineStr">
        <x:is>
          <x:t xml:space="preserve">SUCCESS</x:t>
        </x:is>
      </x:c>
      <x:c r="AU246" t="n">
        <x:f>IF((COUNT('Quantification_Results'!AO246)=1),IFERROR(ROUND((SUM(('Quantification_Results'!AO246*'Quantification_Config'!$R$15))/SUM('Quantification_Config'!$R$15)),'Quantification_Config'!$U$2),""),"")</x:f>
        <x:v>50</x:v>
      </x:c>
      <x:c r="AV246" t="n">
        <x:f>IF((COUNT('Quantification_Results'!AU246)=1),IFERROR(ROUND((SUM(('Quantification_Results'!AU246*'Quantification_Config'!$R$14))/SUM('Quantification_Config'!$R$14)),'Quantification_Config'!$U$2),""),"")</x:f>
        <x:v>50</x:v>
      </x:c>
      <x:c r="AW246" t="n">
        <x:v>1</x:v>
      </x:c>
      <x:c r="AX246" t="n">
        <x:v>5</x:v>
      </x:c>
      <x:c r="AY246"/>
      <x:c r="AZ246" t="n">
        <x:f>IF(('Quantification_Results'!AW246&lt;&gt;1),"",IF(('Quantification_Results'!AY246=""),IF(ISNUMBER('Quantification_Results'!AX246),IF(('Quantification_Results'!AX246&lt;'Quantification_Config'!$S$19),"",IF(('Quantification_Results'!AX246&gt;'Quantification_Config'!$T$19),"",'Quantification_Results'!AX246)),""),IF(ISNUMBER('Quantification_Results'!AY246),IF(('Quantification_Results'!AY246&lt;'Quantification_Config'!$S$19),"",IF(('Quantification_Results'!AY246&gt;'Quantification_Config'!$T$19),"",'Quantification_Results'!AY246)),"")))</x:f>
        <x:v>5</x:v>
      </x:c>
      <x:c r="BA246" t="n">
        <x:f>IF(ISNUMBER('Quantification_Results'!AZ246),IFERROR(ROUND(((('Quantification_Results'!AZ246-'Quantification_Config'!$S$19)/('Quantification_Config'!$T$19-'Quantification_Config'!$S$19))*100),'Quantification_Config'!$U$2),""),"")</x:f>
        <x:v>50</x:v>
      </x:c>
      <x:c r="BB246" t="inlineStr">
        <x:is>
          <x:t xml:space="preserve">SYSTEM-TEST-ONLY-NO-NETWORK-NOT-AN-EDUCATIONAL-EVALUATION</x:t>
        </x:is>
      </x:c>
      <x:c r="BC246" t="inlineStr">
        <x:is>
          <x:t xml:space="preserve"/>
        </x:is>
      </x:c>
      <x:c r="BD246" t="inlineStr">
        <x:is>
          <x:t xml:space="preserve">NONE</x:t>
        </x:is>
      </x:c>
      <x:c r="BE246" t="inlineStr">
        <x:is>
          <x:t xml:space="preserve"/>
        </x:is>
      </x:c>
      <x:c r="BF246" t="inlineStr">
        <x:is>
          <x:t xml:space="preserve">SUCCESS</x:t>
        </x:is>
      </x:c>
      <x:c r="BG246" t="n">
        <x:f>IF((COUNT('Quantification_Results'!BA246)=1),IFERROR(ROUND((SUM(('Quantification_Results'!BA246*'Quantification_Config'!$R$19))/SUM('Quantification_Config'!$R$19)),'Quantification_Config'!$U$2),""),"")</x:f>
        <x:v>50</x:v>
      </x:c>
      <x:c r="BH246" t="n">
        <x:f>IF((COUNT('Quantification_Results'!BG246)=1),IFERROR(ROUND((SUM(('Quantification_Results'!BG246*'Quantification_Config'!$R$18))/SUM('Quantification_Config'!$R$18)),'Quantification_Config'!$U$2),""),"")</x:f>
        <x:v>50</x:v>
      </x:c>
      <x:c r="BI246">
        <x:f>IF((COUNT('Quantification_Results'!L246,'Quantification_Results'!X246,'Quantification_Results'!AJ246,'Quantification_Results'!AV246,'Quantification_Results'!BH246)=5),IFERROR(ROUND((SUM(('Quantification_Results'!L246*'Quantification_Config'!$R$4),('Quantification_Results'!X246*'Quantification_Config'!$R$7),('Quantification_Results'!AJ246*'Quantification_Config'!$R$10),('Quantification_Results'!AV246*'Quantification_Config'!$R$13),('Quantification_Results'!BH246*'Quantification_Config'!$R$16))/SUM('Quantification_Config'!$R$4,'Quantification_Config'!$R$7,'Quantification_Config'!$R$10,'Quantification_Config'!$R$13,'Quantification_Config'!$R$16)),'Quantification_Config'!$U$2),""),"")</x:f>
      </x:c>
    </x:row>
    <x:row r="247">
      <x:c r="A247" t="n">
        <x:v>1</x:v>
      </x:c>
      <x:c r="B247" t="n">
        <x:v>5</x:v>
      </x:c>
      <x:c r="C247"/>
      <x:c r="D247" t="n">
        <x:f>IF(('Quantification_Results'!A247&lt;&gt;1),"",IF(('Quantification_Results'!C247=""),IF(ISNUMBER('Quantification_Results'!B247),IF(('Quantification_Results'!B247&lt;'Quantification_Config'!$S$6),"",IF(('Quantification_Results'!B247&gt;'Quantification_Config'!$T$6),"",'Quantification_Results'!B247)),""),IF(ISNUMBER('Quantification_Results'!C247),IF(('Quantification_Results'!C247&lt;'Quantification_Config'!$S$6),"",IF(('Quantification_Results'!C247&gt;'Quantification_Config'!$T$6),"",'Quantification_Results'!C247)),"")))</x:f>
        <x:v>5</x:v>
      </x:c>
      <x:c r="E247" t="n">
        <x:f>IF(ISNUMBER('Quantification_Results'!D247),IFERROR(ROUND(((('Quantification_Results'!D247-'Quantification_Config'!$S$6)/('Quantification_Config'!$T$6-'Quantification_Config'!$S$6))*100),'Quantification_Config'!$U$2),""),"")</x:f>
        <x:v>50</x:v>
      </x:c>
      <x:c r="F247" t="inlineStr">
        <x:is>
          <x:t xml:space="preserve">SYSTEM-TEST-ONLY-NO-NETWORK-NOT-AN-EDUCATIONAL-EVALUATION</x:t>
        </x:is>
      </x:c>
      <x:c r="G247" t="inlineStr">
        <x:is>
          <x:t xml:space="preserve"/>
        </x:is>
      </x:c>
      <x:c r="H247" t="inlineStr">
        <x:is>
          <x:t xml:space="preserve">NONE</x:t>
        </x:is>
      </x:c>
      <x:c r="I247" t="inlineStr">
        <x:is>
          <x:t xml:space="preserve"/>
        </x:is>
      </x:c>
      <x:c r="J247" t="inlineStr">
        <x:is>
          <x:t xml:space="preserve">SUCCESS</x:t>
        </x:is>
      </x:c>
      <x:c r="K247" t="n">
        <x:f>IF((COUNT('Quantification_Results'!E247)=1),IFERROR(ROUND((SUM(('Quantification_Results'!E247*'Quantification_Config'!$R$6))/SUM('Quantification_Config'!$R$6)),'Quantification_Config'!$U$2),""),"")</x:f>
        <x:v>50</x:v>
      </x:c>
      <x:c r="L247" t="n">
        <x:f>IF((COUNT('Quantification_Results'!K247)=1),IFERROR(ROUND((SUM(('Quantification_Results'!K247*'Quantification_Config'!$R$5))/SUM('Quantification_Config'!$R$5)),'Quantification_Config'!$U$2),""),"")</x:f>
        <x:v>50</x:v>
      </x:c>
      <x:c r="M247" t="n">
        <x:v>1</x:v>
      </x:c>
      <x:c r="N247" t="n">
        <x:v>5</x:v>
      </x:c>
      <x:c r="O247"/>
      <x:c r="P247" t="n">
        <x:f>IF(('Quantification_Results'!M247&lt;&gt;1),"",IF(('Quantification_Results'!O247=""),IF(ISNUMBER('Quantification_Results'!N247),IF(('Quantification_Results'!N247&lt;'Quantification_Config'!$S$9),"",IF(('Quantification_Results'!N247&gt;'Quantification_Config'!$T$9),"",'Quantification_Results'!N247)),""),IF(ISNUMBER('Quantification_Results'!O247),IF(('Quantification_Results'!O247&lt;'Quantification_Config'!$S$9),"",IF(('Quantification_Results'!O247&gt;'Quantification_Config'!$T$9),"",'Quantification_Results'!O247)),"")))</x:f>
        <x:v>5</x:v>
      </x:c>
      <x:c r="Q247" t="n">
        <x:f>IF(ISNUMBER('Quantification_Results'!P247),IFERROR(ROUND(((('Quantification_Results'!P247-'Quantification_Config'!$S$9)/('Quantification_Config'!$T$9-'Quantification_Config'!$S$9))*100),'Quantification_Config'!$U$2),""),"")</x:f>
        <x:v>50</x:v>
      </x:c>
      <x:c r="R247" t="inlineStr">
        <x:is>
          <x:t xml:space="preserve">SYSTEM-TEST-ONLY-NO-NETWORK-NOT-AN-EDUCATIONAL-EVALUATION</x:t>
        </x:is>
      </x:c>
      <x:c r="S247" t="inlineStr">
        <x:is>
          <x:t xml:space="preserve"/>
        </x:is>
      </x:c>
      <x:c r="T247" t="inlineStr">
        <x:is>
          <x:t xml:space="preserve">NONE</x:t>
        </x:is>
      </x:c>
      <x:c r="U247" t="inlineStr">
        <x:is>
          <x:t xml:space="preserve"/>
        </x:is>
      </x:c>
      <x:c r="V247" t="inlineStr">
        <x:is>
          <x:t xml:space="preserve">SUCCESS</x:t>
        </x:is>
      </x:c>
      <x:c r="W247" t="n">
        <x:f>IF((COUNT('Quantification_Results'!Q247)=1),IFERROR(ROUND((SUM(('Quantification_Results'!Q247*'Quantification_Config'!$R$9))/SUM('Quantification_Config'!$R$9)),'Quantification_Config'!$U$2),""),"")</x:f>
        <x:v>50</x:v>
      </x:c>
      <x:c r="X247" t="n">
        <x:f>IF((COUNT('Quantification_Results'!W247)=1),IFERROR(ROUND((SUM(('Quantification_Results'!W247*'Quantification_Config'!$R$8))/SUM('Quantification_Config'!$R$8)),'Quantification_Config'!$U$2),""),"")</x:f>
        <x:v>50</x:v>
      </x:c>
      <x:c r="Y247" t="n">
        <x:v>1</x:v>
      </x:c>
      <x:c r="Z247" t="n">
        <x:v>5</x:v>
      </x:c>
      <x:c r="AA247"/>
      <x:c r="AB247" t="n">
        <x:f>IF(('Quantification_Results'!Y247&lt;&gt;1),"",IF(('Quantification_Results'!AA247=""),IF(ISNUMBER('Quantification_Results'!Z247),IF(('Quantification_Results'!Z247&lt;'Quantification_Config'!$S$12),"",IF(('Quantification_Results'!Z247&gt;'Quantification_Config'!$T$12),"",'Quantification_Results'!Z247)),""),IF(ISNUMBER('Quantification_Results'!AA247),IF(('Quantification_Results'!AA247&lt;'Quantification_Config'!$S$12),"",IF(('Quantification_Results'!AA247&gt;'Quantification_Config'!$T$12),"",'Quantification_Results'!AA247)),"")))</x:f>
        <x:v>5</x:v>
      </x:c>
      <x:c r="AC247" t="n">
        <x:f>IF(ISNUMBER('Quantification_Results'!AB247),IFERROR(ROUND(((('Quantification_Results'!AB247-'Quantification_Config'!$S$12)/('Quantification_Config'!$T$12-'Quantification_Config'!$S$12))*100),'Quantification_Config'!$U$2),""),"")</x:f>
        <x:v>50</x:v>
      </x:c>
      <x:c r="AD247" t="inlineStr">
        <x:is>
          <x:t xml:space="preserve">SYSTEM-TEST-ONLY-NO-NETWORK-NOT-AN-EDUCATIONAL-EVALUATION</x:t>
        </x:is>
      </x:c>
      <x:c r="AE247" t="inlineStr">
        <x:is>
          <x:t xml:space="preserve"/>
        </x:is>
      </x:c>
      <x:c r="AF247" t="inlineStr">
        <x:is>
          <x:t xml:space="preserve">NONE</x:t>
        </x:is>
      </x:c>
      <x:c r="AG247" t="inlineStr">
        <x:is>
          <x:t xml:space="preserve"/>
        </x:is>
      </x:c>
      <x:c r="AH247" t="inlineStr">
        <x:is>
          <x:t xml:space="preserve">SUCCESS</x:t>
        </x:is>
      </x:c>
      <x:c r="AI247" t="n">
        <x:f>IF((COUNT('Quantification_Results'!AC247)=1),IFERROR(ROUND((SUM(('Quantification_Results'!AC247*'Quantification_Config'!$R$12))/SUM('Quantification_Config'!$R$12)),'Quantification_Config'!$U$2),""),"")</x:f>
        <x:v>50</x:v>
      </x:c>
      <x:c r="AJ247" t="n">
        <x:f>IF((COUNT('Quantification_Results'!AI247)=1),IFERROR(ROUND((SUM(('Quantification_Results'!AI247*'Quantification_Config'!$R$11))/SUM('Quantification_Config'!$R$11)),'Quantification_Config'!$U$2),""),"")</x:f>
        <x:v>50</x:v>
      </x:c>
      <x:c r="AK247" t="n">
        <x:v>1</x:v>
      </x:c>
      <x:c r="AL247" t="n">
        <x:v>5</x:v>
      </x:c>
      <x:c r="AM247"/>
      <x:c r="AN247" t="n">
        <x:f>IF(('Quantification_Results'!AK247&lt;&gt;1),"",IF(('Quantification_Results'!AM247=""),IF(ISNUMBER('Quantification_Results'!AL247),IF(('Quantification_Results'!AL247&lt;'Quantification_Config'!$S$15),"",IF(('Quantification_Results'!AL247&gt;'Quantification_Config'!$T$15),"",'Quantification_Results'!AL247)),""),IF(ISNUMBER('Quantification_Results'!AM247),IF(('Quantification_Results'!AM247&lt;'Quantification_Config'!$S$15),"",IF(('Quantification_Results'!AM247&gt;'Quantification_Config'!$T$15),"",'Quantification_Results'!AM247)),"")))</x:f>
        <x:v>5</x:v>
      </x:c>
      <x:c r="AO247" t="n">
        <x:f>IF(ISNUMBER('Quantification_Results'!AN247),IFERROR(ROUND(((('Quantification_Results'!AN247-'Quantification_Config'!$S$15)/('Quantification_Config'!$T$15-'Quantification_Config'!$S$15))*100),'Quantification_Config'!$U$2),""),"")</x:f>
        <x:v>50</x:v>
      </x:c>
      <x:c r="AP247" t="inlineStr">
        <x:is>
          <x:t xml:space="preserve">SYSTEM-TEST-ONLY-NO-NETWORK-NOT-AN-EDUCATIONAL-EVALUATION</x:t>
        </x:is>
      </x:c>
      <x:c r="AQ247" t="inlineStr">
        <x:is>
          <x:t xml:space="preserve"/>
        </x:is>
      </x:c>
      <x:c r="AR247" t="inlineStr">
        <x:is>
          <x:t xml:space="preserve">NONE</x:t>
        </x:is>
      </x:c>
      <x:c r="AS247" t="inlineStr">
        <x:is>
          <x:t xml:space="preserve"/>
        </x:is>
      </x:c>
      <x:c r="AT247" t="inlineStr">
        <x:is>
          <x:t xml:space="preserve">SUCCESS</x:t>
        </x:is>
      </x:c>
      <x:c r="AU247" t="n">
        <x:f>IF((COUNT('Quantification_Results'!AO247)=1),IFERROR(ROUND((SUM(('Quantification_Results'!AO247*'Quantification_Config'!$R$15))/SUM('Quantification_Config'!$R$15)),'Quantification_Config'!$U$2),""),"")</x:f>
        <x:v>50</x:v>
      </x:c>
      <x:c r="AV247" t="n">
        <x:f>IF((COUNT('Quantification_Results'!AU247)=1),IFERROR(ROUND((SUM(('Quantification_Results'!AU247*'Quantification_Config'!$R$14))/SUM('Quantification_Config'!$R$14)),'Quantification_Config'!$U$2),""),"")</x:f>
        <x:v>50</x:v>
      </x:c>
      <x:c r="AW247" t="n">
        <x:v>1</x:v>
      </x:c>
      <x:c r="AX247" t="n">
        <x:v>5</x:v>
      </x:c>
      <x:c r="AY247"/>
      <x:c r="AZ247" t="n">
        <x:f>IF(('Quantification_Results'!AW247&lt;&gt;1),"",IF(('Quantification_Results'!AY247=""),IF(ISNUMBER('Quantification_Results'!AX247),IF(('Quantification_Results'!AX247&lt;'Quantification_Config'!$S$19),"",IF(('Quantification_Results'!AX247&gt;'Quantification_Config'!$T$19),"",'Quantification_Results'!AX247)),""),IF(ISNUMBER('Quantification_Results'!AY247),IF(('Quantification_Results'!AY247&lt;'Quantification_Config'!$S$19),"",IF(('Quantification_Results'!AY247&gt;'Quantification_Config'!$T$19),"",'Quantification_Results'!AY247)),"")))</x:f>
        <x:v>5</x:v>
      </x:c>
      <x:c r="BA247" t="n">
        <x:f>IF(ISNUMBER('Quantification_Results'!AZ247),IFERROR(ROUND(((('Quantification_Results'!AZ247-'Quantification_Config'!$S$19)/('Quantification_Config'!$T$19-'Quantification_Config'!$S$19))*100),'Quantification_Config'!$U$2),""),"")</x:f>
        <x:v>50</x:v>
      </x:c>
      <x:c r="BB247" t="inlineStr">
        <x:is>
          <x:t xml:space="preserve">SYSTEM-TEST-ONLY-NO-NETWORK-NOT-AN-EDUCATIONAL-EVALUATION</x:t>
        </x:is>
      </x:c>
      <x:c r="BC247" t="inlineStr">
        <x:is>
          <x:t xml:space="preserve"/>
        </x:is>
      </x:c>
      <x:c r="BD247" t="inlineStr">
        <x:is>
          <x:t xml:space="preserve">NONE</x:t>
        </x:is>
      </x:c>
      <x:c r="BE247" t="inlineStr">
        <x:is>
          <x:t xml:space="preserve"/>
        </x:is>
      </x:c>
      <x:c r="BF247" t="inlineStr">
        <x:is>
          <x:t xml:space="preserve">SUCCESS</x:t>
        </x:is>
      </x:c>
      <x:c r="BG247" t="n">
        <x:f>IF((COUNT('Quantification_Results'!BA247)=1),IFERROR(ROUND((SUM(('Quantification_Results'!BA247*'Quantification_Config'!$R$19))/SUM('Quantification_Config'!$R$19)),'Quantification_Config'!$U$2),""),"")</x:f>
        <x:v>50</x:v>
      </x:c>
      <x:c r="BH247" t="n">
        <x:f>IF((COUNT('Quantification_Results'!BG247)=1),IFERROR(ROUND((SUM(('Quantification_Results'!BG247*'Quantification_Config'!$R$18))/SUM('Quantification_Config'!$R$18)),'Quantification_Config'!$U$2),""),"")</x:f>
        <x:v>50</x:v>
      </x:c>
      <x:c r="BI247" t="n">
        <x:f>IF((COUNT('Quantification_Results'!L247,'Quantification_Results'!X247,'Quantification_Results'!AJ247,'Quantification_Results'!AV247,'Quantification_Results'!BH247)=5),IFERROR(ROUND((SUM(('Quantification_Results'!L247*'Quantification_Config'!$R$4),('Quantification_Results'!X247*'Quantification_Config'!$R$7),('Quantification_Results'!AJ247*'Quantification_Config'!$R$10),('Quantification_Results'!AV247*'Quantification_Config'!$R$13),('Quantification_Results'!BH247*'Quantification_Config'!$R$16))/SUM('Quantification_Config'!$R$4,'Quantification_Config'!$R$7,'Quantification_Config'!$R$10,'Quantification_Config'!$R$13,'Quantification_Config'!$R$16)),'Quantification_Config'!$U$2),""),"")</x:f>
        <x:v>50</x:v>
      </x:c>
    </x:row>
    <x:row r="248">
      <x:c r="A248" t="n">
        <x:v>1</x:v>
      </x:c>
      <x:c r="B248" t="n">
        <x:v>5</x:v>
      </x:c>
      <x:c r="C248"/>
      <x:c r="D248" t="n">
        <x:f>IF(('Quantification_Results'!A248&lt;&gt;1),"",IF(('Quantification_Results'!C248=""),IF(ISNUMBER('Quantification_Results'!B248),IF(('Quantification_Results'!B248&lt;'Quantification_Config'!$S$6),"",IF(('Quantification_Results'!B248&gt;'Quantification_Config'!$T$6),"",'Quantification_Results'!B248)),""),IF(ISNUMBER('Quantification_Results'!C248),IF(('Quantification_Results'!C248&lt;'Quantification_Config'!$S$6),"",IF(('Quantification_Results'!C248&gt;'Quantification_Config'!$T$6),"",'Quantification_Results'!C248)),"")))</x:f>
        <x:v>5</x:v>
      </x:c>
      <x:c r="E248" t="n">
        <x:f>IF(ISNUMBER('Quantification_Results'!D248),IFERROR(ROUND(((('Quantification_Results'!D248-'Quantification_Config'!$S$6)/('Quantification_Config'!$T$6-'Quantification_Config'!$S$6))*100),'Quantification_Config'!$U$2),""),"")</x:f>
        <x:v>50</x:v>
      </x:c>
      <x:c r="F248" t="inlineStr">
        <x:is>
          <x:t xml:space="preserve">SYSTEM-TEST-ONLY-NO-NETWORK-NOT-AN-EDUCATIONAL-EVALUATION</x:t>
        </x:is>
      </x:c>
      <x:c r="G248" t="inlineStr">
        <x:is>
          <x:t xml:space="preserve"/>
        </x:is>
      </x:c>
      <x:c r="H248" t="inlineStr">
        <x:is>
          <x:t xml:space="preserve">NONE</x:t>
        </x:is>
      </x:c>
      <x:c r="I248" t="inlineStr">
        <x:is>
          <x:t xml:space="preserve"/>
        </x:is>
      </x:c>
      <x:c r="J248" t="inlineStr">
        <x:is>
          <x:t xml:space="preserve">SUCCESS</x:t>
        </x:is>
      </x:c>
      <x:c r="K248" t="n">
        <x:f>IF((COUNT('Quantification_Results'!E248)=1),IFERROR(ROUND((SUM(('Quantification_Results'!E248*'Quantification_Config'!$R$6))/SUM('Quantification_Config'!$R$6)),'Quantification_Config'!$U$2),""),"")</x:f>
        <x:v>50</x:v>
      </x:c>
      <x:c r="L248" t="n">
        <x:f>IF((COUNT('Quantification_Results'!K248)=1),IFERROR(ROUND((SUM(('Quantification_Results'!K248*'Quantification_Config'!$R$5))/SUM('Quantification_Config'!$R$5)),'Quantification_Config'!$U$2),""),"")</x:f>
        <x:v>50</x:v>
      </x:c>
      <x:c r="M248" t="n">
        <x:v>1</x:v>
      </x:c>
      <x:c r="N248" t="n">
        <x:v>5</x:v>
      </x:c>
      <x:c r="O248"/>
      <x:c r="P248" t="n">
        <x:f>IF(('Quantification_Results'!M248&lt;&gt;1),"",IF(('Quantification_Results'!O248=""),IF(ISNUMBER('Quantification_Results'!N248),IF(('Quantification_Results'!N248&lt;'Quantification_Config'!$S$9),"",IF(('Quantification_Results'!N248&gt;'Quantification_Config'!$T$9),"",'Quantification_Results'!N248)),""),IF(ISNUMBER('Quantification_Results'!O248),IF(('Quantification_Results'!O248&lt;'Quantification_Config'!$S$9),"",IF(('Quantification_Results'!O248&gt;'Quantification_Config'!$T$9),"",'Quantification_Results'!O248)),"")))</x:f>
        <x:v>5</x:v>
      </x:c>
      <x:c r="Q248" t="n">
        <x:f>IF(ISNUMBER('Quantification_Results'!P248),IFERROR(ROUND(((('Quantification_Results'!P248-'Quantification_Config'!$S$9)/('Quantification_Config'!$T$9-'Quantification_Config'!$S$9))*100),'Quantification_Config'!$U$2),""),"")</x:f>
        <x:v>50</x:v>
      </x:c>
      <x:c r="R248" t="inlineStr">
        <x:is>
          <x:t xml:space="preserve">SYSTEM-TEST-ONLY-NO-NETWORK-NOT-AN-EDUCATIONAL-EVALUATION</x:t>
        </x:is>
      </x:c>
      <x:c r="S248" t="inlineStr">
        <x:is>
          <x:t xml:space="preserve"/>
        </x:is>
      </x:c>
      <x:c r="T248" t="inlineStr">
        <x:is>
          <x:t xml:space="preserve">NONE</x:t>
        </x:is>
      </x:c>
      <x:c r="U248" t="inlineStr">
        <x:is>
          <x:t xml:space="preserve"/>
        </x:is>
      </x:c>
      <x:c r="V248" t="inlineStr">
        <x:is>
          <x:t xml:space="preserve">SUCCESS</x:t>
        </x:is>
      </x:c>
      <x:c r="W248" t="n">
        <x:f>IF((COUNT('Quantification_Results'!Q248)=1),IFERROR(ROUND((SUM(('Quantification_Results'!Q248*'Quantification_Config'!$R$9))/SUM('Quantification_Config'!$R$9)),'Quantification_Config'!$U$2),""),"")</x:f>
        <x:v>50</x:v>
      </x:c>
      <x:c r="X248" t="n">
        <x:f>IF((COUNT('Quantification_Results'!W248)=1),IFERROR(ROUND((SUM(('Quantification_Results'!W248*'Quantification_Config'!$R$8))/SUM('Quantification_Config'!$R$8)),'Quantification_Config'!$U$2),""),"")</x:f>
        <x:v>50</x:v>
      </x:c>
      <x:c r="Y248" t="n">
        <x:v>0</x:v>
      </x:c>
      <x:c r="Z248"/>
      <x:c r="AA248"/>
      <x:c r="AB248">
        <x:f>IF(('Quantification_Results'!Y248&lt;&gt;1),"",IF(('Quantification_Results'!AA248=""),IF(ISNUMBER('Quantification_Results'!Z248),IF(('Quantification_Results'!Z248&lt;'Quantification_Config'!$S$12),"",IF(('Quantification_Results'!Z248&gt;'Quantification_Config'!$T$12),"",'Quantification_Results'!Z248)),""),IF(ISNUMBER('Quantification_Results'!AA248),IF(('Quantification_Results'!AA248&lt;'Quantification_Config'!$S$12),"",IF(('Quantification_Results'!AA248&gt;'Quantification_Config'!$T$12),"",'Quantification_Results'!AA248)),"")))</x:f>
      </x:c>
      <x:c r="AC248">
        <x:f>IF(ISNUMBER('Quantification_Results'!AB248),IFERROR(ROUND(((('Quantification_Results'!AB248-'Quantification_Config'!$S$12)/('Quantification_Config'!$T$12-'Quantification_Config'!$S$12))*100),'Quantification_Config'!$U$2),""),"")</x:f>
      </x:c>
      <x:c r="AD248" t="inlineStr">
        <x:is>
          <x:t xml:space="preserve"/>
        </x:is>
      </x:c>
      <x:c r="AE248" t="inlineStr">
        <x:is>
          <x:t xml:space="preserve"/>
        </x:is>
      </x:c>
      <x:c r="AF248" t="inlineStr">
        <x:is>
          <x:t xml:space="preserve"/>
        </x:is>
      </x:c>
      <x:c r="AG248" t="inlineStr">
        <x:is>
          <x:t xml:space="preserve"/>
        </x:is>
      </x:c>
      <x:c r="AH248" t="inlineStr">
        <x:is>
          <x:t xml:space="preserve">EMPTY</x:t>
        </x:is>
      </x:c>
      <x:c r="AI248">
        <x:f>IF((COUNT('Quantification_Results'!AC248)=1),IFERROR(ROUND((SUM(('Quantification_Results'!AC248*'Quantification_Config'!$R$12))/SUM('Quantification_Config'!$R$12)),'Quantification_Config'!$U$2),""),"")</x:f>
      </x:c>
      <x:c r="AJ248">
        <x:f>IF((COUNT('Quantification_Results'!AI248)=1),IFERROR(ROUND((SUM(('Quantification_Results'!AI248*'Quantification_Config'!$R$11))/SUM('Quantification_Config'!$R$11)),'Quantification_Config'!$U$2),""),"")</x:f>
      </x:c>
      <x:c r="AK248" t="n">
        <x:v>1</x:v>
      </x:c>
      <x:c r="AL248" t="n">
        <x:v>5</x:v>
      </x:c>
      <x:c r="AM248"/>
      <x:c r="AN248" t="n">
        <x:f>IF(('Quantification_Results'!AK248&lt;&gt;1),"",IF(('Quantification_Results'!AM248=""),IF(ISNUMBER('Quantification_Results'!AL248),IF(('Quantification_Results'!AL248&lt;'Quantification_Config'!$S$15),"",IF(('Quantification_Results'!AL248&gt;'Quantification_Config'!$T$15),"",'Quantification_Results'!AL248)),""),IF(ISNUMBER('Quantification_Results'!AM248),IF(('Quantification_Results'!AM248&lt;'Quantification_Config'!$S$15),"",IF(('Quantification_Results'!AM248&gt;'Quantification_Config'!$T$15),"",'Quantification_Results'!AM248)),"")))</x:f>
        <x:v>5</x:v>
      </x:c>
      <x:c r="AO248" t="n">
        <x:f>IF(ISNUMBER('Quantification_Results'!AN248),IFERROR(ROUND(((('Quantification_Results'!AN248-'Quantification_Config'!$S$15)/('Quantification_Config'!$T$15-'Quantification_Config'!$S$15))*100),'Quantification_Config'!$U$2),""),"")</x:f>
        <x:v>50</x:v>
      </x:c>
      <x:c r="AP248" t="inlineStr">
        <x:is>
          <x:t xml:space="preserve">SYSTEM-TEST-ONLY-NO-NETWORK-NOT-AN-EDUCATIONAL-EVALUATION</x:t>
        </x:is>
      </x:c>
      <x:c r="AQ248" t="inlineStr">
        <x:is>
          <x:t xml:space="preserve"/>
        </x:is>
      </x:c>
      <x:c r="AR248" t="inlineStr">
        <x:is>
          <x:t xml:space="preserve">NONE</x:t>
        </x:is>
      </x:c>
      <x:c r="AS248" t="inlineStr">
        <x:is>
          <x:t xml:space="preserve"/>
        </x:is>
      </x:c>
      <x:c r="AT248" t="inlineStr">
        <x:is>
          <x:t xml:space="preserve">SUCCESS</x:t>
        </x:is>
      </x:c>
      <x:c r="AU248" t="n">
        <x:f>IF((COUNT('Quantification_Results'!AO248)=1),IFERROR(ROUND((SUM(('Quantification_Results'!AO248*'Quantification_Config'!$R$15))/SUM('Quantification_Config'!$R$15)),'Quantification_Config'!$U$2),""),"")</x:f>
        <x:v>50</x:v>
      </x:c>
      <x:c r="AV248" t="n">
        <x:f>IF((COUNT('Quantification_Results'!AU248)=1),IFERROR(ROUND((SUM(('Quantification_Results'!AU248*'Quantification_Config'!$R$14))/SUM('Quantification_Config'!$R$14)),'Quantification_Config'!$U$2),""),"")</x:f>
        <x:v>50</x:v>
      </x:c>
      <x:c r="AW248" t="n">
        <x:v>1</x:v>
      </x:c>
      <x:c r="AX248" t="n">
        <x:v>5</x:v>
      </x:c>
      <x:c r="AY248"/>
      <x:c r="AZ248" t="n">
        <x:f>IF(('Quantification_Results'!AW248&lt;&gt;1),"",IF(('Quantification_Results'!AY248=""),IF(ISNUMBER('Quantification_Results'!AX248),IF(('Quantification_Results'!AX248&lt;'Quantification_Config'!$S$19),"",IF(('Quantification_Results'!AX248&gt;'Quantification_Config'!$T$19),"",'Quantification_Results'!AX248)),""),IF(ISNUMBER('Quantification_Results'!AY248),IF(('Quantification_Results'!AY248&lt;'Quantification_Config'!$S$19),"",IF(('Quantification_Results'!AY248&gt;'Quantification_Config'!$T$19),"",'Quantification_Results'!AY248)),"")))</x:f>
        <x:v>5</x:v>
      </x:c>
      <x:c r="BA248" t="n">
        <x:f>IF(ISNUMBER('Quantification_Results'!AZ248),IFERROR(ROUND(((('Quantification_Results'!AZ248-'Quantification_Config'!$S$19)/('Quantification_Config'!$T$19-'Quantification_Config'!$S$19))*100),'Quantification_Config'!$U$2),""),"")</x:f>
        <x:v>50</x:v>
      </x:c>
      <x:c r="BB248" t="inlineStr">
        <x:is>
          <x:t xml:space="preserve">SYSTEM-TEST-ONLY-NO-NETWORK-NOT-AN-EDUCATIONAL-EVALUATION</x:t>
        </x:is>
      </x:c>
      <x:c r="BC248" t="inlineStr">
        <x:is>
          <x:t xml:space="preserve"/>
        </x:is>
      </x:c>
      <x:c r="BD248" t="inlineStr">
        <x:is>
          <x:t xml:space="preserve">NONE</x:t>
        </x:is>
      </x:c>
      <x:c r="BE248" t="inlineStr">
        <x:is>
          <x:t xml:space="preserve"/>
        </x:is>
      </x:c>
      <x:c r="BF248" t="inlineStr">
        <x:is>
          <x:t xml:space="preserve">SUCCESS</x:t>
        </x:is>
      </x:c>
      <x:c r="BG248" t="n">
        <x:f>IF((COUNT('Quantification_Results'!BA248)=1),IFERROR(ROUND((SUM(('Quantification_Results'!BA248*'Quantification_Config'!$R$19))/SUM('Quantification_Config'!$R$19)),'Quantification_Config'!$U$2),""),"")</x:f>
        <x:v>50</x:v>
      </x:c>
      <x:c r="BH248" t="n">
        <x:f>IF((COUNT('Quantification_Results'!BG248)=1),IFERROR(ROUND((SUM(('Quantification_Results'!BG248*'Quantification_Config'!$R$18))/SUM('Quantification_Config'!$R$18)),'Quantification_Config'!$U$2),""),"")</x:f>
        <x:v>50</x:v>
      </x:c>
      <x:c r="BI248">
        <x:f>IF((COUNT('Quantification_Results'!L248,'Quantification_Results'!X248,'Quantification_Results'!AJ248,'Quantification_Results'!AV248,'Quantification_Results'!BH248)=5),IFERROR(ROUND((SUM(('Quantification_Results'!L248*'Quantification_Config'!$R$4),('Quantification_Results'!X248*'Quantification_Config'!$R$7),('Quantification_Results'!AJ248*'Quantification_Config'!$R$10),('Quantification_Results'!AV248*'Quantification_Config'!$R$13),('Quantification_Results'!BH248*'Quantification_Config'!$R$16))/SUM('Quantification_Config'!$R$4,'Quantification_Config'!$R$7,'Quantification_Config'!$R$10,'Quantification_Config'!$R$13,'Quantification_Config'!$R$16)),'Quantification_Config'!$U$2),""),"")</x:f>
      </x:c>
    </x:row>
    <x:row r="249">
      <x:c r="A249" t="n">
        <x:v>1</x:v>
      </x:c>
      <x:c r="B249" t="n">
        <x:v>5</x:v>
      </x:c>
      <x:c r="C249"/>
      <x:c r="D249" t="n">
        <x:f>IF(('Quantification_Results'!A249&lt;&gt;1),"",IF(('Quantification_Results'!C249=""),IF(ISNUMBER('Quantification_Results'!B249),IF(('Quantification_Results'!B249&lt;'Quantification_Config'!$S$6),"",IF(('Quantification_Results'!B249&gt;'Quantification_Config'!$T$6),"",'Quantification_Results'!B249)),""),IF(ISNUMBER('Quantification_Results'!C249),IF(('Quantification_Results'!C249&lt;'Quantification_Config'!$S$6),"",IF(('Quantification_Results'!C249&gt;'Quantification_Config'!$T$6),"",'Quantification_Results'!C249)),"")))</x:f>
        <x:v>5</x:v>
      </x:c>
      <x:c r="E249" t="n">
        <x:f>IF(ISNUMBER('Quantification_Results'!D249),IFERROR(ROUND(((('Quantification_Results'!D249-'Quantification_Config'!$S$6)/('Quantification_Config'!$T$6-'Quantification_Config'!$S$6))*100),'Quantification_Config'!$U$2),""),"")</x:f>
        <x:v>50</x:v>
      </x:c>
      <x:c r="F249" t="inlineStr">
        <x:is>
          <x:t xml:space="preserve">SYSTEM-TEST-ONLY-NO-NETWORK-NOT-AN-EDUCATIONAL-EVALUATION</x:t>
        </x:is>
      </x:c>
      <x:c r="G249" t="inlineStr">
        <x:is>
          <x:t xml:space="preserve"/>
        </x:is>
      </x:c>
      <x:c r="H249" t="inlineStr">
        <x:is>
          <x:t xml:space="preserve">NONE</x:t>
        </x:is>
      </x:c>
      <x:c r="I249" t="inlineStr">
        <x:is>
          <x:t xml:space="preserve"/>
        </x:is>
      </x:c>
      <x:c r="J249" t="inlineStr">
        <x:is>
          <x:t xml:space="preserve">SUCCESS</x:t>
        </x:is>
      </x:c>
      <x:c r="K249" t="n">
        <x:f>IF((COUNT('Quantification_Results'!E249)=1),IFERROR(ROUND((SUM(('Quantification_Results'!E249*'Quantification_Config'!$R$6))/SUM('Quantification_Config'!$R$6)),'Quantification_Config'!$U$2),""),"")</x:f>
        <x:v>50</x:v>
      </x:c>
      <x:c r="L249" t="n">
        <x:f>IF((COUNT('Quantification_Results'!K249)=1),IFERROR(ROUND((SUM(('Quantification_Results'!K249*'Quantification_Config'!$R$5))/SUM('Quantification_Config'!$R$5)),'Quantification_Config'!$U$2),""),"")</x:f>
        <x:v>50</x:v>
      </x:c>
      <x:c r="M249" t="n">
        <x:v>1</x:v>
      </x:c>
      <x:c r="N249" t="n">
        <x:v>5</x:v>
      </x:c>
      <x:c r="O249"/>
      <x:c r="P249" t="n">
        <x:f>IF(('Quantification_Results'!M249&lt;&gt;1),"",IF(('Quantification_Results'!O249=""),IF(ISNUMBER('Quantification_Results'!N249),IF(('Quantification_Results'!N249&lt;'Quantification_Config'!$S$9),"",IF(('Quantification_Results'!N249&gt;'Quantification_Config'!$T$9),"",'Quantification_Results'!N249)),""),IF(ISNUMBER('Quantification_Results'!O249),IF(('Quantification_Results'!O249&lt;'Quantification_Config'!$S$9),"",IF(('Quantification_Results'!O249&gt;'Quantification_Config'!$T$9),"",'Quantification_Results'!O249)),"")))</x:f>
        <x:v>5</x:v>
      </x:c>
      <x:c r="Q249" t="n">
        <x:f>IF(ISNUMBER('Quantification_Results'!P249),IFERROR(ROUND(((('Quantification_Results'!P249-'Quantification_Config'!$S$9)/('Quantification_Config'!$T$9-'Quantification_Config'!$S$9))*100),'Quantification_Config'!$U$2),""),"")</x:f>
        <x:v>50</x:v>
      </x:c>
      <x:c r="R249" t="inlineStr">
        <x:is>
          <x:t xml:space="preserve">SYSTEM-TEST-ONLY-NO-NETWORK-NOT-AN-EDUCATIONAL-EVALUATION</x:t>
        </x:is>
      </x:c>
      <x:c r="S249" t="inlineStr">
        <x:is>
          <x:t xml:space="preserve"/>
        </x:is>
      </x:c>
      <x:c r="T249" t="inlineStr">
        <x:is>
          <x:t xml:space="preserve">NONE</x:t>
        </x:is>
      </x:c>
      <x:c r="U249" t="inlineStr">
        <x:is>
          <x:t xml:space="preserve"/>
        </x:is>
      </x:c>
      <x:c r="V249" t="inlineStr">
        <x:is>
          <x:t xml:space="preserve">SUCCESS</x:t>
        </x:is>
      </x:c>
      <x:c r="W249" t="n">
        <x:f>IF((COUNT('Quantification_Results'!Q249)=1),IFERROR(ROUND((SUM(('Quantification_Results'!Q249*'Quantification_Config'!$R$9))/SUM('Quantification_Config'!$R$9)),'Quantification_Config'!$U$2),""),"")</x:f>
        <x:v>50</x:v>
      </x:c>
      <x:c r="X249" t="n">
        <x:f>IF((COUNT('Quantification_Results'!W249)=1),IFERROR(ROUND((SUM(('Quantification_Results'!W249*'Quantification_Config'!$R$8))/SUM('Quantification_Config'!$R$8)),'Quantification_Config'!$U$2),""),"")</x:f>
        <x:v>50</x:v>
      </x:c>
      <x:c r="Y249" t="n">
        <x:v>0</x:v>
      </x:c>
      <x:c r="Z249"/>
      <x:c r="AA249"/>
      <x:c r="AB249">
        <x:f>IF(('Quantification_Results'!Y249&lt;&gt;1),"",IF(('Quantification_Results'!AA249=""),IF(ISNUMBER('Quantification_Results'!Z249),IF(('Quantification_Results'!Z249&lt;'Quantification_Config'!$S$12),"",IF(('Quantification_Results'!Z249&gt;'Quantification_Config'!$T$12),"",'Quantification_Results'!Z249)),""),IF(ISNUMBER('Quantification_Results'!AA249),IF(('Quantification_Results'!AA249&lt;'Quantification_Config'!$S$12),"",IF(('Quantification_Results'!AA249&gt;'Quantification_Config'!$T$12),"",'Quantification_Results'!AA249)),"")))</x:f>
      </x:c>
      <x:c r="AC249">
        <x:f>IF(ISNUMBER('Quantification_Results'!AB249),IFERROR(ROUND(((('Quantification_Results'!AB249-'Quantification_Config'!$S$12)/('Quantification_Config'!$T$12-'Quantification_Config'!$S$12))*100),'Quantification_Config'!$U$2),""),"")</x:f>
      </x:c>
      <x:c r="AD249" t="inlineStr">
        <x:is>
          <x:t xml:space="preserve"/>
        </x:is>
      </x:c>
      <x:c r="AE249" t="inlineStr">
        <x:is>
          <x:t xml:space="preserve"/>
        </x:is>
      </x:c>
      <x:c r="AF249" t="inlineStr">
        <x:is>
          <x:t xml:space="preserve"/>
        </x:is>
      </x:c>
      <x:c r="AG249" t="inlineStr">
        <x:is>
          <x:t xml:space="preserve"/>
        </x:is>
      </x:c>
      <x:c r="AH249" t="inlineStr">
        <x:is>
          <x:t xml:space="preserve">EMPTY</x:t>
        </x:is>
      </x:c>
      <x:c r="AI249">
        <x:f>IF((COUNT('Quantification_Results'!AC249)=1),IFERROR(ROUND((SUM(('Quantification_Results'!AC249*'Quantification_Config'!$R$12))/SUM('Quantification_Config'!$R$12)),'Quantification_Config'!$U$2),""),"")</x:f>
      </x:c>
      <x:c r="AJ249">
        <x:f>IF((COUNT('Quantification_Results'!AI249)=1),IFERROR(ROUND((SUM(('Quantification_Results'!AI249*'Quantification_Config'!$R$11))/SUM('Quantification_Config'!$R$11)),'Quantification_Config'!$U$2),""),"")</x:f>
      </x:c>
      <x:c r="AK249" t="n">
        <x:v>1</x:v>
      </x:c>
      <x:c r="AL249" t="n">
        <x:v>5</x:v>
      </x:c>
      <x:c r="AM249"/>
      <x:c r="AN249" t="n">
        <x:f>IF(('Quantification_Results'!AK249&lt;&gt;1),"",IF(('Quantification_Results'!AM249=""),IF(ISNUMBER('Quantification_Results'!AL249),IF(('Quantification_Results'!AL249&lt;'Quantification_Config'!$S$15),"",IF(('Quantification_Results'!AL249&gt;'Quantification_Config'!$T$15),"",'Quantification_Results'!AL249)),""),IF(ISNUMBER('Quantification_Results'!AM249),IF(('Quantification_Results'!AM249&lt;'Quantification_Config'!$S$15),"",IF(('Quantification_Results'!AM249&gt;'Quantification_Config'!$T$15),"",'Quantification_Results'!AM249)),"")))</x:f>
        <x:v>5</x:v>
      </x:c>
      <x:c r="AO249" t="n">
        <x:f>IF(ISNUMBER('Quantification_Results'!AN249),IFERROR(ROUND(((('Quantification_Results'!AN249-'Quantification_Config'!$S$15)/('Quantification_Config'!$T$15-'Quantification_Config'!$S$15))*100),'Quantification_Config'!$U$2),""),"")</x:f>
        <x:v>50</x:v>
      </x:c>
      <x:c r="AP249" t="inlineStr">
        <x:is>
          <x:t xml:space="preserve">SYSTEM-TEST-ONLY-NO-NETWORK-NOT-AN-EDUCATIONAL-EVALUATION</x:t>
        </x:is>
      </x:c>
      <x:c r="AQ249" t="inlineStr">
        <x:is>
          <x:t xml:space="preserve"/>
        </x:is>
      </x:c>
      <x:c r="AR249" t="inlineStr">
        <x:is>
          <x:t xml:space="preserve">NONE</x:t>
        </x:is>
      </x:c>
      <x:c r="AS249" t="inlineStr">
        <x:is>
          <x:t xml:space="preserve"/>
        </x:is>
      </x:c>
      <x:c r="AT249" t="inlineStr">
        <x:is>
          <x:t xml:space="preserve">SUCCESS</x:t>
        </x:is>
      </x:c>
      <x:c r="AU249" t="n">
        <x:f>IF((COUNT('Quantification_Results'!AO249)=1),IFERROR(ROUND((SUM(('Quantification_Results'!AO249*'Quantification_Config'!$R$15))/SUM('Quantification_Config'!$R$15)),'Quantification_Config'!$U$2),""),"")</x:f>
        <x:v>50</x:v>
      </x:c>
      <x:c r="AV249" t="n">
        <x:f>IF((COUNT('Quantification_Results'!AU249)=1),IFERROR(ROUND((SUM(('Quantification_Results'!AU249*'Quantification_Config'!$R$14))/SUM('Quantification_Config'!$R$14)),'Quantification_Config'!$U$2),""),"")</x:f>
        <x:v>50</x:v>
      </x:c>
      <x:c r="AW249" t="n">
        <x:v>1</x:v>
      </x:c>
      <x:c r="AX249" t="n">
        <x:v>5</x:v>
      </x:c>
      <x:c r="AY249"/>
      <x:c r="AZ249" t="n">
        <x:f>IF(('Quantification_Results'!AW249&lt;&gt;1),"",IF(('Quantification_Results'!AY249=""),IF(ISNUMBER('Quantification_Results'!AX249),IF(('Quantification_Results'!AX249&lt;'Quantification_Config'!$S$19),"",IF(('Quantification_Results'!AX249&gt;'Quantification_Config'!$T$19),"",'Quantification_Results'!AX249)),""),IF(ISNUMBER('Quantification_Results'!AY249),IF(('Quantification_Results'!AY249&lt;'Quantification_Config'!$S$19),"",IF(('Quantification_Results'!AY249&gt;'Quantification_Config'!$T$19),"",'Quantification_Results'!AY249)),"")))</x:f>
        <x:v>5</x:v>
      </x:c>
      <x:c r="BA249" t="n">
        <x:f>IF(ISNUMBER('Quantification_Results'!AZ249),IFERROR(ROUND(((('Quantification_Results'!AZ249-'Quantification_Config'!$S$19)/('Quantification_Config'!$T$19-'Quantification_Config'!$S$19))*100),'Quantification_Config'!$U$2),""),"")</x:f>
        <x:v>50</x:v>
      </x:c>
      <x:c r="BB249" t="inlineStr">
        <x:is>
          <x:t xml:space="preserve">SYSTEM-TEST-ONLY-NO-NETWORK-NOT-AN-EDUCATIONAL-EVALUATION</x:t>
        </x:is>
      </x:c>
      <x:c r="BC249" t="inlineStr">
        <x:is>
          <x:t xml:space="preserve"/>
        </x:is>
      </x:c>
      <x:c r="BD249" t="inlineStr">
        <x:is>
          <x:t xml:space="preserve">NONE</x:t>
        </x:is>
      </x:c>
      <x:c r="BE249" t="inlineStr">
        <x:is>
          <x:t xml:space="preserve"/>
        </x:is>
      </x:c>
      <x:c r="BF249" t="inlineStr">
        <x:is>
          <x:t xml:space="preserve">SUCCESS</x:t>
        </x:is>
      </x:c>
      <x:c r="BG249" t="n">
        <x:f>IF((COUNT('Quantification_Results'!BA249)=1),IFERROR(ROUND((SUM(('Quantification_Results'!BA249*'Quantification_Config'!$R$19))/SUM('Quantification_Config'!$R$19)),'Quantification_Config'!$U$2),""),"")</x:f>
        <x:v>50</x:v>
      </x:c>
      <x:c r="BH249" t="n">
        <x:f>IF((COUNT('Quantification_Results'!BG249)=1),IFERROR(ROUND((SUM(('Quantification_Results'!BG249*'Quantification_Config'!$R$18))/SUM('Quantification_Config'!$R$18)),'Quantification_Config'!$U$2),""),"")</x:f>
        <x:v>50</x:v>
      </x:c>
      <x:c r="BI249">
        <x:f>IF((COUNT('Quantification_Results'!L249,'Quantification_Results'!X249,'Quantification_Results'!AJ249,'Quantification_Results'!AV249,'Quantification_Results'!BH249)=5),IFERROR(ROUND((SUM(('Quantification_Results'!L249*'Quantification_Config'!$R$4),('Quantification_Results'!X249*'Quantification_Config'!$R$7),('Quantification_Results'!AJ249*'Quantification_Config'!$R$10),('Quantification_Results'!AV249*'Quantification_Config'!$R$13),('Quantification_Results'!BH249*'Quantification_Config'!$R$16))/SUM('Quantification_Config'!$R$4,'Quantification_Config'!$R$7,'Quantification_Config'!$R$10,'Quantification_Config'!$R$13,'Quantification_Config'!$R$16)),'Quantification_Config'!$U$2),""),"")</x:f>
      </x:c>
    </x:row>
    <x:row r="250">
      <x:c r="A250" t="n">
        <x:v>1</x:v>
      </x:c>
      <x:c r="B250" t="n">
        <x:v>5</x:v>
      </x:c>
      <x:c r="C250"/>
      <x:c r="D250" t="n">
        <x:f>IF(('Quantification_Results'!A250&lt;&gt;1),"",IF(('Quantification_Results'!C250=""),IF(ISNUMBER('Quantification_Results'!B250),IF(('Quantification_Results'!B250&lt;'Quantification_Config'!$S$6),"",IF(('Quantification_Results'!B250&gt;'Quantification_Config'!$T$6),"",'Quantification_Results'!B250)),""),IF(ISNUMBER('Quantification_Results'!C250),IF(('Quantification_Results'!C250&lt;'Quantification_Config'!$S$6),"",IF(('Quantification_Results'!C250&gt;'Quantification_Config'!$T$6),"",'Quantification_Results'!C250)),"")))</x:f>
        <x:v>5</x:v>
      </x:c>
      <x:c r="E250" t="n">
        <x:f>IF(ISNUMBER('Quantification_Results'!D250),IFERROR(ROUND(((('Quantification_Results'!D250-'Quantification_Config'!$S$6)/('Quantification_Config'!$T$6-'Quantification_Config'!$S$6))*100),'Quantification_Config'!$U$2),""),"")</x:f>
        <x:v>50</x:v>
      </x:c>
      <x:c r="F250" t="inlineStr">
        <x:is>
          <x:t xml:space="preserve">SYSTEM-TEST-ONLY-NO-NETWORK-NOT-AN-EDUCATIONAL-EVALUATION</x:t>
        </x:is>
      </x:c>
      <x:c r="G250" t="inlineStr">
        <x:is>
          <x:t xml:space="preserve"/>
        </x:is>
      </x:c>
      <x:c r="H250" t="inlineStr">
        <x:is>
          <x:t xml:space="preserve">NONE</x:t>
        </x:is>
      </x:c>
      <x:c r="I250" t="inlineStr">
        <x:is>
          <x:t xml:space="preserve"/>
        </x:is>
      </x:c>
      <x:c r="J250" t="inlineStr">
        <x:is>
          <x:t xml:space="preserve">SUCCESS</x:t>
        </x:is>
      </x:c>
      <x:c r="K250" t="n">
        <x:f>IF((COUNT('Quantification_Results'!E250)=1),IFERROR(ROUND((SUM(('Quantification_Results'!E250*'Quantification_Config'!$R$6))/SUM('Quantification_Config'!$R$6)),'Quantification_Config'!$U$2),""),"")</x:f>
        <x:v>50</x:v>
      </x:c>
      <x:c r="L250" t="n">
        <x:f>IF((COUNT('Quantification_Results'!K250)=1),IFERROR(ROUND((SUM(('Quantification_Results'!K250*'Quantification_Config'!$R$5))/SUM('Quantification_Config'!$R$5)),'Quantification_Config'!$U$2),""),"")</x:f>
        <x:v>50</x:v>
      </x:c>
      <x:c r="M250" t="n">
        <x:v>0</x:v>
      </x:c>
      <x:c r="N250"/>
      <x:c r="O250"/>
      <x:c r="P250">
        <x:f>IF(('Quantification_Results'!M250&lt;&gt;1),"",IF(('Quantification_Results'!O250=""),IF(ISNUMBER('Quantification_Results'!N250),IF(('Quantification_Results'!N250&lt;'Quantification_Config'!$S$9),"",IF(('Quantification_Results'!N250&gt;'Quantification_Config'!$T$9),"",'Quantification_Results'!N250)),""),IF(ISNUMBER('Quantification_Results'!O250),IF(('Quantification_Results'!O250&lt;'Quantification_Config'!$S$9),"",IF(('Quantification_Results'!O250&gt;'Quantification_Config'!$T$9),"",'Quantification_Results'!O250)),"")))</x:f>
      </x:c>
      <x:c r="Q250">
        <x:f>IF(ISNUMBER('Quantification_Results'!P250),IFERROR(ROUND(((('Quantification_Results'!P250-'Quantification_Config'!$S$9)/('Quantification_Config'!$T$9-'Quantification_Config'!$S$9))*100),'Quantification_Config'!$U$2),""),"")</x:f>
      </x:c>
      <x:c r="R250" t="inlineStr">
        <x:is>
          <x:t xml:space="preserve"/>
        </x:is>
      </x:c>
      <x:c r="S250" t="inlineStr">
        <x:is>
          <x:t xml:space="preserve"/>
        </x:is>
      </x:c>
      <x:c r="T250" t="inlineStr">
        <x:is>
          <x:t xml:space="preserve"/>
        </x:is>
      </x:c>
      <x:c r="U250" t="inlineStr">
        <x:is>
          <x:t xml:space="preserve"/>
        </x:is>
      </x:c>
      <x:c r="V250" t="inlineStr">
        <x:is>
          <x:t xml:space="preserve">EMPTY</x:t>
        </x:is>
      </x:c>
      <x:c r="W250">
        <x:f>IF((COUNT('Quantification_Results'!Q250)=1),IFERROR(ROUND((SUM(('Quantification_Results'!Q250*'Quantification_Config'!$R$9))/SUM('Quantification_Config'!$R$9)),'Quantification_Config'!$U$2),""),"")</x:f>
      </x:c>
      <x:c r="X250">
        <x:f>IF((COUNT('Quantification_Results'!W250)=1),IFERROR(ROUND((SUM(('Quantification_Results'!W250*'Quantification_Config'!$R$8))/SUM('Quantification_Config'!$R$8)),'Quantification_Config'!$U$2),""),"")</x:f>
      </x:c>
      <x:c r="Y250" t="n">
        <x:v>0</x:v>
      </x:c>
      <x:c r="Z250"/>
      <x:c r="AA250"/>
      <x:c r="AB250">
        <x:f>IF(('Quantification_Results'!Y250&lt;&gt;1),"",IF(('Quantification_Results'!AA250=""),IF(ISNUMBER('Quantification_Results'!Z250),IF(('Quantification_Results'!Z250&lt;'Quantification_Config'!$S$12),"",IF(('Quantification_Results'!Z250&gt;'Quantification_Config'!$T$12),"",'Quantification_Results'!Z250)),""),IF(ISNUMBER('Quantification_Results'!AA250),IF(('Quantification_Results'!AA250&lt;'Quantification_Config'!$S$12),"",IF(('Quantification_Results'!AA250&gt;'Quantification_Config'!$T$12),"",'Quantification_Results'!AA250)),"")))</x:f>
      </x:c>
      <x:c r="AC250">
        <x:f>IF(ISNUMBER('Quantification_Results'!AB250),IFERROR(ROUND(((('Quantification_Results'!AB250-'Quantification_Config'!$S$12)/('Quantification_Config'!$T$12-'Quantification_Config'!$S$12))*100),'Quantification_Config'!$U$2),""),"")</x:f>
      </x:c>
      <x:c r="AD250" t="inlineStr">
        <x:is>
          <x:t xml:space="preserve"/>
        </x:is>
      </x:c>
      <x:c r="AE250" t="inlineStr">
        <x:is>
          <x:t xml:space="preserve"/>
        </x:is>
      </x:c>
      <x:c r="AF250" t="inlineStr">
        <x:is>
          <x:t xml:space="preserve"/>
        </x:is>
      </x:c>
      <x:c r="AG250" t="inlineStr">
        <x:is>
          <x:t xml:space="preserve"/>
        </x:is>
      </x:c>
      <x:c r="AH250" t="inlineStr">
        <x:is>
          <x:t xml:space="preserve">EMPTY</x:t>
        </x:is>
      </x:c>
      <x:c r="AI250">
        <x:f>IF((COUNT('Quantification_Results'!AC250)=1),IFERROR(ROUND((SUM(('Quantification_Results'!AC250*'Quantification_Config'!$R$12))/SUM('Quantification_Config'!$R$12)),'Quantification_Config'!$U$2),""),"")</x:f>
      </x:c>
      <x:c r="AJ250">
        <x:f>IF((COUNT('Quantification_Results'!AI250)=1),IFERROR(ROUND((SUM(('Quantification_Results'!AI250*'Quantification_Config'!$R$11))/SUM('Quantification_Config'!$R$11)),'Quantification_Config'!$U$2),""),"")</x:f>
      </x:c>
      <x:c r="AK250" t="n">
        <x:v>1</x:v>
      </x:c>
      <x:c r="AL250" t="n">
        <x:v>5</x:v>
      </x:c>
      <x:c r="AM250"/>
      <x:c r="AN250" t="n">
        <x:f>IF(('Quantification_Results'!AK250&lt;&gt;1),"",IF(('Quantification_Results'!AM250=""),IF(ISNUMBER('Quantification_Results'!AL250),IF(('Quantification_Results'!AL250&lt;'Quantification_Config'!$S$15),"",IF(('Quantification_Results'!AL250&gt;'Quantification_Config'!$T$15),"",'Quantification_Results'!AL250)),""),IF(ISNUMBER('Quantification_Results'!AM250),IF(('Quantification_Results'!AM250&lt;'Quantification_Config'!$S$15),"",IF(('Quantification_Results'!AM250&gt;'Quantification_Config'!$T$15),"",'Quantification_Results'!AM250)),"")))</x:f>
        <x:v>5</x:v>
      </x:c>
      <x:c r="AO250" t="n">
        <x:f>IF(ISNUMBER('Quantification_Results'!AN250),IFERROR(ROUND(((('Quantification_Results'!AN250-'Quantification_Config'!$S$15)/('Quantification_Config'!$T$15-'Quantification_Config'!$S$15))*100),'Quantification_Config'!$U$2),""),"")</x:f>
        <x:v>50</x:v>
      </x:c>
      <x:c r="AP250" t="inlineStr">
        <x:is>
          <x:t xml:space="preserve">SYSTEM-TEST-ONLY-NO-NETWORK-NOT-AN-EDUCATIONAL-EVALUATION</x:t>
        </x:is>
      </x:c>
      <x:c r="AQ250" t="inlineStr">
        <x:is>
          <x:t xml:space="preserve"/>
        </x:is>
      </x:c>
      <x:c r="AR250" t="inlineStr">
        <x:is>
          <x:t xml:space="preserve">NONE</x:t>
        </x:is>
      </x:c>
      <x:c r="AS250" t="inlineStr">
        <x:is>
          <x:t xml:space="preserve"/>
        </x:is>
      </x:c>
      <x:c r="AT250" t="inlineStr">
        <x:is>
          <x:t xml:space="preserve">SUCCESS</x:t>
        </x:is>
      </x:c>
      <x:c r="AU250" t="n">
        <x:f>IF((COUNT('Quantification_Results'!AO250)=1),IFERROR(ROUND((SUM(('Quantification_Results'!AO250*'Quantification_Config'!$R$15))/SUM('Quantification_Config'!$R$15)),'Quantification_Config'!$U$2),""),"")</x:f>
        <x:v>50</x:v>
      </x:c>
      <x:c r="AV250" t="n">
        <x:f>IF((COUNT('Quantification_Results'!AU250)=1),IFERROR(ROUND((SUM(('Quantification_Results'!AU250*'Quantification_Config'!$R$14))/SUM('Quantification_Config'!$R$14)),'Quantification_Config'!$U$2),""),"")</x:f>
        <x:v>50</x:v>
      </x:c>
      <x:c r="AW250" t="n">
        <x:v>0</x:v>
      </x:c>
      <x:c r="AX250"/>
      <x:c r="AY250"/>
      <x:c r="AZ250">
        <x:f>IF(('Quantification_Results'!AW250&lt;&gt;1),"",IF(('Quantification_Results'!AY250=""),IF(ISNUMBER('Quantification_Results'!AX250),IF(('Quantification_Results'!AX250&lt;'Quantification_Config'!$S$19),"",IF(('Quantification_Results'!AX250&gt;'Quantification_Config'!$T$19),"",'Quantification_Results'!AX250)),""),IF(ISNUMBER('Quantification_Results'!AY250),IF(('Quantification_Results'!AY250&lt;'Quantification_Config'!$S$19),"",IF(('Quantification_Results'!AY250&gt;'Quantification_Config'!$T$19),"",'Quantification_Results'!AY250)),"")))</x:f>
      </x:c>
      <x:c r="BA250">
        <x:f>IF(ISNUMBER('Quantification_Results'!AZ250),IFERROR(ROUND(((('Quantification_Results'!AZ250-'Quantification_Config'!$S$19)/('Quantification_Config'!$T$19-'Quantification_Config'!$S$19))*100),'Quantification_Config'!$U$2),""),"")</x:f>
      </x:c>
      <x:c r="BB250" t="inlineStr">
        <x:is>
          <x:t xml:space="preserve"/>
        </x:is>
      </x:c>
      <x:c r="BC250" t="inlineStr">
        <x:is>
          <x:t xml:space="preserve"/>
        </x:is>
      </x:c>
      <x:c r="BD250" t="inlineStr">
        <x:is>
          <x:t xml:space="preserve"/>
        </x:is>
      </x:c>
      <x:c r="BE250" t="inlineStr">
        <x:is>
          <x:t xml:space="preserve"/>
        </x:is>
      </x:c>
      <x:c r="BF250" t="inlineStr">
        <x:is>
          <x:t xml:space="preserve">EMPTY</x:t>
        </x:is>
      </x:c>
      <x:c r="BG250">
        <x:f>IF((COUNT('Quantification_Results'!BA250)=1),IFERROR(ROUND((SUM(('Quantification_Results'!BA250*'Quantification_Config'!$R$19))/SUM('Quantification_Config'!$R$19)),'Quantification_Config'!$U$2),""),"")</x:f>
      </x:c>
      <x:c r="BH250">
        <x:f>IF((COUNT('Quantification_Results'!BG250)=1),IFERROR(ROUND((SUM(('Quantification_Results'!BG250*'Quantification_Config'!$R$18))/SUM('Quantification_Config'!$R$18)),'Quantification_Config'!$U$2),""),"")</x:f>
      </x:c>
      <x:c r="BI250">
        <x:f>IF((COUNT('Quantification_Results'!L250,'Quantification_Results'!X250,'Quantification_Results'!AJ250,'Quantification_Results'!AV250,'Quantification_Results'!BH250)=5),IFERROR(ROUND((SUM(('Quantification_Results'!L250*'Quantification_Config'!$R$4),('Quantification_Results'!X250*'Quantification_Config'!$R$7),('Quantification_Results'!AJ250*'Quantification_Config'!$R$10),('Quantification_Results'!AV250*'Quantification_Config'!$R$13),('Quantification_Results'!BH250*'Quantification_Config'!$R$16))/SUM('Quantification_Config'!$R$4,'Quantification_Config'!$R$7,'Quantification_Config'!$R$10,'Quantification_Config'!$R$13,'Quantification_Config'!$R$16)),'Quantification_Config'!$U$2),""),"")</x:f>
      </x:c>
    </x:row>
    <x:row r="251">
      <x:c r="A251" t="n">
        <x:v>1</x:v>
      </x:c>
      <x:c r="B251" t="n">
        <x:v>5</x:v>
      </x:c>
      <x:c r="C251"/>
      <x:c r="D251" t="n">
        <x:f>IF(('Quantification_Results'!A251&lt;&gt;1),"",IF(('Quantification_Results'!C251=""),IF(ISNUMBER('Quantification_Results'!B251),IF(('Quantification_Results'!B251&lt;'Quantification_Config'!$S$6),"",IF(('Quantification_Results'!B251&gt;'Quantification_Config'!$T$6),"",'Quantification_Results'!B251)),""),IF(ISNUMBER('Quantification_Results'!C251),IF(('Quantification_Results'!C251&lt;'Quantification_Config'!$S$6),"",IF(('Quantification_Results'!C251&gt;'Quantification_Config'!$T$6),"",'Quantification_Results'!C251)),"")))</x:f>
        <x:v>5</x:v>
      </x:c>
      <x:c r="E251" t="n">
        <x:f>IF(ISNUMBER('Quantification_Results'!D251),IFERROR(ROUND(((('Quantification_Results'!D251-'Quantification_Config'!$S$6)/('Quantification_Config'!$T$6-'Quantification_Config'!$S$6))*100),'Quantification_Config'!$U$2),""),"")</x:f>
        <x:v>50</x:v>
      </x:c>
      <x:c r="F251" t="inlineStr">
        <x:is>
          <x:t xml:space="preserve">SYSTEM-TEST-ONLY-NO-NETWORK-NOT-AN-EDUCATIONAL-EVALUATION</x:t>
        </x:is>
      </x:c>
      <x:c r="G251" t="inlineStr">
        <x:is>
          <x:t xml:space="preserve"/>
        </x:is>
      </x:c>
      <x:c r="H251" t="inlineStr">
        <x:is>
          <x:t xml:space="preserve">NONE</x:t>
        </x:is>
      </x:c>
      <x:c r="I251" t="inlineStr">
        <x:is>
          <x:t xml:space="preserve"/>
        </x:is>
      </x:c>
      <x:c r="J251" t="inlineStr">
        <x:is>
          <x:t xml:space="preserve">SUCCESS</x:t>
        </x:is>
      </x:c>
      <x:c r="K251" t="n">
        <x:f>IF((COUNT('Quantification_Results'!E251)=1),IFERROR(ROUND((SUM(('Quantification_Results'!E251*'Quantification_Config'!$R$6))/SUM('Quantification_Config'!$R$6)),'Quantification_Config'!$U$2),""),"")</x:f>
        <x:v>50</x:v>
      </x:c>
      <x:c r="L251" t="n">
        <x:f>IF((COUNT('Quantification_Results'!K251)=1),IFERROR(ROUND((SUM(('Quantification_Results'!K251*'Quantification_Config'!$R$5))/SUM('Quantification_Config'!$R$5)),'Quantification_Config'!$U$2),""),"")</x:f>
        <x:v>50</x:v>
      </x:c>
      <x:c r="M251" t="n">
        <x:v>1</x:v>
      </x:c>
      <x:c r="N251" t="n">
        <x:v>5</x:v>
      </x:c>
      <x:c r="O251"/>
      <x:c r="P251" t="n">
        <x:f>IF(('Quantification_Results'!M251&lt;&gt;1),"",IF(('Quantification_Results'!O251=""),IF(ISNUMBER('Quantification_Results'!N251),IF(('Quantification_Results'!N251&lt;'Quantification_Config'!$S$9),"",IF(('Quantification_Results'!N251&gt;'Quantification_Config'!$T$9),"",'Quantification_Results'!N251)),""),IF(ISNUMBER('Quantification_Results'!O251),IF(('Quantification_Results'!O251&lt;'Quantification_Config'!$S$9),"",IF(('Quantification_Results'!O251&gt;'Quantification_Config'!$T$9),"",'Quantification_Results'!O251)),"")))</x:f>
        <x:v>5</x:v>
      </x:c>
      <x:c r="Q251" t="n">
        <x:f>IF(ISNUMBER('Quantification_Results'!P251),IFERROR(ROUND(((('Quantification_Results'!P251-'Quantification_Config'!$S$9)/('Quantification_Config'!$T$9-'Quantification_Config'!$S$9))*100),'Quantification_Config'!$U$2),""),"")</x:f>
        <x:v>50</x:v>
      </x:c>
      <x:c r="R251" t="inlineStr">
        <x:is>
          <x:t xml:space="preserve">SYSTEM-TEST-ONLY-NO-NETWORK-NOT-AN-EDUCATIONAL-EVALUATION</x:t>
        </x:is>
      </x:c>
      <x:c r="S251" t="inlineStr">
        <x:is>
          <x:t xml:space="preserve"/>
        </x:is>
      </x:c>
      <x:c r="T251" t="inlineStr">
        <x:is>
          <x:t xml:space="preserve">NONE</x:t>
        </x:is>
      </x:c>
      <x:c r="U251" t="inlineStr">
        <x:is>
          <x:t xml:space="preserve"/>
        </x:is>
      </x:c>
      <x:c r="V251" t="inlineStr">
        <x:is>
          <x:t xml:space="preserve">SUCCESS</x:t>
        </x:is>
      </x:c>
      <x:c r="W251" t="n">
        <x:f>IF((COUNT('Quantification_Results'!Q251)=1),IFERROR(ROUND((SUM(('Quantification_Results'!Q251*'Quantification_Config'!$R$9))/SUM('Quantification_Config'!$R$9)),'Quantification_Config'!$U$2),""),"")</x:f>
        <x:v>50</x:v>
      </x:c>
      <x:c r="X251" t="n">
        <x:f>IF((COUNT('Quantification_Results'!W251)=1),IFERROR(ROUND((SUM(('Quantification_Results'!W251*'Quantification_Config'!$R$8))/SUM('Quantification_Config'!$R$8)),'Quantification_Config'!$U$2),""),"")</x:f>
        <x:v>50</x:v>
      </x:c>
      <x:c r="Y251" t="n">
        <x:v>0</x:v>
      </x:c>
      <x:c r="Z251"/>
      <x:c r="AA251"/>
      <x:c r="AB251">
        <x:f>IF(('Quantification_Results'!Y251&lt;&gt;1),"",IF(('Quantification_Results'!AA251=""),IF(ISNUMBER('Quantification_Results'!Z251),IF(('Quantification_Results'!Z251&lt;'Quantification_Config'!$S$12),"",IF(('Quantification_Results'!Z251&gt;'Quantification_Config'!$T$12),"",'Quantification_Results'!Z251)),""),IF(ISNUMBER('Quantification_Results'!AA251),IF(('Quantification_Results'!AA251&lt;'Quantification_Config'!$S$12),"",IF(('Quantification_Results'!AA251&gt;'Quantification_Config'!$T$12),"",'Quantification_Results'!AA251)),"")))</x:f>
      </x:c>
      <x:c r="AC251">
        <x:f>IF(ISNUMBER('Quantification_Results'!AB251),IFERROR(ROUND(((('Quantification_Results'!AB251-'Quantification_Config'!$S$12)/('Quantification_Config'!$T$12-'Quantification_Config'!$S$12))*100),'Quantification_Config'!$U$2),""),"")</x:f>
      </x:c>
      <x:c r="AD251" t="inlineStr">
        <x:is>
          <x:t xml:space="preserve"/>
        </x:is>
      </x:c>
      <x:c r="AE251" t="inlineStr">
        <x:is>
          <x:t xml:space="preserve"/>
        </x:is>
      </x:c>
      <x:c r="AF251" t="inlineStr">
        <x:is>
          <x:t xml:space="preserve"/>
        </x:is>
      </x:c>
      <x:c r="AG251" t="inlineStr">
        <x:is>
          <x:t xml:space="preserve"/>
        </x:is>
      </x:c>
      <x:c r="AH251" t="inlineStr">
        <x:is>
          <x:t xml:space="preserve">EMPTY</x:t>
        </x:is>
      </x:c>
      <x:c r="AI251">
        <x:f>IF((COUNT('Quantification_Results'!AC251)=1),IFERROR(ROUND((SUM(('Quantification_Results'!AC251*'Quantification_Config'!$R$12))/SUM('Quantification_Config'!$R$12)),'Quantification_Config'!$U$2),""),"")</x:f>
      </x:c>
      <x:c r="AJ251">
        <x:f>IF((COUNT('Quantification_Results'!AI251)=1),IFERROR(ROUND((SUM(('Quantification_Results'!AI251*'Quantification_Config'!$R$11))/SUM('Quantification_Config'!$R$11)),'Quantification_Config'!$U$2),""),"")</x:f>
      </x:c>
      <x:c r="AK251" t="n">
        <x:v>1</x:v>
      </x:c>
      <x:c r="AL251" t="n">
        <x:v>5</x:v>
      </x:c>
      <x:c r="AM251"/>
      <x:c r="AN251" t="n">
        <x:f>IF(('Quantification_Results'!AK251&lt;&gt;1),"",IF(('Quantification_Results'!AM251=""),IF(ISNUMBER('Quantification_Results'!AL251),IF(('Quantification_Results'!AL251&lt;'Quantification_Config'!$S$15),"",IF(('Quantification_Results'!AL251&gt;'Quantification_Config'!$T$15),"",'Quantification_Results'!AL251)),""),IF(ISNUMBER('Quantification_Results'!AM251),IF(('Quantification_Results'!AM251&lt;'Quantification_Config'!$S$15),"",IF(('Quantification_Results'!AM251&gt;'Quantification_Config'!$T$15),"",'Quantification_Results'!AM251)),"")))</x:f>
        <x:v>5</x:v>
      </x:c>
      <x:c r="AO251" t="n">
        <x:f>IF(ISNUMBER('Quantification_Results'!AN251),IFERROR(ROUND(((('Quantification_Results'!AN251-'Quantification_Config'!$S$15)/('Quantification_Config'!$T$15-'Quantification_Config'!$S$15))*100),'Quantification_Config'!$U$2),""),"")</x:f>
        <x:v>50</x:v>
      </x:c>
      <x:c r="AP251" t="inlineStr">
        <x:is>
          <x:t xml:space="preserve">SYSTEM-TEST-ONLY-NO-NETWORK-NOT-AN-EDUCATIONAL-EVALUATION</x:t>
        </x:is>
      </x:c>
      <x:c r="AQ251" t="inlineStr">
        <x:is>
          <x:t xml:space="preserve"/>
        </x:is>
      </x:c>
      <x:c r="AR251" t="inlineStr">
        <x:is>
          <x:t xml:space="preserve">NONE</x:t>
        </x:is>
      </x:c>
      <x:c r="AS251" t="inlineStr">
        <x:is>
          <x:t xml:space="preserve"/>
        </x:is>
      </x:c>
      <x:c r="AT251" t="inlineStr">
        <x:is>
          <x:t xml:space="preserve">SUCCESS</x:t>
        </x:is>
      </x:c>
      <x:c r="AU251" t="n">
        <x:f>IF((COUNT('Quantification_Results'!AO251)=1),IFERROR(ROUND((SUM(('Quantification_Results'!AO251*'Quantification_Config'!$R$15))/SUM('Quantification_Config'!$R$15)),'Quantification_Config'!$U$2),""),"")</x:f>
        <x:v>50</x:v>
      </x:c>
      <x:c r="AV251" t="n">
        <x:f>IF((COUNT('Quantification_Results'!AU251)=1),IFERROR(ROUND((SUM(('Quantification_Results'!AU251*'Quantification_Config'!$R$14))/SUM('Quantification_Config'!$R$14)),'Quantification_Config'!$U$2),""),"")</x:f>
        <x:v>50</x:v>
      </x:c>
      <x:c r="AW251" t="n">
        <x:v>1</x:v>
      </x:c>
      <x:c r="AX251" t="n">
        <x:v>5</x:v>
      </x:c>
      <x:c r="AY251"/>
      <x:c r="AZ251" t="n">
        <x:f>IF(('Quantification_Results'!AW251&lt;&gt;1),"",IF(('Quantification_Results'!AY251=""),IF(ISNUMBER('Quantification_Results'!AX251),IF(('Quantification_Results'!AX251&lt;'Quantification_Config'!$S$19),"",IF(('Quantification_Results'!AX251&gt;'Quantification_Config'!$T$19),"",'Quantification_Results'!AX251)),""),IF(ISNUMBER('Quantification_Results'!AY251),IF(('Quantification_Results'!AY251&lt;'Quantification_Config'!$S$19),"",IF(('Quantification_Results'!AY251&gt;'Quantification_Config'!$T$19),"",'Quantification_Results'!AY251)),"")))</x:f>
        <x:v>5</x:v>
      </x:c>
      <x:c r="BA251" t="n">
        <x:f>IF(ISNUMBER('Quantification_Results'!AZ251),IFERROR(ROUND(((('Quantification_Results'!AZ251-'Quantification_Config'!$S$19)/('Quantification_Config'!$T$19-'Quantification_Config'!$S$19))*100),'Quantification_Config'!$U$2),""),"")</x:f>
        <x:v>50</x:v>
      </x:c>
      <x:c r="BB251" t="inlineStr">
        <x:is>
          <x:t xml:space="preserve">SYSTEM-TEST-ONLY-NO-NETWORK-NOT-AN-EDUCATIONAL-EVALUATION</x:t>
        </x:is>
      </x:c>
      <x:c r="BC251" t="inlineStr">
        <x:is>
          <x:t xml:space="preserve"/>
        </x:is>
      </x:c>
      <x:c r="BD251" t="inlineStr">
        <x:is>
          <x:t xml:space="preserve">NONE</x:t>
        </x:is>
      </x:c>
      <x:c r="BE251" t="inlineStr">
        <x:is>
          <x:t xml:space="preserve"/>
        </x:is>
      </x:c>
      <x:c r="BF251" t="inlineStr">
        <x:is>
          <x:t xml:space="preserve">SUCCESS</x:t>
        </x:is>
      </x:c>
      <x:c r="BG251" t="n">
        <x:f>IF((COUNT('Quantification_Results'!BA251)=1),IFERROR(ROUND((SUM(('Quantification_Results'!BA251*'Quantification_Config'!$R$19))/SUM('Quantification_Config'!$R$19)),'Quantification_Config'!$U$2),""),"")</x:f>
        <x:v>50</x:v>
      </x:c>
      <x:c r="BH251" t="n">
        <x:f>IF((COUNT('Quantification_Results'!BG251)=1),IFERROR(ROUND((SUM(('Quantification_Results'!BG251*'Quantification_Config'!$R$18))/SUM('Quantification_Config'!$R$18)),'Quantification_Config'!$U$2),""),"")</x:f>
        <x:v>50</x:v>
      </x:c>
      <x:c r="BI251">
        <x:f>IF((COUNT('Quantification_Results'!L251,'Quantification_Results'!X251,'Quantification_Results'!AJ251,'Quantification_Results'!AV251,'Quantification_Results'!BH251)=5),IFERROR(ROUND((SUM(('Quantification_Results'!L251*'Quantification_Config'!$R$4),('Quantification_Results'!X251*'Quantification_Config'!$R$7),('Quantification_Results'!AJ251*'Quantification_Config'!$R$10),('Quantification_Results'!AV251*'Quantification_Config'!$R$13),('Quantification_Results'!BH251*'Quantification_Config'!$R$16))/SUM('Quantification_Config'!$R$4,'Quantification_Config'!$R$7,'Quantification_Config'!$R$10,'Quantification_Config'!$R$13,'Quantification_Config'!$R$16)),'Quantification_Config'!$U$2),""),"")</x:f>
      </x:c>
    </x:row>
    <x:row r="252">
      <x:c r="A252" t="n">
        <x:v>1</x:v>
      </x:c>
      <x:c r="B252" t="n">
        <x:v>5</x:v>
      </x:c>
      <x:c r="C252"/>
      <x:c r="D252" t="n">
        <x:f>IF(('Quantification_Results'!A252&lt;&gt;1),"",IF(('Quantification_Results'!C252=""),IF(ISNUMBER('Quantification_Results'!B252),IF(('Quantification_Results'!B252&lt;'Quantification_Config'!$S$6),"",IF(('Quantification_Results'!B252&gt;'Quantification_Config'!$T$6),"",'Quantification_Results'!B252)),""),IF(ISNUMBER('Quantification_Results'!C252),IF(('Quantification_Results'!C252&lt;'Quantification_Config'!$S$6),"",IF(('Quantification_Results'!C252&gt;'Quantification_Config'!$T$6),"",'Quantification_Results'!C252)),"")))</x:f>
        <x:v>5</x:v>
      </x:c>
      <x:c r="E252" t="n">
        <x:f>IF(ISNUMBER('Quantification_Results'!D252),IFERROR(ROUND(((('Quantification_Results'!D252-'Quantification_Config'!$S$6)/('Quantification_Config'!$T$6-'Quantification_Config'!$S$6))*100),'Quantification_Config'!$U$2),""),"")</x:f>
        <x:v>50</x:v>
      </x:c>
      <x:c r="F252" t="inlineStr">
        <x:is>
          <x:t xml:space="preserve">SYSTEM-TEST-ONLY-NO-NETWORK-NOT-AN-EDUCATIONAL-EVALUATION</x:t>
        </x:is>
      </x:c>
      <x:c r="G252" t="inlineStr">
        <x:is>
          <x:t xml:space="preserve"/>
        </x:is>
      </x:c>
      <x:c r="H252" t="inlineStr">
        <x:is>
          <x:t xml:space="preserve">NONE</x:t>
        </x:is>
      </x:c>
      <x:c r="I252" t="inlineStr">
        <x:is>
          <x:t xml:space="preserve"/>
        </x:is>
      </x:c>
      <x:c r="J252" t="inlineStr">
        <x:is>
          <x:t xml:space="preserve">SUCCESS</x:t>
        </x:is>
      </x:c>
      <x:c r="K252" t="n">
        <x:f>IF((COUNT('Quantification_Results'!E252)=1),IFERROR(ROUND((SUM(('Quantification_Results'!E252*'Quantification_Config'!$R$6))/SUM('Quantification_Config'!$R$6)),'Quantification_Config'!$U$2),""),"")</x:f>
        <x:v>50</x:v>
      </x:c>
      <x:c r="L252" t="n">
        <x:f>IF((COUNT('Quantification_Results'!K252)=1),IFERROR(ROUND((SUM(('Quantification_Results'!K252*'Quantification_Config'!$R$5))/SUM('Quantification_Config'!$R$5)),'Quantification_Config'!$U$2),""),"")</x:f>
        <x:v>50</x:v>
      </x:c>
      <x:c r="M252" t="n">
        <x:v>1</x:v>
      </x:c>
      <x:c r="N252" t="n">
        <x:v>5</x:v>
      </x:c>
      <x:c r="O252"/>
      <x:c r="P252" t="n">
        <x:f>IF(('Quantification_Results'!M252&lt;&gt;1),"",IF(('Quantification_Results'!O252=""),IF(ISNUMBER('Quantification_Results'!N252),IF(('Quantification_Results'!N252&lt;'Quantification_Config'!$S$9),"",IF(('Quantification_Results'!N252&gt;'Quantification_Config'!$T$9),"",'Quantification_Results'!N252)),""),IF(ISNUMBER('Quantification_Results'!O252),IF(('Quantification_Results'!O252&lt;'Quantification_Config'!$S$9),"",IF(('Quantification_Results'!O252&gt;'Quantification_Config'!$T$9),"",'Quantification_Results'!O252)),"")))</x:f>
        <x:v>5</x:v>
      </x:c>
      <x:c r="Q252" t="n">
        <x:f>IF(ISNUMBER('Quantification_Results'!P252),IFERROR(ROUND(((('Quantification_Results'!P252-'Quantification_Config'!$S$9)/('Quantification_Config'!$T$9-'Quantification_Config'!$S$9))*100),'Quantification_Config'!$U$2),""),"")</x:f>
        <x:v>50</x:v>
      </x:c>
      <x:c r="R252" t="inlineStr">
        <x:is>
          <x:t xml:space="preserve">SYSTEM-TEST-ONLY-NO-NETWORK-NOT-AN-EDUCATIONAL-EVALUATION</x:t>
        </x:is>
      </x:c>
      <x:c r="S252" t="inlineStr">
        <x:is>
          <x:t xml:space="preserve"/>
        </x:is>
      </x:c>
      <x:c r="T252" t="inlineStr">
        <x:is>
          <x:t xml:space="preserve">NONE</x:t>
        </x:is>
      </x:c>
      <x:c r="U252" t="inlineStr">
        <x:is>
          <x:t xml:space="preserve"/>
        </x:is>
      </x:c>
      <x:c r="V252" t="inlineStr">
        <x:is>
          <x:t xml:space="preserve">SUCCESS</x:t>
        </x:is>
      </x:c>
      <x:c r="W252" t="n">
        <x:f>IF((COUNT('Quantification_Results'!Q252)=1),IFERROR(ROUND((SUM(('Quantification_Results'!Q252*'Quantification_Config'!$R$9))/SUM('Quantification_Config'!$R$9)),'Quantification_Config'!$U$2),""),"")</x:f>
        <x:v>50</x:v>
      </x:c>
      <x:c r="X252" t="n">
        <x:f>IF((COUNT('Quantification_Results'!W252)=1),IFERROR(ROUND((SUM(('Quantification_Results'!W252*'Quantification_Config'!$R$8))/SUM('Quantification_Config'!$R$8)),'Quantification_Config'!$U$2),""),"")</x:f>
        <x:v>50</x:v>
      </x:c>
      <x:c r="Y252" t="n">
        <x:v>0</x:v>
      </x:c>
      <x:c r="Z252"/>
      <x:c r="AA252"/>
      <x:c r="AB252">
        <x:f>IF(('Quantification_Results'!Y252&lt;&gt;1),"",IF(('Quantification_Results'!AA252=""),IF(ISNUMBER('Quantification_Results'!Z252),IF(('Quantification_Results'!Z252&lt;'Quantification_Config'!$S$12),"",IF(('Quantification_Results'!Z252&gt;'Quantification_Config'!$T$12),"",'Quantification_Results'!Z252)),""),IF(ISNUMBER('Quantification_Results'!AA252),IF(('Quantification_Results'!AA252&lt;'Quantification_Config'!$S$12),"",IF(('Quantification_Results'!AA252&gt;'Quantification_Config'!$T$12),"",'Quantification_Results'!AA252)),"")))</x:f>
      </x:c>
      <x:c r="AC252">
        <x:f>IF(ISNUMBER('Quantification_Results'!AB252),IFERROR(ROUND(((('Quantification_Results'!AB252-'Quantification_Config'!$S$12)/('Quantification_Config'!$T$12-'Quantification_Config'!$S$12))*100),'Quantification_Config'!$U$2),""),"")</x:f>
      </x:c>
      <x:c r="AD252" t="inlineStr">
        <x:is>
          <x:t xml:space="preserve"/>
        </x:is>
      </x:c>
      <x:c r="AE252" t="inlineStr">
        <x:is>
          <x:t xml:space="preserve"/>
        </x:is>
      </x:c>
      <x:c r="AF252" t="inlineStr">
        <x:is>
          <x:t xml:space="preserve"/>
        </x:is>
      </x:c>
      <x:c r="AG252" t="inlineStr">
        <x:is>
          <x:t xml:space="preserve"/>
        </x:is>
      </x:c>
      <x:c r="AH252" t="inlineStr">
        <x:is>
          <x:t xml:space="preserve">EMPTY</x:t>
        </x:is>
      </x:c>
      <x:c r="AI252">
        <x:f>IF((COUNT('Quantification_Results'!AC252)=1),IFERROR(ROUND((SUM(('Quantification_Results'!AC252*'Quantification_Config'!$R$12))/SUM('Quantification_Config'!$R$12)),'Quantification_Config'!$U$2),""),"")</x:f>
      </x:c>
      <x:c r="AJ252">
        <x:f>IF((COUNT('Quantification_Results'!AI252)=1),IFERROR(ROUND((SUM(('Quantification_Results'!AI252*'Quantification_Config'!$R$11))/SUM('Quantification_Config'!$R$11)),'Quantification_Config'!$U$2),""),"")</x:f>
      </x:c>
      <x:c r="AK252" t="n">
        <x:v>1</x:v>
      </x:c>
      <x:c r="AL252" t="n">
        <x:v>5</x:v>
      </x:c>
      <x:c r="AM252"/>
      <x:c r="AN252" t="n">
        <x:f>IF(('Quantification_Results'!AK252&lt;&gt;1),"",IF(('Quantification_Results'!AM252=""),IF(ISNUMBER('Quantification_Results'!AL252),IF(('Quantification_Results'!AL252&lt;'Quantification_Config'!$S$15),"",IF(('Quantification_Results'!AL252&gt;'Quantification_Config'!$T$15),"",'Quantification_Results'!AL252)),""),IF(ISNUMBER('Quantification_Results'!AM252),IF(('Quantification_Results'!AM252&lt;'Quantification_Config'!$S$15),"",IF(('Quantification_Results'!AM252&gt;'Quantification_Config'!$T$15),"",'Quantification_Results'!AM252)),"")))</x:f>
        <x:v>5</x:v>
      </x:c>
      <x:c r="AO252" t="n">
        <x:f>IF(ISNUMBER('Quantification_Results'!AN252),IFERROR(ROUND(((('Quantification_Results'!AN252-'Quantification_Config'!$S$15)/('Quantification_Config'!$T$15-'Quantification_Config'!$S$15))*100),'Quantification_Config'!$U$2),""),"")</x:f>
        <x:v>50</x:v>
      </x:c>
      <x:c r="AP252" t="inlineStr">
        <x:is>
          <x:t xml:space="preserve">SYSTEM-TEST-ONLY-NO-NETWORK-NOT-AN-EDUCATIONAL-EVALUATION</x:t>
        </x:is>
      </x:c>
      <x:c r="AQ252" t="inlineStr">
        <x:is>
          <x:t xml:space="preserve"/>
        </x:is>
      </x:c>
      <x:c r="AR252" t="inlineStr">
        <x:is>
          <x:t xml:space="preserve">NONE</x:t>
        </x:is>
      </x:c>
      <x:c r="AS252" t="inlineStr">
        <x:is>
          <x:t xml:space="preserve"/>
        </x:is>
      </x:c>
      <x:c r="AT252" t="inlineStr">
        <x:is>
          <x:t xml:space="preserve">SUCCESS</x:t>
        </x:is>
      </x:c>
      <x:c r="AU252" t="n">
        <x:f>IF((COUNT('Quantification_Results'!AO252)=1),IFERROR(ROUND((SUM(('Quantification_Results'!AO252*'Quantification_Config'!$R$15))/SUM('Quantification_Config'!$R$15)),'Quantification_Config'!$U$2),""),"")</x:f>
        <x:v>50</x:v>
      </x:c>
      <x:c r="AV252" t="n">
        <x:f>IF((COUNT('Quantification_Results'!AU252)=1),IFERROR(ROUND((SUM(('Quantification_Results'!AU252*'Quantification_Config'!$R$14))/SUM('Quantification_Config'!$R$14)),'Quantification_Config'!$U$2),""),"")</x:f>
        <x:v>50</x:v>
      </x:c>
      <x:c r="AW252" t="n">
        <x:v>0</x:v>
      </x:c>
      <x:c r="AX252"/>
      <x:c r="AY252"/>
      <x:c r="AZ252">
        <x:f>IF(('Quantification_Results'!AW252&lt;&gt;1),"",IF(('Quantification_Results'!AY252=""),IF(ISNUMBER('Quantification_Results'!AX252),IF(('Quantification_Results'!AX252&lt;'Quantification_Config'!$S$19),"",IF(('Quantification_Results'!AX252&gt;'Quantification_Config'!$T$19),"",'Quantification_Results'!AX252)),""),IF(ISNUMBER('Quantification_Results'!AY252),IF(('Quantification_Results'!AY252&lt;'Quantification_Config'!$S$19),"",IF(('Quantification_Results'!AY252&gt;'Quantification_Config'!$T$19),"",'Quantification_Results'!AY252)),"")))</x:f>
      </x:c>
      <x:c r="BA252">
        <x:f>IF(ISNUMBER('Quantification_Results'!AZ252),IFERROR(ROUND(((('Quantification_Results'!AZ252-'Quantification_Config'!$S$19)/('Quantification_Config'!$T$19-'Quantification_Config'!$S$19))*100),'Quantification_Config'!$U$2),""),"")</x:f>
      </x:c>
      <x:c r="BB252" t="inlineStr">
        <x:is>
          <x:t xml:space="preserve"/>
        </x:is>
      </x:c>
      <x:c r="BC252" t="inlineStr">
        <x:is>
          <x:t xml:space="preserve"/>
        </x:is>
      </x:c>
      <x:c r="BD252" t="inlineStr">
        <x:is>
          <x:t xml:space="preserve"/>
        </x:is>
      </x:c>
      <x:c r="BE252" t="inlineStr">
        <x:is>
          <x:t xml:space="preserve"/>
        </x:is>
      </x:c>
      <x:c r="BF252" t="inlineStr">
        <x:is>
          <x:t xml:space="preserve">EMPTY</x:t>
        </x:is>
      </x:c>
      <x:c r="BG252">
        <x:f>IF((COUNT('Quantification_Results'!BA252)=1),IFERROR(ROUND((SUM(('Quantification_Results'!BA252*'Quantification_Config'!$R$19))/SUM('Quantification_Config'!$R$19)),'Quantification_Config'!$U$2),""),"")</x:f>
      </x:c>
      <x:c r="BH252">
        <x:f>IF((COUNT('Quantification_Results'!BG252)=1),IFERROR(ROUND((SUM(('Quantification_Results'!BG252*'Quantification_Config'!$R$18))/SUM('Quantification_Config'!$R$18)),'Quantification_Config'!$U$2),""),"")</x:f>
      </x:c>
      <x:c r="BI252">
        <x:f>IF((COUNT('Quantification_Results'!L252,'Quantification_Results'!X252,'Quantification_Results'!AJ252,'Quantification_Results'!AV252,'Quantification_Results'!BH252)=5),IFERROR(ROUND((SUM(('Quantification_Results'!L252*'Quantification_Config'!$R$4),('Quantification_Results'!X252*'Quantification_Config'!$R$7),('Quantification_Results'!AJ252*'Quantification_Config'!$R$10),('Quantification_Results'!AV252*'Quantification_Config'!$R$13),('Quantification_Results'!BH252*'Quantification_Config'!$R$16))/SUM('Quantification_Config'!$R$4,'Quantification_Config'!$R$7,'Quantification_Config'!$R$10,'Quantification_Config'!$R$13,'Quantification_Config'!$R$16)),'Quantification_Config'!$U$2),""),"")</x:f>
      </x:c>
    </x:row>
    <x:row r="253">
      <x:c r="A253" t="n">
        <x:v>1</x:v>
      </x:c>
      <x:c r="B253" t="n">
        <x:v>5</x:v>
      </x:c>
      <x:c r="C253"/>
      <x:c r="D253" t="n">
        <x:f>IF(('Quantification_Results'!A253&lt;&gt;1),"",IF(('Quantification_Results'!C253=""),IF(ISNUMBER('Quantification_Results'!B253),IF(('Quantification_Results'!B253&lt;'Quantification_Config'!$S$6),"",IF(('Quantification_Results'!B253&gt;'Quantification_Config'!$T$6),"",'Quantification_Results'!B253)),""),IF(ISNUMBER('Quantification_Results'!C253),IF(('Quantification_Results'!C253&lt;'Quantification_Config'!$S$6),"",IF(('Quantification_Results'!C253&gt;'Quantification_Config'!$T$6),"",'Quantification_Results'!C253)),"")))</x:f>
        <x:v>5</x:v>
      </x:c>
      <x:c r="E253" t="n">
        <x:f>IF(ISNUMBER('Quantification_Results'!D253),IFERROR(ROUND(((('Quantification_Results'!D253-'Quantification_Config'!$S$6)/('Quantification_Config'!$T$6-'Quantification_Config'!$S$6))*100),'Quantification_Config'!$U$2),""),"")</x:f>
        <x:v>50</x:v>
      </x:c>
      <x:c r="F253" t="inlineStr">
        <x:is>
          <x:t xml:space="preserve">SYSTEM-TEST-ONLY-NO-NETWORK-NOT-AN-EDUCATIONAL-EVALUATION</x:t>
        </x:is>
      </x:c>
      <x:c r="G253" t="inlineStr">
        <x:is>
          <x:t xml:space="preserve"/>
        </x:is>
      </x:c>
      <x:c r="H253" t="inlineStr">
        <x:is>
          <x:t xml:space="preserve">NONE</x:t>
        </x:is>
      </x:c>
      <x:c r="I253" t="inlineStr">
        <x:is>
          <x:t xml:space="preserve"/>
        </x:is>
      </x:c>
      <x:c r="J253" t="inlineStr">
        <x:is>
          <x:t xml:space="preserve">SUCCESS</x:t>
        </x:is>
      </x:c>
      <x:c r="K253" t="n">
        <x:f>IF((COUNT('Quantification_Results'!E253)=1),IFERROR(ROUND((SUM(('Quantification_Results'!E253*'Quantification_Config'!$R$6))/SUM('Quantification_Config'!$R$6)),'Quantification_Config'!$U$2),""),"")</x:f>
        <x:v>50</x:v>
      </x:c>
      <x:c r="L253" t="n">
        <x:f>IF((COUNT('Quantification_Results'!K253)=1),IFERROR(ROUND((SUM(('Quantification_Results'!K253*'Quantification_Config'!$R$5))/SUM('Quantification_Config'!$R$5)),'Quantification_Config'!$U$2),""),"")</x:f>
        <x:v>50</x:v>
      </x:c>
      <x:c r="M253" t="n">
        <x:v>0</x:v>
      </x:c>
      <x:c r="N253"/>
      <x:c r="O253"/>
      <x:c r="P253">
        <x:f>IF(('Quantification_Results'!M253&lt;&gt;1),"",IF(('Quantification_Results'!O253=""),IF(ISNUMBER('Quantification_Results'!N253),IF(('Quantification_Results'!N253&lt;'Quantification_Config'!$S$9),"",IF(('Quantification_Results'!N253&gt;'Quantification_Config'!$T$9),"",'Quantification_Results'!N253)),""),IF(ISNUMBER('Quantification_Results'!O253),IF(('Quantification_Results'!O253&lt;'Quantification_Config'!$S$9),"",IF(('Quantification_Results'!O253&gt;'Quantification_Config'!$T$9),"",'Quantification_Results'!O253)),"")))</x:f>
      </x:c>
      <x:c r="Q253">
        <x:f>IF(ISNUMBER('Quantification_Results'!P253),IFERROR(ROUND(((('Quantification_Results'!P253-'Quantification_Config'!$S$9)/('Quantification_Config'!$T$9-'Quantification_Config'!$S$9))*100),'Quantification_Config'!$U$2),""),"")</x:f>
      </x:c>
      <x:c r="R253" t="inlineStr">
        <x:is>
          <x:t xml:space="preserve"/>
        </x:is>
      </x:c>
      <x:c r="S253" t="inlineStr">
        <x:is>
          <x:t xml:space="preserve"/>
        </x:is>
      </x:c>
      <x:c r="T253" t="inlineStr">
        <x:is>
          <x:t xml:space="preserve"/>
        </x:is>
      </x:c>
      <x:c r="U253" t="inlineStr">
        <x:is>
          <x:t xml:space="preserve"/>
        </x:is>
      </x:c>
      <x:c r="V253" t="inlineStr">
        <x:is>
          <x:t xml:space="preserve">EMPTY</x:t>
        </x:is>
      </x:c>
      <x:c r="W253">
        <x:f>IF((COUNT('Quantification_Results'!Q253)=1),IFERROR(ROUND((SUM(('Quantification_Results'!Q253*'Quantification_Config'!$R$9))/SUM('Quantification_Config'!$R$9)),'Quantification_Config'!$U$2),""),"")</x:f>
      </x:c>
      <x:c r="X253">
        <x:f>IF((COUNT('Quantification_Results'!W253)=1),IFERROR(ROUND((SUM(('Quantification_Results'!W253*'Quantification_Config'!$R$8))/SUM('Quantification_Config'!$R$8)),'Quantification_Config'!$U$2),""),"")</x:f>
      </x:c>
      <x:c r="Y253" t="n">
        <x:v>0</x:v>
      </x:c>
      <x:c r="Z253"/>
      <x:c r="AA253"/>
      <x:c r="AB253">
        <x:f>IF(('Quantification_Results'!Y253&lt;&gt;1),"",IF(('Quantification_Results'!AA253=""),IF(ISNUMBER('Quantification_Results'!Z253),IF(('Quantification_Results'!Z253&lt;'Quantification_Config'!$S$12),"",IF(('Quantification_Results'!Z253&gt;'Quantification_Config'!$T$12),"",'Quantification_Results'!Z253)),""),IF(ISNUMBER('Quantification_Results'!AA253),IF(('Quantification_Results'!AA253&lt;'Quantification_Config'!$S$12),"",IF(('Quantification_Results'!AA253&gt;'Quantification_Config'!$T$12),"",'Quantification_Results'!AA253)),"")))</x:f>
      </x:c>
      <x:c r="AC253">
        <x:f>IF(ISNUMBER('Quantification_Results'!AB253),IFERROR(ROUND(((('Quantification_Results'!AB253-'Quantification_Config'!$S$12)/('Quantification_Config'!$T$12-'Quantification_Config'!$S$12))*100),'Quantification_Config'!$U$2),""),"")</x:f>
      </x:c>
      <x:c r="AD253" t="inlineStr">
        <x:is>
          <x:t xml:space="preserve"/>
        </x:is>
      </x:c>
      <x:c r="AE253" t="inlineStr">
        <x:is>
          <x:t xml:space="preserve"/>
        </x:is>
      </x:c>
      <x:c r="AF253" t="inlineStr">
        <x:is>
          <x:t xml:space="preserve"/>
        </x:is>
      </x:c>
      <x:c r="AG253" t="inlineStr">
        <x:is>
          <x:t xml:space="preserve"/>
        </x:is>
      </x:c>
      <x:c r="AH253" t="inlineStr">
        <x:is>
          <x:t xml:space="preserve">EMPTY</x:t>
        </x:is>
      </x:c>
      <x:c r="AI253">
        <x:f>IF((COUNT('Quantification_Results'!AC253)=1),IFERROR(ROUND((SUM(('Quantification_Results'!AC253*'Quantification_Config'!$R$12))/SUM('Quantification_Config'!$R$12)),'Quantification_Config'!$U$2),""),"")</x:f>
      </x:c>
      <x:c r="AJ253">
        <x:f>IF((COUNT('Quantification_Results'!AI253)=1),IFERROR(ROUND((SUM(('Quantification_Results'!AI253*'Quantification_Config'!$R$11))/SUM('Quantification_Config'!$R$11)),'Quantification_Config'!$U$2),""),"")</x:f>
      </x:c>
      <x:c r="AK253" t="n">
        <x:v>1</x:v>
      </x:c>
      <x:c r="AL253" t="n">
        <x:v>5</x:v>
      </x:c>
      <x:c r="AM253"/>
      <x:c r="AN253" t="n">
        <x:f>IF(('Quantification_Results'!AK253&lt;&gt;1),"",IF(('Quantification_Results'!AM253=""),IF(ISNUMBER('Quantification_Results'!AL253),IF(('Quantification_Results'!AL253&lt;'Quantification_Config'!$S$15),"",IF(('Quantification_Results'!AL253&gt;'Quantification_Config'!$T$15),"",'Quantification_Results'!AL253)),""),IF(ISNUMBER('Quantification_Results'!AM253),IF(('Quantification_Results'!AM253&lt;'Quantification_Config'!$S$15),"",IF(('Quantification_Results'!AM253&gt;'Quantification_Config'!$T$15),"",'Quantification_Results'!AM253)),"")))</x:f>
        <x:v>5</x:v>
      </x:c>
      <x:c r="AO253" t="n">
        <x:f>IF(ISNUMBER('Quantification_Results'!AN253),IFERROR(ROUND(((('Quantification_Results'!AN253-'Quantification_Config'!$S$15)/('Quantification_Config'!$T$15-'Quantification_Config'!$S$15))*100),'Quantification_Config'!$U$2),""),"")</x:f>
        <x:v>50</x:v>
      </x:c>
      <x:c r="AP253" t="inlineStr">
        <x:is>
          <x:t xml:space="preserve">SYSTEM-TEST-ONLY-NO-NETWORK-NOT-AN-EDUCATIONAL-EVALUATION</x:t>
        </x:is>
      </x:c>
      <x:c r="AQ253" t="inlineStr">
        <x:is>
          <x:t xml:space="preserve"/>
        </x:is>
      </x:c>
      <x:c r="AR253" t="inlineStr">
        <x:is>
          <x:t xml:space="preserve">NONE</x:t>
        </x:is>
      </x:c>
      <x:c r="AS253" t="inlineStr">
        <x:is>
          <x:t xml:space="preserve"/>
        </x:is>
      </x:c>
      <x:c r="AT253" t="inlineStr">
        <x:is>
          <x:t xml:space="preserve">SUCCESS</x:t>
        </x:is>
      </x:c>
      <x:c r="AU253" t="n">
        <x:f>IF((COUNT('Quantification_Results'!AO253)=1),IFERROR(ROUND((SUM(('Quantification_Results'!AO253*'Quantification_Config'!$R$15))/SUM('Quantification_Config'!$R$15)),'Quantification_Config'!$U$2),""),"")</x:f>
        <x:v>50</x:v>
      </x:c>
      <x:c r="AV253" t="n">
        <x:f>IF((COUNT('Quantification_Results'!AU253)=1),IFERROR(ROUND((SUM(('Quantification_Results'!AU253*'Quantification_Config'!$R$14))/SUM('Quantification_Config'!$R$14)),'Quantification_Config'!$U$2),""),"")</x:f>
        <x:v>50</x:v>
      </x:c>
      <x:c r="AW253" t="n">
        <x:v>1</x:v>
      </x:c>
      <x:c r="AX253" t="n">
        <x:v>5</x:v>
      </x:c>
      <x:c r="AY253"/>
      <x:c r="AZ253" t="n">
        <x:f>IF(('Quantification_Results'!AW253&lt;&gt;1),"",IF(('Quantification_Results'!AY253=""),IF(ISNUMBER('Quantification_Results'!AX253),IF(('Quantification_Results'!AX253&lt;'Quantification_Config'!$S$19),"",IF(('Quantification_Results'!AX253&gt;'Quantification_Config'!$T$19),"",'Quantification_Results'!AX253)),""),IF(ISNUMBER('Quantification_Results'!AY253),IF(('Quantification_Results'!AY253&lt;'Quantification_Config'!$S$19),"",IF(('Quantification_Results'!AY253&gt;'Quantification_Config'!$T$19),"",'Quantification_Results'!AY253)),"")))</x:f>
        <x:v>5</x:v>
      </x:c>
      <x:c r="BA253" t="n">
        <x:f>IF(ISNUMBER('Quantification_Results'!AZ253),IFERROR(ROUND(((('Quantification_Results'!AZ253-'Quantification_Config'!$S$19)/('Quantification_Config'!$T$19-'Quantification_Config'!$S$19))*100),'Quantification_Config'!$U$2),""),"")</x:f>
        <x:v>50</x:v>
      </x:c>
      <x:c r="BB253" t="inlineStr">
        <x:is>
          <x:t xml:space="preserve">SYSTEM-TEST-ONLY-NO-NETWORK-NOT-AN-EDUCATIONAL-EVALUATION</x:t>
        </x:is>
      </x:c>
      <x:c r="BC253" t="inlineStr">
        <x:is>
          <x:t xml:space="preserve"/>
        </x:is>
      </x:c>
      <x:c r="BD253" t="inlineStr">
        <x:is>
          <x:t xml:space="preserve">NONE</x:t>
        </x:is>
      </x:c>
      <x:c r="BE253" t="inlineStr">
        <x:is>
          <x:t xml:space="preserve"/>
        </x:is>
      </x:c>
      <x:c r="BF253" t="inlineStr">
        <x:is>
          <x:t xml:space="preserve">SUCCESS</x:t>
        </x:is>
      </x:c>
      <x:c r="BG253" t="n">
        <x:f>IF((COUNT('Quantification_Results'!BA253)=1),IFERROR(ROUND((SUM(('Quantification_Results'!BA253*'Quantification_Config'!$R$19))/SUM('Quantification_Config'!$R$19)),'Quantification_Config'!$U$2),""),"")</x:f>
        <x:v>50</x:v>
      </x:c>
      <x:c r="BH253" t="n">
        <x:f>IF((COUNT('Quantification_Results'!BG253)=1),IFERROR(ROUND((SUM(('Quantification_Results'!BG253*'Quantification_Config'!$R$18))/SUM('Quantification_Config'!$R$18)),'Quantification_Config'!$U$2),""),"")</x:f>
        <x:v>50</x:v>
      </x:c>
      <x:c r="BI253">
        <x:f>IF((COUNT('Quantification_Results'!L253,'Quantification_Results'!X253,'Quantification_Results'!AJ253,'Quantification_Results'!AV253,'Quantification_Results'!BH253)=5),IFERROR(ROUND((SUM(('Quantification_Results'!L253*'Quantification_Config'!$R$4),('Quantification_Results'!X253*'Quantification_Config'!$R$7),('Quantification_Results'!AJ253*'Quantification_Config'!$R$10),('Quantification_Results'!AV253*'Quantification_Config'!$R$13),('Quantification_Results'!BH253*'Quantification_Config'!$R$16))/SUM('Quantification_Config'!$R$4,'Quantification_Config'!$R$7,'Quantification_Config'!$R$10,'Quantification_Config'!$R$13,'Quantification_Config'!$R$16)),'Quantification_Config'!$U$2),""),"")</x:f>
      </x:c>
    </x:row>
    <x:row r="254">
      <x:c r="A254" t="n">
        <x:v>1</x:v>
      </x:c>
      <x:c r="B254" t="n">
        <x:v>5</x:v>
      </x:c>
      <x:c r="C254"/>
      <x:c r="D254" t="n">
        <x:f>IF(('Quantification_Results'!A254&lt;&gt;1),"",IF(('Quantification_Results'!C254=""),IF(ISNUMBER('Quantification_Results'!B254),IF(('Quantification_Results'!B254&lt;'Quantification_Config'!$S$6),"",IF(('Quantification_Results'!B254&gt;'Quantification_Config'!$T$6),"",'Quantification_Results'!B254)),""),IF(ISNUMBER('Quantification_Results'!C254),IF(('Quantification_Results'!C254&lt;'Quantification_Config'!$S$6),"",IF(('Quantification_Results'!C254&gt;'Quantification_Config'!$T$6),"",'Quantification_Results'!C254)),"")))</x:f>
        <x:v>5</x:v>
      </x:c>
      <x:c r="E254" t="n">
        <x:f>IF(ISNUMBER('Quantification_Results'!D254),IFERROR(ROUND(((('Quantification_Results'!D254-'Quantification_Config'!$S$6)/('Quantification_Config'!$T$6-'Quantification_Config'!$S$6))*100),'Quantification_Config'!$U$2),""),"")</x:f>
        <x:v>50</x:v>
      </x:c>
      <x:c r="F254" t="inlineStr">
        <x:is>
          <x:t xml:space="preserve">SYSTEM-TEST-ONLY-NO-NETWORK-NOT-AN-EDUCATIONAL-EVALUATION</x:t>
        </x:is>
      </x:c>
      <x:c r="G254" t="inlineStr">
        <x:is>
          <x:t xml:space="preserve"/>
        </x:is>
      </x:c>
      <x:c r="H254" t="inlineStr">
        <x:is>
          <x:t xml:space="preserve">NONE</x:t>
        </x:is>
      </x:c>
      <x:c r="I254" t="inlineStr">
        <x:is>
          <x:t xml:space="preserve"/>
        </x:is>
      </x:c>
      <x:c r="J254" t="inlineStr">
        <x:is>
          <x:t xml:space="preserve">SUCCESS</x:t>
        </x:is>
      </x:c>
      <x:c r="K254" t="n">
        <x:f>IF((COUNT('Quantification_Results'!E254)=1),IFERROR(ROUND((SUM(('Quantification_Results'!E254*'Quantification_Config'!$R$6))/SUM('Quantification_Config'!$R$6)),'Quantification_Config'!$U$2),""),"")</x:f>
        <x:v>50</x:v>
      </x:c>
      <x:c r="L254" t="n">
        <x:f>IF((COUNT('Quantification_Results'!K254)=1),IFERROR(ROUND((SUM(('Quantification_Results'!K254*'Quantification_Config'!$R$5))/SUM('Quantification_Config'!$R$5)),'Quantification_Config'!$U$2),""),"")</x:f>
        <x:v>50</x:v>
      </x:c>
      <x:c r="M254" t="n">
        <x:v>1</x:v>
      </x:c>
      <x:c r="N254" t="n">
        <x:v>5</x:v>
      </x:c>
      <x:c r="O254"/>
      <x:c r="P254" t="n">
        <x:f>IF(('Quantification_Results'!M254&lt;&gt;1),"",IF(('Quantification_Results'!O254=""),IF(ISNUMBER('Quantification_Results'!N254),IF(('Quantification_Results'!N254&lt;'Quantification_Config'!$S$9),"",IF(('Quantification_Results'!N254&gt;'Quantification_Config'!$T$9),"",'Quantification_Results'!N254)),""),IF(ISNUMBER('Quantification_Results'!O254),IF(('Quantification_Results'!O254&lt;'Quantification_Config'!$S$9),"",IF(('Quantification_Results'!O254&gt;'Quantification_Config'!$T$9),"",'Quantification_Results'!O254)),"")))</x:f>
        <x:v>5</x:v>
      </x:c>
      <x:c r="Q254" t="n">
        <x:f>IF(ISNUMBER('Quantification_Results'!P254),IFERROR(ROUND(((('Quantification_Results'!P254-'Quantification_Config'!$S$9)/('Quantification_Config'!$T$9-'Quantification_Config'!$S$9))*100),'Quantification_Config'!$U$2),""),"")</x:f>
        <x:v>50</x:v>
      </x:c>
      <x:c r="R254" t="inlineStr">
        <x:is>
          <x:t xml:space="preserve">SYSTEM-TEST-ONLY-NO-NETWORK-NOT-AN-EDUCATIONAL-EVALUATION</x:t>
        </x:is>
      </x:c>
      <x:c r="S254" t="inlineStr">
        <x:is>
          <x:t xml:space="preserve"/>
        </x:is>
      </x:c>
      <x:c r="T254" t="inlineStr">
        <x:is>
          <x:t xml:space="preserve">NONE</x:t>
        </x:is>
      </x:c>
      <x:c r="U254" t="inlineStr">
        <x:is>
          <x:t xml:space="preserve"/>
        </x:is>
      </x:c>
      <x:c r="V254" t="inlineStr">
        <x:is>
          <x:t xml:space="preserve">SUCCESS</x:t>
        </x:is>
      </x:c>
      <x:c r="W254" t="n">
        <x:f>IF((COUNT('Quantification_Results'!Q254)=1),IFERROR(ROUND((SUM(('Quantification_Results'!Q254*'Quantification_Config'!$R$9))/SUM('Quantification_Config'!$R$9)),'Quantification_Config'!$U$2),""),"")</x:f>
        <x:v>50</x:v>
      </x:c>
      <x:c r="X254" t="n">
        <x:f>IF((COUNT('Quantification_Results'!W254)=1),IFERROR(ROUND((SUM(('Quantification_Results'!W254*'Quantification_Config'!$R$8))/SUM('Quantification_Config'!$R$8)),'Quantification_Config'!$U$2),""),"")</x:f>
        <x:v>50</x:v>
      </x:c>
      <x:c r="Y254" t="n">
        <x:v>0</x:v>
      </x:c>
      <x:c r="Z254"/>
      <x:c r="AA254"/>
      <x:c r="AB254">
        <x:f>IF(('Quantification_Results'!Y254&lt;&gt;1),"",IF(('Quantification_Results'!AA254=""),IF(ISNUMBER('Quantification_Results'!Z254),IF(('Quantification_Results'!Z254&lt;'Quantification_Config'!$S$12),"",IF(('Quantification_Results'!Z254&gt;'Quantification_Config'!$T$12),"",'Quantification_Results'!Z254)),""),IF(ISNUMBER('Quantification_Results'!AA254),IF(('Quantification_Results'!AA254&lt;'Quantification_Config'!$S$12),"",IF(('Quantification_Results'!AA254&gt;'Quantification_Config'!$T$12),"",'Quantification_Results'!AA254)),"")))</x:f>
      </x:c>
      <x:c r="AC254">
        <x:f>IF(ISNUMBER('Quantification_Results'!AB254),IFERROR(ROUND(((('Quantification_Results'!AB254-'Quantification_Config'!$S$12)/('Quantification_Config'!$T$12-'Quantification_Config'!$S$12))*100),'Quantification_Config'!$U$2),""),"")</x:f>
      </x:c>
      <x:c r="AD254" t="inlineStr">
        <x:is>
          <x:t xml:space="preserve"/>
        </x:is>
      </x:c>
      <x:c r="AE254" t="inlineStr">
        <x:is>
          <x:t xml:space="preserve"/>
        </x:is>
      </x:c>
      <x:c r="AF254" t="inlineStr">
        <x:is>
          <x:t xml:space="preserve"/>
        </x:is>
      </x:c>
      <x:c r="AG254" t="inlineStr">
        <x:is>
          <x:t xml:space="preserve"/>
        </x:is>
      </x:c>
      <x:c r="AH254" t="inlineStr">
        <x:is>
          <x:t xml:space="preserve">EMPTY</x:t>
        </x:is>
      </x:c>
      <x:c r="AI254">
        <x:f>IF((COUNT('Quantification_Results'!AC254)=1),IFERROR(ROUND((SUM(('Quantification_Results'!AC254*'Quantification_Config'!$R$12))/SUM('Quantification_Config'!$R$12)),'Quantification_Config'!$U$2),""),"")</x:f>
      </x:c>
      <x:c r="AJ254">
        <x:f>IF((COUNT('Quantification_Results'!AI254)=1),IFERROR(ROUND((SUM(('Quantification_Results'!AI254*'Quantification_Config'!$R$11))/SUM('Quantification_Config'!$R$11)),'Quantification_Config'!$U$2),""),"")</x:f>
      </x:c>
      <x:c r="AK254" t="n">
        <x:v>1</x:v>
      </x:c>
      <x:c r="AL254" t="n">
        <x:v>5</x:v>
      </x:c>
      <x:c r="AM254"/>
      <x:c r="AN254" t="n">
        <x:f>IF(('Quantification_Results'!AK254&lt;&gt;1),"",IF(('Quantification_Results'!AM254=""),IF(ISNUMBER('Quantification_Results'!AL254),IF(('Quantification_Results'!AL254&lt;'Quantification_Config'!$S$15),"",IF(('Quantification_Results'!AL254&gt;'Quantification_Config'!$T$15),"",'Quantification_Results'!AL254)),""),IF(ISNUMBER('Quantification_Results'!AM254),IF(('Quantification_Results'!AM254&lt;'Quantification_Config'!$S$15),"",IF(('Quantification_Results'!AM254&gt;'Quantification_Config'!$T$15),"",'Quantification_Results'!AM254)),"")))</x:f>
        <x:v>5</x:v>
      </x:c>
      <x:c r="AO254" t="n">
        <x:f>IF(ISNUMBER('Quantification_Results'!AN254),IFERROR(ROUND(((('Quantification_Results'!AN254-'Quantification_Config'!$S$15)/('Quantification_Config'!$T$15-'Quantification_Config'!$S$15))*100),'Quantification_Config'!$U$2),""),"")</x:f>
        <x:v>50</x:v>
      </x:c>
      <x:c r="AP254" t="inlineStr">
        <x:is>
          <x:t xml:space="preserve">SYSTEM-TEST-ONLY-NO-NETWORK-NOT-AN-EDUCATIONAL-EVALUATION</x:t>
        </x:is>
      </x:c>
      <x:c r="AQ254" t="inlineStr">
        <x:is>
          <x:t xml:space="preserve"/>
        </x:is>
      </x:c>
      <x:c r="AR254" t="inlineStr">
        <x:is>
          <x:t xml:space="preserve">NONE</x:t>
        </x:is>
      </x:c>
      <x:c r="AS254" t="inlineStr">
        <x:is>
          <x:t xml:space="preserve"/>
        </x:is>
      </x:c>
      <x:c r="AT254" t="inlineStr">
        <x:is>
          <x:t xml:space="preserve">SUCCESS</x:t>
        </x:is>
      </x:c>
      <x:c r="AU254" t="n">
        <x:f>IF((COUNT('Quantification_Results'!AO254)=1),IFERROR(ROUND((SUM(('Quantification_Results'!AO254*'Quantification_Config'!$R$15))/SUM('Quantification_Config'!$R$15)),'Quantification_Config'!$U$2),""),"")</x:f>
        <x:v>50</x:v>
      </x:c>
      <x:c r="AV254" t="n">
        <x:f>IF((COUNT('Quantification_Results'!AU254)=1),IFERROR(ROUND((SUM(('Quantification_Results'!AU254*'Quantification_Config'!$R$14))/SUM('Quantification_Config'!$R$14)),'Quantification_Config'!$U$2),""),"")</x:f>
        <x:v>50</x:v>
      </x:c>
      <x:c r="AW254" t="n">
        <x:v>1</x:v>
      </x:c>
      <x:c r="AX254" t="n">
        <x:v>5</x:v>
      </x:c>
      <x:c r="AY254"/>
      <x:c r="AZ254" t="n">
        <x:f>IF(('Quantification_Results'!AW254&lt;&gt;1),"",IF(('Quantification_Results'!AY254=""),IF(ISNUMBER('Quantification_Results'!AX254),IF(('Quantification_Results'!AX254&lt;'Quantification_Config'!$S$19),"",IF(('Quantification_Results'!AX254&gt;'Quantification_Config'!$T$19),"",'Quantification_Results'!AX254)),""),IF(ISNUMBER('Quantification_Results'!AY254),IF(('Quantification_Results'!AY254&lt;'Quantification_Config'!$S$19),"",IF(('Quantification_Results'!AY254&gt;'Quantification_Config'!$T$19),"",'Quantification_Results'!AY254)),"")))</x:f>
        <x:v>5</x:v>
      </x:c>
      <x:c r="BA254" t="n">
        <x:f>IF(ISNUMBER('Quantification_Results'!AZ254),IFERROR(ROUND(((('Quantification_Results'!AZ254-'Quantification_Config'!$S$19)/('Quantification_Config'!$T$19-'Quantification_Config'!$S$19))*100),'Quantification_Config'!$U$2),""),"")</x:f>
        <x:v>50</x:v>
      </x:c>
      <x:c r="BB254" t="inlineStr">
        <x:is>
          <x:t xml:space="preserve">SYSTEM-TEST-ONLY-NO-NETWORK-NOT-AN-EDUCATIONAL-EVALUATION</x:t>
        </x:is>
      </x:c>
      <x:c r="BC254" t="inlineStr">
        <x:is>
          <x:t xml:space="preserve"/>
        </x:is>
      </x:c>
      <x:c r="BD254" t="inlineStr">
        <x:is>
          <x:t xml:space="preserve">NONE</x:t>
        </x:is>
      </x:c>
      <x:c r="BE254" t="inlineStr">
        <x:is>
          <x:t xml:space="preserve"/>
        </x:is>
      </x:c>
      <x:c r="BF254" t="inlineStr">
        <x:is>
          <x:t xml:space="preserve">SUCCESS</x:t>
        </x:is>
      </x:c>
      <x:c r="BG254" t="n">
        <x:f>IF((COUNT('Quantification_Results'!BA254)=1),IFERROR(ROUND((SUM(('Quantification_Results'!BA254*'Quantification_Config'!$R$19))/SUM('Quantification_Config'!$R$19)),'Quantification_Config'!$U$2),""),"")</x:f>
        <x:v>50</x:v>
      </x:c>
      <x:c r="BH254" t="n">
        <x:f>IF((COUNT('Quantification_Results'!BG254)=1),IFERROR(ROUND((SUM(('Quantification_Results'!BG254*'Quantification_Config'!$R$18))/SUM('Quantification_Config'!$R$18)),'Quantification_Config'!$U$2),""),"")</x:f>
        <x:v>50</x:v>
      </x:c>
      <x:c r="BI254">
        <x:f>IF((COUNT('Quantification_Results'!L254,'Quantification_Results'!X254,'Quantification_Results'!AJ254,'Quantification_Results'!AV254,'Quantification_Results'!BH254)=5),IFERROR(ROUND((SUM(('Quantification_Results'!L254*'Quantification_Config'!$R$4),('Quantification_Results'!X254*'Quantification_Config'!$R$7),('Quantification_Results'!AJ254*'Quantification_Config'!$R$10),('Quantification_Results'!AV254*'Quantification_Config'!$R$13),('Quantification_Results'!BH254*'Quantification_Config'!$R$16))/SUM('Quantification_Config'!$R$4,'Quantification_Config'!$R$7,'Quantification_Config'!$R$10,'Quantification_Config'!$R$13,'Quantification_Config'!$R$16)),'Quantification_Config'!$U$2),""),"")</x:f>
      </x:c>
    </x:row>
    <x:row r="255">
      <x:c r="A255" t="n">
        <x:v>1</x:v>
      </x:c>
      <x:c r="B255" t="n">
        <x:v>5</x:v>
      </x:c>
      <x:c r="C255"/>
      <x:c r="D255" t="n">
        <x:f>IF(('Quantification_Results'!A255&lt;&gt;1),"",IF(('Quantification_Results'!C255=""),IF(ISNUMBER('Quantification_Results'!B255),IF(('Quantification_Results'!B255&lt;'Quantification_Config'!$S$6),"",IF(('Quantification_Results'!B255&gt;'Quantification_Config'!$T$6),"",'Quantification_Results'!B255)),""),IF(ISNUMBER('Quantification_Results'!C255),IF(('Quantification_Results'!C255&lt;'Quantification_Config'!$S$6),"",IF(('Quantification_Results'!C255&gt;'Quantification_Config'!$T$6),"",'Quantification_Results'!C255)),"")))</x:f>
        <x:v>5</x:v>
      </x:c>
      <x:c r="E255" t="n">
        <x:f>IF(ISNUMBER('Quantification_Results'!D255),IFERROR(ROUND(((('Quantification_Results'!D255-'Quantification_Config'!$S$6)/('Quantification_Config'!$T$6-'Quantification_Config'!$S$6))*100),'Quantification_Config'!$U$2),""),"")</x:f>
        <x:v>50</x:v>
      </x:c>
      <x:c r="F255" t="inlineStr">
        <x:is>
          <x:t xml:space="preserve">SYSTEM-TEST-ONLY-NO-NETWORK-NOT-AN-EDUCATIONAL-EVALUATION</x:t>
        </x:is>
      </x:c>
      <x:c r="G255" t="inlineStr">
        <x:is>
          <x:t xml:space="preserve"/>
        </x:is>
      </x:c>
      <x:c r="H255" t="inlineStr">
        <x:is>
          <x:t xml:space="preserve">NONE</x:t>
        </x:is>
      </x:c>
      <x:c r="I255" t="inlineStr">
        <x:is>
          <x:t xml:space="preserve"/>
        </x:is>
      </x:c>
      <x:c r="J255" t="inlineStr">
        <x:is>
          <x:t xml:space="preserve">SUCCESS</x:t>
        </x:is>
      </x:c>
      <x:c r="K255" t="n">
        <x:f>IF((COUNT('Quantification_Results'!E255)=1),IFERROR(ROUND((SUM(('Quantification_Results'!E255*'Quantification_Config'!$R$6))/SUM('Quantification_Config'!$R$6)),'Quantification_Config'!$U$2),""),"")</x:f>
        <x:v>50</x:v>
      </x:c>
      <x:c r="L255" t="n">
        <x:f>IF((COUNT('Quantification_Results'!K255)=1),IFERROR(ROUND((SUM(('Quantification_Results'!K255*'Quantification_Config'!$R$5))/SUM('Quantification_Config'!$R$5)),'Quantification_Config'!$U$2),""),"")</x:f>
        <x:v>50</x:v>
      </x:c>
      <x:c r="M255" t="n">
        <x:v>1</x:v>
      </x:c>
      <x:c r="N255" t="n">
        <x:v>5</x:v>
      </x:c>
      <x:c r="O255"/>
      <x:c r="P255" t="n">
        <x:f>IF(('Quantification_Results'!M255&lt;&gt;1),"",IF(('Quantification_Results'!O255=""),IF(ISNUMBER('Quantification_Results'!N255),IF(('Quantification_Results'!N255&lt;'Quantification_Config'!$S$9),"",IF(('Quantification_Results'!N255&gt;'Quantification_Config'!$T$9),"",'Quantification_Results'!N255)),""),IF(ISNUMBER('Quantification_Results'!O255),IF(('Quantification_Results'!O255&lt;'Quantification_Config'!$S$9),"",IF(('Quantification_Results'!O255&gt;'Quantification_Config'!$T$9),"",'Quantification_Results'!O255)),"")))</x:f>
        <x:v>5</x:v>
      </x:c>
      <x:c r="Q255" t="n">
        <x:f>IF(ISNUMBER('Quantification_Results'!P255),IFERROR(ROUND(((('Quantification_Results'!P255-'Quantification_Config'!$S$9)/('Quantification_Config'!$T$9-'Quantification_Config'!$S$9))*100),'Quantification_Config'!$U$2),""),"")</x:f>
        <x:v>50</x:v>
      </x:c>
      <x:c r="R255" t="inlineStr">
        <x:is>
          <x:t xml:space="preserve">SYSTEM-TEST-ONLY-NO-NETWORK-NOT-AN-EDUCATIONAL-EVALUATION</x:t>
        </x:is>
      </x:c>
      <x:c r="S255" t="inlineStr">
        <x:is>
          <x:t xml:space="preserve"/>
        </x:is>
      </x:c>
      <x:c r="T255" t="inlineStr">
        <x:is>
          <x:t xml:space="preserve">NONE</x:t>
        </x:is>
      </x:c>
      <x:c r="U255" t="inlineStr">
        <x:is>
          <x:t xml:space="preserve"/>
        </x:is>
      </x:c>
      <x:c r="V255" t="inlineStr">
        <x:is>
          <x:t xml:space="preserve">SUCCESS</x:t>
        </x:is>
      </x:c>
      <x:c r="W255" t="n">
        <x:f>IF((COUNT('Quantification_Results'!Q255)=1),IFERROR(ROUND((SUM(('Quantification_Results'!Q255*'Quantification_Config'!$R$9))/SUM('Quantification_Config'!$R$9)),'Quantification_Config'!$U$2),""),"")</x:f>
        <x:v>50</x:v>
      </x:c>
      <x:c r="X255" t="n">
        <x:f>IF((COUNT('Quantification_Results'!W255)=1),IFERROR(ROUND((SUM(('Quantification_Results'!W255*'Quantification_Config'!$R$8))/SUM('Quantification_Config'!$R$8)),'Quantification_Config'!$U$2),""),"")</x:f>
        <x:v>50</x:v>
      </x:c>
      <x:c r="Y255" t="n">
        <x:v>1</x:v>
      </x:c>
      <x:c r="Z255" t="n">
        <x:v>5</x:v>
      </x:c>
      <x:c r="AA255"/>
      <x:c r="AB255" t="n">
        <x:f>IF(('Quantification_Results'!Y255&lt;&gt;1),"",IF(('Quantification_Results'!AA255=""),IF(ISNUMBER('Quantification_Results'!Z255),IF(('Quantification_Results'!Z255&lt;'Quantification_Config'!$S$12),"",IF(('Quantification_Results'!Z255&gt;'Quantification_Config'!$T$12),"",'Quantification_Results'!Z255)),""),IF(ISNUMBER('Quantification_Results'!AA255),IF(('Quantification_Results'!AA255&lt;'Quantification_Config'!$S$12),"",IF(('Quantification_Results'!AA255&gt;'Quantification_Config'!$T$12),"",'Quantification_Results'!AA255)),"")))</x:f>
        <x:v>5</x:v>
      </x:c>
      <x:c r="AC255" t="n">
        <x:f>IF(ISNUMBER('Quantification_Results'!AB255),IFERROR(ROUND(((('Quantification_Results'!AB255-'Quantification_Config'!$S$12)/('Quantification_Config'!$T$12-'Quantification_Config'!$S$12))*100),'Quantification_Config'!$U$2),""),"")</x:f>
        <x:v>50</x:v>
      </x:c>
      <x:c r="AD255" t="inlineStr">
        <x:is>
          <x:t xml:space="preserve">SYSTEM-TEST-ONLY-NO-NETWORK-NOT-AN-EDUCATIONAL-EVALUATION</x:t>
        </x:is>
      </x:c>
      <x:c r="AE255" t="inlineStr">
        <x:is>
          <x:t xml:space="preserve"/>
        </x:is>
      </x:c>
      <x:c r="AF255" t="inlineStr">
        <x:is>
          <x:t xml:space="preserve">NONE</x:t>
        </x:is>
      </x:c>
      <x:c r="AG255" t="inlineStr">
        <x:is>
          <x:t xml:space="preserve"/>
        </x:is>
      </x:c>
      <x:c r="AH255" t="inlineStr">
        <x:is>
          <x:t xml:space="preserve">SUCCESS</x:t>
        </x:is>
      </x:c>
      <x:c r="AI255" t="n">
        <x:f>IF((COUNT('Quantification_Results'!AC255)=1),IFERROR(ROUND((SUM(('Quantification_Results'!AC255*'Quantification_Config'!$R$12))/SUM('Quantification_Config'!$R$12)),'Quantification_Config'!$U$2),""),"")</x:f>
        <x:v>50</x:v>
      </x:c>
      <x:c r="AJ255" t="n">
        <x:f>IF((COUNT('Quantification_Results'!AI255)=1),IFERROR(ROUND((SUM(('Quantification_Results'!AI255*'Quantification_Config'!$R$11))/SUM('Quantification_Config'!$R$11)),'Quantification_Config'!$U$2),""),"")</x:f>
        <x:v>50</x:v>
      </x:c>
      <x:c r="AK255" t="n">
        <x:v>1</x:v>
      </x:c>
      <x:c r="AL255" t="n">
        <x:v>5</x:v>
      </x:c>
      <x:c r="AM255"/>
      <x:c r="AN255" t="n">
        <x:f>IF(('Quantification_Results'!AK255&lt;&gt;1),"",IF(('Quantification_Results'!AM255=""),IF(ISNUMBER('Quantification_Results'!AL255),IF(('Quantification_Results'!AL255&lt;'Quantification_Config'!$S$15),"",IF(('Quantification_Results'!AL255&gt;'Quantification_Config'!$T$15),"",'Quantification_Results'!AL255)),""),IF(ISNUMBER('Quantification_Results'!AM255),IF(('Quantification_Results'!AM255&lt;'Quantification_Config'!$S$15),"",IF(('Quantification_Results'!AM255&gt;'Quantification_Config'!$T$15),"",'Quantification_Results'!AM255)),"")))</x:f>
        <x:v>5</x:v>
      </x:c>
      <x:c r="AO255" t="n">
        <x:f>IF(ISNUMBER('Quantification_Results'!AN255),IFERROR(ROUND(((('Quantification_Results'!AN255-'Quantification_Config'!$S$15)/('Quantification_Config'!$T$15-'Quantification_Config'!$S$15))*100),'Quantification_Config'!$U$2),""),"")</x:f>
        <x:v>50</x:v>
      </x:c>
      <x:c r="AP255" t="inlineStr">
        <x:is>
          <x:t xml:space="preserve">SYSTEM-TEST-ONLY-NO-NETWORK-NOT-AN-EDUCATIONAL-EVALUATION</x:t>
        </x:is>
      </x:c>
      <x:c r="AQ255" t="inlineStr">
        <x:is>
          <x:t xml:space="preserve"/>
        </x:is>
      </x:c>
      <x:c r="AR255" t="inlineStr">
        <x:is>
          <x:t xml:space="preserve">NONE</x:t>
        </x:is>
      </x:c>
      <x:c r="AS255" t="inlineStr">
        <x:is>
          <x:t xml:space="preserve"/>
        </x:is>
      </x:c>
      <x:c r="AT255" t="inlineStr">
        <x:is>
          <x:t xml:space="preserve">SUCCESS</x:t>
        </x:is>
      </x:c>
      <x:c r="AU255" t="n">
        <x:f>IF((COUNT('Quantification_Results'!AO255)=1),IFERROR(ROUND((SUM(('Quantification_Results'!AO255*'Quantification_Config'!$R$15))/SUM('Quantification_Config'!$R$15)),'Quantification_Config'!$U$2),""),"")</x:f>
        <x:v>50</x:v>
      </x:c>
      <x:c r="AV255" t="n">
        <x:f>IF((COUNT('Quantification_Results'!AU255)=1),IFERROR(ROUND((SUM(('Quantification_Results'!AU255*'Quantification_Config'!$R$14))/SUM('Quantification_Config'!$R$14)),'Quantification_Config'!$U$2),""),"")</x:f>
        <x:v>50</x:v>
      </x:c>
      <x:c r="AW255" t="n">
        <x:v>1</x:v>
      </x:c>
      <x:c r="AX255" t="n">
        <x:v>5</x:v>
      </x:c>
      <x:c r="AY255"/>
      <x:c r="AZ255" t="n">
        <x:f>IF(('Quantification_Results'!AW255&lt;&gt;1),"",IF(('Quantification_Results'!AY255=""),IF(ISNUMBER('Quantification_Results'!AX255),IF(('Quantification_Results'!AX255&lt;'Quantification_Config'!$S$19),"",IF(('Quantification_Results'!AX255&gt;'Quantification_Config'!$T$19),"",'Quantification_Results'!AX255)),""),IF(ISNUMBER('Quantification_Results'!AY255),IF(('Quantification_Results'!AY255&lt;'Quantification_Config'!$S$19),"",IF(('Quantification_Results'!AY255&gt;'Quantification_Config'!$T$19),"",'Quantification_Results'!AY255)),"")))</x:f>
        <x:v>5</x:v>
      </x:c>
      <x:c r="BA255" t="n">
        <x:f>IF(ISNUMBER('Quantification_Results'!AZ255),IFERROR(ROUND(((('Quantification_Results'!AZ255-'Quantification_Config'!$S$19)/('Quantification_Config'!$T$19-'Quantification_Config'!$S$19))*100),'Quantification_Config'!$U$2),""),"")</x:f>
        <x:v>50</x:v>
      </x:c>
      <x:c r="BB255" t="inlineStr">
        <x:is>
          <x:t xml:space="preserve">SYSTEM-TEST-ONLY-NO-NETWORK-NOT-AN-EDUCATIONAL-EVALUATION</x:t>
        </x:is>
      </x:c>
      <x:c r="BC255" t="inlineStr">
        <x:is>
          <x:t xml:space="preserve"/>
        </x:is>
      </x:c>
      <x:c r="BD255" t="inlineStr">
        <x:is>
          <x:t xml:space="preserve">NONE</x:t>
        </x:is>
      </x:c>
      <x:c r="BE255" t="inlineStr">
        <x:is>
          <x:t xml:space="preserve"/>
        </x:is>
      </x:c>
      <x:c r="BF255" t="inlineStr">
        <x:is>
          <x:t xml:space="preserve">SUCCESS</x:t>
        </x:is>
      </x:c>
      <x:c r="BG255" t="n">
        <x:f>IF((COUNT('Quantification_Results'!BA255)=1),IFERROR(ROUND((SUM(('Quantification_Results'!BA255*'Quantification_Config'!$R$19))/SUM('Quantification_Config'!$R$19)),'Quantification_Config'!$U$2),""),"")</x:f>
        <x:v>50</x:v>
      </x:c>
      <x:c r="BH255" t="n">
        <x:f>IF((COUNT('Quantification_Results'!BG255)=1),IFERROR(ROUND((SUM(('Quantification_Results'!BG255*'Quantification_Config'!$R$18))/SUM('Quantification_Config'!$R$18)),'Quantification_Config'!$U$2),""),"")</x:f>
        <x:v>50</x:v>
      </x:c>
      <x:c r="BI255" t="n">
        <x:f>IF((COUNT('Quantification_Results'!L255,'Quantification_Results'!X255,'Quantification_Results'!AJ255,'Quantification_Results'!AV255,'Quantification_Results'!BH255)=5),IFERROR(ROUND((SUM(('Quantification_Results'!L255*'Quantification_Config'!$R$4),('Quantification_Results'!X255*'Quantification_Config'!$R$7),('Quantification_Results'!AJ255*'Quantification_Config'!$R$10),('Quantification_Results'!AV255*'Quantification_Config'!$R$13),('Quantification_Results'!BH255*'Quantification_Config'!$R$16))/SUM('Quantification_Config'!$R$4,'Quantification_Config'!$R$7,'Quantification_Config'!$R$10,'Quantification_Config'!$R$13,'Quantification_Config'!$R$16)),'Quantification_Config'!$U$2),""),"")</x:f>
        <x:v>50</x:v>
      </x:c>
    </x:row>
    <x:row r="256">
      <x:c r="A256" t="n">
        <x:v>1</x:v>
      </x:c>
      <x:c r="B256" t="n">
        <x:v>5</x:v>
      </x:c>
      <x:c r="C256"/>
      <x:c r="D256" t="n">
        <x:f>IF(('Quantification_Results'!A256&lt;&gt;1),"",IF(('Quantification_Results'!C256=""),IF(ISNUMBER('Quantification_Results'!B256),IF(('Quantification_Results'!B256&lt;'Quantification_Config'!$S$6),"",IF(('Quantification_Results'!B256&gt;'Quantification_Config'!$T$6),"",'Quantification_Results'!B256)),""),IF(ISNUMBER('Quantification_Results'!C256),IF(('Quantification_Results'!C256&lt;'Quantification_Config'!$S$6),"",IF(('Quantification_Results'!C256&gt;'Quantification_Config'!$T$6),"",'Quantification_Results'!C256)),"")))</x:f>
        <x:v>5</x:v>
      </x:c>
      <x:c r="E256" t="n">
        <x:f>IF(ISNUMBER('Quantification_Results'!D256),IFERROR(ROUND(((('Quantification_Results'!D256-'Quantification_Config'!$S$6)/('Quantification_Config'!$T$6-'Quantification_Config'!$S$6))*100),'Quantification_Config'!$U$2),""),"")</x:f>
        <x:v>50</x:v>
      </x:c>
      <x:c r="F256" t="inlineStr">
        <x:is>
          <x:t xml:space="preserve">SYSTEM-TEST-ONLY-NO-NETWORK-NOT-AN-EDUCATIONAL-EVALUATION</x:t>
        </x:is>
      </x:c>
      <x:c r="G256" t="inlineStr">
        <x:is>
          <x:t xml:space="preserve"/>
        </x:is>
      </x:c>
      <x:c r="H256" t="inlineStr">
        <x:is>
          <x:t xml:space="preserve">NONE</x:t>
        </x:is>
      </x:c>
      <x:c r="I256" t="inlineStr">
        <x:is>
          <x:t xml:space="preserve"/>
        </x:is>
      </x:c>
      <x:c r="J256" t="inlineStr">
        <x:is>
          <x:t xml:space="preserve">SUCCESS</x:t>
        </x:is>
      </x:c>
      <x:c r="K256" t="n">
        <x:f>IF((COUNT('Quantification_Results'!E256)=1),IFERROR(ROUND((SUM(('Quantification_Results'!E256*'Quantification_Config'!$R$6))/SUM('Quantification_Config'!$R$6)),'Quantification_Config'!$U$2),""),"")</x:f>
        <x:v>50</x:v>
      </x:c>
      <x:c r="L256" t="n">
        <x:f>IF((COUNT('Quantification_Results'!K256)=1),IFERROR(ROUND((SUM(('Quantification_Results'!K256*'Quantification_Config'!$R$5))/SUM('Quantification_Config'!$R$5)),'Quantification_Config'!$U$2),""),"")</x:f>
        <x:v>50</x:v>
      </x:c>
      <x:c r="M256" t="n">
        <x:v>1</x:v>
      </x:c>
      <x:c r="N256" t="n">
        <x:v>5</x:v>
      </x:c>
      <x:c r="O256"/>
      <x:c r="P256" t="n">
        <x:f>IF(('Quantification_Results'!M256&lt;&gt;1),"",IF(('Quantification_Results'!O256=""),IF(ISNUMBER('Quantification_Results'!N256),IF(('Quantification_Results'!N256&lt;'Quantification_Config'!$S$9),"",IF(('Quantification_Results'!N256&gt;'Quantification_Config'!$T$9),"",'Quantification_Results'!N256)),""),IF(ISNUMBER('Quantification_Results'!O256),IF(('Quantification_Results'!O256&lt;'Quantification_Config'!$S$9),"",IF(('Quantification_Results'!O256&gt;'Quantification_Config'!$T$9),"",'Quantification_Results'!O256)),"")))</x:f>
        <x:v>5</x:v>
      </x:c>
      <x:c r="Q256" t="n">
        <x:f>IF(ISNUMBER('Quantification_Results'!P256),IFERROR(ROUND(((('Quantification_Results'!P256-'Quantification_Config'!$S$9)/('Quantification_Config'!$T$9-'Quantification_Config'!$S$9))*100),'Quantification_Config'!$U$2),""),"")</x:f>
        <x:v>50</x:v>
      </x:c>
      <x:c r="R256" t="inlineStr">
        <x:is>
          <x:t xml:space="preserve">SYSTEM-TEST-ONLY-NO-NETWORK-NOT-AN-EDUCATIONAL-EVALUATION</x:t>
        </x:is>
      </x:c>
      <x:c r="S256" t="inlineStr">
        <x:is>
          <x:t xml:space="preserve"/>
        </x:is>
      </x:c>
      <x:c r="T256" t="inlineStr">
        <x:is>
          <x:t xml:space="preserve">NONE</x:t>
        </x:is>
      </x:c>
      <x:c r="U256" t="inlineStr">
        <x:is>
          <x:t xml:space="preserve"/>
        </x:is>
      </x:c>
      <x:c r="V256" t="inlineStr">
        <x:is>
          <x:t xml:space="preserve">SUCCESS</x:t>
        </x:is>
      </x:c>
      <x:c r="W256" t="n">
        <x:f>IF((COUNT('Quantification_Results'!Q256)=1),IFERROR(ROUND((SUM(('Quantification_Results'!Q256*'Quantification_Config'!$R$9))/SUM('Quantification_Config'!$R$9)),'Quantification_Config'!$U$2),""),"")</x:f>
        <x:v>50</x:v>
      </x:c>
      <x:c r="X256" t="n">
        <x:f>IF((COUNT('Quantification_Results'!W256)=1),IFERROR(ROUND((SUM(('Quantification_Results'!W256*'Quantification_Config'!$R$8))/SUM('Quantification_Config'!$R$8)),'Quantification_Config'!$U$2),""),"")</x:f>
        <x:v>50</x:v>
      </x:c>
      <x:c r="Y256" t="n">
        <x:v>0</x:v>
      </x:c>
      <x:c r="Z256"/>
      <x:c r="AA256"/>
      <x:c r="AB256">
        <x:f>IF(('Quantification_Results'!Y256&lt;&gt;1),"",IF(('Quantification_Results'!AA256=""),IF(ISNUMBER('Quantification_Results'!Z256),IF(('Quantification_Results'!Z256&lt;'Quantification_Config'!$S$12),"",IF(('Quantification_Results'!Z256&gt;'Quantification_Config'!$T$12),"",'Quantification_Results'!Z256)),""),IF(ISNUMBER('Quantification_Results'!AA256),IF(('Quantification_Results'!AA256&lt;'Quantification_Config'!$S$12),"",IF(('Quantification_Results'!AA256&gt;'Quantification_Config'!$T$12),"",'Quantification_Results'!AA256)),"")))</x:f>
      </x:c>
      <x:c r="AC256">
        <x:f>IF(ISNUMBER('Quantification_Results'!AB256),IFERROR(ROUND(((('Quantification_Results'!AB256-'Quantification_Config'!$S$12)/('Quantification_Config'!$T$12-'Quantification_Config'!$S$12))*100),'Quantification_Config'!$U$2),""),"")</x:f>
      </x:c>
      <x:c r="AD256" t="inlineStr">
        <x:is>
          <x:t xml:space="preserve"/>
        </x:is>
      </x:c>
      <x:c r="AE256" t="inlineStr">
        <x:is>
          <x:t xml:space="preserve"/>
        </x:is>
      </x:c>
      <x:c r="AF256" t="inlineStr">
        <x:is>
          <x:t xml:space="preserve"/>
        </x:is>
      </x:c>
      <x:c r="AG256" t="inlineStr">
        <x:is>
          <x:t xml:space="preserve"/>
        </x:is>
      </x:c>
      <x:c r="AH256" t="inlineStr">
        <x:is>
          <x:t xml:space="preserve">EMPTY</x:t>
        </x:is>
      </x:c>
      <x:c r="AI256">
        <x:f>IF((COUNT('Quantification_Results'!AC256)=1),IFERROR(ROUND((SUM(('Quantification_Results'!AC256*'Quantification_Config'!$R$12))/SUM('Quantification_Config'!$R$12)),'Quantification_Config'!$U$2),""),"")</x:f>
      </x:c>
      <x:c r="AJ256">
        <x:f>IF((COUNT('Quantification_Results'!AI256)=1),IFERROR(ROUND((SUM(('Quantification_Results'!AI256*'Quantification_Config'!$R$11))/SUM('Quantification_Config'!$R$11)),'Quantification_Config'!$U$2),""),"")</x:f>
      </x:c>
      <x:c r="AK256" t="n">
        <x:v>1</x:v>
      </x:c>
      <x:c r="AL256" t="n">
        <x:v>5</x:v>
      </x:c>
      <x:c r="AM256"/>
      <x:c r="AN256" t="n">
        <x:f>IF(('Quantification_Results'!AK256&lt;&gt;1),"",IF(('Quantification_Results'!AM256=""),IF(ISNUMBER('Quantification_Results'!AL256),IF(('Quantification_Results'!AL256&lt;'Quantification_Config'!$S$15),"",IF(('Quantification_Results'!AL256&gt;'Quantification_Config'!$T$15),"",'Quantification_Results'!AL256)),""),IF(ISNUMBER('Quantification_Results'!AM256),IF(('Quantification_Results'!AM256&lt;'Quantification_Config'!$S$15),"",IF(('Quantification_Results'!AM256&gt;'Quantification_Config'!$T$15),"",'Quantification_Results'!AM256)),"")))</x:f>
        <x:v>5</x:v>
      </x:c>
      <x:c r="AO256" t="n">
        <x:f>IF(ISNUMBER('Quantification_Results'!AN256),IFERROR(ROUND(((('Quantification_Results'!AN256-'Quantification_Config'!$S$15)/('Quantification_Config'!$T$15-'Quantification_Config'!$S$15))*100),'Quantification_Config'!$U$2),""),"")</x:f>
        <x:v>50</x:v>
      </x:c>
      <x:c r="AP256" t="inlineStr">
        <x:is>
          <x:t xml:space="preserve">SYSTEM-TEST-ONLY-NO-NETWORK-NOT-AN-EDUCATIONAL-EVALUATION</x:t>
        </x:is>
      </x:c>
      <x:c r="AQ256" t="inlineStr">
        <x:is>
          <x:t xml:space="preserve"/>
        </x:is>
      </x:c>
      <x:c r="AR256" t="inlineStr">
        <x:is>
          <x:t xml:space="preserve">NONE</x:t>
        </x:is>
      </x:c>
      <x:c r="AS256" t="inlineStr">
        <x:is>
          <x:t xml:space="preserve"/>
        </x:is>
      </x:c>
      <x:c r="AT256" t="inlineStr">
        <x:is>
          <x:t xml:space="preserve">SUCCESS</x:t>
        </x:is>
      </x:c>
      <x:c r="AU256" t="n">
        <x:f>IF((COUNT('Quantification_Results'!AO256)=1),IFERROR(ROUND((SUM(('Quantification_Results'!AO256*'Quantification_Config'!$R$15))/SUM('Quantification_Config'!$R$15)),'Quantification_Config'!$U$2),""),"")</x:f>
        <x:v>50</x:v>
      </x:c>
      <x:c r="AV256" t="n">
        <x:f>IF((COUNT('Quantification_Results'!AU256)=1),IFERROR(ROUND((SUM(('Quantification_Results'!AU256*'Quantification_Config'!$R$14))/SUM('Quantification_Config'!$R$14)),'Quantification_Config'!$U$2),""),"")</x:f>
        <x:v>50</x:v>
      </x:c>
      <x:c r="AW256" t="n">
        <x:v>1</x:v>
      </x:c>
      <x:c r="AX256" t="n">
        <x:v>5</x:v>
      </x:c>
      <x:c r="AY256"/>
      <x:c r="AZ256" t="n">
        <x:f>IF(('Quantification_Results'!AW256&lt;&gt;1),"",IF(('Quantification_Results'!AY256=""),IF(ISNUMBER('Quantification_Results'!AX256),IF(('Quantification_Results'!AX256&lt;'Quantification_Config'!$S$19),"",IF(('Quantification_Results'!AX256&gt;'Quantification_Config'!$T$19),"",'Quantification_Results'!AX256)),""),IF(ISNUMBER('Quantification_Results'!AY256),IF(('Quantification_Results'!AY256&lt;'Quantification_Config'!$S$19),"",IF(('Quantification_Results'!AY256&gt;'Quantification_Config'!$T$19),"",'Quantification_Results'!AY256)),"")))</x:f>
        <x:v>5</x:v>
      </x:c>
      <x:c r="BA256" t="n">
        <x:f>IF(ISNUMBER('Quantification_Results'!AZ256),IFERROR(ROUND(((('Quantification_Results'!AZ256-'Quantification_Config'!$S$19)/('Quantification_Config'!$T$19-'Quantification_Config'!$S$19))*100),'Quantification_Config'!$U$2),""),"")</x:f>
        <x:v>50</x:v>
      </x:c>
      <x:c r="BB256" t="inlineStr">
        <x:is>
          <x:t xml:space="preserve">SYSTEM-TEST-ONLY-NO-NETWORK-NOT-AN-EDUCATIONAL-EVALUATION</x:t>
        </x:is>
      </x:c>
      <x:c r="BC256" t="inlineStr">
        <x:is>
          <x:t xml:space="preserve"/>
        </x:is>
      </x:c>
      <x:c r="BD256" t="inlineStr">
        <x:is>
          <x:t xml:space="preserve">NONE</x:t>
        </x:is>
      </x:c>
      <x:c r="BE256" t="inlineStr">
        <x:is>
          <x:t xml:space="preserve"/>
        </x:is>
      </x:c>
      <x:c r="BF256" t="inlineStr">
        <x:is>
          <x:t xml:space="preserve">SUCCESS</x:t>
        </x:is>
      </x:c>
      <x:c r="BG256" t="n">
        <x:f>IF((COUNT('Quantification_Results'!BA256)=1),IFERROR(ROUND((SUM(('Quantification_Results'!BA256*'Quantification_Config'!$R$19))/SUM('Quantification_Config'!$R$19)),'Quantification_Config'!$U$2),""),"")</x:f>
        <x:v>50</x:v>
      </x:c>
      <x:c r="BH256" t="n">
        <x:f>IF((COUNT('Quantification_Results'!BG256)=1),IFERROR(ROUND((SUM(('Quantification_Results'!BG256*'Quantification_Config'!$R$18))/SUM('Quantification_Config'!$R$18)),'Quantification_Config'!$U$2),""),"")</x:f>
        <x:v>50</x:v>
      </x:c>
      <x:c r="BI256">
        <x:f>IF((COUNT('Quantification_Results'!L256,'Quantification_Results'!X256,'Quantification_Results'!AJ256,'Quantification_Results'!AV256,'Quantification_Results'!BH256)=5),IFERROR(ROUND((SUM(('Quantification_Results'!L256*'Quantification_Config'!$R$4),('Quantification_Results'!X256*'Quantification_Config'!$R$7),('Quantification_Results'!AJ256*'Quantification_Config'!$R$10),('Quantification_Results'!AV256*'Quantification_Config'!$R$13),('Quantification_Results'!BH256*'Quantification_Config'!$R$16))/SUM('Quantification_Config'!$R$4,'Quantification_Config'!$R$7,'Quantification_Config'!$R$10,'Quantification_Config'!$R$13,'Quantification_Config'!$R$16)),'Quantification_Config'!$U$2),""),"")</x:f>
      </x:c>
    </x:row>
    <x:row r="257">
      <x:c r="A257" t="n">
        <x:v>1</x:v>
      </x:c>
      <x:c r="B257" t="n">
        <x:v>5</x:v>
      </x:c>
      <x:c r="C257"/>
      <x:c r="D257" t="n">
        <x:f>IF(('Quantification_Results'!A257&lt;&gt;1),"",IF(('Quantification_Results'!C257=""),IF(ISNUMBER('Quantification_Results'!B257),IF(('Quantification_Results'!B257&lt;'Quantification_Config'!$S$6),"",IF(('Quantification_Results'!B257&gt;'Quantification_Config'!$T$6),"",'Quantification_Results'!B257)),""),IF(ISNUMBER('Quantification_Results'!C257),IF(('Quantification_Results'!C257&lt;'Quantification_Config'!$S$6),"",IF(('Quantification_Results'!C257&gt;'Quantification_Config'!$T$6),"",'Quantification_Results'!C257)),"")))</x:f>
        <x:v>5</x:v>
      </x:c>
      <x:c r="E257" t="n">
        <x:f>IF(ISNUMBER('Quantification_Results'!D257),IFERROR(ROUND(((('Quantification_Results'!D257-'Quantification_Config'!$S$6)/('Quantification_Config'!$T$6-'Quantification_Config'!$S$6))*100),'Quantification_Config'!$U$2),""),"")</x:f>
        <x:v>50</x:v>
      </x:c>
      <x:c r="F257" t="inlineStr">
        <x:is>
          <x:t xml:space="preserve">SYSTEM-TEST-ONLY-NO-NETWORK-NOT-AN-EDUCATIONAL-EVALUATION</x:t>
        </x:is>
      </x:c>
      <x:c r="G257" t="inlineStr">
        <x:is>
          <x:t xml:space="preserve"/>
        </x:is>
      </x:c>
      <x:c r="H257" t="inlineStr">
        <x:is>
          <x:t xml:space="preserve">NONE</x:t>
        </x:is>
      </x:c>
      <x:c r="I257" t="inlineStr">
        <x:is>
          <x:t xml:space="preserve"/>
        </x:is>
      </x:c>
      <x:c r="J257" t="inlineStr">
        <x:is>
          <x:t xml:space="preserve">SUCCESS</x:t>
        </x:is>
      </x:c>
      <x:c r="K257" t="n">
        <x:f>IF((COUNT('Quantification_Results'!E257)=1),IFERROR(ROUND((SUM(('Quantification_Results'!E257*'Quantification_Config'!$R$6))/SUM('Quantification_Config'!$R$6)),'Quantification_Config'!$U$2),""),"")</x:f>
        <x:v>50</x:v>
      </x:c>
      <x:c r="L257" t="n">
        <x:f>IF((COUNT('Quantification_Results'!K257)=1),IFERROR(ROUND((SUM(('Quantification_Results'!K257*'Quantification_Config'!$R$5))/SUM('Quantification_Config'!$R$5)),'Quantification_Config'!$U$2),""),"")</x:f>
        <x:v>50</x:v>
      </x:c>
      <x:c r="M257" t="n">
        <x:v>1</x:v>
      </x:c>
      <x:c r="N257" t="n">
        <x:v>5</x:v>
      </x:c>
      <x:c r="O257"/>
      <x:c r="P257" t="n">
        <x:f>IF(('Quantification_Results'!M257&lt;&gt;1),"",IF(('Quantification_Results'!O257=""),IF(ISNUMBER('Quantification_Results'!N257),IF(('Quantification_Results'!N257&lt;'Quantification_Config'!$S$9),"",IF(('Quantification_Results'!N257&gt;'Quantification_Config'!$T$9),"",'Quantification_Results'!N257)),""),IF(ISNUMBER('Quantification_Results'!O257),IF(('Quantification_Results'!O257&lt;'Quantification_Config'!$S$9),"",IF(('Quantification_Results'!O257&gt;'Quantification_Config'!$T$9),"",'Quantification_Results'!O257)),"")))</x:f>
        <x:v>5</x:v>
      </x:c>
      <x:c r="Q257" t="n">
        <x:f>IF(ISNUMBER('Quantification_Results'!P257),IFERROR(ROUND(((('Quantification_Results'!P257-'Quantification_Config'!$S$9)/('Quantification_Config'!$T$9-'Quantification_Config'!$S$9))*100),'Quantification_Config'!$U$2),""),"")</x:f>
        <x:v>50</x:v>
      </x:c>
      <x:c r="R257" t="inlineStr">
        <x:is>
          <x:t xml:space="preserve">SYSTEM-TEST-ONLY-NO-NETWORK-NOT-AN-EDUCATIONAL-EVALUATION</x:t>
        </x:is>
      </x:c>
      <x:c r="S257" t="inlineStr">
        <x:is>
          <x:t xml:space="preserve"/>
        </x:is>
      </x:c>
      <x:c r="T257" t="inlineStr">
        <x:is>
          <x:t xml:space="preserve">NONE</x:t>
        </x:is>
      </x:c>
      <x:c r="U257" t="inlineStr">
        <x:is>
          <x:t xml:space="preserve"/>
        </x:is>
      </x:c>
      <x:c r="V257" t="inlineStr">
        <x:is>
          <x:t xml:space="preserve">SUCCESS</x:t>
        </x:is>
      </x:c>
      <x:c r="W257" t="n">
        <x:f>IF((COUNT('Quantification_Results'!Q257)=1),IFERROR(ROUND((SUM(('Quantification_Results'!Q257*'Quantification_Config'!$R$9))/SUM('Quantification_Config'!$R$9)),'Quantification_Config'!$U$2),""),"")</x:f>
        <x:v>50</x:v>
      </x:c>
      <x:c r="X257" t="n">
        <x:f>IF((COUNT('Quantification_Results'!W257)=1),IFERROR(ROUND((SUM(('Quantification_Results'!W257*'Quantification_Config'!$R$8))/SUM('Quantification_Config'!$R$8)),'Quantification_Config'!$U$2),""),"")</x:f>
        <x:v>50</x:v>
      </x:c>
      <x:c r="Y257" t="n">
        <x:v>1</x:v>
      </x:c>
      <x:c r="Z257" t="n">
        <x:v>5</x:v>
      </x:c>
      <x:c r="AA257"/>
      <x:c r="AB257" t="n">
        <x:f>IF(('Quantification_Results'!Y257&lt;&gt;1),"",IF(('Quantification_Results'!AA257=""),IF(ISNUMBER('Quantification_Results'!Z257),IF(('Quantification_Results'!Z257&lt;'Quantification_Config'!$S$12),"",IF(('Quantification_Results'!Z257&gt;'Quantification_Config'!$T$12),"",'Quantification_Results'!Z257)),""),IF(ISNUMBER('Quantification_Results'!AA257),IF(('Quantification_Results'!AA257&lt;'Quantification_Config'!$S$12),"",IF(('Quantification_Results'!AA257&gt;'Quantification_Config'!$T$12),"",'Quantification_Results'!AA257)),"")))</x:f>
        <x:v>5</x:v>
      </x:c>
      <x:c r="AC257" t="n">
        <x:f>IF(ISNUMBER('Quantification_Results'!AB257),IFERROR(ROUND(((('Quantification_Results'!AB257-'Quantification_Config'!$S$12)/('Quantification_Config'!$T$12-'Quantification_Config'!$S$12))*100),'Quantification_Config'!$U$2),""),"")</x:f>
        <x:v>50</x:v>
      </x:c>
      <x:c r="AD257" t="inlineStr">
        <x:is>
          <x:t xml:space="preserve">SYSTEM-TEST-ONLY-NO-NETWORK-NOT-AN-EDUCATIONAL-EVALUATION</x:t>
        </x:is>
      </x:c>
      <x:c r="AE257" t="inlineStr">
        <x:is>
          <x:t xml:space="preserve"/>
        </x:is>
      </x:c>
      <x:c r="AF257" t="inlineStr">
        <x:is>
          <x:t xml:space="preserve">NONE</x:t>
        </x:is>
      </x:c>
      <x:c r="AG257" t="inlineStr">
        <x:is>
          <x:t xml:space="preserve"/>
        </x:is>
      </x:c>
      <x:c r="AH257" t="inlineStr">
        <x:is>
          <x:t xml:space="preserve">SUCCESS</x:t>
        </x:is>
      </x:c>
      <x:c r="AI257" t="n">
        <x:f>IF((COUNT('Quantification_Results'!AC257)=1),IFERROR(ROUND((SUM(('Quantification_Results'!AC257*'Quantification_Config'!$R$12))/SUM('Quantification_Config'!$R$12)),'Quantification_Config'!$U$2),""),"")</x:f>
        <x:v>50</x:v>
      </x:c>
      <x:c r="AJ257" t="n">
        <x:f>IF((COUNT('Quantification_Results'!AI257)=1),IFERROR(ROUND((SUM(('Quantification_Results'!AI257*'Quantification_Config'!$R$11))/SUM('Quantification_Config'!$R$11)),'Quantification_Config'!$U$2),""),"")</x:f>
        <x:v>50</x:v>
      </x:c>
      <x:c r="AK257" t="n">
        <x:v>1</x:v>
      </x:c>
      <x:c r="AL257" t="n">
        <x:v>5</x:v>
      </x:c>
      <x:c r="AM257"/>
      <x:c r="AN257" t="n">
        <x:f>IF(('Quantification_Results'!AK257&lt;&gt;1),"",IF(('Quantification_Results'!AM257=""),IF(ISNUMBER('Quantification_Results'!AL257),IF(('Quantification_Results'!AL257&lt;'Quantification_Config'!$S$15),"",IF(('Quantification_Results'!AL257&gt;'Quantification_Config'!$T$15),"",'Quantification_Results'!AL257)),""),IF(ISNUMBER('Quantification_Results'!AM257),IF(('Quantification_Results'!AM257&lt;'Quantification_Config'!$S$15),"",IF(('Quantification_Results'!AM257&gt;'Quantification_Config'!$T$15),"",'Quantification_Results'!AM257)),"")))</x:f>
        <x:v>5</x:v>
      </x:c>
      <x:c r="AO257" t="n">
        <x:f>IF(ISNUMBER('Quantification_Results'!AN257),IFERROR(ROUND(((('Quantification_Results'!AN257-'Quantification_Config'!$S$15)/('Quantification_Config'!$T$15-'Quantification_Config'!$S$15))*100),'Quantification_Config'!$U$2),""),"")</x:f>
        <x:v>50</x:v>
      </x:c>
      <x:c r="AP257" t="inlineStr">
        <x:is>
          <x:t xml:space="preserve">SYSTEM-TEST-ONLY-NO-NETWORK-NOT-AN-EDUCATIONAL-EVALUATION</x:t>
        </x:is>
      </x:c>
      <x:c r="AQ257" t="inlineStr">
        <x:is>
          <x:t xml:space="preserve"/>
        </x:is>
      </x:c>
      <x:c r="AR257" t="inlineStr">
        <x:is>
          <x:t xml:space="preserve">NONE</x:t>
        </x:is>
      </x:c>
      <x:c r="AS257" t="inlineStr">
        <x:is>
          <x:t xml:space="preserve"/>
        </x:is>
      </x:c>
      <x:c r="AT257" t="inlineStr">
        <x:is>
          <x:t xml:space="preserve">SUCCESS</x:t>
        </x:is>
      </x:c>
      <x:c r="AU257" t="n">
        <x:f>IF((COUNT('Quantification_Results'!AO257)=1),IFERROR(ROUND((SUM(('Quantification_Results'!AO257*'Quantification_Config'!$R$15))/SUM('Quantification_Config'!$R$15)),'Quantification_Config'!$U$2),""),"")</x:f>
        <x:v>50</x:v>
      </x:c>
      <x:c r="AV257" t="n">
        <x:f>IF((COUNT('Quantification_Results'!AU257)=1),IFERROR(ROUND((SUM(('Quantification_Results'!AU257*'Quantification_Config'!$R$14))/SUM('Quantification_Config'!$R$14)),'Quantification_Config'!$U$2),""),"")</x:f>
        <x:v>50</x:v>
      </x:c>
      <x:c r="AW257" t="n">
        <x:v>1</x:v>
      </x:c>
      <x:c r="AX257" t="n">
        <x:v>5</x:v>
      </x:c>
      <x:c r="AY257"/>
      <x:c r="AZ257" t="n">
        <x:f>IF(('Quantification_Results'!AW257&lt;&gt;1),"",IF(('Quantification_Results'!AY257=""),IF(ISNUMBER('Quantification_Results'!AX257),IF(('Quantification_Results'!AX257&lt;'Quantification_Config'!$S$19),"",IF(('Quantification_Results'!AX257&gt;'Quantification_Config'!$T$19),"",'Quantification_Results'!AX257)),""),IF(ISNUMBER('Quantification_Results'!AY257),IF(('Quantification_Results'!AY257&lt;'Quantification_Config'!$S$19),"",IF(('Quantification_Results'!AY257&gt;'Quantification_Config'!$T$19),"",'Quantification_Results'!AY257)),"")))</x:f>
        <x:v>5</x:v>
      </x:c>
      <x:c r="BA257" t="n">
        <x:f>IF(ISNUMBER('Quantification_Results'!AZ257),IFERROR(ROUND(((('Quantification_Results'!AZ257-'Quantification_Config'!$S$19)/('Quantification_Config'!$T$19-'Quantification_Config'!$S$19))*100),'Quantification_Config'!$U$2),""),"")</x:f>
        <x:v>50</x:v>
      </x:c>
      <x:c r="BB257" t="inlineStr">
        <x:is>
          <x:t xml:space="preserve">SYSTEM-TEST-ONLY-NO-NETWORK-NOT-AN-EDUCATIONAL-EVALUATION</x:t>
        </x:is>
      </x:c>
      <x:c r="BC257" t="inlineStr">
        <x:is>
          <x:t xml:space="preserve"/>
        </x:is>
      </x:c>
      <x:c r="BD257" t="inlineStr">
        <x:is>
          <x:t xml:space="preserve">NONE</x:t>
        </x:is>
      </x:c>
      <x:c r="BE257" t="inlineStr">
        <x:is>
          <x:t xml:space="preserve"/>
        </x:is>
      </x:c>
      <x:c r="BF257" t="inlineStr">
        <x:is>
          <x:t xml:space="preserve">SUCCESS</x:t>
        </x:is>
      </x:c>
      <x:c r="BG257" t="n">
        <x:f>IF((COUNT('Quantification_Results'!BA257)=1),IFERROR(ROUND((SUM(('Quantification_Results'!BA257*'Quantification_Config'!$R$19))/SUM('Quantification_Config'!$R$19)),'Quantification_Config'!$U$2),""),"")</x:f>
        <x:v>50</x:v>
      </x:c>
      <x:c r="BH257" t="n">
        <x:f>IF((COUNT('Quantification_Results'!BG257)=1),IFERROR(ROUND((SUM(('Quantification_Results'!BG257*'Quantification_Config'!$R$18))/SUM('Quantification_Config'!$R$18)),'Quantification_Config'!$U$2),""),"")</x:f>
        <x:v>50</x:v>
      </x:c>
      <x:c r="BI257" t="n">
        <x:f>IF((COUNT('Quantification_Results'!L257,'Quantification_Results'!X257,'Quantification_Results'!AJ257,'Quantification_Results'!AV257,'Quantification_Results'!BH257)=5),IFERROR(ROUND((SUM(('Quantification_Results'!L257*'Quantification_Config'!$R$4),('Quantification_Results'!X257*'Quantification_Config'!$R$7),('Quantification_Results'!AJ257*'Quantification_Config'!$R$10),('Quantification_Results'!AV257*'Quantification_Config'!$R$13),('Quantification_Results'!BH257*'Quantification_Config'!$R$16))/SUM('Quantification_Config'!$R$4,'Quantification_Config'!$R$7,'Quantification_Config'!$R$10,'Quantification_Config'!$R$13,'Quantification_Config'!$R$16)),'Quantification_Config'!$U$2),""),"")</x:f>
        <x:v>50</x:v>
      </x:c>
    </x:row>
    <x:row r="258">
      <x:c r="A258" t="n">
        <x:v>1</x:v>
      </x:c>
      <x:c r="B258" t="n">
        <x:v>5</x:v>
      </x:c>
      <x:c r="C258"/>
      <x:c r="D258" t="n">
        <x:f>IF(('Quantification_Results'!A258&lt;&gt;1),"",IF(('Quantification_Results'!C258=""),IF(ISNUMBER('Quantification_Results'!B258),IF(('Quantification_Results'!B258&lt;'Quantification_Config'!$S$6),"",IF(('Quantification_Results'!B258&gt;'Quantification_Config'!$T$6),"",'Quantification_Results'!B258)),""),IF(ISNUMBER('Quantification_Results'!C258),IF(('Quantification_Results'!C258&lt;'Quantification_Config'!$S$6),"",IF(('Quantification_Results'!C258&gt;'Quantification_Config'!$T$6),"",'Quantification_Results'!C258)),"")))</x:f>
        <x:v>5</x:v>
      </x:c>
      <x:c r="E258" t="n">
        <x:f>IF(ISNUMBER('Quantification_Results'!D258),IFERROR(ROUND(((('Quantification_Results'!D258-'Quantification_Config'!$S$6)/('Quantification_Config'!$T$6-'Quantification_Config'!$S$6))*100),'Quantification_Config'!$U$2),""),"")</x:f>
        <x:v>50</x:v>
      </x:c>
      <x:c r="F258" t="inlineStr">
        <x:is>
          <x:t xml:space="preserve">SYSTEM-TEST-ONLY-NO-NETWORK-NOT-AN-EDUCATIONAL-EVALUATION</x:t>
        </x:is>
      </x:c>
      <x:c r="G258" t="inlineStr">
        <x:is>
          <x:t xml:space="preserve"/>
        </x:is>
      </x:c>
      <x:c r="H258" t="inlineStr">
        <x:is>
          <x:t xml:space="preserve">NONE</x:t>
        </x:is>
      </x:c>
      <x:c r="I258" t="inlineStr">
        <x:is>
          <x:t xml:space="preserve"/>
        </x:is>
      </x:c>
      <x:c r="J258" t="inlineStr">
        <x:is>
          <x:t xml:space="preserve">SUCCESS</x:t>
        </x:is>
      </x:c>
      <x:c r="K258" t="n">
        <x:f>IF((COUNT('Quantification_Results'!E258)=1),IFERROR(ROUND((SUM(('Quantification_Results'!E258*'Quantification_Config'!$R$6))/SUM('Quantification_Config'!$R$6)),'Quantification_Config'!$U$2),""),"")</x:f>
        <x:v>50</x:v>
      </x:c>
      <x:c r="L258" t="n">
        <x:f>IF((COUNT('Quantification_Results'!K258)=1),IFERROR(ROUND((SUM(('Quantification_Results'!K258*'Quantification_Config'!$R$5))/SUM('Quantification_Config'!$R$5)),'Quantification_Config'!$U$2),""),"")</x:f>
        <x:v>50</x:v>
      </x:c>
      <x:c r="M258" t="n">
        <x:v>0</x:v>
      </x:c>
      <x:c r="N258"/>
      <x:c r="O258"/>
      <x:c r="P258">
        <x:f>IF(('Quantification_Results'!M258&lt;&gt;1),"",IF(('Quantification_Results'!O258=""),IF(ISNUMBER('Quantification_Results'!N258),IF(('Quantification_Results'!N258&lt;'Quantification_Config'!$S$9),"",IF(('Quantification_Results'!N258&gt;'Quantification_Config'!$T$9),"",'Quantification_Results'!N258)),""),IF(ISNUMBER('Quantification_Results'!O258),IF(('Quantification_Results'!O258&lt;'Quantification_Config'!$S$9),"",IF(('Quantification_Results'!O258&gt;'Quantification_Config'!$T$9),"",'Quantification_Results'!O258)),"")))</x:f>
      </x:c>
      <x:c r="Q258">
        <x:f>IF(ISNUMBER('Quantification_Results'!P258),IFERROR(ROUND(((('Quantification_Results'!P258-'Quantification_Config'!$S$9)/('Quantification_Config'!$T$9-'Quantification_Config'!$S$9))*100),'Quantification_Config'!$U$2),""),"")</x:f>
      </x:c>
      <x:c r="R258" t="inlineStr">
        <x:is>
          <x:t xml:space="preserve"/>
        </x:is>
      </x:c>
      <x:c r="S258" t="inlineStr">
        <x:is>
          <x:t xml:space="preserve"/>
        </x:is>
      </x:c>
      <x:c r="T258" t="inlineStr">
        <x:is>
          <x:t xml:space="preserve"/>
        </x:is>
      </x:c>
      <x:c r="U258" t="inlineStr">
        <x:is>
          <x:t xml:space="preserve"/>
        </x:is>
      </x:c>
      <x:c r="V258" t="inlineStr">
        <x:is>
          <x:t xml:space="preserve">EMPTY</x:t>
        </x:is>
      </x:c>
      <x:c r="W258">
        <x:f>IF((COUNT('Quantification_Results'!Q258)=1),IFERROR(ROUND((SUM(('Quantification_Results'!Q258*'Quantification_Config'!$R$9))/SUM('Quantification_Config'!$R$9)),'Quantification_Config'!$U$2),""),"")</x:f>
      </x:c>
      <x:c r="X258">
        <x:f>IF((COUNT('Quantification_Results'!W258)=1),IFERROR(ROUND((SUM(('Quantification_Results'!W258*'Quantification_Config'!$R$8))/SUM('Quantification_Config'!$R$8)),'Quantification_Config'!$U$2),""),"")</x:f>
      </x:c>
      <x:c r="Y258" t="n">
        <x:v>0</x:v>
      </x:c>
      <x:c r="Z258"/>
      <x:c r="AA258"/>
      <x:c r="AB258">
        <x:f>IF(('Quantification_Results'!Y258&lt;&gt;1),"",IF(('Quantification_Results'!AA258=""),IF(ISNUMBER('Quantification_Results'!Z258),IF(('Quantification_Results'!Z258&lt;'Quantification_Config'!$S$12),"",IF(('Quantification_Results'!Z258&gt;'Quantification_Config'!$T$12),"",'Quantification_Results'!Z258)),""),IF(ISNUMBER('Quantification_Results'!AA258),IF(('Quantification_Results'!AA258&lt;'Quantification_Config'!$S$12),"",IF(('Quantification_Results'!AA258&gt;'Quantification_Config'!$T$12),"",'Quantification_Results'!AA258)),"")))</x:f>
      </x:c>
      <x:c r="AC258">
        <x:f>IF(ISNUMBER('Quantification_Results'!AB258),IFERROR(ROUND(((('Quantification_Results'!AB258-'Quantification_Config'!$S$12)/('Quantification_Config'!$T$12-'Quantification_Config'!$S$12))*100),'Quantification_Config'!$U$2),""),"")</x:f>
      </x:c>
      <x:c r="AD258" t="inlineStr">
        <x:is>
          <x:t xml:space="preserve"/>
        </x:is>
      </x:c>
      <x:c r="AE258" t="inlineStr">
        <x:is>
          <x:t xml:space="preserve"/>
        </x:is>
      </x:c>
      <x:c r="AF258" t="inlineStr">
        <x:is>
          <x:t xml:space="preserve"/>
        </x:is>
      </x:c>
      <x:c r="AG258" t="inlineStr">
        <x:is>
          <x:t xml:space="preserve"/>
        </x:is>
      </x:c>
      <x:c r="AH258" t="inlineStr">
        <x:is>
          <x:t xml:space="preserve">EMPTY</x:t>
        </x:is>
      </x:c>
      <x:c r="AI258">
        <x:f>IF((COUNT('Quantification_Results'!AC258)=1),IFERROR(ROUND((SUM(('Quantification_Results'!AC258*'Quantification_Config'!$R$12))/SUM('Quantification_Config'!$R$12)),'Quantification_Config'!$U$2),""),"")</x:f>
      </x:c>
      <x:c r="AJ258">
        <x:f>IF((COUNT('Quantification_Results'!AI258)=1),IFERROR(ROUND((SUM(('Quantification_Results'!AI258*'Quantification_Config'!$R$11))/SUM('Quantification_Config'!$R$11)),'Quantification_Config'!$U$2),""),"")</x:f>
      </x:c>
      <x:c r="AK258" t="n">
        <x:v>1</x:v>
      </x:c>
      <x:c r="AL258" t="n">
        <x:v>5</x:v>
      </x:c>
      <x:c r="AM258"/>
      <x:c r="AN258" t="n">
        <x:f>IF(('Quantification_Results'!AK258&lt;&gt;1),"",IF(('Quantification_Results'!AM258=""),IF(ISNUMBER('Quantification_Results'!AL258),IF(('Quantification_Results'!AL258&lt;'Quantification_Config'!$S$15),"",IF(('Quantification_Results'!AL258&gt;'Quantification_Config'!$T$15),"",'Quantification_Results'!AL258)),""),IF(ISNUMBER('Quantification_Results'!AM258),IF(('Quantification_Results'!AM258&lt;'Quantification_Config'!$S$15),"",IF(('Quantification_Results'!AM258&gt;'Quantification_Config'!$T$15),"",'Quantification_Results'!AM258)),"")))</x:f>
        <x:v>5</x:v>
      </x:c>
      <x:c r="AO258" t="n">
        <x:f>IF(ISNUMBER('Quantification_Results'!AN258),IFERROR(ROUND(((('Quantification_Results'!AN258-'Quantification_Config'!$S$15)/('Quantification_Config'!$T$15-'Quantification_Config'!$S$15))*100),'Quantification_Config'!$U$2),""),"")</x:f>
        <x:v>50</x:v>
      </x:c>
      <x:c r="AP258" t="inlineStr">
        <x:is>
          <x:t xml:space="preserve">SYSTEM-TEST-ONLY-NO-NETWORK-NOT-AN-EDUCATIONAL-EVALUATION</x:t>
        </x:is>
      </x:c>
      <x:c r="AQ258" t="inlineStr">
        <x:is>
          <x:t xml:space="preserve"/>
        </x:is>
      </x:c>
      <x:c r="AR258" t="inlineStr">
        <x:is>
          <x:t xml:space="preserve">NONE</x:t>
        </x:is>
      </x:c>
      <x:c r="AS258" t="inlineStr">
        <x:is>
          <x:t xml:space="preserve"/>
        </x:is>
      </x:c>
      <x:c r="AT258" t="inlineStr">
        <x:is>
          <x:t xml:space="preserve">SUCCESS</x:t>
        </x:is>
      </x:c>
      <x:c r="AU258" t="n">
        <x:f>IF((COUNT('Quantification_Results'!AO258)=1),IFERROR(ROUND((SUM(('Quantification_Results'!AO258*'Quantification_Config'!$R$15))/SUM('Quantification_Config'!$R$15)),'Quantification_Config'!$U$2),""),"")</x:f>
        <x:v>50</x:v>
      </x:c>
      <x:c r="AV258" t="n">
        <x:f>IF((COUNT('Quantification_Results'!AU258)=1),IFERROR(ROUND((SUM(('Quantification_Results'!AU258*'Quantification_Config'!$R$14))/SUM('Quantification_Config'!$R$14)),'Quantification_Config'!$U$2),""),"")</x:f>
        <x:v>50</x:v>
      </x:c>
      <x:c r="AW258" t="n">
        <x:v>1</x:v>
      </x:c>
      <x:c r="AX258" t="n">
        <x:v>5</x:v>
      </x:c>
      <x:c r="AY258"/>
      <x:c r="AZ258" t="n">
        <x:f>IF(('Quantification_Results'!AW258&lt;&gt;1),"",IF(('Quantification_Results'!AY258=""),IF(ISNUMBER('Quantification_Results'!AX258),IF(('Quantification_Results'!AX258&lt;'Quantification_Config'!$S$19),"",IF(('Quantification_Results'!AX258&gt;'Quantification_Config'!$T$19),"",'Quantification_Results'!AX258)),""),IF(ISNUMBER('Quantification_Results'!AY258),IF(('Quantification_Results'!AY258&lt;'Quantification_Config'!$S$19),"",IF(('Quantification_Results'!AY258&gt;'Quantification_Config'!$T$19),"",'Quantification_Results'!AY258)),"")))</x:f>
        <x:v>5</x:v>
      </x:c>
      <x:c r="BA258" t="n">
        <x:f>IF(ISNUMBER('Quantification_Results'!AZ258),IFERROR(ROUND(((('Quantification_Results'!AZ258-'Quantification_Config'!$S$19)/('Quantification_Config'!$T$19-'Quantification_Config'!$S$19))*100),'Quantification_Config'!$U$2),""),"")</x:f>
        <x:v>50</x:v>
      </x:c>
      <x:c r="BB258" t="inlineStr">
        <x:is>
          <x:t xml:space="preserve">SYSTEM-TEST-ONLY-NO-NETWORK-NOT-AN-EDUCATIONAL-EVALUATION</x:t>
        </x:is>
      </x:c>
      <x:c r="BC258" t="inlineStr">
        <x:is>
          <x:t xml:space="preserve"/>
        </x:is>
      </x:c>
      <x:c r="BD258" t="inlineStr">
        <x:is>
          <x:t xml:space="preserve">NONE</x:t>
        </x:is>
      </x:c>
      <x:c r="BE258" t="inlineStr">
        <x:is>
          <x:t xml:space="preserve"/>
        </x:is>
      </x:c>
      <x:c r="BF258" t="inlineStr">
        <x:is>
          <x:t xml:space="preserve">SUCCESS</x:t>
        </x:is>
      </x:c>
      <x:c r="BG258" t="n">
        <x:f>IF((COUNT('Quantification_Results'!BA258)=1),IFERROR(ROUND((SUM(('Quantification_Results'!BA258*'Quantification_Config'!$R$19))/SUM('Quantification_Config'!$R$19)),'Quantification_Config'!$U$2),""),"")</x:f>
        <x:v>50</x:v>
      </x:c>
      <x:c r="BH258" t="n">
        <x:f>IF((COUNT('Quantification_Results'!BG258)=1),IFERROR(ROUND((SUM(('Quantification_Results'!BG258*'Quantification_Config'!$R$18))/SUM('Quantification_Config'!$R$18)),'Quantification_Config'!$U$2),""),"")</x:f>
        <x:v>50</x:v>
      </x:c>
      <x:c r="BI258">
        <x:f>IF((COUNT('Quantification_Results'!L258,'Quantification_Results'!X258,'Quantification_Results'!AJ258,'Quantification_Results'!AV258,'Quantification_Results'!BH258)=5),IFERROR(ROUND((SUM(('Quantification_Results'!L258*'Quantification_Config'!$R$4),('Quantification_Results'!X258*'Quantification_Config'!$R$7),('Quantification_Results'!AJ258*'Quantification_Config'!$R$10),('Quantification_Results'!AV258*'Quantification_Config'!$R$13),('Quantification_Results'!BH258*'Quantification_Config'!$R$16))/SUM('Quantification_Config'!$R$4,'Quantification_Config'!$R$7,'Quantification_Config'!$R$10,'Quantification_Config'!$R$13,'Quantification_Config'!$R$16)),'Quantification_Config'!$U$2),""),"")</x:f>
      </x:c>
    </x:row>
    <x:row r="259">
      <x:c r="A259" t="n">
        <x:v>1</x:v>
      </x:c>
      <x:c r="B259" t="n">
        <x:v>5</x:v>
      </x:c>
      <x:c r="C259"/>
      <x:c r="D259" t="n">
        <x:f>IF(('Quantification_Results'!A259&lt;&gt;1),"",IF(('Quantification_Results'!C259=""),IF(ISNUMBER('Quantification_Results'!B259),IF(('Quantification_Results'!B259&lt;'Quantification_Config'!$S$6),"",IF(('Quantification_Results'!B259&gt;'Quantification_Config'!$T$6),"",'Quantification_Results'!B259)),""),IF(ISNUMBER('Quantification_Results'!C259),IF(('Quantification_Results'!C259&lt;'Quantification_Config'!$S$6),"",IF(('Quantification_Results'!C259&gt;'Quantification_Config'!$T$6),"",'Quantification_Results'!C259)),"")))</x:f>
        <x:v>5</x:v>
      </x:c>
      <x:c r="E259" t="n">
        <x:f>IF(ISNUMBER('Quantification_Results'!D259),IFERROR(ROUND(((('Quantification_Results'!D259-'Quantification_Config'!$S$6)/('Quantification_Config'!$T$6-'Quantification_Config'!$S$6))*100),'Quantification_Config'!$U$2),""),"")</x:f>
        <x:v>50</x:v>
      </x:c>
      <x:c r="F259" t="inlineStr">
        <x:is>
          <x:t xml:space="preserve">SYSTEM-TEST-ONLY-NO-NETWORK-NOT-AN-EDUCATIONAL-EVALUATION</x:t>
        </x:is>
      </x:c>
      <x:c r="G259" t="inlineStr">
        <x:is>
          <x:t xml:space="preserve"/>
        </x:is>
      </x:c>
      <x:c r="H259" t="inlineStr">
        <x:is>
          <x:t xml:space="preserve">NONE</x:t>
        </x:is>
      </x:c>
      <x:c r="I259" t="inlineStr">
        <x:is>
          <x:t xml:space="preserve"/>
        </x:is>
      </x:c>
      <x:c r="J259" t="inlineStr">
        <x:is>
          <x:t xml:space="preserve">SUCCESS</x:t>
        </x:is>
      </x:c>
      <x:c r="K259" t="n">
        <x:f>IF((COUNT('Quantification_Results'!E259)=1),IFERROR(ROUND((SUM(('Quantification_Results'!E259*'Quantification_Config'!$R$6))/SUM('Quantification_Config'!$R$6)),'Quantification_Config'!$U$2),""),"")</x:f>
        <x:v>50</x:v>
      </x:c>
      <x:c r="L259" t="n">
        <x:f>IF((COUNT('Quantification_Results'!K259)=1),IFERROR(ROUND((SUM(('Quantification_Results'!K259*'Quantification_Config'!$R$5))/SUM('Quantification_Config'!$R$5)),'Quantification_Config'!$U$2),""),"")</x:f>
        <x:v>50</x:v>
      </x:c>
      <x:c r="M259" t="n">
        <x:v>1</x:v>
      </x:c>
      <x:c r="N259" t="n">
        <x:v>5</x:v>
      </x:c>
      <x:c r="O259"/>
      <x:c r="P259" t="n">
        <x:f>IF(('Quantification_Results'!M259&lt;&gt;1),"",IF(('Quantification_Results'!O259=""),IF(ISNUMBER('Quantification_Results'!N259),IF(('Quantification_Results'!N259&lt;'Quantification_Config'!$S$9),"",IF(('Quantification_Results'!N259&gt;'Quantification_Config'!$T$9),"",'Quantification_Results'!N259)),""),IF(ISNUMBER('Quantification_Results'!O259),IF(('Quantification_Results'!O259&lt;'Quantification_Config'!$S$9),"",IF(('Quantification_Results'!O259&gt;'Quantification_Config'!$T$9),"",'Quantification_Results'!O259)),"")))</x:f>
        <x:v>5</x:v>
      </x:c>
      <x:c r="Q259" t="n">
        <x:f>IF(ISNUMBER('Quantification_Results'!P259),IFERROR(ROUND(((('Quantification_Results'!P259-'Quantification_Config'!$S$9)/('Quantification_Config'!$T$9-'Quantification_Config'!$S$9))*100),'Quantification_Config'!$U$2),""),"")</x:f>
        <x:v>50</x:v>
      </x:c>
      <x:c r="R259" t="inlineStr">
        <x:is>
          <x:t xml:space="preserve">SYSTEM-TEST-ONLY-NO-NETWORK-NOT-AN-EDUCATIONAL-EVALUATION</x:t>
        </x:is>
      </x:c>
      <x:c r="S259" t="inlineStr">
        <x:is>
          <x:t xml:space="preserve"/>
        </x:is>
      </x:c>
      <x:c r="T259" t="inlineStr">
        <x:is>
          <x:t xml:space="preserve">NONE</x:t>
        </x:is>
      </x:c>
      <x:c r="U259" t="inlineStr">
        <x:is>
          <x:t xml:space="preserve"/>
        </x:is>
      </x:c>
      <x:c r="V259" t="inlineStr">
        <x:is>
          <x:t xml:space="preserve">SUCCESS</x:t>
        </x:is>
      </x:c>
      <x:c r="W259" t="n">
        <x:f>IF((COUNT('Quantification_Results'!Q259)=1),IFERROR(ROUND((SUM(('Quantification_Results'!Q259*'Quantification_Config'!$R$9))/SUM('Quantification_Config'!$R$9)),'Quantification_Config'!$U$2),""),"")</x:f>
        <x:v>50</x:v>
      </x:c>
      <x:c r="X259" t="n">
        <x:f>IF((COUNT('Quantification_Results'!W259)=1),IFERROR(ROUND((SUM(('Quantification_Results'!W259*'Quantification_Config'!$R$8))/SUM('Quantification_Config'!$R$8)),'Quantification_Config'!$U$2),""),"")</x:f>
        <x:v>50</x:v>
      </x:c>
      <x:c r="Y259" t="n">
        <x:v>0</x:v>
      </x:c>
      <x:c r="Z259"/>
      <x:c r="AA259"/>
      <x:c r="AB259">
        <x:f>IF(('Quantification_Results'!Y259&lt;&gt;1),"",IF(('Quantification_Results'!AA259=""),IF(ISNUMBER('Quantification_Results'!Z259),IF(('Quantification_Results'!Z259&lt;'Quantification_Config'!$S$12),"",IF(('Quantification_Results'!Z259&gt;'Quantification_Config'!$T$12),"",'Quantification_Results'!Z259)),""),IF(ISNUMBER('Quantification_Results'!AA259),IF(('Quantification_Results'!AA259&lt;'Quantification_Config'!$S$12),"",IF(('Quantification_Results'!AA259&gt;'Quantification_Config'!$T$12),"",'Quantification_Results'!AA259)),"")))</x:f>
      </x:c>
      <x:c r="AC259">
        <x:f>IF(ISNUMBER('Quantification_Results'!AB259),IFERROR(ROUND(((('Quantification_Results'!AB259-'Quantification_Config'!$S$12)/('Quantification_Config'!$T$12-'Quantification_Config'!$S$12))*100),'Quantification_Config'!$U$2),""),"")</x:f>
      </x:c>
      <x:c r="AD259" t="inlineStr">
        <x:is>
          <x:t xml:space="preserve"/>
        </x:is>
      </x:c>
      <x:c r="AE259" t="inlineStr">
        <x:is>
          <x:t xml:space="preserve"/>
        </x:is>
      </x:c>
      <x:c r="AF259" t="inlineStr">
        <x:is>
          <x:t xml:space="preserve"/>
        </x:is>
      </x:c>
      <x:c r="AG259" t="inlineStr">
        <x:is>
          <x:t xml:space="preserve"/>
        </x:is>
      </x:c>
      <x:c r="AH259" t="inlineStr">
        <x:is>
          <x:t xml:space="preserve">EMPTY</x:t>
        </x:is>
      </x:c>
      <x:c r="AI259">
        <x:f>IF((COUNT('Quantification_Results'!AC259)=1),IFERROR(ROUND((SUM(('Quantification_Results'!AC259*'Quantification_Config'!$R$12))/SUM('Quantification_Config'!$R$12)),'Quantification_Config'!$U$2),""),"")</x:f>
      </x:c>
      <x:c r="AJ259">
        <x:f>IF((COUNT('Quantification_Results'!AI259)=1),IFERROR(ROUND((SUM(('Quantification_Results'!AI259*'Quantification_Config'!$R$11))/SUM('Quantification_Config'!$R$11)),'Quantification_Config'!$U$2),""),"")</x:f>
      </x:c>
      <x:c r="AK259" t="n">
        <x:v>1</x:v>
      </x:c>
      <x:c r="AL259" t="n">
        <x:v>5</x:v>
      </x:c>
      <x:c r="AM259"/>
      <x:c r="AN259" t="n">
        <x:f>IF(('Quantification_Results'!AK259&lt;&gt;1),"",IF(('Quantification_Results'!AM259=""),IF(ISNUMBER('Quantification_Results'!AL259),IF(('Quantification_Results'!AL259&lt;'Quantification_Config'!$S$15),"",IF(('Quantification_Results'!AL259&gt;'Quantification_Config'!$T$15),"",'Quantification_Results'!AL259)),""),IF(ISNUMBER('Quantification_Results'!AM259),IF(('Quantification_Results'!AM259&lt;'Quantification_Config'!$S$15),"",IF(('Quantification_Results'!AM259&gt;'Quantification_Config'!$T$15),"",'Quantification_Results'!AM259)),"")))</x:f>
        <x:v>5</x:v>
      </x:c>
      <x:c r="AO259" t="n">
        <x:f>IF(ISNUMBER('Quantification_Results'!AN259),IFERROR(ROUND(((('Quantification_Results'!AN259-'Quantification_Config'!$S$15)/('Quantification_Config'!$T$15-'Quantification_Config'!$S$15))*100),'Quantification_Config'!$U$2),""),"")</x:f>
        <x:v>50</x:v>
      </x:c>
      <x:c r="AP259" t="inlineStr">
        <x:is>
          <x:t xml:space="preserve">SYSTEM-TEST-ONLY-NO-NETWORK-NOT-AN-EDUCATIONAL-EVALUATION</x:t>
        </x:is>
      </x:c>
      <x:c r="AQ259" t="inlineStr">
        <x:is>
          <x:t xml:space="preserve"/>
        </x:is>
      </x:c>
      <x:c r="AR259" t="inlineStr">
        <x:is>
          <x:t xml:space="preserve">NONE</x:t>
        </x:is>
      </x:c>
      <x:c r="AS259" t="inlineStr">
        <x:is>
          <x:t xml:space="preserve"/>
        </x:is>
      </x:c>
      <x:c r="AT259" t="inlineStr">
        <x:is>
          <x:t xml:space="preserve">SUCCESS</x:t>
        </x:is>
      </x:c>
      <x:c r="AU259" t="n">
        <x:f>IF((COUNT('Quantification_Results'!AO259)=1),IFERROR(ROUND((SUM(('Quantification_Results'!AO259*'Quantification_Config'!$R$15))/SUM('Quantification_Config'!$R$15)),'Quantification_Config'!$U$2),""),"")</x:f>
        <x:v>50</x:v>
      </x:c>
      <x:c r="AV259" t="n">
        <x:f>IF((COUNT('Quantification_Results'!AU259)=1),IFERROR(ROUND((SUM(('Quantification_Results'!AU259*'Quantification_Config'!$R$14))/SUM('Quantification_Config'!$R$14)),'Quantification_Config'!$U$2),""),"")</x:f>
        <x:v>50</x:v>
      </x:c>
      <x:c r="AW259" t="n">
        <x:v>1</x:v>
      </x:c>
      <x:c r="AX259" t="n">
        <x:v>5</x:v>
      </x:c>
      <x:c r="AY259"/>
      <x:c r="AZ259" t="n">
        <x:f>IF(('Quantification_Results'!AW259&lt;&gt;1),"",IF(('Quantification_Results'!AY259=""),IF(ISNUMBER('Quantification_Results'!AX259),IF(('Quantification_Results'!AX259&lt;'Quantification_Config'!$S$19),"",IF(('Quantification_Results'!AX259&gt;'Quantification_Config'!$T$19),"",'Quantification_Results'!AX259)),""),IF(ISNUMBER('Quantification_Results'!AY259),IF(('Quantification_Results'!AY259&lt;'Quantification_Config'!$S$19),"",IF(('Quantification_Results'!AY259&gt;'Quantification_Config'!$T$19),"",'Quantification_Results'!AY259)),"")))</x:f>
        <x:v>5</x:v>
      </x:c>
      <x:c r="BA259" t="n">
        <x:f>IF(ISNUMBER('Quantification_Results'!AZ259),IFERROR(ROUND(((('Quantification_Results'!AZ259-'Quantification_Config'!$S$19)/('Quantification_Config'!$T$19-'Quantification_Config'!$S$19))*100),'Quantification_Config'!$U$2),""),"")</x:f>
        <x:v>50</x:v>
      </x:c>
      <x:c r="BB259" t="inlineStr">
        <x:is>
          <x:t xml:space="preserve">SYSTEM-TEST-ONLY-NO-NETWORK-NOT-AN-EDUCATIONAL-EVALUATION</x:t>
        </x:is>
      </x:c>
      <x:c r="BC259" t="inlineStr">
        <x:is>
          <x:t xml:space="preserve"/>
        </x:is>
      </x:c>
      <x:c r="BD259" t="inlineStr">
        <x:is>
          <x:t xml:space="preserve">NONE</x:t>
        </x:is>
      </x:c>
      <x:c r="BE259" t="inlineStr">
        <x:is>
          <x:t xml:space="preserve"/>
        </x:is>
      </x:c>
      <x:c r="BF259" t="inlineStr">
        <x:is>
          <x:t xml:space="preserve">SUCCESS</x:t>
        </x:is>
      </x:c>
      <x:c r="BG259" t="n">
        <x:f>IF((COUNT('Quantification_Results'!BA259)=1),IFERROR(ROUND((SUM(('Quantification_Results'!BA259*'Quantification_Config'!$R$19))/SUM('Quantification_Config'!$R$19)),'Quantification_Config'!$U$2),""),"")</x:f>
        <x:v>50</x:v>
      </x:c>
      <x:c r="BH259" t="n">
        <x:f>IF((COUNT('Quantification_Results'!BG259)=1),IFERROR(ROUND((SUM(('Quantification_Results'!BG259*'Quantification_Config'!$R$18))/SUM('Quantification_Config'!$R$18)),'Quantification_Config'!$U$2),""),"")</x:f>
        <x:v>50</x:v>
      </x:c>
      <x:c r="BI259">
        <x:f>IF((COUNT('Quantification_Results'!L259,'Quantification_Results'!X259,'Quantification_Results'!AJ259,'Quantification_Results'!AV259,'Quantification_Results'!BH259)=5),IFERROR(ROUND((SUM(('Quantification_Results'!L259*'Quantification_Config'!$R$4),('Quantification_Results'!X259*'Quantification_Config'!$R$7),('Quantification_Results'!AJ259*'Quantification_Config'!$R$10),('Quantification_Results'!AV259*'Quantification_Config'!$R$13),('Quantification_Results'!BH259*'Quantification_Config'!$R$16))/SUM('Quantification_Config'!$R$4,'Quantification_Config'!$R$7,'Quantification_Config'!$R$10,'Quantification_Config'!$R$13,'Quantification_Config'!$R$16)),'Quantification_Config'!$U$2),""),"")</x:f>
      </x:c>
    </x:row>
    <x:row r="260">
      <x:c r="A260" t="n">
        <x:v>1</x:v>
      </x:c>
      <x:c r="B260" t="n">
        <x:v>5</x:v>
      </x:c>
      <x:c r="C260"/>
      <x:c r="D260" t="n">
        <x:f>IF(('Quantification_Results'!A260&lt;&gt;1),"",IF(('Quantification_Results'!C260=""),IF(ISNUMBER('Quantification_Results'!B260),IF(('Quantification_Results'!B260&lt;'Quantification_Config'!$S$6),"",IF(('Quantification_Results'!B260&gt;'Quantification_Config'!$T$6),"",'Quantification_Results'!B260)),""),IF(ISNUMBER('Quantification_Results'!C260),IF(('Quantification_Results'!C260&lt;'Quantification_Config'!$S$6),"",IF(('Quantification_Results'!C260&gt;'Quantification_Config'!$T$6),"",'Quantification_Results'!C260)),"")))</x:f>
        <x:v>5</x:v>
      </x:c>
      <x:c r="E260" t="n">
        <x:f>IF(ISNUMBER('Quantification_Results'!D260),IFERROR(ROUND(((('Quantification_Results'!D260-'Quantification_Config'!$S$6)/('Quantification_Config'!$T$6-'Quantification_Config'!$S$6))*100),'Quantification_Config'!$U$2),""),"")</x:f>
        <x:v>50</x:v>
      </x:c>
      <x:c r="F260" t="inlineStr">
        <x:is>
          <x:t xml:space="preserve">SYSTEM-TEST-ONLY-NO-NETWORK-NOT-AN-EDUCATIONAL-EVALUATION</x:t>
        </x:is>
      </x:c>
      <x:c r="G260" t="inlineStr">
        <x:is>
          <x:t xml:space="preserve"/>
        </x:is>
      </x:c>
      <x:c r="H260" t="inlineStr">
        <x:is>
          <x:t xml:space="preserve">NONE</x:t>
        </x:is>
      </x:c>
      <x:c r="I260" t="inlineStr">
        <x:is>
          <x:t xml:space="preserve"/>
        </x:is>
      </x:c>
      <x:c r="J260" t="inlineStr">
        <x:is>
          <x:t xml:space="preserve">SUCCESS</x:t>
        </x:is>
      </x:c>
      <x:c r="K260" t="n">
        <x:f>IF((COUNT('Quantification_Results'!E260)=1),IFERROR(ROUND((SUM(('Quantification_Results'!E260*'Quantification_Config'!$R$6))/SUM('Quantification_Config'!$R$6)),'Quantification_Config'!$U$2),""),"")</x:f>
        <x:v>50</x:v>
      </x:c>
      <x:c r="L260" t="n">
        <x:f>IF((COUNT('Quantification_Results'!K260)=1),IFERROR(ROUND((SUM(('Quantification_Results'!K260*'Quantification_Config'!$R$5))/SUM('Quantification_Config'!$R$5)),'Quantification_Config'!$U$2),""),"")</x:f>
        <x:v>50</x:v>
      </x:c>
      <x:c r="M260" t="n">
        <x:v>1</x:v>
      </x:c>
      <x:c r="N260" t="n">
        <x:v>5</x:v>
      </x:c>
      <x:c r="O260"/>
      <x:c r="P260" t="n">
        <x:f>IF(('Quantification_Results'!M260&lt;&gt;1),"",IF(('Quantification_Results'!O260=""),IF(ISNUMBER('Quantification_Results'!N260),IF(('Quantification_Results'!N260&lt;'Quantification_Config'!$S$9),"",IF(('Quantification_Results'!N260&gt;'Quantification_Config'!$T$9),"",'Quantification_Results'!N260)),""),IF(ISNUMBER('Quantification_Results'!O260),IF(('Quantification_Results'!O260&lt;'Quantification_Config'!$S$9),"",IF(('Quantification_Results'!O260&gt;'Quantification_Config'!$T$9),"",'Quantification_Results'!O260)),"")))</x:f>
        <x:v>5</x:v>
      </x:c>
      <x:c r="Q260" t="n">
        <x:f>IF(ISNUMBER('Quantification_Results'!P260),IFERROR(ROUND(((('Quantification_Results'!P260-'Quantification_Config'!$S$9)/('Quantification_Config'!$T$9-'Quantification_Config'!$S$9))*100),'Quantification_Config'!$U$2),""),"")</x:f>
        <x:v>50</x:v>
      </x:c>
      <x:c r="R260" t="inlineStr">
        <x:is>
          <x:t xml:space="preserve">SYSTEM-TEST-ONLY-NO-NETWORK-NOT-AN-EDUCATIONAL-EVALUATION</x:t>
        </x:is>
      </x:c>
      <x:c r="S260" t="inlineStr">
        <x:is>
          <x:t xml:space="preserve"/>
        </x:is>
      </x:c>
      <x:c r="T260" t="inlineStr">
        <x:is>
          <x:t xml:space="preserve">NONE</x:t>
        </x:is>
      </x:c>
      <x:c r="U260" t="inlineStr">
        <x:is>
          <x:t xml:space="preserve"/>
        </x:is>
      </x:c>
      <x:c r="V260" t="inlineStr">
        <x:is>
          <x:t xml:space="preserve">SUCCESS</x:t>
        </x:is>
      </x:c>
      <x:c r="W260" t="n">
        <x:f>IF((COUNT('Quantification_Results'!Q260)=1),IFERROR(ROUND((SUM(('Quantification_Results'!Q260*'Quantification_Config'!$R$9))/SUM('Quantification_Config'!$R$9)),'Quantification_Config'!$U$2),""),"")</x:f>
        <x:v>50</x:v>
      </x:c>
      <x:c r="X260" t="n">
        <x:f>IF((COUNT('Quantification_Results'!W260)=1),IFERROR(ROUND((SUM(('Quantification_Results'!W260*'Quantification_Config'!$R$8))/SUM('Quantification_Config'!$R$8)),'Quantification_Config'!$U$2),""),"")</x:f>
        <x:v>50</x:v>
      </x:c>
      <x:c r="Y260" t="n">
        <x:v>1</x:v>
      </x:c>
      <x:c r="Z260" t="n">
        <x:v>5</x:v>
      </x:c>
      <x:c r="AA260"/>
      <x:c r="AB260" t="n">
        <x:f>IF(('Quantification_Results'!Y260&lt;&gt;1),"",IF(('Quantification_Results'!AA260=""),IF(ISNUMBER('Quantification_Results'!Z260),IF(('Quantification_Results'!Z260&lt;'Quantification_Config'!$S$12),"",IF(('Quantification_Results'!Z260&gt;'Quantification_Config'!$T$12),"",'Quantification_Results'!Z260)),""),IF(ISNUMBER('Quantification_Results'!AA260),IF(('Quantification_Results'!AA260&lt;'Quantification_Config'!$S$12),"",IF(('Quantification_Results'!AA260&gt;'Quantification_Config'!$T$12),"",'Quantification_Results'!AA260)),"")))</x:f>
        <x:v>5</x:v>
      </x:c>
      <x:c r="AC260" t="n">
        <x:f>IF(ISNUMBER('Quantification_Results'!AB260),IFERROR(ROUND(((('Quantification_Results'!AB260-'Quantification_Config'!$S$12)/('Quantification_Config'!$T$12-'Quantification_Config'!$S$12))*100),'Quantification_Config'!$U$2),""),"")</x:f>
        <x:v>50</x:v>
      </x:c>
      <x:c r="AD260" t="inlineStr">
        <x:is>
          <x:t xml:space="preserve">SYSTEM-TEST-ONLY-NO-NETWORK-NOT-AN-EDUCATIONAL-EVALUATION</x:t>
        </x:is>
      </x:c>
      <x:c r="AE260" t="inlineStr">
        <x:is>
          <x:t xml:space="preserve"/>
        </x:is>
      </x:c>
      <x:c r="AF260" t="inlineStr">
        <x:is>
          <x:t xml:space="preserve">NONE</x:t>
        </x:is>
      </x:c>
      <x:c r="AG260" t="inlineStr">
        <x:is>
          <x:t xml:space="preserve"/>
        </x:is>
      </x:c>
      <x:c r="AH260" t="inlineStr">
        <x:is>
          <x:t xml:space="preserve">SUCCESS</x:t>
        </x:is>
      </x:c>
      <x:c r="AI260" t="n">
        <x:f>IF((COUNT('Quantification_Results'!AC260)=1),IFERROR(ROUND((SUM(('Quantification_Results'!AC260*'Quantification_Config'!$R$12))/SUM('Quantification_Config'!$R$12)),'Quantification_Config'!$U$2),""),"")</x:f>
        <x:v>50</x:v>
      </x:c>
      <x:c r="AJ260" t="n">
        <x:f>IF((COUNT('Quantification_Results'!AI260)=1),IFERROR(ROUND((SUM(('Quantification_Results'!AI260*'Quantification_Config'!$R$11))/SUM('Quantification_Config'!$R$11)),'Quantification_Config'!$U$2),""),"")</x:f>
        <x:v>50</x:v>
      </x:c>
      <x:c r="AK260" t="n">
        <x:v>1</x:v>
      </x:c>
      <x:c r="AL260" t="n">
        <x:v>5</x:v>
      </x:c>
      <x:c r="AM260"/>
      <x:c r="AN260" t="n">
        <x:f>IF(('Quantification_Results'!AK260&lt;&gt;1),"",IF(('Quantification_Results'!AM260=""),IF(ISNUMBER('Quantification_Results'!AL260),IF(('Quantification_Results'!AL260&lt;'Quantification_Config'!$S$15),"",IF(('Quantification_Results'!AL260&gt;'Quantification_Config'!$T$15),"",'Quantification_Results'!AL260)),""),IF(ISNUMBER('Quantification_Results'!AM260),IF(('Quantification_Results'!AM260&lt;'Quantification_Config'!$S$15),"",IF(('Quantification_Results'!AM260&gt;'Quantification_Config'!$T$15),"",'Quantification_Results'!AM260)),"")))</x:f>
        <x:v>5</x:v>
      </x:c>
      <x:c r="AO260" t="n">
        <x:f>IF(ISNUMBER('Quantification_Results'!AN260),IFERROR(ROUND(((('Quantification_Results'!AN260-'Quantification_Config'!$S$15)/('Quantification_Config'!$T$15-'Quantification_Config'!$S$15))*100),'Quantification_Config'!$U$2),""),"")</x:f>
        <x:v>50</x:v>
      </x:c>
      <x:c r="AP260" t="inlineStr">
        <x:is>
          <x:t xml:space="preserve">SYSTEM-TEST-ONLY-NO-NETWORK-NOT-AN-EDUCATIONAL-EVALUATION</x:t>
        </x:is>
      </x:c>
      <x:c r="AQ260" t="inlineStr">
        <x:is>
          <x:t xml:space="preserve"/>
        </x:is>
      </x:c>
      <x:c r="AR260" t="inlineStr">
        <x:is>
          <x:t xml:space="preserve">NONE</x:t>
        </x:is>
      </x:c>
      <x:c r="AS260" t="inlineStr">
        <x:is>
          <x:t xml:space="preserve"/>
        </x:is>
      </x:c>
      <x:c r="AT260" t="inlineStr">
        <x:is>
          <x:t xml:space="preserve">SUCCESS</x:t>
        </x:is>
      </x:c>
      <x:c r="AU260" t="n">
        <x:f>IF((COUNT('Quantification_Results'!AO260)=1),IFERROR(ROUND((SUM(('Quantification_Results'!AO260*'Quantification_Config'!$R$15))/SUM('Quantification_Config'!$R$15)),'Quantification_Config'!$U$2),""),"")</x:f>
        <x:v>50</x:v>
      </x:c>
      <x:c r="AV260" t="n">
        <x:f>IF((COUNT('Quantification_Results'!AU260)=1),IFERROR(ROUND((SUM(('Quantification_Results'!AU260*'Quantification_Config'!$R$14))/SUM('Quantification_Config'!$R$14)),'Quantification_Config'!$U$2),""),"")</x:f>
        <x:v>50</x:v>
      </x:c>
      <x:c r="AW260" t="n">
        <x:v>1</x:v>
      </x:c>
      <x:c r="AX260" t="n">
        <x:v>5</x:v>
      </x:c>
      <x:c r="AY260"/>
      <x:c r="AZ260" t="n">
        <x:f>IF(('Quantification_Results'!AW260&lt;&gt;1),"",IF(('Quantification_Results'!AY260=""),IF(ISNUMBER('Quantification_Results'!AX260),IF(('Quantification_Results'!AX260&lt;'Quantification_Config'!$S$19),"",IF(('Quantification_Results'!AX260&gt;'Quantification_Config'!$T$19),"",'Quantification_Results'!AX260)),""),IF(ISNUMBER('Quantification_Results'!AY260),IF(('Quantification_Results'!AY260&lt;'Quantification_Config'!$S$19),"",IF(('Quantification_Results'!AY260&gt;'Quantification_Config'!$T$19),"",'Quantification_Results'!AY260)),"")))</x:f>
        <x:v>5</x:v>
      </x:c>
      <x:c r="BA260" t="n">
        <x:f>IF(ISNUMBER('Quantification_Results'!AZ260),IFERROR(ROUND(((('Quantification_Results'!AZ260-'Quantification_Config'!$S$19)/('Quantification_Config'!$T$19-'Quantification_Config'!$S$19))*100),'Quantification_Config'!$U$2),""),"")</x:f>
        <x:v>50</x:v>
      </x:c>
      <x:c r="BB260" t="inlineStr">
        <x:is>
          <x:t xml:space="preserve">SYSTEM-TEST-ONLY-NO-NETWORK-NOT-AN-EDUCATIONAL-EVALUATION</x:t>
        </x:is>
      </x:c>
      <x:c r="BC260" t="inlineStr">
        <x:is>
          <x:t xml:space="preserve"/>
        </x:is>
      </x:c>
      <x:c r="BD260" t="inlineStr">
        <x:is>
          <x:t xml:space="preserve">NONE</x:t>
        </x:is>
      </x:c>
      <x:c r="BE260" t="inlineStr">
        <x:is>
          <x:t xml:space="preserve"/>
        </x:is>
      </x:c>
      <x:c r="BF260" t="inlineStr">
        <x:is>
          <x:t xml:space="preserve">SUCCESS</x:t>
        </x:is>
      </x:c>
      <x:c r="BG260" t="n">
        <x:f>IF((COUNT('Quantification_Results'!BA260)=1),IFERROR(ROUND((SUM(('Quantification_Results'!BA260*'Quantification_Config'!$R$19))/SUM('Quantification_Config'!$R$19)),'Quantification_Config'!$U$2),""),"")</x:f>
        <x:v>50</x:v>
      </x:c>
      <x:c r="BH260" t="n">
        <x:f>IF((COUNT('Quantification_Results'!BG260)=1),IFERROR(ROUND((SUM(('Quantification_Results'!BG260*'Quantification_Config'!$R$18))/SUM('Quantification_Config'!$R$18)),'Quantification_Config'!$U$2),""),"")</x:f>
        <x:v>50</x:v>
      </x:c>
      <x:c r="BI260" t="n">
        <x:f>IF((COUNT('Quantification_Results'!L260,'Quantification_Results'!X260,'Quantification_Results'!AJ260,'Quantification_Results'!AV260,'Quantification_Results'!BH260)=5),IFERROR(ROUND((SUM(('Quantification_Results'!L260*'Quantification_Config'!$R$4),('Quantification_Results'!X260*'Quantification_Config'!$R$7),('Quantification_Results'!AJ260*'Quantification_Config'!$R$10),('Quantification_Results'!AV260*'Quantification_Config'!$R$13),('Quantification_Results'!BH260*'Quantification_Config'!$R$16))/SUM('Quantification_Config'!$R$4,'Quantification_Config'!$R$7,'Quantification_Config'!$R$10,'Quantification_Config'!$R$13,'Quantification_Config'!$R$16)),'Quantification_Config'!$U$2),""),"")</x:f>
        <x:v>50</x:v>
      </x:c>
    </x:row>
    <x:row r="261">
      <x:c r="A261" t="n">
        <x:v>1</x:v>
      </x:c>
      <x:c r="B261" t="n">
        <x:v>5</x:v>
      </x:c>
      <x:c r="C261"/>
      <x:c r="D261" t="n">
        <x:f>IF(('Quantification_Results'!A261&lt;&gt;1),"",IF(('Quantification_Results'!C261=""),IF(ISNUMBER('Quantification_Results'!B261),IF(('Quantification_Results'!B261&lt;'Quantification_Config'!$S$6),"",IF(('Quantification_Results'!B261&gt;'Quantification_Config'!$T$6),"",'Quantification_Results'!B261)),""),IF(ISNUMBER('Quantification_Results'!C261),IF(('Quantification_Results'!C261&lt;'Quantification_Config'!$S$6),"",IF(('Quantification_Results'!C261&gt;'Quantification_Config'!$T$6),"",'Quantification_Results'!C261)),"")))</x:f>
        <x:v>5</x:v>
      </x:c>
      <x:c r="E261" t="n">
        <x:f>IF(ISNUMBER('Quantification_Results'!D261),IFERROR(ROUND(((('Quantification_Results'!D261-'Quantification_Config'!$S$6)/('Quantification_Config'!$T$6-'Quantification_Config'!$S$6))*100),'Quantification_Config'!$U$2),""),"")</x:f>
        <x:v>50</x:v>
      </x:c>
      <x:c r="F261" t="inlineStr">
        <x:is>
          <x:t xml:space="preserve">SYSTEM-TEST-ONLY-NO-NETWORK-NOT-AN-EDUCATIONAL-EVALUATION</x:t>
        </x:is>
      </x:c>
      <x:c r="G261" t="inlineStr">
        <x:is>
          <x:t xml:space="preserve"/>
        </x:is>
      </x:c>
      <x:c r="H261" t="inlineStr">
        <x:is>
          <x:t xml:space="preserve">NONE</x:t>
        </x:is>
      </x:c>
      <x:c r="I261" t="inlineStr">
        <x:is>
          <x:t xml:space="preserve"/>
        </x:is>
      </x:c>
      <x:c r="J261" t="inlineStr">
        <x:is>
          <x:t xml:space="preserve">SUCCESS</x:t>
        </x:is>
      </x:c>
      <x:c r="K261" t="n">
        <x:f>IF((COUNT('Quantification_Results'!E261)=1),IFERROR(ROUND((SUM(('Quantification_Results'!E261*'Quantification_Config'!$R$6))/SUM('Quantification_Config'!$R$6)),'Quantification_Config'!$U$2),""),"")</x:f>
        <x:v>50</x:v>
      </x:c>
      <x:c r="L261" t="n">
        <x:f>IF((COUNT('Quantification_Results'!K261)=1),IFERROR(ROUND((SUM(('Quantification_Results'!K261*'Quantification_Config'!$R$5))/SUM('Quantification_Config'!$R$5)),'Quantification_Config'!$U$2),""),"")</x:f>
        <x:v>50</x:v>
      </x:c>
      <x:c r="M261" t="n">
        <x:v>1</x:v>
      </x:c>
      <x:c r="N261" t="n">
        <x:v>5</x:v>
      </x:c>
      <x:c r="O261"/>
      <x:c r="P261" t="n">
        <x:f>IF(('Quantification_Results'!M261&lt;&gt;1),"",IF(('Quantification_Results'!O261=""),IF(ISNUMBER('Quantification_Results'!N261),IF(('Quantification_Results'!N261&lt;'Quantification_Config'!$S$9),"",IF(('Quantification_Results'!N261&gt;'Quantification_Config'!$T$9),"",'Quantification_Results'!N261)),""),IF(ISNUMBER('Quantification_Results'!O261),IF(('Quantification_Results'!O261&lt;'Quantification_Config'!$S$9),"",IF(('Quantification_Results'!O261&gt;'Quantification_Config'!$T$9),"",'Quantification_Results'!O261)),"")))</x:f>
        <x:v>5</x:v>
      </x:c>
      <x:c r="Q261" t="n">
        <x:f>IF(ISNUMBER('Quantification_Results'!P261),IFERROR(ROUND(((('Quantification_Results'!P261-'Quantification_Config'!$S$9)/('Quantification_Config'!$T$9-'Quantification_Config'!$S$9))*100),'Quantification_Config'!$U$2),""),"")</x:f>
        <x:v>50</x:v>
      </x:c>
      <x:c r="R261" t="inlineStr">
        <x:is>
          <x:t xml:space="preserve">SYSTEM-TEST-ONLY-NO-NETWORK-NOT-AN-EDUCATIONAL-EVALUATION</x:t>
        </x:is>
      </x:c>
      <x:c r="S261" t="inlineStr">
        <x:is>
          <x:t xml:space="preserve"/>
        </x:is>
      </x:c>
      <x:c r="T261" t="inlineStr">
        <x:is>
          <x:t xml:space="preserve">NONE</x:t>
        </x:is>
      </x:c>
      <x:c r="U261" t="inlineStr">
        <x:is>
          <x:t xml:space="preserve"/>
        </x:is>
      </x:c>
      <x:c r="V261" t="inlineStr">
        <x:is>
          <x:t xml:space="preserve">SUCCESS</x:t>
        </x:is>
      </x:c>
      <x:c r="W261" t="n">
        <x:f>IF((COUNT('Quantification_Results'!Q261)=1),IFERROR(ROUND((SUM(('Quantification_Results'!Q261*'Quantification_Config'!$R$9))/SUM('Quantification_Config'!$R$9)),'Quantification_Config'!$U$2),""),"")</x:f>
        <x:v>50</x:v>
      </x:c>
      <x:c r="X261" t="n">
        <x:f>IF((COUNT('Quantification_Results'!W261)=1),IFERROR(ROUND((SUM(('Quantification_Results'!W261*'Quantification_Config'!$R$8))/SUM('Quantification_Config'!$R$8)),'Quantification_Config'!$U$2),""),"")</x:f>
        <x:v>50</x:v>
      </x:c>
      <x:c r="Y261" t="n">
        <x:v>0</x:v>
      </x:c>
      <x:c r="Z261"/>
      <x:c r="AA261"/>
      <x:c r="AB261">
        <x:f>IF(('Quantification_Results'!Y261&lt;&gt;1),"",IF(('Quantification_Results'!AA261=""),IF(ISNUMBER('Quantification_Results'!Z261),IF(('Quantification_Results'!Z261&lt;'Quantification_Config'!$S$12),"",IF(('Quantification_Results'!Z261&gt;'Quantification_Config'!$T$12),"",'Quantification_Results'!Z261)),""),IF(ISNUMBER('Quantification_Results'!AA261),IF(('Quantification_Results'!AA261&lt;'Quantification_Config'!$S$12),"",IF(('Quantification_Results'!AA261&gt;'Quantification_Config'!$T$12),"",'Quantification_Results'!AA261)),"")))</x:f>
      </x:c>
      <x:c r="AC261">
        <x:f>IF(ISNUMBER('Quantification_Results'!AB261),IFERROR(ROUND(((('Quantification_Results'!AB261-'Quantification_Config'!$S$12)/('Quantification_Config'!$T$12-'Quantification_Config'!$S$12))*100),'Quantification_Config'!$U$2),""),"")</x:f>
      </x:c>
      <x:c r="AD261" t="inlineStr">
        <x:is>
          <x:t xml:space="preserve"/>
        </x:is>
      </x:c>
      <x:c r="AE261" t="inlineStr">
        <x:is>
          <x:t xml:space="preserve"/>
        </x:is>
      </x:c>
      <x:c r="AF261" t="inlineStr">
        <x:is>
          <x:t xml:space="preserve"/>
        </x:is>
      </x:c>
      <x:c r="AG261" t="inlineStr">
        <x:is>
          <x:t xml:space="preserve"/>
        </x:is>
      </x:c>
      <x:c r="AH261" t="inlineStr">
        <x:is>
          <x:t xml:space="preserve">EMPTY</x:t>
        </x:is>
      </x:c>
      <x:c r="AI261">
        <x:f>IF((COUNT('Quantification_Results'!AC261)=1),IFERROR(ROUND((SUM(('Quantification_Results'!AC261*'Quantification_Config'!$R$12))/SUM('Quantification_Config'!$R$12)),'Quantification_Config'!$U$2),""),"")</x:f>
      </x:c>
      <x:c r="AJ261">
        <x:f>IF((COUNT('Quantification_Results'!AI261)=1),IFERROR(ROUND((SUM(('Quantification_Results'!AI261*'Quantification_Config'!$R$11))/SUM('Quantification_Config'!$R$11)),'Quantification_Config'!$U$2),""),"")</x:f>
      </x:c>
      <x:c r="AK261" t="n">
        <x:v>1</x:v>
      </x:c>
      <x:c r="AL261" t="n">
        <x:v>5</x:v>
      </x:c>
      <x:c r="AM261"/>
      <x:c r="AN261" t="n">
        <x:f>IF(('Quantification_Results'!AK261&lt;&gt;1),"",IF(('Quantification_Results'!AM261=""),IF(ISNUMBER('Quantification_Results'!AL261),IF(('Quantification_Results'!AL261&lt;'Quantification_Config'!$S$15),"",IF(('Quantification_Results'!AL261&gt;'Quantification_Config'!$T$15),"",'Quantification_Results'!AL261)),""),IF(ISNUMBER('Quantification_Results'!AM261),IF(('Quantification_Results'!AM261&lt;'Quantification_Config'!$S$15),"",IF(('Quantification_Results'!AM261&gt;'Quantification_Config'!$T$15),"",'Quantification_Results'!AM261)),"")))</x:f>
        <x:v>5</x:v>
      </x:c>
      <x:c r="AO261" t="n">
        <x:f>IF(ISNUMBER('Quantification_Results'!AN261),IFERROR(ROUND(((('Quantification_Results'!AN261-'Quantification_Config'!$S$15)/('Quantification_Config'!$T$15-'Quantification_Config'!$S$15))*100),'Quantification_Config'!$U$2),""),"")</x:f>
        <x:v>50</x:v>
      </x:c>
      <x:c r="AP261" t="inlineStr">
        <x:is>
          <x:t xml:space="preserve">SYSTEM-TEST-ONLY-NO-NETWORK-NOT-AN-EDUCATIONAL-EVALUATION</x:t>
        </x:is>
      </x:c>
      <x:c r="AQ261" t="inlineStr">
        <x:is>
          <x:t xml:space="preserve"/>
        </x:is>
      </x:c>
      <x:c r="AR261" t="inlineStr">
        <x:is>
          <x:t xml:space="preserve">NONE</x:t>
        </x:is>
      </x:c>
      <x:c r="AS261" t="inlineStr">
        <x:is>
          <x:t xml:space="preserve"/>
        </x:is>
      </x:c>
      <x:c r="AT261" t="inlineStr">
        <x:is>
          <x:t xml:space="preserve">SUCCESS</x:t>
        </x:is>
      </x:c>
      <x:c r="AU261" t="n">
        <x:f>IF((COUNT('Quantification_Results'!AO261)=1),IFERROR(ROUND((SUM(('Quantification_Results'!AO261*'Quantification_Config'!$R$15))/SUM('Quantification_Config'!$R$15)),'Quantification_Config'!$U$2),""),"")</x:f>
        <x:v>50</x:v>
      </x:c>
      <x:c r="AV261" t="n">
        <x:f>IF((COUNT('Quantification_Results'!AU261)=1),IFERROR(ROUND((SUM(('Quantification_Results'!AU261*'Quantification_Config'!$R$14))/SUM('Quantification_Config'!$R$14)),'Quantification_Config'!$U$2),""),"")</x:f>
        <x:v>50</x:v>
      </x:c>
      <x:c r="AW261" t="n">
        <x:v>1</x:v>
      </x:c>
      <x:c r="AX261" t="n">
        <x:v>5</x:v>
      </x:c>
      <x:c r="AY261"/>
      <x:c r="AZ261" t="n">
        <x:f>IF(('Quantification_Results'!AW261&lt;&gt;1),"",IF(('Quantification_Results'!AY261=""),IF(ISNUMBER('Quantification_Results'!AX261),IF(('Quantification_Results'!AX261&lt;'Quantification_Config'!$S$19),"",IF(('Quantification_Results'!AX261&gt;'Quantification_Config'!$T$19),"",'Quantification_Results'!AX261)),""),IF(ISNUMBER('Quantification_Results'!AY261),IF(('Quantification_Results'!AY261&lt;'Quantification_Config'!$S$19),"",IF(('Quantification_Results'!AY261&gt;'Quantification_Config'!$T$19),"",'Quantification_Results'!AY261)),"")))</x:f>
        <x:v>5</x:v>
      </x:c>
      <x:c r="BA261" t="n">
        <x:f>IF(ISNUMBER('Quantification_Results'!AZ261),IFERROR(ROUND(((('Quantification_Results'!AZ261-'Quantification_Config'!$S$19)/('Quantification_Config'!$T$19-'Quantification_Config'!$S$19))*100),'Quantification_Config'!$U$2),""),"")</x:f>
        <x:v>50</x:v>
      </x:c>
      <x:c r="BB261" t="inlineStr">
        <x:is>
          <x:t xml:space="preserve">SYSTEM-TEST-ONLY-NO-NETWORK-NOT-AN-EDUCATIONAL-EVALUATION</x:t>
        </x:is>
      </x:c>
      <x:c r="BC261" t="inlineStr">
        <x:is>
          <x:t xml:space="preserve"/>
        </x:is>
      </x:c>
      <x:c r="BD261" t="inlineStr">
        <x:is>
          <x:t xml:space="preserve">NONE</x:t>
        </x:is>
      </x:c>
      <x:c r="BE261" t="inlineStr">
        <x:is>
          <x:t xml:space="preserve"/>
        </x:is>
      </x:c>
      <x:c r="BF261" t="inlineStr">
        <x:is>
          <x:t xml:space="preserve">SUCCESS</x:t>
        </x:is>
      </x:c>
      <x:c r="BG261" t="n">
        <x:f>IF((COUNT('Quantification_Results'!BA261)=1),IFERROR(ROUND((SUM(('Quantification_Results'!BA261*'Quantification_Config'!$R$19))/SUM('Quantification_Config'!$R$19)),'Quantification_Config'!$U$2),""),"")</x:f>
        <x:v>50</x:v>
      </x:c>
      <x:c r="BH261" t="n">
        <x:f>IF((COUNT('Quantification_Results'!BG261)=1),IFERROR(ROUND((SUM(('Quantification_Results'!BG261*'Quantification_Config'!$R$18))/SUM('Quantification_Config'!$R$18)),'Quantification_Config'!$U$2),""),"")</x:f>
        <x:v>50</x:v>
      </x:c>
      <x:c r="BI261">
        <x:f>IF((COUNT('Quantification_Results'!L261,'Quantification_Results'!X261,'Quantification_Results'!AJ261,'Quantification_Results'!AV261,'Quantification_Results'!BH261)=5),IFERROR(ROUND((SUM(('Quantification_Results'!L261*'Quantification_Config'!$R$4),('Quantification_Results'!X261*'Quantification_Config'!$R$7),('Quantification_Results'!AJ261*'Quantification_Config'!$R$10),('Quantification_Results'!AV261*'Quantification_Config'!$R$13),('Quantification_Results'!BH261*'Quantification_Config'!$R$16))/SUM('Quantification_Config'!$R$4,'Quantification_Config'!$R$7,'Quantification_Config'!$R$10,'Quantification_Config'!$R$13,'Quantification_Config'!$R$16)),'Quantification_Config'!$U$2),""),"")</x:f>
      </x:c>
    </x:row>
    <x:row r="262">
      <x:c r="A262" t="n">
        <x:v>1</x:v>
      </x:c>
      <x:c r="B262" t="n">
        <x:v>5</x:v>
      </x:c>
      <x:c r="C262"/>
      <x:c r="D262" t="n">
        <x:f>IF(('Quantification_Results'!A262&lt;&gt;1),"",IF(('Quantification_Results'!C262=""),IF(ISNUMBER('Quantification_Results'!B262),IF(('Quantification_Results'!B262&lt;'Quantification_Config'!$S$6),"",IF(('Quantification_Results'!B262&gt;'Quantification_Config'!$T$6),"",'Quantification_Results'!B262)),""),IF(ISNUMBER('Quantification_Results'!C262),IF(('Quantification_Results'!C262&lt;'Quantification_Config'!$S$6),"",IF(('Quantification_Results'!C262&gt;'Quantification_Config'!$T$6),"",'Quantification_Results'!C262)),"")))</x:f>
        <x:v>5</x:v>
      </x:c>
      <x:c r="E262" t="n">
        <x:f>IF(ISNUMBER('Quantification_Results'!D262),IFERROR(ROUND(((('Quantification_Results'!D262-'Quantification_Config'!$S$6)/('Quantification_Config'!$T$6-'Quantification_Config'!$S$6))*100),'Quantification_Config'!$U$2),""),"")</x:f>
        <x:v>50</x:v>
      </x:c>
      <x:c r="F262" t="inlineStr">
        <x:is>
          <x:t xml:space="preserve">SYSTEM-TEST-ONLY-NO-NETWORK-NOT-AN-EDUCATIONAL-EVALUATION</x:t>
        </x:is>
      </x:c>
      <x:c r="G262" t="inlineStr">
        <x:is>
          <x:t xml:space="preserve"/>
        </x:is>
      </x:c>
      <x:c r="H262" t="inlineStr">
        <x:is>
          <x:t xml:space="preserve">NONE</x:t>
        </x:is>
      </x:c>
      <x:c r="I262" t="inlineStr">
        <x:is>
          <x:t xml:space="preserve"/>
        </x:is>
      </x:c>
      <x:c r="J262" t="inlineStr">
        <x:is>
          <x:t xml:space="preserve">SUCCESS</x:t>
        </x:is>
      </x:c>
      <x:c r="K262" t="n">
        <x:f>IF((COUNT('Quantification_Results'!E262)=1),IFERROR(ROUND((SUM(('Quantification_Results'!E262*'Quantification_Config'!$R$6))/SUM('Quantification_Config'!$R$6)),'Quantification_Config'!$U$2),""),"")</x:f>
        <x:v>50</x:v>
      </x:c>
      <x:c r="L262" t="n">
        <x:f>IF((COUNT('Quantification_Results'!K262)=1),IFERROR(ROUND((SUM(('Quantification_Results'!K262*'Quantification_Config'!$R$5))/SUM('Quantification_Config'!$R$5)),'Quantification_Config'!$U$2),""),"")</x:f>
        <x:v>50</x:v>
      </x:c>
      <x:c r="M262" t="n">
        <x:v>1</x:v>
      </x:c>
      <x:c r="N262" t="n">
        <x:v>5</x:v>
      </x:c>
      <x:c r="O262"/>
      <x:c r="P262" t="n">
        <x:f>IF(('Quantification_Results'!M262&lt;&gt;1),"",IF(('Quantification_Results'!O262=""),IF(ISNUMBER('Quantification_Results'!N262),IF(('Quantification_Results'!N262&lt;'Quantification_Config'!$S$9),"",IF(('Quantification_Results'!N262&gt;'Quantification_Config'!$T$9),"",'Quantification_Results'!N262)),""),IF(ISNUMBER('Quantification_Results'!O262),IF(('Quantification_Results'!O262&lt;'Quantification_Config'!$S$9),"",IF(('Quantification_Results'!O262&gt;'Quantification_Config'!$T$9),"",'Quantification_Results'!O262)),"")))</x:f>
        <x:v>5</x:v>
      </x:c>
      <x:c r="Q262" t="n">
        <x:f>IF(ISNUMBER('Quantification_Results'!P262),IFERROR(ROUND(((('Quantification_Results'!P262-'Quantification_Config'!$S$9)/('Quantification_Config'!$T$9-'Quantification_Config'!$S$9))*100),'Quantification_Config'!$U$2),""),"")</x:f>
        <x:v>50</x:v>
      </x:c>
      <x:c r="R262" t="inlineStr">
        <x:is>
          <x:t xml:space="preserve">SYSTEM-TEST-ONLY-NO-NETWORK-NOT-AN-EDUCATIONAL-EVALUATION</x:t>
        </x:is>
      </x:c>
      <x:c r="S262" t="inlineStr">
        <x:is>
          <x:t xml:space="preserve"/>
        </x:is>
      </x:c>
      <x:c r="T262" t="inlineStr">
        <x:is>
          <x:t xml:space="preserve">NONE</x:t>
        </x:is>
      </x:c>
      <x:c r="U262" t="inlineStr">
        <x:is>
          <x:t xml:space="preserve"/>
        </x:is>
      </x:c>
      <x:c r="V262" t="inlineStr">
        <x:is>
          <x:t xml:space="preserve">SUCCESS</x:t>
        </x:is>
      </x:c>
      <x:c r="W262" t="n">
        <x:f>IF((COUNT('Quantification_Results'!Q262)=1),IFERROR(ROUND((SUM(('Quantification_Results'!Q262*'Quantification_Config'!$R$9))/SUM('Quantification_Config'!$R$9)),'Quantification_Config'!$U$2),""),"")</x:f>
        <x:v>50</x:v>
      </x:c>
      <x:c r="X262" t="n">
        <x:f>IF((COUNT('Quantification_Results'!W262)=1),IFERROR(ROUND((SUM(('Quantification_Results'!W262*'Quantification_Config'!$R$8))/SUM('Quantification_Config'!$R$8)),'Quantification_Config'!$U$2),""),"")</x:f>
        <x:v>50</x:v>
      </x:c>
      <x:c r="Y262" t="n">
        <x:v>0</x:v>
      </x:c>
      <x:c r="Z262"/>
      <x:c r="AA262"/>
      <x:c r="AB262">
        <x:f>IF(('Quantification_Results'!Y262&lt;&gt;1),"",IF(('Quantification_Results'!AA262=""),IF(ISNUMBER('Quantification_Results'!Z262),IF(('Quantification_Results'!Z262&lt;'Quantification_Config'!$S$12),"",IF(('Quantification_Results'!Z262&gt;'Quantification_Config'!$T$12),"",'Quantification_Results'!Z262)),""),IF(ISNUMBER('Quantification_Results'!AA262),IF(('Quantification_Results'!AA262&lt;'Quantification_Config'!$S$12),"",IF(('Quantification_Results'!AA262&gt;'Quantification_Config'!$T$12),"",'Quantification_Results'!AA262)),"")))</x:f>
      </x:c>
      <x:c r="AC262">
        <x:f>IF(ISNUMBER('Quantification_Results'!AB262),IFERROR(ROUND(((('Quantification_Results'!AB262-'Quantification_Config'!$S$12)/('Quantification_Config'!$T$12-'Quantification_Config'!$S$12))*100),'Quantification_Config'!$U$2),""),"")</x:f>
      </x:c>
      <x:c r="AD262" t="inlineStr">
        <x:is>
          <x:t xml:space="preserve"/>
        </x:is>
      </x:c>
      <x:c r="AE262" t="inlineStr">
        <x:is>
          <x:t xml:space="preserve"/>
        </x:is>
      </x:c>
      <x:c r="AF262" t="inlineStr">
        <x:is>
          <x:t xml:space="preserve"/>
        </x:is>
      </x:c>
      <x:c r="AG262" t="inlineStr">
        <x:is>
          <x:t xml:space="preserve"/>
        </x:is>
      </x:c>
      <x:c r="AH262" t="inlineStr">
        <x:is>
          <x:t xml:space="preserve">EMPTY</x:t>
        </x:is>
      </x:c>
      <x:c r="AI262">
        <x:f>IF((COUNT('Quantification_Results'!AC262)=1),IFERROR(ROUND((SUM(('Quantification_Results'!AC262*'Quantification_Config'!$R$12))/SUM('Quantification_Config'!$R$12)),'Quantification_Config'!$U$2),""),"")</x:f>
      </x:c>
      <x:c r="AJ262">
        <x:f>IF((COUNT('Quantification_Results'!AI262)=1),IFERROR(ROUND((SUM(('Quantification_Results'!AI262*'Quantification_Config'!$R$11))/SUM('Quantification_Config'!$R$11)),'Quantification_Config'!$U$2),""),"")</x:f>
      </x:c>
      <x:c r="AK262" t="n">
        <x:v>1</x:v>
      </x:c>
      <x:c r="AL262" t="n">
        <x:v>5</x:v>
      </x:c>
      <x:c r="AM262"/>
      <x:c r="AN262" t="n">
        <x:f>IF(('Quantification_Results'!AK262&lt;&gt;1),"",IF(('Quantification_Results'!AM262=""),IF(ISNUMBER('Quantification_Results'!AL262),IF(('Quantification_Results'!AL262&lt;'Quantification_Config'!$S$15),"",IF(('Quantification_Results'!AL262&gt;'Quantification_Config'!$T$15),"",'Quantification_Results'!AL262)),""),IF(ISNUMBER('Quantification_Results'!AM262),IF(('Quantification_Results'!AM262&lt;'Quantification_Config'!$S$15),"",IF(('Quantification_Results'!AM262&gt;'Quantification_Config'!$T$15),"",'Quantification_Results'!AM262)),"")))</x:f>
        <x:v>5</x:v>
      </x:c>
      <x:c r="AO262" t="n">
        <x:f>IF(ISNUMBER('Quantification_Results'!AN262),IFERROR(ROUND(((('Quantification_Results'!AN262-'Quantification_Config'!$S$15)/('Quantification_Config'!$T$15-'Quantification_Config'!$S$15))*100),'Quantification_Config'!$U$2),""),"")</x:f>
        <x:v>50</x:v>
      </x:c>
      <x:c r="AP262" t="inlineStr">
        <x:is>
          <x:t xml:space="preserve">SYSTEM-TEST-ONLY-NO-NETWORK-NOT-AN-EDUCATIONAL-EVALUATION</x:t>
        </x:is>
      </x:c>
      <x:c r="AQ262" t="inlineStr">
        <x:is>
          <x:t xml:space="preserve"/>
        </x:is>
      </x:c>
      <x:c r="AR262" t="inlineStr">
        <x:is>
          <x:t xml:space="preserve">NONE</x:t>
        </x:is>
      </x:c>
      <x:c r="AS262" t="inlineStr">
        <x:is>
          <x:t xml:space="preserve"/>
        </x:is>
      </x:c>
      <x:c r="AT262" t="inlineStr">
        <x:is>
          <x:t xml:space="preserve">SUCCESS</x:t>
        </x:is>
      </x:c>
      <x:c r="AU262" t="n">
        <x:f>IF((COUNT('Quantification_Results'!AO262)=1),IFERROR(ROUND((SUM(('Quantification_Results'!AO262*'Quantification_Config'!$R$15))/SUM('Quantification_Config'!$R$15)),'Quantification_Config'!$U$2),""),"")</x:f>
        <x:v>50</x:v>
      </x:c>
      <x:c r="AV262" t="n">
        <x:f>IF((COUNT('Quantification_Results'!AU262)=1),IFERROR(ROUND((SUM(('Quantification_Results'!AU262*'Quantification_Config'!$R$14))/SUM('Quantification_Config'!$R$14)),'Quantification_Config'!$U$2),""),"")</x:f>
        <x:v>50</x:v>
      </x:c>
      <x:c r="AW262" t="n">
        <x:v>1</x:v>
      </x:c>
      <x:c r="AX262" t="n">
        <x:v>5</x:v>
      </x:c>
      <x:c r="AY262"/>
      <x:c r="AZ262" t="n">
        <x:f>IF(('Quantification_Results'!AW262&lt;&gt;1),"",IF(('Quantification_Results'!AY262=""),IF(ISNUMBER('Quantification_Results'!AX262),IF(('Quantification_Results'!AX262&lt;'Quantification_Config'!$S$19),"",IF(('Quantification_Results'!AX262&gt;'Quantification_Config'!$T$19),"",'Quantification_Results'!AX262)),""),IF(ISNUMBER('Quantification_Results'!AY262),IF(('Quantification_Results'!AY262&lt;'Quantification_Config'!$S$19),"",IF(('Quantification_Results'!AY262&gt;'Quantification_Config'!$T$19),"",'Quantification_Results'!AY262)),"")))</x:f>
        <x:v>5</x:v>
      </x:c>
      <x:c r="BA262" t="n">
        <x:f>IF(ISNUMBER('Quantification_Results'!AZ262),IFERROR(ROUND(((('Quantification_Results'!AZ262-'Quantification_Config'!$S$19)/('Quantification_Config'!$T$19-'Quantification_Config'!$S$19))*100),'Quantification_Config'!$U$2),""),"")</x:f>
        <x:v>50</x:v>
      </x:c>
      <x:c r="BB262" t="inlineStr">
        <x:is>
          <x:t xml:space="preserve">SYSTEM-TEST-ONLY-NO-NETWORK-NOT-AN-EDUCATIONAL-EVALUATION</x:t>
        </x:is>
      </x:c>
      <x:c r="BC262" t="inlineStr">
        <x:is>
          <x:t xml:space="preserve"/>
        </x:is>
      </x:c>
      <x:c r="BD262" t="inlineStr">
        <x:is>
          <x:t xml:space="preserve">NONE</x:t>
        </x:is>
      </x:c>
      <x:c r="BE262" t="inlineStr">
        <x:is>
          <x:t xml:space="preserve"/>
        </x:is>
      </x:c>
      <x:c r="BF262" t="inlineStr">
        <x:is>
          <x:t xml:space="preserve">SUCCESS</x:t>
        </x:is>
      </x:c>
      <x:c r="BG262" t="n">
        <x:f>IF((COUNT('Quantification_Results'!BA262)=1),IFERROR(ROUND((SUM(('Quantification_Results'!BA262*'Quantification_Config'!$R$19))/SUM('Quantification_Config'!$R$19)),'Quantification_Config'!$U$2),""),"")</x:f>
        <x:v>50</x:v>
      </x:c>
      <x:c r="BH262" t="n">
        <x:f>IF((COUNT('Quantification_Results'!BG262)=1),IFERROR(ROUND((SUM(('Quantification_Results'!BG262*'Quantification_Config'!$R$18))/SUM('Quantification_Config'!$R$18)),'Quantification_Config'!$U$2),""),"")</x:f>
        <x:v>50</x:v>
      </x:c>
      <x:c r="BI262">
        <x:f>IF((COUNT('Quantification_Results'!L262,'Quantification_Results'!X262,'Quantification_Results'!AJ262,'Quantification_Results'!AV262,'Quantification_Results'!BH262)=5),IFERROR(ROUND((SUM(('Quantification_Results'!L262*'Quantification_Config'!$R$4),('Quantification_Results'!X262*'Quantification_Config'!$R$7),('Quantification_Results'!AJ262*'Quantification_Config'!$R$10),('Quantification_Results'!AV262*'Quantification_Config'!$R$13),('Quantification_Results'!BH262*'Quantification_Config'!$R$16))/SUM('Quantification_Config'!$R$4,'Quantification_Config'!$R$7,'Quantification_Config'!$R$10,'Quantification_Config'!$R$13,'Quantification_Config'!$R$16)),'Quantification_Config'!$U$2),""),"")</x:f>
      </x:c>
    </x:row>
    <x:row r="263">
      <x:c r="A263" t="n">
        <x:v>1</x:v>
      </x:c>
      <x:c r="B263" t="n">
        <x:v>5</x:v>
      </x:c>
      <x:c r="C263"/>
      <x:c r="D263" t="n">
        <x:f>IF(('Quantification_Results'!A263&lt;&gt;1),"",IF(('Quantification_Results'!C263=""),IF(ISNUMBER('Quantification_Results'!B263),IF(('Quantification_Results'!B263&lt;'Quantification_Config'!$S$6),"",IF(('Quantification_Results'!B263&gt;'Quantification_Config'!$T$6),"",'Quantification_Results'!B263)),""),IF(ISNUMBER('Quantification_Results'!C263),IF(('Quantification_Results'!C263&lt;'Quantification_Config'!$S$6),"",IF(('Quantification_Results'!C263&gt;'Quantification_Config'!$T$6),"",'Quantification_Results'!C263)),"")))</x:f>
        <x:v>5</x:v>
      </x:c>
      <x:c r="E263" t="n">
        <x:f>IF(ISNUMBER('Quantification_Results'!D263),IFERROR(ROUND(((('Quantification_Results'!D263-'Quantification_Config'!$S$6)/('Quantification_Config'!$T$6-'Quantification_Config'!$S$6))*100),'Quantification_Config'!$U$2),""),"")</x:f>
        <x:v>50</x:v>
      </x:c>
      <x:c r="F263" t="inlineStr">
        <x:is>
          <x:t xml:space="preserve">SYSTEM-TEST-ONLY-NO-NETWORK-NOT-AN-EDUCATIONAL-EVALUATION</x:t>
        </x:is>
      </x:c>
      <x:c r="G263" t="inlineStr">
        <x:is>
          <x:t xml:space="preserve"/>
        </x:is>
      </x:c>
      <x:c r="H263" t="inlineStr">
        <x:is>
          <x:t xml:space="preserve">NONE</x:t>
        </x:is>
      </x:c>
      <x:c r="I263" t="inlineStr">
        <x:is>
          <x:t xml:space="preserve"/>
        </x:is>
      </x:c>
      <x:c r="J263" t="inlineStr">
        <x:is>
          <x:t xml:space="preserve">SUCCESS</x:t>
        </x:is>
      </x:c>
      <x:c r="K263" t="n">
        <x:f>IF((COUNT('Quantification_Results'!E263)=1),IFERROR(ROUND((SUM(('Quantification_Results'!E263*'Quantification_Config'!$R$6))/SUM('Quantification_Config'!$R$6)),'Quantification_Config'!$U$2),""),"")</x:f>
        <x:v>50</x:v>
      </x:c>
      <x:c r="L263" t="n">
        <x:f>IF((COUNT('Quantification_Results'!K263)=1),IFERROR(ROUND((SUM(('Quantification_Results'!K263*'Quantification_Config'!$R$5))/SUM('Quantification_Config'!$R$5)),'Quantification_Config'!$U$2),""),"")</x:f>
        <x:v>50</x:v>
      </x:c>
      <x:c r="M263" t="n">
        <x:v>1</x:v>
      </x:c>
      <x:c r="N263" t="n">
        <x:v>5</x:v>
      </x:c>
      <x:c r="O263"/>
      <x:c r="P263" t="n">
        <x:f>IF(('Quantification_Results'!M263&lt;&gt;1),"",IF(('Quantification_Results'!O263=""),IF(ISNUMBER('Quantification_Results'!N263),IF(('Quantification_Results'!N263&lt;'Quantification_Config'!$S$9),"",IF(('Quantification_Results'!N263&gt;'Quantification_Config'!$T$9),"",'Quantification_Results'!N263)),""),IF(ISNUMBER('Quantification_Results'!O263),IF(('Quantification_Results'!O263&lt;'Quantification_Config'!$S$9),"",IF(('Quantification_Results'!O263&gt;'Quantification_Config'!$T$9),"",'Quantification_Results'!O263)),"")))</x:f>
        <x:v>5</x:v>
      </x:c>
      <x:c r="Q263" t="n">
        <x:f>IF(ISNUMBER('Quantification_Results'!P263),IFERROR(ROUND(((('Quantification_Results'!P263-'Quantification_Config'!$S$9)/('Quantification_Config'!$T$9-'Quantification_Config'!$S$9))*100),'Quantification_Config'!$U$2),""),"")</x:f>
        <x:v>50</x:v>
      </x:c>
      <x:c r="R263" t="inlineStr">
        <x:is>
          <x:t xml:space="preserve">SYSTEM-TEST-ONLY-NO-NETWORK-NOT-AN-EDUCATIONAL-EVALUATION</x:t>
        </x:is>
      </x:c>
      <x:c r="S263" t="inlineStr">
        <x:is>
          <x:t xml:space="preserve"/>
        </x:is>
      </x:c>
      <x:c r="T263" t="inlineStr">
        <x:is>
          <x:t xml:space="preserve">NONE</x:t>
        </x:is>
      </x:c>
      <x:c r="U263" t="inlineStr">
        <x:is>
          <x:t xml:space="preserve"/>
        </x:is>
      </x:c>
      <x:c r="V263" t="inlineStr">
        <x:is>
          <x:t xml:space="preserve">SUCCESS</x:t>
        </x:is>
      </x:c>
      <x:c r="W263" t="n">
        <x:f>IF((COUNT('Quantification_Results'!Q263)=1),IFERROR(ROUND((SUM(('Quantification_Results'!Q263*'Quantification_Config'!$R$9))/SUM('Quantification_Config'!$R$9)),'Quantification_Config'!$U$2),""),"")</x:f>
        <x:v>50</x:v>
      </x:c>
      <x:c r="X263" t="n">
        <x:f>IF((COUNT('Quantification_Results'!W263)=1),IFERROR(ROUND((SUM(('Quantification_Results'!W263*'Quantification_Config'!$R$8))/SUM('Quantification_Config'!$R$8)),'Quantification_Config'!$U$2),""),"")</x:f>
        <x:v>50</x:v>
      </x:c>
      <x:c r="Y263" t="n">
        <x:v>0</x:v>
      </x:c>
      <x:c r="Z263"/>
      <x:c r="AA263"/>
      <x:c r="AB263">
        <x:f>IF(('Quantification_Results'!Y263&lt;&gt;1),"",IF(('Quantification_Results'!AA263=""),IF(ISNUMBER('Quantification_Results'!Z263),IF(('Quantification_Results'!Z263&lt;'Quantification_Config'!$S$12),"",IF(('Quantification_Results'!Z263&gt;'Quantification_Config'!$T$12),"",'Quantification_Results'!Z263)),""),IF(ISNUMBER('Quantification_Results'!AA263),IF(('Quantification_Results'!AA263&lt;'Quantification_Config'!$S$12),"",IF(('Quantification_Results'!AA263&gt;'Quantification_Config'!$T$12),"",'Quantification_Results'!AA263)),"")))</x:f>
      </x:c>
      <x:c r="AC263">
        <x:f>IF(ISNUMBER('Quantification_Results'!AB263),IFERROR(ROUND(((('Quantification_Results'!AB263-'Quantification_Config'!$S$12)/('Quantification_Config'!$T$12-'Quantification_Config'!$S$12))*100),'Quantification_Config'!$U$2),""),"")</x:f>
      </x:c>
      <x:c r="AD263" t="inlineStr">
        <x:is>
          <x:t xml:space="preserve"/>
        </x:is>
      </x:c>
      <x:c r="AE263" t="inlineStr">
        <x:is>
          <x:t xml:space="preserve"/>
        </x:is>
      </x:c>
      <x:c r="AF263" t="inlineStr">
        <x:is>
          <x:t xml:space="preserve"/>
        </x:is>
      </x:c>
      <x:c r="AG263" t="inlineStr">
        <x:is>
          <x:t xml:space="preserve"/>
        </x:is>
      </x:c>
      <x:c r="AH263" t="inlineStr">
        <x:is>
          <x:t xml:space="preserve">EMPTY</x:t>
        </x:is>
      </x:c>
      <x:c r="AI263">
        <x:f>IF((COUNT('Quantification_Results'!AC263)=1),IFERROR(ROUND((SUM(('Quantification_Results'!AC263*'Quantification_Config'!$R$12))/SUM('Quantification_Config'!$R$12)),'Quantification_Config'!$U$2),""),"")</x:f>
      </x:c>
      <x:c r="AJ263">
        <x:f>IF((COUNT('Quantification_Results'!AI263)=1),IFERROR(ROUND((SUM(('Quantification_Results'!AI263*'Quantification_Config'!$R$11))/SUM('Quantification_Config'!$R$11)),'Quantification_Config'!$U$2),""),"")</x:f>
      </x:c>
      <x:c r="AK263" t="n">
        <x:v>1</x:v>
      </x:c>
      <x:c r="AL263" t="n">
        <x:v>5</x:v>
      </x:c>
      <x:c r="AM263"/>
      <x:c r="AN263" t="n">
        <x:f>IF(('Quantification_Results'!AK263&lt;&gt;1),"",IF(('Quantification_Results'!AM263=""),IF(ISNUMBER('Quantification_Results'!AL263),IF(('Quantification_Results'!AL263&lt;'Quantification_Config'!$S$15),"",IF(('Quantification_Results'!AL263&gt;'Quantification_Config'!$T$15),"",'Quantification_Results'!AL263)),""),IF(ISNUMBER('Quantification_Results'!AM263),IF(('Quantification_Results'!AM263&lt;'Quantification_Config'!$S$15),"",IF(('Quantification_Results'!AM263&gt;'Quantification_Config'!$T$15),"",'Quantification_Results'!AM263)),"")))</x:f>
        <x:v>5</x:v>
      </x:c>
      <x:c r="AO263" t="n">
        <x:f>IF(ISNUMBER('Quantification_Results'!AN263),IFERROR(ROUND(((('Quantification_Results'!AN263-'Quantification_Config'!$S$15)/('Quantification_Config'!$T$15-'Quantification_Config'!$S$15))*100),'Quantification_Config'!$U$2),""),"")</x:f>
        <x:v>50</x:v>
      </x:c>
      <x:c r="AP263" t="inlineStr">
        <x:is>
          <x:t xml:space="preserve">SYSTEM-TEST-ONLY-NO-NETWORK-NOT-AN-EDUCATIONAL-EVALUATION</x:t>
        </x:is>
      </x:c>
      <x:c r="AQ263" t="inlineStr">
        <x:is>
          <x:t xml:space="preserve"/>
        </x:is>
      </x:c>
      <x:c r="AR263" t="inlineStr">
        <x:is>
          <x:t xml:space="preserve">NONE</x:t>
        </x:is>
      </x:c>
      <x:c r="AS263" t="inlineStr">
        <x:is>
          <x:t xml:space="preserve"/>
        </x:is>
      </x:c>
      <x:c r="AT263" t="inlineStr">
        <x:is>
          <x:t xml:space="preserve">SUCCESS</x:t>
        </x:is>
      </x:c>
      <x:c r="AU263" t="n">
        <x:f>IF((COUNT('Quantification_Results'!AO263)=1),IFERROR(ROUND((SUM(('Quantification_Results'!AO263*'Quantification_Config'!$R$15))/SUM('Quantification_Config'!$R$15)),'Quantification_Config'!$U$2),""),"")</x:f>
        <x:v>50</x:v>
      </x:c>
      <x:c r="AV263" t="n">
        <x:f>IF((COUNT('Quantification_Results'!AU263)=1),IFERROR(ROUND((SUM(('Quantification_Results'!AU263*'Quantification_Config'!$R$14))/SUM('Quantification_Config'!$R$14)),'Quantification_Config'!$U$2),""),"")</x:f>
        <x:v>50</x:v>
      </x:c>
      <x:c r="AW263" t="n">
        <x:v>1</x:v>
      </x:c>
      <x:c r="AX263" t="n">
        <x:v>5</x:v>
      </x:c>
      <x:c r="AY263"/>
      <x:c r="AZ263" t="n">
        <x:f>IF(('Quantification_Results'!AW263&lt;&gt;1),"",IF(('Quantification_Results'!AY263=""),IF(ISNUMBER('Quantification_Results'!AX263),IF(('Quantification_Results'!AX263&lt;'Quantification_Config'!$S$19),"",IF(('Quantification_Results'!AX263&gt;'Quantification_Config'!$T$19),"",'Quantification_Results'!AX263)),""),IF(ISNUMBER('Quantification_Results'!AY263),IF(('Quantification_Results'!AY263&lt;'Quantification_Config'!$S$19),"",IF(('Quantification_Results'!AY263&gt;'Quantification_Config'!$T$19),"",'Quantification_Results'!AY263)),"")))</x:f>
        <x:v>5</x:v>
      </x:c>
      <x:c r="BA263" t="n">
        <x:f>IF(ISNUMBER('Quantification_Results'!AZ263),IFERROR(ROUND(((('Quantification_Results'!AZ263-'Quantification_Config'!$S$19)/('Quantification_Config'!$T$19-'Quantification_Config'!$S$19))*100),'Quantification_Config'!$U$2),""),"")</x:f>
        <x:v>50</x:v>
      </x:c>
      <x:c r="BB263" t="inlineStr">
        <x:is>
          <x:t xml:space="preserve">SYSTEM-TEST-ONLY-NO-NETWORK-NOT-AN-EDUCATIONAL-EVALUATION</x:t>
        </x:is>
      </x:c>
      <x:c r="BC263" t="inlineStr">
        <x:is>
          <x:t xml:space="preserve"/>
        </x:is>
      </x:c>
      <x:c r="BD263" t="inlineStr">
        <x:is>
          <x:t xml:space="preserve">NONE</x:t>
        </x:is>
      </x:c>
      <x:c r="BE263" t="inlineStr">
        <x:is>
          <x:t xml:space="preserve"/>
        </x:is>
      </x:c>
      <x:c r="BF263" t="inlineStr">
        <x:is>
          <x:t xml:space="preserve">SUCCESS</x:t>
        </x:is>
      </x:c>
      <x:c r="BG263" t="n">
        <x:f>IF((COUNT('Quantification_Results'!BA263)=1),IFERROR(ROUND((SUM(('Quantification_Results'!BA263*'Quantification_Config'!$R$19))/SUM('Quantification_Config'!$R$19)),'Quantification_Config'!$U$2),""),"")</x:f>
        <x:v>50</x:v>
      </x:c>
      <x:c r="BH263" t="n">
        <x:f>IF((COUNT('Quantification_Results'!BG263)=1),IFERROR(ROUND((SUM(('Quantification_Results'!BG263*'Quantification_Config'!$R$18))/SUM('Quantification_Config'!$R$18)),'Quantification_Config'!$U$2),""),"")</x:f>
        <x:v>50</x:v>
      </x:c>
      <x:c r="BI263">
        <x:f>IF((COUNT('Quantification_Results'!L263,'Quantification_Results'!X263,'Quantification_Results'!AJ263,'Quantification_Results'!AV263,'Quantification_Results'!BH263)=5),IFERROR(ROUND((SUM(('Quantification_Results'!L263*'Quantification_Config'!$R$4),('Quantification_Results'!X263*'Quantification_Config'!$R$7),('Quantification_Results'!AJ263*'Quantification_Config'!$R$10),('Quantification_Results'!AV263*'Quantification_Config'!$R$13),('Quantification_Results'!BH263*'Quantification_Config'!$R$16))/SUM('Quantification_Config'!$R$4,'Quantification_Config'!$R$7,'Quantification_Config'!$R$10,'Quantification_Config'!$R$13,'Quantification_Config'!$R$16)),'Quantification_Config'!$U$2),""),"")</x:f>
      </x:c>
    </x:row>
    <x:row r="264">
      <x:c r="A264" t="n">
        <x:v>1</x:v>
      </x:c>
      <x:c r="B264" t="n">
        <x:v>5</x:v>
      </x:c>
      <x:c r="C264"/>
      <x:c r="D264" t="n">
        <x:f>IF(('Quantification_Results'!A264&lt;&gt;1),"",IF(('Quantification_Results'!C264=""),IF(ISNUMBER('Quantification_Results'!B264),IF(('Quantification_Results'!B264&lt;'Quantification_Config'!$S$6),"",IF(('Quantification_Results'!B264&gt;'Quantification_Config'!$T$6),"",'Quantification_Results'!B264)),""),IF(ISNUMBER('Quantification_Results'!C264),IF(('Quantification_Results'!C264&lt;'Quantification_Config'!$S$6),"",IF(('Quantification_Results'!C264&gt;'Quantification_Config'!$T$6),"",'Quantification_Results'!C264)),"")))</x:f>
        <x:v>5</x:v>
      </x:c>
      <x:c r="E264" t="n">
        <x:f>IF(ISNUMBER('Quantification_Results'!D264),IFERROR(ROUND(((('Quantification_Results'!D264-'Quantification_Config'!$S$6)/('Quantification_Config'!$T$6-'Quantification_Config'!$S$6))*100),'Quantification_Config'!$U$2),""),"")</x:f>
        <x:v>50</x:v>
      </x:c>
      <x:c r="F264" t="inlineStr">
        <x:is>
          <x:t xml:space="preserve">SYSTEM-TEST-ONLY-NO-NETWORK-NOT-AN-EDUCATIONAL-EVALUATION</x:t>
        </x:is>
      </x:c>
      <x:c r="G264" t="inlineStr">
        <x:is>
          <x:t xml:space="preserve"/>
        </x:is>
      </x:c>
      <x:c r="H264" t="inlineStr">
        <x:is>
          <x:t xml:space="preserve">NONE</x:t>
        </x:is>
      </x:c>
      <x:c r="I264" t="inlineStr">
        <x:is>
          <x:t xml:space="preserve"/>
        </x:is>
      </x:c>
      <x:c r="J264" t="inlineStr">
        <x:is>
          <x:t xml:space="preserve">SUCCESS</x:t>
        </x:is>
      </x:c>
      <x:c r="K264" t="n">
        <x:f>IF((COUNT('Quantification_Results'!E264)=1),IFERROR(ROUND((SUM(('Quantification_Results'!E264*'Quantification_Config'!$R$6))/SUM('Quantification_Config'!$R$6)),'Quantification_Config'!$U$2),""),"")</x:f>
        <x:v>50</x:v>
      </x:c>
      <x:c r="L264" t="n">
        <x:f>IF((COUNT('Quantification_Results'!K264)=1),IFERROR(ROUND((SUM(('Quantification_Results'!K264*'Quantification_Config'!$R$5))/SUM('Quantification_Config'!$R$5)),'Quantification_Config'!$U$2),""),"")</x:f>
        <x:v>50</x:v>
      </x:c>
      <x:c r="M264" t="n">
        <x:v>1</x:v>
      </x:c>
      <x:c r="N264" t="n">
        <x:v>5</x:v>
      </x:c>
      <x:c r="O264"/>
      <x:c r="P264" t="n">
        <x:f>IF(('Quantification_Results'!M264&lt;&gt;1),"",IF(('Quantification_Results'!O264=""),IF(ISNUMBER('Quantification_Results'!N264),IF(('Quantification_Results'!N264&lt;'Quantification_Config'!$S$9),"",IF(('Quantification_Results'!N264&gt;'Quantification_Config'!$T$9),"",'Quantification_Results'!N264)),""),IF(ISNUMBER('Quantification_Results'!O264),IF(('Quantification_Results'!O264&lt;'Quantification_Config'!$S$9),"",IF(('Quantification_Results'!O264&gt;'Quantification_Config'!$T$9),"",'Quantification_Results'!O264)),"")))</x:f>
        <x:v>5</x:v>
      </x:c>
      <x:c r="Q264" t="n">
        <x:f>IF(ISNUMBER('Quantification_Results'!P264),IFERROR(ROUND(((('Quantification_Results'!P264-'Quantification_Config'!$S$9)/('Quantification_Config'!$T$9-'Quantification_Config'!$S$9))*100),'Quantification_Config'!$U$2),""),"")</x:f>
        <x:v>50</x:v>
      </x:c>
      <x:c r="R264" t="inlineStr">
        <x:is>
          <x:t xml:space="preserve">SYSTEM-TEST-ONLY-NO-NETWORK-NOT-AN-EDUCATIONAL-EVALUATION</x:t>
        </x:is>
      </x:c>
      <x:c r="S264" t="inlineStr">
        <x:is>
          <x:t xml:space="preserve"/>
        </x:is>
      </x:c>
      <x:c r="T264" t="inlineStr">
        <x:is>
          <x:t xml:space="preserve">NONE</x:t>
        </x:is>
      </x:c>
      <x:c r="U264" t="inlineStr">
        <x:is>
          <x:t xml:space="preserve"/>
        </x:is>
      </x:c>
      <x:c r="V264" t="inlineStr">
        <x:is>
          <x:t xml:space="preserve">SUCCESS</x:t>
        </x:is>
      </x:c>
      <x:c r="W264" t="n">
        <x:f>IF((COUNT('Quantification_Results'!Q264)=1),IFERROR(ROUND((SUM(('Quantification_Results'!Q264*'Quantification_Config'!$R$9))/SUM('Quantification_Config'!$R$9)),'Quantification_Config'!$U$2),""),"")</x:f>
        <x:v>50</x:v>
      </x:c>
      <x:c r="X264" t="n">
        <x:f>IF((COUNT('Quantification_Results'!W264)=1),IFERROR(ROUND((SUM(('Quantification_Results'!W264*'Quantification_Config'!$R$8))/SUM('Quantification_Config'!$R$8)),'Quantification_Config'!$U$2),""),"")</x:f>
        <x:v>50</x:v>
      </x:c>
      <x:c r="Y264" t="n">
        <x:v>0</x:v>
      </x:c>
      <x:c r="Z264"/>
      <x:c r="AA264"/>
      <x:c r="AB264">
        <x:f>IF(('Quantification_Results'!Y264&lt;&gt;1),"",IF(('Quantification_Results'!AA264=""),IF(ISNUMBER('Quantification_Results'!Z264),IF(('Quantification_Results'!Z264&lt;'Quantification_Config'!$S$12),"",IF(('Quantification_Results'!Z264&gt;'Quantification_Config'!$T$12),"",'Quantification_Results'!Z264)),""),IF(ISNUMBER('Quantification_Results'!AA264),IF(('Quantification_Results'!AA264&lt;'Quantification_Config'!$S$12),"",IF(('Quantification_Results'!AA264&gt;'Quantification_Config'!$T$12),"",'Quantification_Results'!AA264)),"")))</x:f>
      </x:c>
      <x:c r="AC264">
        <x:f>IF(ISNUMBER('Quantification_Results'!AB264),IFERROR(ROUND(((('Quantification_Results'!AB264-'Quantification_Config'!$S$12)/('Quantification_Config'!$T$12-'Quantification_Config'!$S$12))*100),'Quantification_Config'!$U$2),""),"")</x:f>
      </x:c>
      <x:c r="AD264" t="inlineStr">
        <x:is>
          <x:t xml:space="preserve"/>
        </x:is>
      </x:c>
      <x:c r="AE264" t="inlineStr">
        <x:is>
          <x:t xml:space="preserve"/>
        </x:is>
      </x:c>
      <x:c r="AF264" t="inlineStr">
        <x:is>
          <x:t xml:space="preserve"/>
        </x:is>
      </x:c>
      <x:c r="AG264" t="inlineStr">
        <x:is>
          <x:t xml:space="preserve"/>
        </x:is>
      </x:c>
      <x:c r="AH264" t="inlineStr">
        <x:is>
          <x:t xml:space="preserve">EMPTY</x:t>
        </x:is>
      </x:c>
      <x:c r="AI264">
        <x:f>IF((COUNT('Quantification_Results'!AC264)=1),IFERROR(ROUND((SUM(('Quantification_Results'!AC264*'Quantification_Config'!$R$12))/SUM('Quantification_Config'!$R$12)),'Quantification_Config'!$U$2),""),"")</x:f>
      </x:c>
      <x:c r="AJ264">
        <x:f>IF((COUNT('Quantification_Results'!AI264)=1),IFERROR(ROUND((SUM(('Quantification_Results'!AI264*'Quantification_Config'!$R$11))/SUM('Quantification_Config'!$R$11)),'Quantification_Config'!$U$2),""),"")</x:f>
      </x:c>
      <x:c r="AK264" t="n">
        <x:v>1</x:v>
      </x:c>
      <x:c r="AL264" t="n">
        <x:v>5</x:v>
      </x:c>
      <x:c r="AM264"/>
      <x:c r="AN264" t="n">
        <x:f>IF(('Quantification_Results'!AK264&lt;&gt;1),"",IF(('Quantification_Results'!AM264=""),IF(ISNUMBER('Quantification_Results'!AL264),IF(('Quantification_Results'!AL264&lt;'Quantification_Config'!$S$15),"",IF(('Quantification_Results'!AL264&gt;'Quantification_Config'!$T$15),"",'Quantification_Results'!AL264)),""),IF(ISNUMBER('Quantification_Results'!AM264),IF(('Quantification_Results'!AM264&lt;'Quantification_Config'!$S$15),"",IF(('Quantification_Results'!AM264&gt;'Quantification_Config'!$T$15),"",'Quantification_Results'!AM264)),"")))</x:f>
        <x:v>5</x:v>
      </x:c>
      <x:c r="AO264" t="n">
        <x:f>IF(ISNUMBER('Quantification_Results'!AN264),IFERROR(ROUND(((('Quantification_Results'!AN264-'Quantification_Config'!$S$15)/('Quantification_Config'!$T$15-'Quantification_Config'!$S$15))*100),'Quantification_Config'!$U$2),""),"")</x:f>
        <x:v>50</x:v>
      </x:c>
      <x:c r="AP264" t="inlineStr">
        <x:is>
          <x:t xml:space="preserve">SYSTEM-TEST-ONLY-NO-NETWORK-NOT-AN-EDUCATIONAL-EVALUATION</x:t>
        </x:is>
      </x:c>
      <x:c r="AQ264" t="inlineStr">
        <x:is>
          <x:t xml:space="preserve"/>
        </x:is>
      </x:c>
      <x:c r="AR264" t="inlineStr">
        <x:is>
          <x:t xml:space="preserve">NONE</x:t>
        </x:is>
      </x:c>
      <x:c r="AS264" t="inlineStr">
        <x:is>
          <x:t xml:space="preserve"/>
        </x:is>
      </x:c>
      <x:c r="AT264" t="inlineStr">
        <x:is>
          <x:t xml:space="preserve">SUCCESS</x:t>
        </x:is>
      </x:c>
      <x:c r="AU264" t="n">
        <x:f>IF((COUNT('Quantification_Results'!AO264)=1),IFERROR(ROUND((SUM(('Quantification_Results'!AO264*'Quantification_Config'!$R$15))/SUM('Quantification_Config'!$R$15)),'Quantification_Config'!$U$2),""),"")</x:f>
        <x:v>50</x:v>
      </x:c>
      <x:c r="AV264" t="n">
        <x:f>IF((COUNT('Quantification_Results'!AU264)=1),IFERROR(ROUND((SUM(('Quantification_Results'!AU264*'Quantification_Config'!$R$14))/SUM('Quantification_Config'!$R$14)),'Quantification_Config'!$U$2),""),"")</x:f>
        <x:v>50</x:v>
      </x:c>
      <x:c r="AW264" t="n">
        <x:v>1</x:v>
      </x:c>
      <x:c r="AX264" t="n">
        <x:v>5</x:v>
      </x:c>
      <x:c r="AY264"/>
      <x:c r="AZ264" t="n">
        <x:f>IF(('Quantification_Results'!AW264&lt;&gt;1),"",IF(('Quantification_Results'!AY264=""),IF(ISNUMBER('Quantification_Results'!AX264),IF(('Quantification_Results'!AX264&lt;'Quantification_Config'!$S$19),"",IF(('Quantification_Results'!AX264&gt;'Quantification_Config'!$T$19),"",'Quantification_Results'!AX264)),""),IF(ISNUMBER('Quantification_Results'!AY264),IF(('Quantification_Results'!AY264&lt;'Quantification_Config'!$S$19),"",IF(('Quantification_Results'!AY264&gt;'Quantification_Config'!$T$19),"",'Quantification_Results'!AY264)),"")))</x:f>
        <x:v>5</x:v>
      </x:c>
      <x:c r="BA264" t="n">
        <x:f>IF(ISNUMBER('Quantification_Results'!AZ264),IFERROR(ROUND(((('Quantification_Results'!AZ264-'Quantification_Config'!$S$19)/('Quantification_Config'!$T$19-'Quantification_Config'!$S$19))*100),'Quantification_Config'!$U$2),""),"")</x:f>
        <x:v>50</x:v>
      </x:c>
      <x:c r="BB264" t="inlineStr">
        <x:is>
          <x:t xml:space="preserve">SYSTEM-TEST-ONLY-NO-NETWORK-NOT-AN-EDUCATIONAL-EVALUATION</x:t>
        </x:is>
      </x:c>
      <x:c r="BC264" t="inlineStr">
        <x:is>
          <x:t xml:space="preserve"/>
        </x:is>
      </x:c>
      <x:c r="BD264" t="inlineStr">
        <x:is>
          <x:t xml:space="preserve">NONE</x:t>
        </x:is>
      </x:c>
      <x:c r="BE264" t="inlineStr">
        <x:is>
          <x:t xml:space="preserve"/>
        </x:is>
      </x:c>
      <x:c r="BF264" t="inlineStr">
        <x:is>
          <x:t xml:space="preserve">SUCCESS</x:t>
        </x:is>
      </x:c>
      <x:c r="BG264" t="n">
        <x:f>IF((COUNT('Quantification_Results'!BA264)=1),IFERROR(ROUND((SUM(('Quantification_Results'!BA264*'Quantification_Config'!$R$19))/SUM('Quantification_Config'!$R$19)),'Quantification_Config'!$U$2),""),"")</x:f>
        <x:v>50</x:v>
      </x:c>
      <x:c r="BH264" t="n">
        <x:f>IF((COUNT('Quantification_Results'!BG264)=1),IFERROR(ROUND((SUM(('Quantification_Results'!BG264*'Quantification_Config'!$R$18))/SUM('Quantification_Config'!$R$18)),'Quantification_Config'!$U$2),""),"")</x:f>
        <x:v>50</x:v>
      </x:c>
      <x:c r="BI264">
        <x:f>IF((COUNT('Quantification_Results'!L264,'Quantification_Results'!X264,'Quantification_Results'!AJ264,'Quantification_Results'!AV264,'Quantification_Results'!BH264)=5),IFERROR(ROUND((SUM(('Quantification_Results'!L264*'Quantification_Config'!$R$4),('Quantification_Results'!X264*'Quantification_Config'!$R$7),('Quantification_Results'!AJ264*'Quantification_Config'!$R$10),('Quantification_Results'!AV264*'Quantification_Config'!$R$13),('Quantification_Results'!BH264*'Quantification_Config'!$R$16))/SUM('Quantification_Config'!$R$4,'Quantification_Config'!$R$7,'Quantification_Config'!$R$10,'Quantification_Config'!$R$13,'Quantification_Config'!$R$16)),'Quantification_Config'!$U$2),""),"")</x:f>
      </x:c>
    </x:row>
    <x:row r="265">
      <x:c r="A265" t="n">
        <x:v>1</x:v>
      </x:c>
      <x:c r="B265" t="n">
        <x:v>5</x:v>
      </x:c>
      <x:c r="C265"/>
      <x:c r="D265" t="n">
        <x:f>IF(('Quantification_Results'!A265&lt;&gt;1),"",IF(('Quantification_Results'!C265=""),IF(ISNUMBER('Quantification_Results'!B265),IF(('Quantification_Results'!B265&lt;'Quantification_Config'!$S$6),"",IF(('Quantification_Results'!B265&gt;'Quantification_Config'!$T$6),"",'Quantification_Results'!B265)),""),IF(ISNUMBER('Quantification_Results'!C265),IF(('Quantification_Results'!C265&lt;'Quantification_Config'!$S$6),"",IF(('Quantification_Results'!C265&gt;'Quantification_Config'!$T$6),"",'Quantification_Results'!C265)),"")))</x:f>
        <x:v>5</x:v>
      </x:c>
      <x:c r="E265" t="n">
        <x:f>IF(ISNUMBER('Quantification_Results'!D265),IFERROR(ROUND(((('Quantification_Results'!D265-'Quantification_Config'!$S$6)/('Quantification_Config'!$T$6-'Quantification_Config'!$S$6))*100),'Quantification_Config'!$U$2),""),"")</x:f>
        <x:v>50</x:v>
      </x:c>
      <x:c r="F265" t="inlineStr">
        <x:is>
          <x:t xml:space="preserve">SYSTEM-TEST-ONLY-NO-NETWORK-NOT-AN-EDUCATIONAL-EVALUATION</x:t>
        </x:is>
      </x:c>
      <x:c r="G265" t="inlineStr">
        <x:is>
          <x:t xml:space="preserve"/>
        </x:is>
      </x:c>
      <x:c r="H265" t="inlineStr">
        <x:is>
          <x:t xml:space="preserve">NONE</x:t>
        </x:is>
      </x:c>
      <x:c r="I265" t="inlineStr">
        <x:is>
          <x:t xml:space="preserve"/>
        </x:is>
      </x:c>
      <x:c r="J265" t="inlineStr">
        <x:is>
          <x:t xml:space="preserve">SUCCESS</x:t>
        </x:is>
      </x:c>
      <x:c r="K265" t="n">
        <x:f>IF((COUNT('Quantification_Results'!E265)=1),IFERROR(ROUND((SUM(('Quantification_Results'!E265*'Quantification_Config'!$R$6))/SUM('Quantification_Config'!$R$6)),'Quantification_Config'!$U$2),""),"")</x:f>
        <x:v>50</x:v>
      </x:c>
      <x:c r="L265" t="n">
        <x:f>IF((COUNT('Quantification_Results'!K265)=1),IFERROR(ROUND((SUM(('Quantification_Results'!K265*'Quantification_Config'!$R$5))/SUM('Quantification_Config'!$R$5)),'Quantification_Config'!$U$2),""),"")</x:f>
        <x:v>50</x:v>
      </x:c>
      <x:c r="M265" t="n">
        <x:v>0</x:v>
      </x:c>
      <x:c r="N265"/>
      <x:c r="O265"/>
      <x:c r="P265">
        <x:f>IF(('Quantification_Results'!M265&lt;&gt;1),"",IF(('Quantification_Results'!O265=""),IF(ISNUMBER('Quantification_Results'!N265),IF(('Quantification_Results'!N265&lt;'Quantification_Config'!$S$9),"",IF(('Quantification_Results'!N265&gt;'Quantification_Config'!$T$9),"",'Quantification_Results'!N265)),""),IF(ISNUMBER('Quantification_Results'!O265),IF(('Quantification_Results'!O265&lt;'Quantification_Config'!$S$9),"",IF(('Quantification_Results'!O265&gt;'Quantification_Config'!$T$9),"",'Quantification_Results'!O265)),"")))</x:f>
      </x:c>
      <x:c r="Q265">
        <x:f>IF(ISNUMBER('Quantification_Results'!P265),IFERROR(ROUND(((('Quantification_Results'!P265-'Quantification_Config'!$S$9)/('Quantification_Config'!$T$9-'Quantification_Config'!$S$9))*100),'Quantification_Config'!$U$2),""),"")</x:f>
      </x:c>
      <x:c r="R265" t="inlineStr">
        <x:is>
          <x:t xml:space="preserve"/>
        </x:is>
      </x:c>
      <x:c r="S265" t="inlineStr">
        <x:is>
          <x:t xml:space="preserve"/>
        </x:is>
      </x:c>
      <x:c r="T265" t="inlineStr">
        <x:is>
          <x:t xml:space="preserve"/>
        </x:is>
      </x:c>
      <x:c r="U265" t="inlineStr">
        <x:is>
          <x:t xml:space="preserve"/>
        </x:is>
      </x:c>
      <x:c r="V265" t="inlineStr">
        <x:is>
          <x:t xml:space="preserve">EMPTY</x:t>
        </x:is>
      </x:c>
      <x:c r="W265">
        <x:f>IF((COUNT('Quantification_Results'!Q265)=1),IFERROR(ROUND((SUM(('Quantification_Results'!Q265*'Quantification_Config'!$R$9))/SUM('Quantification_Config'!$R$9)),'Quantification_Config'!$U$2),""),"")</x:f>
      </x:c>
      <x:c r="X265">
        <x:f>IF((COUNT('Quantification_Results'!W265)=1),IFERROR(ROUND((SUM(('Quantification_Results'!W265*'Quantification_Config'!$R$8))/SUM('Quantification_Config'!$R$8)),'Quantification_Config'!$U$2),""),"")</x:f>
      </x:c>
      <x:c r="Y265" t="n">
        <x:v>0</x:v>
      </x:c>
      <x:c r="Z265"/>
      <x:c r="AA265"/>
      <x:c r="AB265">
        <x:f>IF(('Quantification_Results'!Y265&lt;&gt;1),"",IF(('Quantification_Results'!AA265=""),IF(ISNUMBER('Quantification_Results'!Z265),IF(('Quantification_Results'!Z265&lt;'Quantification_Config'!$S$12),"",IF(('Quantification_Results'!Z265&gt;'Quantification_Config'!$T$12),"",'Quantification_Results'!Z265)),""),IF(ISNUMBER('Quantification_Results'!AA265),IF(('Quantification_Results'!AA265&lt;'Quantification_Config'!$S$12),"",IF(('Quantification_Results'!AA265&gt;'Quantification_Config'!$T$12),"",'Quantification_Results'!AA265)),"")))</x:f>
      </x:c>
      <x:c r="AC265">
        <x:f>IF(ISNUMBER('Quantification_Results'!AB265),IFERROR(ROUND(((('Quantification_Results'!AB265-'Quantification_Config'!$S$12)/('Quantification_Config'!$T$12-'Quantification_Config'!$S$12))*100),'Quantification_Config'!$U$2),""),"")</x:f>
      </x:c>
      <x:c r="AD265" t="inlineStr">
        <x:is>
          <x:t xml:space="preserve"/>
        </x:is>
      </x:c>
      <x:c r="AE265" t="inlineStr">
        <x:is>
          <x:t xml:space="preserve"/>
        </x:is>
      </x:c>
      <x:c r="AF265" t="inlineStr">
        <x:is>
          <x:t xml:space="preserve"/>
        </x:is>
      </x:c>
      <x:c r="AG265" t="inlineStr">
        <x:is>
          <x:t xml:space="preserve"/>
        </x:is>
      </x:c>
      <x:c r="AH265" t="inlineStr">
        <x:is>
          <x:t xml:space="preserve">EMPTY</x:t>
        </x:is>
      </x:c>
      <x:c r="AI265">
        <x:f>IF((COUNT('Quantification_Results'!AC265)=1),IFERROR(ROUND((SUM(('Quantification_Results'!AC265*'Quantification_Config'!$R$12))/SUM('Quantification_Config'!$R$12)),'Quantification_Config'!$U$2),""),"")</x:f>
      </x:c>
      <x:c r="AJ265">
        <x:f>IF((COUNT('Quantification_Results'!AI265)=1),IFERROR(ROUND((SUM(('Quantification_Results'!AI265*'Quantification_Config'!$R$11))/SUM('Quantification_Config'!$R$11)),'Quantification_Config'!$U$2),""),"")</x:f>
      </x:c>
      <x:c r="AK265" t="n">
        <x:v>1</x:v>
      </x:c>
      <x:c r="AL265" t="n">
        <x:v>5</x:v>
      </x:c>
      <x:c r="AM265"/>
      <x:c r="AN265" t="n">
        <x:f>IF(('Quantification_Results'!AK265&lt;&gt;1),"",IF(('Quantification_Results'!AM265=""),IF(ISNUMBER('Quantification_Results'!AL265),IF(('Quantification_Results'!AL265&lt;'Quantification_Config'!$S$15),"",IF(('Quantification_Results'!AL265&gt;'Quantification_Config'!$T$15),"",'Quantification_Results'!AL265)),""),IF(ISNUMBER('Quantification_Results'!AM265),IF(('Quantification_Results'!AM265&lt;'Quantification_Config'!$S$15),"",IF(('Quantification_Results'!AM265&gt;'Quantification_Config'!$T$15),"",'Quantification_Results'!AM265)),"")))</x:f>
        <x:v>5</x:v>
      </x:c>
      <x:c r="AO265" t="n">
        <x:f>IF(ISNUMBER('Quantification_Results'!AN265),IFERROR(ROUND(((('Quantification_Results'!AN265-'Quantification_Config'!$S$15)/('Quantification_Config'!$T$15-'Quantification_Config'!$S$15))*100),'Quantification_Config'!$U$2),""),"")</x:f>
        <x:v>50</x:v>
      </x:c>
      <x:c r="AP265" t="inlineStr">
        <x:is>
          <x:t xml:space="preserve">SYSTEM-TEST-ONLY-NO-NETWORK-NOT-AN-EDUCATIONAL-EVALUATION</x:t>
        </x:is>
      </x:c>
      <x:c r="AQ265" t="inlineStr">
        <x:is>
          <x:t xml:space="preserve"/>
        </x:is>
      </x:c>
      <x:c r="AR265" t="inlineStr">
        <x:is>
          <x:t xml:space="preserve">NONE</x:t>
        </x:is>
      </x:c>
      <x:c r="AS265" t="inlineStr">
        <x:is>
          <x:t xml:space="preserve"/>
        </x:is>
      </x:c>
      <x:c r="AT265" t="inlineStr">
        <x:is>
          <x:t xml:space="preserve">SUCCESS</x:t>
        </x:is>
      </x:c>
      <x:c r="AU265" t="n">
        <x:f>IF((COUNT('Quantification_Results'!AO265)=1),IFERROR(ROUND((SUM(('Quantification_Results'!AO265*'Quantification_Config'!$R$15))/SUM('Quantification_Config'!$R$15)),'Quantification_Config'!$U$2),""),"")</x:f>
        <x:v>50</x:v>
      </x:c>
      <x:c r="AV265" t="n">
        <x:f>IF((COUNT('Quantification_Results'!AU265)=1),IFERROR(ROUND((SUM(('Quantification_Results'!AU265*'Quantification_Config'!$R$14))/SUM('Quantification_Config'!$R$14)),'Quantification_Config'!$U$2),""),"")</x:f>
        <x:v>50</x:v>
      </x:c>
      <x:c r="AW265" t="n">
        <x:v>0</x:v>
      </x:c>
      <x:c r="AX265"/>
      <x:c r="AY265"/>
      <x:c r="AZ265">
        <x:f>IF(('Quantification_Results'!AW265&lt;&gt;1),"",IF(('Quantification_Results'!AY265=""),IF(ISNUMBER('Quantification_Results'!AX265),IF(('Quantification_Results'!AX265&lt;'Quantification_Config'!$S$19),"",IF(('Quantification_Results'!AX265&gt;'Quantification_Config'!$T$19),"",'Quantification_Results'!AX265)),""),IF(ISNUMBER('Quantification_Results'!AY265),IF(('Quantification_Results'!AY265&lt;'Quantification_Config'!$S$19),"",IF(('Quantification_Results'!AY265&gt;'Quantification_Config'!$T$19),"",'Quantification_Results'!AY265)),"")))</x:f>
      </x:c>
      <x:c r="BA265">
        <x:f>IF(ISNUMBER('Quantification_Results'!AZ265),IFERROR(ROUND(((('Quantification_Results'!AZ265-'Quantification_Config'!$S$19)/('Quantification_Config'!$T$19-'Quantification_Config'!$S$19))*100),'Quantification_Config'!$U$2),""),"")</x:f>
      </x:c>
      <x:c r="BB265" t="inlineStr">
        <x:is>
          <x:t xml:space="preserve"/>
        </x:is>
      </x:c>
      <x:c r="BC265" t="inlineStr">
        <x:is>
          <x:t xml:space="preserve"/>
        </x:is>
      </x:c>
      <x:c r="BD265" t="inlineStr">
        <x:is>
          <x:t xml:space="preserve"/>
        </x:is>
      </x:c>
      <x:c r="BE265" t="inlineStr">
        <x:is>
          <x:t xml:space="preserve"/>
        </x:is>
      </x:c>
      <x:c r="BF265" t="inlineStr">
        <x:is>
          <x:t xml:space="preserve">EMPTY</x:t>
        </x:is>
      </x:c>
      <x:c r="BG265">
        <x:f>IF((COUNT('Quantification_Results'!BA265)=1),IFERROR(ROUND((SUM(('Quantification_Results'!BA265*'Quantification_Config'!$R$19))/SUM('Quantification_Config'!$R$19)),'Quantification_Config'!$U$2),""),"")</x:f>
      </x:c>
      <x:c r="BH265">
        <x:f>IF((COUNT('Quantification_Results'!BG265)=1),IFERROR(ROUND((SUM(('Quantification_Results'!BG265*'Quantification_Config'!$R$18))/SUM('Quantification_Config'!$R$18)),'Quantification_Config'!$U$2),""),"")</x:f>
      </x:c>
      <x:c r="BI265">
        <x:f>IF((COUNT('Quantification_Results'!L265,'Quantification_Results'!X265,'Quantification_Results'!AJ265,'Quantification_Results'!AV265,'Quantification_Results'!BH265)=5),IFERROR(ROUND((SUM(('Quantification_Results'!L265*'Quantification_Config'!$R$4),('Quantification_Results'!X265*'Quantification_Config'!$R$7),('Quantification_Results'!AJ265*'Quantification_Config'!$R$10),('Quantification_Results'!AV265*'Quantification_Config'!$R$13),('Quantification_Results'!BH265*'Quantification_Config'!$R$16))/SUM('Quantification_Config'!$R$4,'Quantification_Config'!$R$7,'Quantification_Config'!$R$10,'Quantification_Config'!$R$13,'Quantification_Config'!$R$16)),'Quantification_Config'!$U$2),""),"")</x:f>
      </x:c>
    </x:row>
    <x:row r="266">
      <x:c r="A266" t="n">
        <x:v>1</x:v>
      </x:c>
      <x:c r="B266" t="n">
        <x:v>5</x:v>
      </x:c>
      <x:c r="C266"/>
      <x:c r="D266" t="n">
        <x:f>IF(('Quantification_Results'!A266&lt;&gt;1),"",IF(('Quantification_Results'!C266=""),IF(ISNUMBER('Quantification_Results'!B266),IF(('Quantification_Results'!B266&lt;'Quantification_Config'!$S$6),"",IF(('Quantification_Results'!B266&gt;'Quantification_Config'!$T$6),"",'Quantification_Results'!B266)),""),IF(ISNUMBER('Quantification_Results'!C266),IF(('Quantification_Results'!C266&lt;'Quantification_Config'!$S$6),"",IF(('Quantification_Results'!C266&gt;'Quantification_Config'!$T$6),"",'Quantification_Results'!C266)),"")))</x:f>
        <x:v>5</x:v>
      </x:c>
      <x:c r="E266" t="n">
        <x:f>IF(ISNUMBER('Quantification_Results'!D266),IFERROR(ROUND(((('Quantification_Results'!D266-'Quantification_Config'!$S$6)/('Quantification_Config'!$T$6-'Quantification_Config'!$S$6))*100),'Quantification_Config'!$U$2),""),"")</x:f>
        <x:v>50</x:v>
      </x:c>
      <x:c r="F266" t="inlineStr">
        <x:is>
          <x:t xml:space="preserve">SYSTEM-TEST-ONLY-NO-NETWORK-NOT-AN-EDUCATIONAL-EVALUATION</x:t>
        </x:is>
      </x:c>
      <x:c r="G266" t="inlineStr">
        <x:is>
          <x:t xml:space="preserve"/>
        </x:is>
      </x:c>
      <x:c r="H266" t="inlineStr">
        <x:is>
          <x:t xml:space="preserve">NONE</x:t>
        </x:is>
      </x:c>
      <x:c r="I266" t="inlineStr">
        <x:is>
          <x:t xml:space="preserve"/>
        </x:is>
      </x:c>
      <x:c r="J266" t="inlineStr">
        <x:is>
          <x:t xml:space="preserve">SUCCESS</x:t>
        </x:is>
      </x:c>
      <x:c r="K266" t="n">
        <x:f>IF((COUNT('Quantification_Results'!E266)=1),IFERROR(ROUND((SUM(('Quantification_Results'!E266*'Quantification_Config'!$R$6))/SUM('Quantification_Config'!$R$6)),'Quantification_Config'!$U$2),""),"")</x:f>
        <x:v>50</x:v>
      </x:c>
      <x:c r="L266" t="n">
        <x:f>IF((COUNT('Quantification_Results'!K266)=1),IFERROR(ROUND((SUM(('Quantification_Results'!K266*'Quantification_Config'!$R$5))/SUM('Quantification_Config'!$R$5)),'Quantification_Config'!$U$2),""),"")</x:f>
        <x:v>50</x:v>
      </x:c>
      <x:c r="M266" t="n">
        <x:v>1</x:v>
      </x:c>
      <x:c r="N266" t="n">
        <x:v>5</x:v>
      </x:c>
      <x:c r="O266"/>
      <x:c r="P266" t="n">
        <x:f>IF(('Quantification_Results'!M266&lt;&gt;1),"",IF(('Quantification_Results'!O266=""),IF(ISNUMBER('Quantification_Results'!N266),IF(('Quantification_Results'!N266&lt;'Quantification_Config'!$S$9),"",IF(('Quantification_Results'!N266&gt;'Quantification_Config'!$T$9),"",'Quantification_Results'!N266)),""),IF(ISNUMBER('Quantification_Results'!O266),IF(('Quantification_Results'!O266&lt;'Quantification_Config'!$S$9),"",IF(('Quantification_Results'!O266&gt;'Quantification_Config'!$T$9),"",'Quantification_Results'!O266)),"")))</x:f>
        <x:v>5</x:v>
      </x:c>
      <x:c r="Q266" t="n">
        <x:f>IF(ISNUMBER('Quantification_Results'!P266),IFERROR(ROUND(((('Quantification_Results'!P266-'Quantification_Config'!$S$9)/('Quantification_Config'!$T$9-'Quantification_Config'!$S$9))*100),'Quantification_Config'!$U$2),""),"")</x:f>
        <x:v>50</x:v>
      </x:c>
      <x:c r="R266" t="inlineStr">
        <x:is>
          <x:t xml:space="preserve">SYSTEM-TEST-ONLY-NO-NETWORK-NOT-AN-EDUCATIONAL-EVALUATION</x:t>
        </x:is>
      </x:c>
      <x:c r="S266" t="inlineStr">
        <x:is>
          <x:t xml:space="preserve"/>
        </x:is>
      </x:c>
      <x:c r="T266" t="inlineStr">
        <x:is>
          <x:t xml:space="preserve">NONE</x:t>
        </x:is>
      </x:c>
      <x:c r="U266" t="inlineStr">
        <x:is>
          <x:t xml:space="preserve"/>
        </x:is>
      </x:c>
      <x:c r="V266" t="inlineStr">
        <x:is>
          <x:t xml:space="preserve">SUCCESS</x:t>
        </x:is>
      </x:c>
      <x:c r="W266" t="n">
        <x:f>IF((COUNT('Quantification_Results'!Q266)=1),IFERROR(ROUND((SUM(('Quantification_Results'!Q266*'Quantification_Config'!$R$9))/SUM('Quantification_Config'!$R$9)),'Quantification_Config'!$U$2),""),"")</x:f>
        <x:v>50</x:v>
      </x:c>
      <x:c r="X266" t="n">
        <x:f>IF((COUNT('Quantification_Results'!W266)=1),IFERROR(ROUND((SUM(('Quantification_Results'!W266*'Quantification_Config'!$R$8))/SUM('Quantification_Config'!$R$8)),'Quantification_Config'!$U$2),""),"")</x:f>
        <x:v>50</x:v>
      </x:c>
      <x:c r="Y266" t="n">
        <x:v>0</x:v>
      </x:c>
      <x:c r="Z266"/>
      <x:c r="AA266"/>
      <x:c r="AB266">
        <x:f>IF(('Quantification_Results'!Y266&lt;&gt;1),"",IF(('Quantification_Results'!AA266=""),IF(ISNUMBER('Quantification_Results'!Z266),IF(('Quantification_Results'!Z266&lt;'Quantification_Config'!$S$12),"",IF(('Quantification_Results'!Z266&gt;'Quantification_Config'!$T$12),"",'Quantification_Results'!Z266)),""),IF(ISNUMBER('Quantification_Results'!AA266),IF(('Quantification_Results'!AA266&lt;'Quantification_Config'!$S$12),"",IF(('Quantification_Results'!AA266&gt;'Quantification_Config'!$T$12),"",'Quantification_Results'!AA266)),"")))</x:f>
      </x:c>
      <x:c r="AC266">
        <x:f>IF(ISNUMBER('Quantification_Results'!AB266),IFERROR(ROUND(((('Quantification_Results'!AB266-'Quantification_Config'!$S$12)/('Quantification_Config'!$T$12-'Quantification_Config'!$S$12))*100),'Quantification_Config'!$U$2),""),"")</x:f>
      </x:c>
      <x:c r="AD266" t="inlineStr">
        <x:is>
          <x:t xml:space="preserve"/>
        </x:is>
      </x:c>
      <x:c r="AE266" t="inlineStr">
        <x:is>
          <x:t xml:space="preserve"/>
        </x:is>
      </x:c>
      <x:c r="AF266" t="inlineStr">
        <x:is>
          <x:t xml:space="preserve"/>
        </x:is>
      </x:c>
      <x:c r="AG266" t="inlineStr">
        <x:is>
          <x:t xml:space="preserve"/>
        </x:is>
      </x:c>
      <x:c r="AH266" t="inlineStr">
        <x:is>
          <x:t xml:space="preserve">EMPTY</x:t>
        </x:is>
      </x:c>
      <x:c r="AI266">
        <x:f>IF((COUNT('Quantification_Results'!AC266)=1),IFERROR(ROUND((SUM(('Quantification_Results'!AC266*'Quantification_Config'!$R$12))/SUM('Quantification_Config'!$R$12)),'Quantification_Config'!$U$2),""),"")</x:f>
      </x:c>
      <x:c r="AJ266">
        <x:f>IF((COUNT('Quantification_Results'!AI266)=1),IFERROR(ROUND((SUM(('Quantification_Results'!AI266*'Quantification_Config'!$R$11))/SUM('Quantification_Config'!$R$11)),'Quantification_Config'!$U$2),""),"")</x:f>
      </x:c>
      <x:c r="AK266" t="n">
        <x:v>1</x:v>
      </x:c>
      <x:c r="AL266" t="n">
        <x:v>5</x:v>
      </x:c>
      <x:c r="AM266"/>
      <x:c r="AN266" t="n">
        <x:f>IF(('Quantification_Results'!AK266&lt;&gt;1),"",IF(('Quantification_Results'!AM266=""),IF(ISNUMBER('Quantification_Results'!AL266),IF(('Quantification_Results'!AL266&lt;'Quantification_Config'!$S$15),"",IF(('Quantification_Results'!AL266&gt;'Quantification_Config'!$T$15),"",'Quantification_Results'!AL266)),""),IF(ISNUMBER('Quantification_Results'!AM266),IF(('Quantification_Results'!AM266&lt;'Quantification_Config'!$S$15),"",IF(('Quantification_Results'!AM266&gt;'Quantification_Config'!$T$15),"",'Quantification_Results'!AM266)),"")))</x:f>
        <x:v>5</x:v>
      </x:c>
      <x:c r="AO266" t="n">
        <x:f>IF(ISNUMBER('Quantification_Results'!AN266),IFERROR(ROUND(((('Quantification_Results'!AN266-'Quantification_Config'!$S$15)/('Quantification_Config'!$T$15-'Quantification_Config'!$S$15))*100),'Quantification_Config'!$U$2),""),"")</x:f>
        <x:v>50</x:v>
      </x:c>
      <x:c r="AP266" t="inlineStr">
        <x:is>
          <x:t xml:space="preserve">SYSTEM-TEST-ONLY-NO-NETWORK-NOT-AN-EDUCATIONAL-EVALUATION</x:t>
        </x:is>
      </x:c>
      <x:c r="AQ266" t="inlineStr">
        <x:is>
          <x:t xml:space="preserve"/>
        </x:is>
      </x:c>
      <x:c r="AR266" t="inlineStr">
        <x:is>
          <x:t xml:space="preserve">NONE</x:t>
        </x:is>
      </x:c>
      <x:c r="AS266" t="inlineStr">
        <x:is>
          <x:t xml:space="preserve"/>
        </x:is>
      </x:c>
      <x:c r="AT266" t="inlineStr">
        <x:is>
          <x:t xml:space="preserve">SUCCESS</x:t>
        </x:is>
      </x:c>
      <x:c r="AU266" t="n">
        <x:f>IF((COUNT('Quantification_Results'!AO266)=1),IFERROR(ROUND((SUM(('Quantification_Results'!AO266*'Quantification_Config'!$R$15))/SUM('Quantification_Config'!$R$15)),'Quantification_Config'!$U$2),""),"")</x:f>
        <x:v>50</x:v>
      </x:c>
      <x:c r="AV266" t="n">
        <x:f>IF((COUNT('Quantification_Results'!AU266)=1),IFERROR(ROUND((SUM(('Quantification_Results'!AU266*'Quantification_Config'!$R$14))/SUM('Quantification_Config'!$R$14)),'Quantification_Config'!$U$2),""),"")</x:f>
        <x:v>50</x:v>
      </x:c>
      <x:c r="AW266" t="n">
        <x:v>1</x:v>
      </x:c>
      <x:c r="AX266" t="n">
        <x:v>5</x:v>
      </x:c>
      <x:c r="AY266"/>
      <x:c r="AZ266" t="n">
        <x:f>IF(('Quantification_Results'!AW266&lt;&gt;1),"",IF(('Quantification_Results'!AY266=""),IF(ISNUMBER('Quantification_Results'!AX266),IF(('Quantification_Results'!AX266&lt;'Quantification_Config'!$S$19),"",IF(('Quantification_Results'!AX266&gt;'Quantification_Config'!$T$19),"",'Quantification_Results'!AX266)),""),IF(ISNUMBER('Quantification_Results'!AY266),IF(('Quantification_Results'!AY266&lt;'Quantification_Config'!$S$19),"",IF(('Quantification_Results'!AY266&gt;'Quantification_Config'!$T$19),"",'Quantification_Results'!AY266)),"")))</x:f>
        <x:v>5</x:v>
      </x:c>
      <x:c r="BA266" t="n">
        <x:f>IF(ISNUMBER('Quantification_Results'!AZ266),IFERROR(ROUND(((('Quantification_Results'!AZ266-'Quantification_Config'!$S$19)/('Quantification_Config'!$T$19-'Quantification_Config'!$S$19))*100),'Quantification_Config'!$U$2),""),"")</x:f>
        <x:v>50</x:v>
      </x:c>
      <x:c r="BB266" t="inlineStr">
        <x:is>
          <x:t xml:space="preserve">SYSTEM-TEST-ONLY-NO-NETWORK-NOT-AN-EDUCATIONAL-EVALUATION</x:t>
        </x:is>
      </x:c>
      <x:c r="BC266" t="inlineStr">
        <x:is>
          <x:t xml:space="preserve"/>
        </x:is>
      </x:c>
      <x:c r="BD266" t="inlineStr">
        <x:is>
          <x:t xml:space="preserve">NONE</x:t>
        </x:is>
      </x:c>
      <x:c r="BE266" t="inlineStr">
        <x:is>
          <x:t xml:space="preserve"/>
        </x:is>
      </x:c>
      <x:c r="BF266" t="inlineStr">
        <x:is>
          <x:t xml:space="preserve">SUCCESS</x:t>
        </x:is>
      </x:c>
      <x:c r="BG266" t="n">
        <x:f>IF((COUNT('Quantification_Results'!BA266)=1),IFERROR(ROUND((SUM(('Quantification_Results'!BA266*'Quantification_Config'!$R$19))/SUM('Quantification_Config'!$R$19)),'Quantification_Config'!$U$2),""),"")</x:f>
        <x:v>50</x:v>
      </x:c>
      <x:c r="BH266" t="n">
        <x:f>IF((COUNT('Quantification_Results'!BG266)=1),IFERROR(ROUND((SUM(('Quantification_Results'!BG266*'Quantification_Config'!$R$18))/SUM('Quantification_Config'!$R$18)),'Quantification_Config'!$U$2),""),"")</x:f>
        <x:v>50</x:v>
      </x:c>
      <x:c r="BI266">
        <x:f>IF((COUNT('Quantification_Results'!L266,'Quantification_Results'!X266,'Quantification_Results'!AJ266,'Quantification_Results'!AV266,'Quantification_Results'!BH266)=5),IFERROR(ROUND((SUM(('Quantification_Results'!L266*'Quantification_Config'!$R$4),('Quantification_Results'!X266*'Quantification_Config'!$R$7),('Quantification_Results'!AJ266*'Quantification_Config'!$R$10),('Quantification_Results'!AV266*'Quantification_Config'!$R$13),('Quantification_Results'!BH266*'Quantification_Config'!$R$16))/SUM('Quantification_Config'!$R$4,'Quantification_Config'!$R$7,'Quantification_Config'!$R$10,'Quantification_Config'!$R$13,'Quantification_Config'!$R$16)),'Quantification_Config'!$U$2),""),"")</x:f>
      </x:c>
    </x:row>
    <x:row r="267">
      <x:c r="A267" t="n">
        <x:v>1</x:v>
      </x:c>
      <x:c r="B267" t="n">
        <x:v>5</x:v>
      </x:c>
      <x:c r="C267"/>
      <x:c r="D267" t="n">
        <x:f>IF(('Quantification_Results'!A267&lt;&gt;1),"",IF(('Quantification_Results'!C267=""),IF(ISNUMBER('Quantification_Results'!B267),IF(('Quantification_Results'!B267&lt;'Quantification_Config'!$S$6),"",IF(('Quantification_Results'!B267&gt;'Quantification_Config'!$T$6),"",'Quantification_Results'!B267)),""),IF(ISNUMBER('Quantification_Results'!C267),IF(('Quantification_Results'!C267&lt;'Quantification_Config'!$S$6),"",IF(('Quantification_Results'!C267&gt;'Quantification_Config'!$T$6),"",'Quantification_Results'!C267)),"")))</x:f>
        <x:v>5</x:v>
      </x:c>
      <x:c r="E267" t="n">
        <x:f>IF(ISNUMBER('Quantification_Results'!D267),IFERROR(ROUND(((('Quantification_Results'!D267-'Quantification_Config'!$S$6)/('Quantification_Config'!$T$6-'Quantification_Config'!$S$6))*100),'Quantification_Config'!$U$2),""),"")</x:f>
        <x:v>50</x:v>
      </x:c>
      <x:c r="F267" t="inlineStr">
        <x:is>
          <x:t xml:space="preserve">SYSTEM-TEST-ONLY-NO-NETWORK-NOT-AN-EDUCATIONAL-EVALUATION</x:t>
        </x:is>
      </x:c>
      <x:c r="G267" t="inlineStr">
        <x:is>
          <x:t xml:space="preserve"/>
        </x:is>
      </x:c>
      <x:c r="H267" t="inlineStr">
        <x:is>
          <x:t xml:space="preserve">NONE</x:t>
        </x:is>
      </x:c>
      <x:c r="I267" t="inlineStr">
        <x:is>
          <x:t xml:space="preserve"/>
        </x:is>
      </x:c>
      <x:c r="J267" t="inlineStr">
        <x:is>
          <x:t xml:space="preserve">SUCCESS</x:t>
        </x:is>
      </x:c>
      <x:c r="K267" t="n">
        <x:f>IF((COUNT('Quantification_Results'!E267)=1),IFERROR(ROUND((SUM(('Quantification_Results'!E267*'Quantification_Config'!$R$6))/SUM('Quantification_Config'!$R$6)),'Quantification_Config'!$U$2),""),"")</x:f>
        <x:v>50</x:v>
      </x:c>
      <x:c r="L267" t="n">
        <x:f>IF((COUNT('Quantification_Results'!K267)=1),IFERROR(ROUND((SUM(('Quantification_Results'!K267*'Quantification_Config'!$R$5))/SUM('Quantification_Config'!$R$5)),'Quantification_Config'!$U$2),""),"")</x:f>
        <x:v>50</x:v>
      </x:c>
      <x:c r="M267" t="n">
        <x:v>1</x:v>
      </x:c>
      <x:c r="N267" t="n">
        <x:v>5</x:v>
      </x:c>
      <x:c r="O267"/>
      <x:c r="P267" t="n">
        <x:f>IF(('Quantification_Results'!M267&lt;&gt;1),"",IF(('Quantification_Results'!O267=""),IF(ISNUMBER('Quantification_Results'!N267),IF(('Quantification_Results'!N267&lt;'Quantification_Config'!$S$9),"",IF(('Quantification_Results'!N267&gt;'Quantification_Config'!$T$9),"",'Quantification_Results'!N267)),""),IF(ISNUMBER('Quantification_Results'!O267),IF(('Quantification_Results'!O267&lt;'Quantification_Config'!$S$9),"",IF(('Quantification_Results'!O267&gt;'Quantification_Config'!$T$9),"",'Quantification_Results'!O267)),"")))</x:f>
        <x:v>5</x:v>
      </x:c>
      <x:c r="Q267" t="n">
        <x:f>IF(ISNUMBER('Quantification_Results'!P267),IFERROR(ROUND(((('Quantification_Results'!P267-'Quantification_Config'!$S$9)/('Quantification_Config'!$T$9-'Quantification_Config'!$S$9))*100),'Quantification_Config'!$U$2),""),"")</x:f>
        <x:v>50</x:v>
      </x:c>
      <x:c r="R267" t="inlineStr">
        <x:is>
          <x:t xml:space="preserve">SYSTEM-TEST-ONLY-NO-NETWORK-NOT-AN-EDUCATIONAL-EVALUATION</x:t>
        </x:is>
      </x:c>
      <x:c r="S267" t="inlineStr">
        <x:is>
          <x:t xml:space="preserve"/>
        </x:is>
      </x:c>
      <x:c r="T267" t="inlineStr">
        <x:is>
          <x:t xml:space="preserve">NONE</x:t>
        </x:is>
      </x:c>
      <x:c r="U267" t="inlineStr">
        <x:is>
          <x:t xml:space="preserve"/>
        </x:is>
      </x:c>
      <x:c r="V267" t="inlineStr">
        <x:is>
          <x:t xml:space="preserve">SUCCESS</x:t>
        </x:is>
      </x:c>
      <x:c r="W267" t="n">
        <x:f>IF((COUNT('Quantification_Results'!Q267)=1),IFERROR(ROUND((SUM(('Quantification_Results'!Q267*'Quantification_Config'!$R$9))/SUM('Quantification_Config'!$R$9)),'Quantification_Config'!$U$2),""),"")</x:f>
        <x:v>50</x:v>
      </x:c>
      <x:c r="X267" t="n">
        <x:f>IF((COUNT('Quantification_Results'!W267)=1),IFERROR(ROUND((SUM(('Quantification_Results'!W267*'Quantification_Config'!$R$8))/SUM('Quantification_Config'!$R$8)),'Quantification_Config'!$U$2),""),"")</x:f>
        <x:v>50</x:v>
      </x:c>
      <x:c r="Y267" t="n">
        <x:v>0</x:v>
      </x:c>
      <x:c r="Z267"/>
      <x:c r="AA267"/>
      <x:c r="AB267">
        <x:f>IF(('Quantification_Results'!Y267&lt;&gt;1),"",IF(('Quantification_Results'!AA267=""),IF(ISNUMBER('Quantification_Results'!Z267),IF(('Quantification_Results'!Z267&lt;'Quantification_Config'!$S$12),"",IF(('Quantification_Results'!Z267&gt;'Quantification_Config'!$T$12),"",'Quantification_Results'!Z267)),""),IF(ISNUMBER('Quantification_Results'!AA267),IF(('Quantification_Results'!AA267&lt;'Quantification_Config'!$S$12),"",IF(('Quantification_Results'!AA267&gt;'Quantification_Config'!$T$12),"",'Quantification_Results'!AA267)),"")))</x:f>
      </x:c>
      <x:c r="AC267">
        <x:f>IF(ISNUMBER('Quantification_Results'!AB267),IFERROR(ROUND(((('Quantification_Results'!AB267-'Quantification_Config'!$S$12)/('Quantification_Config'!$T$12-'Quantification_Config'!$S$12))*100),'Quantification_Config'!$U$2),""),"")</x:f>
      </x:c>
      <x:c r="AD267" t="inlineStr">
        <x:is>
          <x:t xml:space="preserve"/>
        </x:is>
      </x:c>
      <x:c r="AE267" t="inlineStr">
        <x:is>
          <x:t xml:space="preserve"/>
        </x:is>
      </x:c>
      <x:c r="AF267" t="inlineStr">
        <x:is>
          <x:t xml:space="preserve"/>
        </x:is>
      </x:c>
      <x:c r="AG267" t="inlineStr">
        <x:is>
          <x:t xml:space="preserve"/>
        </x:is>
      </x:c>
      <x:c r="AH267" t="inlineStr">
        <x:is>
          <x:t xml:space="preserve">EMPTY</x:t>
        </x:is>
      </x:c>
      <x:c r="AI267">
        <x:f>IF((COUNT('Quantification_Results'!AC267)=1),IFERROR(ROUND((SUM(('Quantification_Results'!AC267*'Quantification_Config'!$R$12))/SUM('Quantification_Config'!$R$12)),'Quantification_Config'!$U$2),""),"")</x:f>
      </x:c>
      <x:c r="AJ267">
        <x:f>IF((COUNT('Quantification_Results'!AI267)=1),IFERROR(ROUND((SUM(('Quantification_Results'!AI267*'Quantification_Config'!$R$11))/SUM('Quantification_Config'!$R$11)),'Quantification_Config'!$U$2),""),"")</x:f>
      </x:c>
      <x:c r="AK267" t="n">
        <x:v>1</x:v>
      </x:c>
      <x:c r="AL267" t="n">
        <x:v>5</x:v>
      </x:c>
      <x:c r="AM267"/>
      <x:c r="AN267" t="n">
        <x:f>IF(('Quantification_Results'!AK267&lt;&gt;1),"",IF(('Quantification_Results'!AM267=""),IF(ISNUMBER('Quantification_Results'!AL267),IF(('Quantification_Results'!AL267&lt;'Quantification_Config'!$S$15),"",IF(('Quantification_Results'!AL267&gt;'Quantification_Config'!$T$15),"",'Quantification_Results'!AL267)),""),IF(ISNUMBER('Quantification_Results'!AM267),IF(('Quantification_Results'!AM267&lt;'Quantification_Config'!$S$15),"",IF(('Quantification_Results'!AM267&gt;'Quantification_Config'!$T$15),"",'Quantification_Results'!AM267)),"")))</x:f>
        <x:v>5</x:v>
      </x:c>
      <x:c r="AO267" t="n">
        <x:f>IF(ISNUMBER('Quantification_Results'!AN267),IFERROR(ROUND(((('Quantification_Results'!AN267-'Quantification_Config'!$S$15)/('Quantification_Config'!$T$15-'Quantification_Config'!$S$15))*100),'Quantification_Config'!$U$2),""),"")</x:f>
        <x:v>50</x:v>
      </x:c>
      <x:c r="AP267" t="inlineStr">
        <x:is>
          <x:t xml:space="preserve">SYSTEM-TEST-ONLY-NO-NETWORK-NOT-AN-EDUCATIONAL-EVALUATION</x:t>
        </x:is>
      </x:c>
      <x:c r="AQ267" t="inlineStr">
        <x:is>
          <x:t xml:space="preserve"/>
        </x:is>
      </x:c>
      <x:c r="AR267" t="inlineStr">
        <x:is>
          <x:t xml:space="preserve">NONE</x:t>
        </x:is>
      </x:c>
      <x:c r="AS267" t="inlineStr">
        <x:is>
          <x:t xml:space="preserve"/>
        </x:is>
      </x:c>
      <x:c r="AT267" t="inlineStr">
        <x:is>
          <x:t xml:space="preserve">SUCCESS</x:t>
        </x:is>
      </x:c>
      <x:c r="AU267" t="n">
        <x:f>IF((COUNT('Quantification_Results'!AO267)=1),IFERROR(ROUND((SUM(('Quantification_Results'!AO267*'Quantification_Config'!$R$15))/SUM('Quantification_Config'!$R$15)),'Quantification_Config'!$U$2),""),"")</x:f>
        <x:v>50</x:v>
      </x:c>
      <x:c r="AV267" t="n">
        <x:f>IF((COUNT('Quantification_Results'!AU267)=1),IFERROR(ROUND((SUM(('Quantification_Results'!AU267*'Quantification_Config'!$R$14))/SUM('Quantification_Config'!$R$14)),'Quantification_Config'!$U$2),""),"")</x:f>
        <x:v>50</x:v>
      </x:c>
      <x:c r="AW267" t="n">
        <x:v>1</x:v>
      </x:c>
      <x:c r="AX267" t="n">
        <x:v>5</x:v>
      </x:c>
      <x:c r="AY267"/>
      <x:c r="AZ267" t="n">
        <x:f>IF(('Quantification_Results'!AW267&lt;&gt;1),"",IF(('Quantification_Results'!AY267=""),IF(ISNUMBER('Quantification_Results'!AX267),IF(('Quantification_Results'!AX267&lt;'Quantification_Config'!$S$19),"",IF(('Quantification_Results'!AX267&gt;'Quantification_Config'!$T$19),"",'Quantification_Results'!AX267)),""),IF(ISNUMBER('Quantification_Results'!AY267),IF(('Quantification_Results'!AY267&lt;'Quantification_Config'!$S$19),"",IF(('Quantification_Results'!AY267&gt;'Quantification_Config'!$T$19),"",'Quantification_Results'!AY267)),"")))</x:f>
        <x:v>5</x:v>
      </x:c>
      <x:c r="BA267" t="n">
        <x:f>IF(ISNUMBER('Quantification_Results'!AZ267),IFERROR(ROUND(((('Quantification_Results'!AZ267-'Quantification_Config'!$S$19)/('Quantification_Config'!$T$19-'Quantification_Config'!$S$19))*100),'Quantification_Config'!$U$2),""),"")</x:f>
        <x:v>50</x:v>
      </x:c>
      <x:c r="BB267" t="inlineStr">
        <x:is>
          <x:t xml:space="preserve">SYSTEM-TEST-ONLY-NO-NETWORK-NOT-AN-EDUCATIONAL-EVALUATION</x:t>
        </x:is>
      </x:c>
      <x:c r="BC267" t="inlineStr">
        <x:is>
          <x:t xml:space="preserve"/>
        </x:is>
      </x:c>
      <x:c r="BD267" t="inlineStr">
        <x:is>
          <x:t xml:space="preserve">NONE</x:t>
        </x:is>
      </x:c>
      <x:c r="BE267" t="inlineStr">
        <x:is>
          <x:t xml:space="preserve"/>
        </x:is>
      </x:c>
      <x:c r="BF267" t="inlineStr">
        <x:is>
          <x:t xml:space="preserve">SUCCESS</x:t>
        </x:is>
      </x:c>
      <x:c r="BG267" t="n">
        <x:f>IF((COUNT('Quantification_Results'!BA267)=1),IFERROR(ROUND((SUM(('Quantification_Results'!BA267*'Quantification_Config'!$R$19))/SUM('Quantification_Config'!$R$19)),'Quantification_Config'!$U$2),""),"")</x:f>
        <x:v>50</x:v>
      </x:c>
      <x:c r="BH267" t="n">
        <x:f>IF((COUNT('Quantification_Results'!BG267)=1),IFERROR(ROUND((SUM(('Quantification_Results'!BG267*'Quantification_Config'!$R$18))/SUM('Quantification_Config'!$R$18)),'Quantification_Config'!$U$2),""),"")</x:f>
        <x:v>50</x:v>
      </x:c>
      <x:c r="BI267">
        <x:f>IF((COUNT('Quantification_Results'!L267,'Quantification_Results'!X267,'Quantification_Results'!AJ267,'Quantification_Results'!AV267,'Quantification_Results'!BH267)=5),IFERROR(ROUND((SUM(('Quantification_Results'!L267*'Quantification_Config'!$R$4),('Quantification_Results'!X267*'Quantification_Config'!$R$7),('Quantification_Results'!AJ267*'Quantification_Config'!$R$10),('Quantification_Results'!AV267*'Quantification_Config'!$R$13),('Quantification_Results'!BH267*'Quantification_Config'!$R$16))/SUM('Quantification_Config'!$R$4,'Quantification_Config'!$R$7,'Quantification_Config'!$R$10,'Quantification_Config'!$R$13,'Quantification_Config'!$R$16)),'Quantification_Config'!$U$2),""),"")</x:f>
      </x:c>
    </x:row>
    <x:row r="268">
      <x:c r="A268" t="n">
        <x:v>1</x:v>
      </x:c>
      <x:c r="B268" t="n">
        <x:v>5</x:v>
      </x:c>
      <x:c r="C268"/>
      <x:c r="D268" t="n">
        <x:f>IF(('Quantification_Results'!A268&lt;&gt;1),"",IF(('Quantification_Results'!C268=""),IF(ISNUMBER('Quantification_Results'!B268),IF(('Quantification_Results'!B268&lt;'Quantification_Config'!$S$6),"",IF(('Quantification_Results'!B268&gt;'Quantification_Config'!$T$6),"",'Quantification_Results'!B268)),""),IF(ISNUMBER('Quantification_Results'!C268),IF(('Quantification_Results'!C268&lt;'Quantification_Config'!$S$6),"",IF(('Quantification_Results'!C268&gt;'Quantification_Config'!$T$6),"",'Quantification_Results'!C268)),"")))</x:f>
        <x:v>5</x:v>
      </x:c>
      <x:c r="E268" t="n">
        <x:f>IF(ISNUMBER('Quantification_Results'!D268),IFERROR(ROUND(((('Quantification_Results'!D268-'Quantification_Config'!$S$6)/('Quantification_Config'!$T$6-'Quantification_Config'!$S$6))*100),'Quantification_Config'!$U$2),""),"")</x:f>
        <x:v>50</x:v>
      </x:c>
      <x:c r="F268" t="inlineStr">
        <x:is>
          <x:t xml:space="preserve">SYSTEM-TEST-ONLY-NO-NETWORK-NOT-AN-EDUCATIONAL-EVALUATION</x:t>
        </x:is>
      </x:c>
      <x:c r="G268" t="inlineStr">
        <x:is>
          <x:t xml:space="preserve"/>
        </x:is>
      </x:c>
      <x:c r="H268" t="inlineStr">
        <x:is>
          <x:t xml:space="preserve">NONE</x:t>
        </x:is>
      </x:c>
      <x:c r="I268" t="inlineStr">
        <x:is>
          <x:t xml:space="preserve"/>
        </x:is>
      </x:c>
      <x:c r="J268" t="inlineStr">
        <x:is>
          <x:t xml:space="preserve">SUCCESS</x:t>
        </x:is>
      </x:c>
      <x:c r="K268" t="n">
        <x:f>IF((COUNT('Quantification_Results'!E268)=1),IFERROR(ROUND((SUM(('Quantification_Results'!E268*'Quantification_Config'!$R$6))/SUM('Quantification_Config'!$R$6)),'Quantification_Config'!$U$2),""),"")</x:f>
        <x:v>50</x:v>
      </x:c>
      <x:c r="L268" t="n">
        <x:f>IF((COUNT('Quantification_Results'!K268)=1),IFERROR(ROUND((SUM(('Quantification_Results'!K268*'Quantification_Config'!$R$5))/SUM('Quantification_Config'!$R$5)),'Quantification_Config'!$U$2),""),"")</x:f>
        <x:v>50</x:v>
      </x:c>
      <x:c r="M268" t="n">
        <x:v>1</x:v>
      </x:c>
      <x:c r="N268" t="n">
        <x:v>5</x:v>
      </x:c>
      <x:c r="O268"/>
      <x:c r="P268" t="n">
        <x:f>IF(('Quantification_Results'!M268&lt;&gt;1),"",IF(('Quantification_Results'!O268=""),IF(ISNUMBER('Quantification_Results'!N268),IF(('Quantification_Results'!N268&lt;'Quantification_Config'!$S$9),"",IF(('Quantification_Results'!N268&gt;'Quantification_Config'!$T$9),"",'Quantification_Results'!N268)),""),IF(ISNUMBER('Quantification_Results'!O268),IF(('Quantification_Results'!O268&lt;'Quantification_Config'!$S$9),"",IF(('Quantification_Results'!O268&gt;'Quantification_Config'!$T$9),"",'Quantification_Results'!O268)),"")))</x:f>
        <x:v>5</x:v>
      </x:c>
      <x:c r="Q268" t="n">
        <x:f>IF(ISNUMBER('Quantification_Results'!P268),IFERROR(ROUND(((('Quantification_Results'!P268-'Quantification_Config'!$S$9)/('Quantification_Config'!$T$9-'Quantification_Config'!$S$9))*100),'Quantification_Config'!$U$2),""),"")</x:f>
        <x:v>50</x:v>
      </x:c>
      <x:c r="R268" t="inlineStr">
        <x:is>
          <x:t xml:space="preserve">SYSTEM-TEST-ONLY-NO-NETWORK-NOT-AN-EDUCATIONAL-EVALUATION</x:t>
        </x:is>
      </x:c>
      <x:c r="S268" t="inlineStr">
        <x:is>
          <x:t xml:space="preserve"/>
        </x:is>
      </x:c>
      <x:c r="T268" t="inlineStr">
        <x:is>
          <x:t xml:space="preserve">NONE</x:t>
        </x:is>
      </x:c>
      <x:c r="U268" t="inlineStr">
        <x:is>
          <x:t xml:space="preserve"/>
        </x:is>
      </x:c>
      <x:c r="V268" t="inlineStr">
        <x:is>
          <x:t xml:space="preserve">SUCCESS</x:t>
        </x:is>
      </x:c>
      <x:c r="W268" t="n">
        <x:f>IF((COUNT('Quantification_Results'!Q268)=1),IFERROR(ROUND((SUM(('Quantification_Results'!Q268*'Quantification_Config'!$R$9))/SUM('Quantification_Config'!$R$9)),'Quantification_Config'!$U$2),""),"")</x:f>
        <x:v>50</x:v>
      </x:c>
      <x:c r="X268" t="n">
        <x:f>IF((COUNT('Quantification_Results'!W268)=1),IFERROR(ROUND((SUM(('Quantification_Results'!W268*'Quantification_Config'!$R$8))/SUM('Quantification_Config'!$R$8)),'Quantification_Config'!$U$2),""),"")</x:f>
        <x:v>50</x:v>
      </x:c>
      <x:c r="Y268" t="n">
        <x:v>1</x:v>
      </x:c>
      <x:c r="Z268" t="n">
        <x:v>5</x:v>
      </x:c>
      <x:c r="AA268"/>
      <x:c r="AB268" t="n">
        <x:f>IF(('Quantification_Results'!Y268&lt;&gt;1),"",IF(('Quantification_Results'!AA268=""),IF(ISNUMBER('Quantification_Results'!Z268),IF(('Quantification_Results'!Z268&lt;'Quantification_Config'!$S$12),"",IF(('Quantification_Results'!Z268&gt;'Quantification_Config'!$T$12),"",'Quantification_Results'!Z268)),""),IF(ISNUMBER('Quantification_Results'!AA268),IF(('Quantification_Results'!AA268&lt;'Quantification_Config'!$S$12),"",IF(('Quantification_Results'!AA268&gt;'Quantification_Config'!$T$12),"",'Quantification_Results'!AA268)),"")))</x:f>
        <x:v>5</x:v>
      </x:c>
      <x:c r="AC268" t="n">
        <x:f>IF(ISNUMBER('Quantification_Results'!AB268),IFERROR(ROUND(((('Quantification_Results'!AB268-'Quantification_Config'!$S$12)/('Quantification_Config'!$T$12-'Quantification_Config'!$S$12))*100),'Quantification_Config'!$U$2),""),"")</x:f>
        <x:v>50</x:v>
      </x:c>
      <x:c r="AD268" t="inlineStr">
        <x:is>
          <x:t xml:space="preserve">SYSTEM-TEST-ONLY-NO-NETWORK-NOT-AN-EDUCATIONAL-EVALUATION</x:t>
        </x:is>
      </x:c>
      <x:c r="AE268" t="inlineStr">
        <x:is>
          <x:t xml:space="preserve"/>
        </x:is>
      </x:c>
      <x:c r="AF268" t="inlineStr">
        <x:is>
          <x:t xml:space="preserve">NONE</x:t>
        </x:is>
      </x:c>
      <x:c r="AG268" t="inlineStr">
        <x:is>
          <x:t xml:space="preserve"/>
        </x:is>
      </x:c>
      <x:c r="AH268" t="inlineStr">
        <x:is>
          <x:t xml:space="preserve">SUCCESS</x:t>
        </x:is>
      </x:c>
      <x:c r="AI268" t="n">
        <x:f>IF((COUNT('Quantification_Results'!AC268)=1),IFERROR(ROUND((SUM(('Quantification_Results'!AC268*'Quantification_Config'!$R$12))/SUM('Quantification_Config'!$R$12)),'Quantification_Config'!$U$2),""),"")</x:f>
        <x:v>50</x:v>
      </x:c>
      <x:c r="AJ268" t="n">
        <x:f>IF((COUNT('Quantification_Results'!AI268)=1),IFERROR(ROUND((SUM(('Quantification_Results'!AI268*'Quantification_Config'!$R$11))/SUM('Quantification_Config'!$R$11)),'Quantification_Config'!$U$2),""),"")</x:f>
        <x:v>50</x:v>
      </x:c>
      <x:c r="AK268" t="n">
        <x:v>1</x:v>
      </x:c>
      <x:c r="AL268" t="n">
        <x:v>5</x:v>
      </x:c>
      <x:c r="AM268"/>
      <x:c r="AN268" t="n">
        <x:f>IF(('Quantification_Results'!AK268&lt;&gt;1),"",IF(('Quantification_Results'!AM268=""),IF(ISNUMBER('Quantification_Results'!AL268),IF(('Quantification_Results'!AL268&lt;'Quantification_Config'!$S$15),"",IF(('Quantification_Results'!AL268&gt;'Quantification_Config'!$T$15),"",'Quantification_Results'!AL268)),""),IF(ISNUMBER('Quantification_Results'!AM268),IF(('Quantification_Results'!AM268&lt;'Quantification_Config'!$S$15),"",IF(('Quantification_Results'!AM268&gt;'Quantification_Config'!$T$15),"",'Quantification_Results'!AM268)),"")))</x:f>
        <x:v>5</x:v>
      </x:c>
      <x:c r="AO268" t="n">
        <x:f>IF(ISNUMBER('Quantification_Results'!AN268),IFERROR(ROUND(((('Quantification_Results'!AN268-'Quantification_Config'!$S$15)/('Quantification_Config'!$T$15-'Quantification_Config'!$S$15))*100),'Quantification_Config'!$U$2),""),"")</x:f>
        <x:v>50</x:v>
      </x:c>
      <x:c r="AP268" t="inlineStr">
        <x:is>
          <x:t xml:space="preserve">SYSTEM-TEST-ONLY-NO-NETWORK-NOT-AN-EDUCATIONAL-EVALUATION</x:t>
        </x:is>
      </x:c>
      <x:c r="AQ268" t="inlineStr">
        <x:is>
          <x:t xml:space="preserve"/>
        </x:is>
      </x:c>
      <x:c r="AR268" t="inlineStr">
        <x:is>
          <x:t xml:space="preserve">NONE</x:t>
        </x:is>
      </x:c>
      <x:c r="AS268" t="inlineStr">
        <x:is>
          <x:t xml:space="preserve"/>
        </x:is>
      </x:c>
      <x:c r="AT268" t="inlineStr">
        <x:is>
          <x:t xml:space="preserve">SUCCESS</x:t>
        </x:is>
      </x:c>
      <x:c r="AU268" t="n">
        <x:f>IF((COUNT('Quantification_Results'!AO268)=1),IFERROR(ROUND((SUM(('Quantification_Results'!AO268*'Quantification_Config'!$R$15))/SUM('Quantification_Config'!$R$15)),'Quantification_Config'!$U$2),""),"")</x:f>
        <x:v>50</x:v>
      </x:c>
      <x:c r="AV268" t="n">
        <x:f>IF((COUNT('Quantification_Results'!AU268)=1),IFERROR(ROUND((SUM(('Quantification_Results'!AU268*'Quantification_Config'!$R$14))/SUM('Quantification_Config'!$R$14)),'Quantification_Config'!$U$2),""),"")</x:f>
        <x:v>50</x:v>
      </x:c>
      <x:c r="AW268" t="n">
        <x:v>1</x:v>
      </x:c>
      <x:c r="AX268" t="n">
        <x:v>5</x:v>
      </x:c>
      <x:c r="AY268"/>
      <x:c r="AZ268" t="n">
        <x:f>IF(('Quantification_Results'!AW268&lt;&gt;1),"",IF(('Quantification_Results'!AY268=""),IF(ISNUMBER('Quantification_Results'!AX268),IF(('Quantification_Results'!AX268&lt;'Quantification_Config'!$S$19),"",IF(('Quantification_Results'!AX268&gt;'Quantification_Config'!$T$19),"",'Quantification_Results'!AX268)),""),IF(ISNUMBER('Quantification_Results'!AY268),IF(('Quantification_Results'!AY268&lt;'Quantification_Config'!$S$19),"",IF(('Quantification_Results'!AY268&gt;'Quantification_Config'!$T$19),"",'Quantification_Results'!AY268)),"")))</x:f>
        <x:v>5</x:v>
      </x:c>
      <x:c r="BA268" t="n">
        <x:f>IF(ISNUMBER('Quantification_Results'!AZ268),IFERROR(ROUND(((('Quantification_Results'!AZ268-'Quantification_Config'!$S$19)/('Quantification_Config'!$T$19-'Quantification_Config'!$S$19))*100),'Quantification_Config'!$U$2),""),"")</x:f>
        <x:v>50</x:v>
      </x:c>
      <x:c r="BB268" t="inlineStr">
        <x:is>
          <x:t xml:space="preserve">SYSTEM-TEST-ONLY-NO-NETWORK-NOT-AN-EDUCATIONAL-EVALUATION</x:t>
        </x:is>
      </x:c>
      <x:c r="BC268" t="inlineStr">
        <x:is>
          <x:t xml:space="preserve"/>
        </x:is>
      </x:c>
      <x:c r="BD268" t="inlineStr">
        <x:is>
          <x:t xml:space="preserve">NONE</x:t>
        </x:is>
      </x:c>
      <x:c r="BE268" t="inlineStr">
        <x:is>
          <x:t xml:space="preserve"/>
        </x:is>
      </x:c>
      <x:c r="BF268" t="inlineStr">
        <x:is>
          <x:t xml:space="preserve">SUCCESS</x:t>
        </x:is>
      </x:c>
      <x:c r="BG268" t="n">
        <x:f>IF((COUNT('Quantification_Results'!BA268)=1),IFERROR(ROUND((SUM(('Quantification_Results'!BA268*'Quantification_Config'!$R$19))/SUM('Quantification_Config'!$R$19)),'Quantification_Config'!$U$2),""),"")</x:f>
        <x:v>50</x:v>
      </x:c>
      <x:c r="BH268" t="n">
        <x:f>IF((COUNT('Quantification_Results'!BG268)=1),IFERROR(ROUND((SUM(('Quantification_Results'!BG268*'Quantification_Config'!$R$18))/SUM('Quantification_Config'!$R$18)),'Quantification_Config'!$U$2),""),"")</x:f>
        <x:v>50</x:v>
      </x:c>
      <x:c r="BI268" t="n">
        <x:f>IF((COUNT('Quantification_Results'!L268,'Quantification_Results'!X268,'Quantification_Results'!AJ268,'Quantification_Results'!AV268,'Quantification_Results'!BH268)=5),IFERROR(ROUND((SUM(('Quantification_Results'!L268*'Quantification_Config'!$R$4),('Quantification_Results'!X268*'Quantification_Config'!$R$7),('Quantification_Results'!AJ268*'Quantification_Config'!$R$10),('Quantification_Results'!AV268*'Quantification_Config'!$R$13),('Quantification_Results'!BH268*'Quantification_Config'!$R$16))/SUM('Quantification_Config'!$R$4,'Quantification_Config'!$R$7,'Quantification_Config'!$R$10,'Quantification_Config'!$R$13,'Quantification_Config'!$R$16)),'Quantification_Config'!$U$2),""),"")</x:f>
        <x:v>50</x:v>
      </x:c>
    </x:row>
    <x:row r="269">
      <x:c r="A269" t="n">
        <x:v>1</x:v>
      </x:c>
      <x:c r="B269" t="n">
        <x:v>5</x:v>
      </x:c>
      <x:c r="C269"/>
      <x:c r="D269" t="n">
        <x:f>IF(('Quantification_Results'!A269&lt;&gt;1),"",IF(('Quantification_Results'!C269=""),IF(ISNUMBER('Quantification_Results'!B269),IF(('Quantification_Results'!B269&lt;'Quantification_Config'!$S$6),"",IF(('Quantification_Results'!B269&gt;'Quantification_Config'!$T$6),"",'Quantification_Results'!B269)),""),IF(ISNUMBER('Quantification_Results'!C269),IF(('Quantification_Results'!C269&lt;'Quantification_Config'!$S$6),"",IF(('Quantification_Results'!C269&gt;'Quantification_Config'!$T$6),"",'Quantification_Results'!C269)),"")))</x:f>
        <x:v>5</x:v>
      </x:c>
      <x:c r="E269" t="n">
        <x:f>IF(ISNUMBER('Quantification_Results'!D269),IFERROR(ROUND(((('Quantification_Results'!D269-'Quantification_Config'!$S$6)/('Quantification_Config'!$T$6-'Quantification_Config'!$S$6))*100),'Quantification_Config'!$U$2),""),"")</x:f>
        <x:v>50</x:v>
      </x:c>
      <x:c r="F269" t="inlineStr">
        <x:is>
          <x:t xml:space="preserve">SYSTEM-TEST-ONLY-NO-NETWORK-NOT-AN-EDUCATIONAL-EVALUATION</x:t>
        </x:is>
      </x:c>
      <x:c r="G269" t="inlineStr">
        <x:is>
          <x:t xml:space="preserve"/>
        </x:is>
      </x:c>
      <x:c r="H269" t="inlineStr">
        <x:is>
          <x:t xml:space="preserve">NONE</x:t>
        </x:is>
      </x:c>
      <x:c r="I269" t="inlineStr">
        <x:is>
          <x:t xml:space="preserve"/>
        </x:is>
      </x:c>
      <x:c r="J269" t="inlineStr">
        <x:is>
          <x:t xml:space="preserve">SUCCESS</x:t>
        </x:is>
      </x:c>
      <x:c r="K269" t="n">
        <x:f>IF((COUNT('Quantification_Results'!E269)=1),IFERROR(ROUND((SUM(('Quantification_Results'!E269*'Quantification_Config'!$R$6))/SUM('Quantification_Config'!$R$6)),'Quantification_Config'!$U$2),""),"")</x:f>
        <x:v>50</x:v>
      </x:c>
      <x:c r="L269" t="n">
        <x:f>IF((COUNT('Quantification_Results'!K269)=1),IFERROR(ROUND((SUM(('Quantification_Results'!K269*'Quantification_Config'!$R$5))/SUM('Quantification_Config'!$R$5)),'Quantification_Config'!$U$2),""),"")</x:f>
        <x:v>50</x:v>
      </x:c>
      <x:c r="M269" t="n">
        <x:v>1</x:v>
      </x:c>
      <x:c r="N269" t="n">
        <x:v>5</x:v>
      </x:c>
      <x:c r="O269"/>
      <x:c r="P269" t="n">
        <x:f>IF(('Quantification_Results'!M269&lt;&gt;1),"",IF(('Quantification_Results'!O269=""),IF(ISNUMBER('Quantification_Results'!N269),IF(('Quantification_Results'!N269&lt;'Quantification_Config'!$S$9),"",IF(('Quantification_Results'!N269&gt;'Quantification_Config'!$T$9),"",'Quantification_Results'!N269)),""),IF(ISNUMBER('Quantification_Results'!O269),IF(('Quantification_Results'!O269&lt;'Quantification_Config'!$S$9),"",IF(('Quantification_Results'!O269&gt;'Quantification_Config'!$T$9),"",'Quantification_Results'!O269)),"")))</x:f>
        <x:v>5</x:v>
      </x:c>
      <x:c r="Q269" t="n">
        <x:f>IF(ISNUMBER('Quantification_Results'!P269),IFERROR(ROUND(((('Quantification_Results'!P269-'Quantification_Config'!$S$9)/('Quantification_Config'!$T$9-'Quantification_Config'!$S$9))*100),'Quantification_Config'!$U$2),""),"")</x:f>
        <x:v>50</x:v>
      </x:c>
      <x:c r="R269" t="inlineStr">
        <x:is>
          <x:t xml:space="preserve">SYSTEM-TEST-ONLY-NO-NETWORK-NOT-AN-EDUCATIONAL-EVALUATION</x:t>
        </x:is>
      </x:c>
      <x:c r="S269" t="inlineStr">
        <x:is>
          <x:t xml:space="preserve"/>
        </x:is>
      </x:c>
      <x:c r="T269" t="inlineStr">
        <x:is>
          <x:t xml:space="preserve">NONE</x:t>
        </x:is>
      </x:c>
      <x:c r="U269" t="inlineStr">
        <x:is>
          <x:t xml:space="preserve"/>
        </x:is>
      </x:c>
      <x:c r="V269" t="inlineStr">
        <x:is>
          <x:t xml:space="preserve">SUCCESS</x:t>
        </x:is>
      </x:c>
      <x:c r="W269" t="n">
        <x:f>IF((COUNT('Quantification_Results'!Q269)=1),IFERROR(ROUND((SUM(('Quantification_Results'!Q269*'Quantification_Config'!$R$9))/SUM('Quantification_Config'!$R$9)),'Quantification_Config'!$U$2),""),"")</x:f>
        <x:v>50</x:v>
      </x:c>
      <x:c r="X269" t="n">
        <x:f>IF((COUNT('Quantification_Results'!W269)=1),IFERROR(ROUND((SUM(('Quantification_Results'!W269*'Quantification_Config'!$R$8))/SUM('Quantification_Config'!$R$8)),'Quantification_Config'!$U$2),""),"")</x:f>
        <x:v>50</x:v>
      </x:c>
      <x:c r="Y269" t="n">
        <x:v>0</x:v>
      </x:c>
      <x:c r="Z269"/>
      <x:c r="AA269"/>
      <x:c r="AB269">
        <x:f>IF(('Quantification_Results'!Y269&lt;&gt;1),"",IF(('Quantification_Results'!AA269=""),IF(ISNUMBER('Quantification_Results'!Z269),IF(('Quantification_Results'!Z269&lt;'Quantification_Config'!$S$12),"",IF(('Quantification_Results'!Z269&gt;'Quantification_Config'!$T$12),"",'Quantification_Results'!Z269)),""),IF(ISNUMBER('Quantification_Results'!AA269),IF(('Quantification_Results'!AA269&lt;'Quantification_Config'!$S$12),"",IF(('Quantification_Results'!AA269&gt;'Quantification_Config'!$T$12),"",'Quantification_Results'!AA269)),"")))</x:f>
      </x:c>
      <x:c r="AC269">
        <x:f>IF(ISNUMBER('Quantification_Results'!AB269),IFERROR(ROUND(((('Quantification_Results'!AB269-'Quantification_Config'!$S$12)/('Quantification_Config'!$T$12-'Quantification_Config'!$S$12))*100),'Quantification_Config'!$U$2),""),"")</x:f>
      </x:c>
      <x:c r="AD269" t="inlineStr">
        <x:is>
          <x:t xml:space="preserve"/>
        </x:is>
      </x:c>
      <x:c r="AE269" t="inlineStr">
        <x:is>
          <x:t xml:space="preserve"/>
        </x:is>
      </x:c>
      <x:c r="AF269" t="inlineStr">
        <x:is>
          <x:t xml:space="preserve"/>
        </x:is>
      </x:c>
      <x:c r="AG269" t="inlineStr">
        <x:is>
          <x:t xml:space="preserve"/>
        </x:is>
      </x:c>
      <x:c r="AH269" t="inlineStr">
        <x:is>
          <x:t xml:space="preserve">EMPTY</x:t>
        </x:is>
      </x:c>
      <x:c r="AI269">
        <x:f>IF((COUNT('Quantification_Results'!AC269)=1),IFERROR(ROUND((SUM(('Quantification_Results'!AC269*'Quantification_Config'!$R$12))/SUM('Quantification_Config'!$R$12)),'Quantification_Config'!$U$2),""),"")</x:f>
      </x:c>
      <x:c r="AJ269">
        <x:f>IF((COUNT('Quantification_Results'!AI269)=1),IFERROR(ROUND((SUM(('Quantification_Results'!AI269*'Quantification_Config'!$R$11))/SUM('Quantification_Config'!$R$11)),'Quantification_Config'!$U$2),""),"")</x:f>
      </x:c>
      <x:c r="AK269" t="n">
        <x:v>1</x:v>
      </x:c>
      <x:c r="AL269" t="n">
        <x:v>5</x:v>
      </x:c>
      <x:c r="AM269"/>
      <x:c r="AN269" t="n">
        <x:f>IF(('Quantification_Results'!AK269&lt;&gt;1),"",IF(('Quantification_Results'!AM269=""),IF(ISNUMBER('Quantification_Results'!AL269),IF(('Quantification_Results'!AL269&lt;'Quantification_Config'!$S$15),"",IF(('Quantification_Results'!AL269&gt;'Quantification_Config'!$T$15),"",'Quantification_Results'!AL269)),""),IF(ISNUMBER('Quantification_Results'!AM269),IF(('Quantification_Results'!AM269&lt;'Quantification_Config'!$S$15),"",IF(('Quantification_Results'!AM269&gt;'Quantification_Config'!$T$15),"",'Quantification_Results'!AM269)),"")))</x:f>
        <x:v>5</x:v>
      </x:c>
      <x:c r="AO269" t="n">
        <x:f>IF(ISNUMBER('Quantification_Results'!AN269),IFERROR(ROUND(((('Quantification_Results'!AN269-'Quantification_Config'!$S$15)/('Quantification_Config'!$T$15-'Quantification_Config'!$S$15))*100),'Quantification_Config'!$U$2),""),"")</x:f>
        <x:v>50</x:v>
      </x:c>
      <x:c r="AP269" t="inlineStr">
        <x:is>
          <x:t xml:space="preserve">SYSTEM-TEST-ONLY-NO-NETWORK-NOT-AN-EDUCATIONAL-EVALUATION</x:t>
        </x:is>
      </x:c>
      <x:c r="AQ269" t="inlineStr">
        <x:is>
          <x:t xml:space="preserve"/>
        </x:is>
      </x:c>
      <x:c r="AR269" t="inlineStr">
        <x:is>
          <x:t xml:space="preserve">NONE</x:t>
        </x:is>
      </x:c>
      <x:c r="AS269" t="inlineStr">
        <x:is>
          <x:t xml:space="preserve"/>
        </x:is>
      </x:c>
      <x:c r="AT269" t="inlineStr">
        <x:is>
          <x:t xml:space="preserve">SUCCESS</x:t>
        </x:is>
      </x:c>
      <x:c r="AU269" t="n">
        <x:f>IF((COUNT('Quantification_Results'!AO269)=1),IFERROR(ROUND((SUM(('Quantification_Results'!AO269*'Quantification_Config'!$R$15))/SUM('Quantification_Config'!$R$15)),'Quantification_Config'!$U$2),""),"")</x:f>
        <x:v>50</x:v>
      </x:c>
      <x:c r="AV269" t="n">
        <x:f>IF((COUNT('Quantification_Results'!AU269)=1),IFERROR(ROUND((SUM(('Quantification_Results'!AU269*'Quantification_Config'!$R$14))/SUM('Quantification_Config'!$R$14)),'Quantification_Config'!$U$2),""),"")</x:f>
        <x:v>50</x:v>
      </x:c>
      <x:c r="AW269" t="n">
        <x:v>1</x:v>
      </x:c>
      <x:c r="AX269" t="n">
        <x:v>5</x:v>
      </x:c>
      <x:c r="AY269"/>
      <x:c r="AZ269" t="n">
        <x:f>IF(('Quantification_Results'!AW269&lt;&gt;1),"",IF(('Quantification_Results'!AY269=""),IF(ISNUMBER('Quantification_Results'!AX269),IF(('Quantification_Results'!AX269&lt;'Quantification_Config'!$S$19),"",IF(('Quantification_Results'!AX269&gt;'Quantification_Config'!$T$19),"",'Quantification_Results'!AX269)),""),IF(ISNUMBER('Quantification_Results'!AY269),IF(('Quantification_Results'!AY269&lt;'Quantification_Config'!$S$19),"",IF(('Quantification_Results'!AY269&gt;'Quantification_Config'!$T$19),"",'Quantification_Results'!AY269)),"")))</x:f>
        <x:v>5</x:v>
      </x:c>
      <x:c r="BA269" t="n">
        <x:f>IF(ISNUMBER('Quantification_Results'!AZ269),IFERROR(ROUND(((('Quantification_Results'!AZ269-'Quantification_Config'!$S$19)/('Quantification_Config'!$T$19-'Quantification_Config'!$S$19))*100),'Quantification_Config'!$U$2),""),"")</x:f>
        <x:v>50</x:v>
      </x:c>
      <x:c r="BB269" t="inlineStr">
        <x:is>
          <x:t xml:space="preserve">SYSTEM-TEST-ONLY-NO-NETWORK-NOT-AN-EDUCATIONAL-EVALUATION</x:t>
        </x:is>
      </x:c>
      <x:c r="BC269" t="inlineStr">
        <x:is>
          <x:t xml:space="preserve"/>
        </x:is>
      </x:c>
      <x:c r="BD269" t="inlineStr">
        <x:is>
          <x:t xml:space="preserve">NONE</x:t>
        </x:is>
      </x:c>
      <x:c r="BE269" t="inlineStr">
        <x:is>
          <x:t xml:space="preserve"/>
        </x:is>
      </x:c>
      <x:c r="BF269" t="inlineStr">
        <x:is>
          <x:t xml:space="preserve">SUCCESS</x:t>
        </x:is>
      </x:c>
      <x:c r="BG269" t="n">
        <x:f>IF((COUNT('Quantification_Results'!BA269)=1),IFERROR(ROUND((SUM(('Quantification_Results'!BA269*'Quantification_Config'!$R$19))/SUM('Quantification_Config'!$R$19)),'Quantification_Config'!$U$2),""),"")</x:f>
        <x:v>50</x:v>
      </x:c>
      <x:c r="BH269" t="n">
        <x:f>IF((COUNT('Quantification_Results'!BG269)=1),IFERROR(ROUND((SUM(('Quantification_Results'!BG269*'Quantification_Config'!$R$18))/SUM('Quantification_Config'!$R$18)),'Quantification_Config'!$U$2),""),"")</x:f>
        <x:v>50</x:v>
      </x:c>
      <x:c r="BI269">
        <x:f>IF((COUNT('Quantification_Results'!L269,'Quantification_Results'!X269,'Quantification_Results'!AJ269,'Quantification_Results'!AV269,'Quantification_Results'!BH269)=5),IFERROR(ROUND((SUM(('Quantification_Results'!L269*'Quantification_Config'!$R$4),('Quantification_Results'!X269*'Quantification_Config'!$R$7),('Quantification_Results'!AJ269*'Quantification_Config'!$R$10),('Quantification_Results'!AV269*'Quantification_Config'!$R$13),('Quantification_Results'!BH269*'Quantification_Config'!$R$16))/SUM('Quantification_Config'!$R$4,'Quantification_Config'!$R$7,'Quantification_Config'!$R$10,'Quantification_Config'!$R$13,'Quantification_Config'!$R$16)),'Quantification_Config'!$U$2),""),"")</x:f>
      </x:c>
    </x:row>
    <x:row r="270">
      <x:c r="A270" t="n">
        <x:v>1</x:v>
      </x:c>
      <x:c r="B270" t="n">
        <x:v>5</x:v>
      </x:c>
      <x:c r="C270"/>
      <x:c r="D270" t="n">
        <x:f>IF(('Quantification_Results'!A270&lt;&gt;1),"",IF(('Quantification_Results'!C270=""),IF(ISNUMBER('Quantification_Results'!B270),IF(('Quantification_Results'!B270&lt;'Quantification_Config'!$S$6),"",IF(('Quantification_Results'!B270&gt;'Quantification_Config'!$T$6),"",'Quantification_Results'!B270)),""),IF(ISNUMBER('Quantification_Results'!C270),IF(('Quantification_Results'!C270&lt;'Quantification_Config'!$S$6),"",IF(('Quantification_Results'!C270&gt;'Quantification_Config'!$T$6),"",'Quantification_Results'!C270)),"")))</x:f>
        <x:v>5</x:v>
      </x:c>
      <x:c r="E270" t="n">
        <x:f>IF(ISNUMBER('Quantification_Results'!D270),IFERROR(ROUND(((('Quantification_Results'!D270-'Quantification_Config'!$S$6)/('Quantification_Config'!$T$6-'Quantification_Config'!$S$6))*100),'Quantification_Config'!$U$2),""),"")</x:f>
        <x:v>50</x:v>
      </x:c>
      <x:c r="F270" t="inlineStr">
        <x:is>
          <x:t xml:space="preserve">SYSTEM-TEST-ONLY-NO-NETWORK-NOT-AN-EDUCATIONAL-EVALUATION</x:t>
        </x:is>
      </x:c>
      <x:c r="G270" t="inlineStr">
        <x:is>
          <x:t xml:space="preserve"/>
        </x:is>
      </x:c>
      <x:c r="H270" t="inlineStr">
        <x:is>
          <x:t xml:space="preserve">NONE</x:t>
        </x:is>
      </x:c>
      <x:c r="I270" t="inlineStr">
        <x:is>
          <x:t xml:space="preserve"/>
        </x:is>
      </x:c>
      <x:c r="J270" t="inlineStr">
        <x:is>
          <x:t xml:space="preserve">SUCCESS</x:t>
        </x:is>
      </x:c>
      <x:c r="K270" t="n">
        <x:f>IF((COUNT('Quantification_Results'!E270)=1),IFERROR(ROUND((SUM(('Quantification_Results'!E270*'Quantification_Config'!$R$6))/SUM('Quantification_Config'!$R$6)),'Quantification_Config'!$U$2),""),"")</x:f>
        <x:v>50</x:v>
      </x:c>
      <x:c r="L270" t="n">
        <x:f>IF((COUNT('Quantification_Results'!K270)=1),IFERROR(ROUND((SUM(('Quantification_Results'!K270*'Quantification_Config'!$R$5))/SUM('Quantification_Config'!$R$5)),'Quantification_Config'!$U$2),""),"")</x:f>
        <x:v>50</x:v>
      </x:c>
      <x:c r="M270" t="n">
        <x:v>1</x:v>
      </x:c>
      <x:c r="N270" t="n">
        <x:v>5</x:v>
      </x:c>
      <x:c r="O270"/>
      <x:c r="P270" t="n">
        <x:f>IF(('Quantification_Results'!M270&lt;&gt;1),"",IF(('Quantification_Results'!O270=""),IF(ISNUMBER('Quantification_Results'!N270),IF(('Quantification_Results'!N270&lt;'Quantification_Config'!$S$9),"",IF(('Quantification_Results'!N270&gt;'Quantification_Config'!$T$9),"",'Quantification_Results'!N270)),""),IF(ISNUMBER('Quantification_Results'!O270),IF(('Quantification_Results'!O270&lt;'Quantification_Config'!$S$9),"",IF(('Quantification_Results'!O270&gt;'Quantification_Config'!$T$9),"",'Quantification_Results'!O270)),"")))</x:f>
        <x:v>5</x:v>
      </x:c>
      <x:c r="Q270" t="n">
        <x:f>IF(ISNUMBER('Quantification_Results'!P270),IFERROR(ROUND(((('Quantification_Results'!P270-'Quantification_Config'!$S$9)/('Quantification_Config'!$T$9-'Quantification_Config'!$S$9))*100),'Quantification_Config'!$U$2),""),"")</x:f>
        <x:v>50</x:v>
      </x:c>
      <x:c r="R270" t="inlineStr">
        <x:is>
          <x:t xml:space="preserve">SYSTEM-TEST-ONLY-NO-NETWORK-NOT-AN-EDUCATIONAL-EVALUATION</x:t>
        </x:is>
      </x:c>
      <x:c r="S270" t="inlineStr">
        <x:is>
          <x:t xml:space="preserve"/>
        </x:is>
      </x:c>
      <x:c r="T270" t="inlineStr">
        <x:is>
          <x:t xml:space="preserve">NONE</x:t>
        </x:is>
      </x:c>
      <x:c r="U270" t="inlineStr">
        <x:is>
          <x:t xml:space="preserve"/>
        </x:is>
      </x:c>
      <x:c r="V270" t="inlineStr">
        <x:is>
          <x:t xml:space="preserve">SUCCESS</x:t>
        </x:is>
      </x:c>
      <x:c r="W270" t="n">
        <x:f>IF((COUNT('Quantification_Results'!Q270)=1),IFERROR(ROUND((SUM(('Quantification_Results'!Q270*'Quantification_Config'!$R$9))/SUM('Quantification_Config'!$R$9)),'Quantification_Config'!$U$2),""),"")</x:f>
        <x:v>50</x:v>
      </x:c>
      <x:c r="X270" t="n">
        <x:f>IF((COUNT('Quantification_Results'!W270)=1),IFERROR(ROUND((SUM(('Quantification_Results'!W270*'Quantification_Config'!$R$8))/SUM('Quantification_Config'!$R$8)),'Quantification_Config'!$U$2),""),"")</x:f>
        <x:v>50</x:v>
      </x:c>
      <x:c r="Y270" t="n">
        <x:v>1</x:v>
      </x:c>
      <x:c r="Z270" t="n">
        <x:v>5</x:v>
      </x:c>
      <x:c r="AA270"/>
      <x:c r="AB270" t="n">
        <x:f>IF(('Quantification_Results'!Y270&lt;&gt;1),"",IF(('Quantification_Results'!AA270=""),IF(ISNUMBER('Quantification_Results'!Z270),IF(('Quantification_Results'!Z270&lt;'Quantification_Config'!$S$12),"",IF(('Quantification_Results'!Z270&gt;'Quantification_Config'!$T$12),"",'Quantification_Results'!Z270)),""),IF(ISNUMBER('Quantification_Results'!AA270),IF(('Quantification_Results'!AA270&lt;'Quantification_Config'!$S$12),"",IF(('Quantification_Results'!AA270&gt;'Quantification_Config'!$T$12),"",'Quantification_Results'!AA270)),"")))</x:f>
        <x:v>5</x:v>
      </x:c>
      <x:c r="AC270" t="n">
        <x:f>IF(ISNUMBER('Quantification_Results'!AB270),IFERROR(ROUND(((('Quantification_Results'!AB270-'Quantification_Config'!$S$12)/('Quantification_Config'!$T$12-'Quantification_Config'!$S$12))*100),'Quantification_Config'!$U$2),""),"")</x:f>
        <x:v>50</x:v>
      </x:c>
      <x:c r="AD270" t="inlineStr">
        <x:is>
          <x:t xml:space="preserve">SYSTEM-TEST-ONLY-NO-NETWORK-NOT-AN-EDUCATIONAL-EVALUATION</x:t>
        </x:is>
      </x:c>
      <x:c r="AE270" t="inlineStr">
        <x:is>
          <x:t xml:space="preserve"/>
        </x:is>
      </x:c>
      <x:c r="AF270" t="inlineStr">
        <x:is>
          <x:t xml:space="preserve">NONE</x:t>
        </x:is>
      </x:c>
      <x:c r="AG270" t="inlineStr">
        <x:is>
          <x:t xml:space="preserve"/>
        </x:is>
      </x:c>
      <x:c r="AH270" t="inlineStr">
        <x:is>
          <x:t xml:space="preserve">SUCCESS</x:t>
        </x:is>
      </x:c>
      <x:c r="AI270" t="n">
        <x:f>IF((COUNT('Quantification_Results'!AC270)=1),IFERROR(ROUND((SUM(('Quantification_Results'!AC270*'Quantification_Config'!$R$12))/SUM('Quantification_Config'!$R$12)),'Quantification_Config'!$U$2),""),"")</x:f>
        <x:v>50</x:v>
      </x:c>
      <x:c r="AJ270" t="n">
        <x:f>IF((COUNT('Quantification_Results'!AI270)=1),IFERROR(ROUND((SUM(('Quantification_Results'!AI270*'Quantification_Config'!$R$11))/SUM('Quantification_Config'!$R$11)),'Quantification_Config'!$U$2),""),"")</x:f>
        <x:v>50</x:v>
      </x:c>
      <x:c r="AK270" t="n">
        <x:v>1</x:v>
      </x:c>
      <x:c r="AL270" t="n">
        <x:v>5</x:v>
      </x:c>
      <x:c r="AM270"/>
      <x:c r="AN270" t="n">
        <x:f>IF(('Quantification_Results'!AK270&lt;&gt;1),"",IF(('Quantification_Results'!AM270=""),IF(ISNUMBER('Quantification_Results'!AL270),IF(('Quantification_Results'!AL270&lt;'Quantification_Config'!$S$15),"",IF(('Quantification_Results'!AL270&gt;'Quantification_Config'!$T$15),"",'Quantification_Results'!AL270)),""),IF(ISNUMBER('Quantification_Results'!AM270),IF(('Quantification_Results'!AM270&lt;'Quantification_Config'!$S$15),"",IF(('Quantification_Results'!AM270&gt;'Quantification_Config'!$T$15),"",'Quantification_Results'!AM270)),"")))</x:f>
        <x:v>5</x:v>
      </x:c>
      <x:c r="AO270" t="n">
        <x:f>IF(ISNUMBER('Quantification_Results'!AN270),IFERROR(ROUND(((('Quantification_Results'!AN270-'Quantification_Config'!$S$15)/('Quantification_Config'!$T$15-'Quantification_Config'!$S$15))*100),'Quantification_Config'!$U$2),""),"")</x:f>
        <x:v>50</x:v>
      </x:c>
      <x:c r="AP270" t="inlineStr">
        <x:is>
          <x:t xml:space="preserve">SYSTEM-TEST-ONLY-NO-NETWORK-NOT-AN-EDUCATIONAL-EVALUATION</x:t>
        </x:is>
      </x:c>
      <x:c r="AQ270" t="inlineStr">
        <x:is>
          <x:t xml:space="preserve"/>
        </x:is>
      </x:c>
      <x:c r="AR270" t="inlineStr">
        <x:is>
          <x:t xml:space="preserve">NONE</x:t>
        </x:is>
      </x:c>
      <x:c r="AS270" t="inlineStr">
        <x:is>
          <x:t xml:space="preserve"/>
        </x:is>
      </x:c>
      <x:c r="AT270" t="inlineStr">
        <x:is>
          <x:t xml:space="preserve">SUCCESS</x:t>
        </x:is>
      </x:c>
      <x:c r="AU270" t="n">
        <x:f>IF((COUNT('Quantification_Results'!AO270)=1),IFERROR(ROUND((SUM(('Quantification_Results'!AO270*'Quantification_Config'!$R$15))/SUM('Quantification_Config'!$R$15)),'Quantification_Config'!$U$2),""),"")</x:f>
        <x:v>50</x:v>
      </x:c>
      <x:c r="AV270" t="n">
        <x:f>IF((COUNT('Quantification_Results'!AU270)=1),IFERROR(ROUND((SUM(('Quantification_Results'!AU270*'Quantification_Config'!$R$14))/SUM('Quantification_Config'!$R$14)),'Quantification_Config'!$U$2),""),"")</x:f>
        <x:v>50</x:v>
      </x:c>
      <x:c r="AW270" t="n">
        <x:v>1</x:v>
      </x:c>
      <x:c r="AX270" t="n">
        <x:v>5</x:v>
      </x:c>
      <x:c r="AY270"/>
      <x:c r="AZ270" t="n">
        <x:f>IF(('Quantification_Results'!AW270&lt;&gt;1),"",IF(('Quantification_Results'!AY270=""),IF(ISNUMBER('Quantification_Results'!AX270),IF(('Quantification_Results'!AX270&lt;'Quantification_Config'!$S$19),"",IF(('Quantification_Results'!AX270&gt;'Quantification_Config'!$T$19),"",'Quantification_Results'!AX270)),""),IF(ISNUMBER('Quantification_Results'!AY270),IF(('Quantification_Results'!AY270&lt;'Quantification_Config'!$S$19),"",IF(('Quantification_Results'!AY270&gt;'Quantification_Config'!$T$19),"",'Quantification_Results'!AY270)),"")))</x:f>
        <x:v>5</x:v>
      </x:c>
      <x:c r="BA270" t="n">
        <x:f>IF(ISNUMBER('Quantification_Results'!AZ270),IFERROR(ROUND(((('Quantification_Results'!AZ270-'Quantification_Config'!$S$19)/('Quantification_Config'!$T$19-'Quantification_Config'!$S$19))*100),'Quantification_Config'!$U$2),""),"")</x:f>
        <x:v>50</x:v>
      </x:c>
      <x:c r="BB270" t="inlineStr">
        <x:is>
          <x:t xml:space="preserve">SYSTEM-TEST-ONLY-NO-NETWORK-NOT-AN-EDUCATIONAL-EVALUATION</x:t>
        </x:is>
      </x:c>
      <x:c r="BC270" t="inlineStr">
        <x:is>
          <x:t xml:space="preserve"/>
        </x:is>
      </x:c>
      <x:c r="BD270" t="inlineStr">
        <x:is>
          <x:t xml:space="preserve">NONE</x:t>
        </x:is>
      </x:c>
      <x:c r="BE270" t="inlineStr">
        <x:is>
          <x:t xml:space="preserve"/>
        </x:is>
      </x:c>
      <x:c r="BF270" t="inlineStr">
        <x:is>
          <x:t xml:space="preserve">SUCCESS</x:t>
        </x:is>
      </x:c>
      <x:c r="BG270" t="n">
        <x:f>IF((COUNT('Quantification_Results'!BA270)=1),IFERROR(ROUND((SUM(('Quantification_Results'!BA270*'Quantification_Config'!$R$19))/SUM('Quantification_Config'!$R$19)),'Quantification_Config'!$U$2),""),"")</x:f>
        <x:v>50</x:v>
      </x:c>
      <x:c r="BH270" t="n">
        <x:f>IF((COUNT('Quantification_Results'!BG270)=1),IFERROR(ROUND((SUM(('Quantification_Results'!BG270*'Quantification_Config'!$R$18))/SUM('Quantification_Config'!$R$18)),'Quantification_Config'!$U$2),""),"")</x:f>
        <x:v>50</x:v>
      </x:c>
      <x:c r="BI270" t="n">
        <x:f>IF((COUNT('Quantification_Results'!L270,'Quantification_Results'!X270,'Quantification_Results'!AJ270,'Quantification_Results'!AV270,'Quantification_Results'!BH270)=5),IFERROR(ROUND((SUM(('Quantification_Results'!L270*'Quantification_Config'!$R$4),('Quantification_Results'!X270*'Quantification_Config'!$R$7),('Quantification_Results'!AJ270*'Quantification_Config'!$R$10),('Quantification_Results'!AV270*'Quantification_Config'!$R$13),('Quantification_Results'!BH270*'Quantification_Config'!$R$16))/SUM('Quantification_Config'!$R$4,'Quantification_Config'!$R$7,'Quantification_Config'!$R$10,'Quantification_Config'!$R$13,'Quantification_Config'!$R$16)),'Quantification_Config'!$U$2),""),"")</x:f>
        <x:v>50</x:v>
      </x:c>
    </x:row>
    <x:row r="271">
      <x:c r="A271" t="n">
        <x:v>1</x:v>
      </x:c>
      <x:c r="B271" t="n">
        <x:v>5</x:v>
      </x:c>
      <x:c r="C271"/>
      <x:c r="D271" t="n">
        <x:f>IF(('Quantification_Results'!A271&lt;&gt;1),"",IF(('Quantification_Results'!C271=""),IF(ISNUMBER('Quantification_Results'!B271),IF(('Quantification_Results'!B271&lt;'Quantification_Config'!$S$6),"",IF(('Quantification_Results'!B271&gt;'Quantification_Config'!$T$6),"",'Quantification_Results'!B271)),""),IF(ISNUMBER('Quantification_Results'!C271),IF(('Quantification_Results'!C271&lt;'Quantification_Config'!$S$6),"",IF(('Quantification_Results'!C271&gt;'Quantification_Config'!$T$6),"",'Quantification_Results'!C271)),"")))</x:f>
        <x:v>5</x:v>
      </x:c>
      <x:c r="E271" t="n">
        <x:f>IF(ISNUMBER('Quantification_Results'!D271),IFERROR(ROUND(((('Quantification_Results'!D271-'Quantification_Config'!$S$6)/('Quantification_Config'!$T$6-'Quantification_Config'!$S$6))*100),'Quantification_Config'!$U$2),""),"")</x:f>
        <x:v>50</x:v>
      </x:c>
      <x:c r="F271" t="inlineStr">
        <x:is>
          <x:t xml:space="preserve">SYSTEM-TEST-ONLY-NO-NETWORK-NOT-AN-EDUCATIONAL-EVALUATION</x:t>
        </x:is>
      </x:c>
      <x:c r="G271" t="inlineStr">
        <x:is>
          <x:t xml:space="preserve"/>
        </x:is>
      </x:c>
      <x:c r="H271" t="inlineStr">
        <x:is>
          <x:t xml:space="preserve">NONE</x:t>
        </x:is>
      </x:c>
      <x:c r="I271" t="inlineStr">
        <x:is>
          <x:t xml:space="preserve"/>
        </x:is>
      </x:c>
      <x:c r="J271" t="inlineStr">
        <x:is>
          <x:t xml:space="preserve">SUCCESS</x:t>
        </x:is>
      </x:c>
      <x:c r="K271" t="n">
        <x:f>IF((COUNT('Quantification_Results'!E271)=1),IFERROR(ROUND((SUM(('Quantification_Results'!E271*'Quantification_Config'!$R$6))/SUM('Quantification_Config'!$R$6)),'Quantification_Config'!$U$2),""),"")</x:f>
        <x:v>50</x:v>
      </x:c>
      <x:c r="L271" t="n">
        <x:f>IF((COUNT('Quantification_Results'!K271)=1),IFERROR(ROUND((SUM(('Quantification_Results'!K271*'Quantification_Config'!$R$5))/SUM('Quantification_Config'!$R$5)),'Quantification_Config'!$U$2),""),"")</x:f>
        <x:v>50</x:v>
      </x:c>
      <x:c r="M271" t="n">
        <x:v>1</x:v>
      </x:c>
      <x:c r="N271" t="n">
        <x:v>5</x:v>
      </x:c>
      <x:c r="O271"/>
      <x:c r="P271" t="n">
        <x:f>IF(('Quantification_Results'!M271&lt;&gt;1),"",IF(('Quantification_Results'!O271=""),IF(ISNUMBER('Quantification_Results'!N271),IF(('Quantification_Results'!N271&lt;'Quantification_Config'!$S$9),"",IF(('Quantification_Results'!N271&gt;'Quantification_Config'!$T$9),"",'Quantification_Results'!N271)),""),IF(ISNUMBER('Quantification_Results'!O271),IF(('Quantification_Results'!O271&lt;'Quantification_Config'!$S$9),"",IF(('Quantification_Results'!O271&gt;'Quantification_Config'!$T$9),"",'Quantification_Results'!O271)),"")))</x:f>
        <x:v>5</x:v>
      </x:c>
      <x:c r="Q271" t="n">
        <x:f>IF(ISNUMBER('Quantification_Results'!P271),IFERROR(ROUND(((('Quantification_Results'!P271-'Quantification_Config'!$S$9)/('Quantification_Config'!$T$9-'Quantification_Config'!$S$9))*100),'Quantification_Config'!$U$2),""),"")</x:f>
        <x:v>50</x:v>
      </x:c>
      <x:c r="R271" t="inlineStr">
        <x:is>
          <x:t xml:space="preserve">SYSTEM-TEST-ONLY-NO-NETWORK-NOT-AN-EDUCATIONAL-EVALUATION</x:t>
        </x:is>
      </x:c>
      <x:c r="S271" t="inlineStr">
        <x:is>
          <x:t xml:space="preserve"/>
        </x:is>
      </x:c>
      <x:c r="T271" t="inlineStr">
        <x:is>
          <x:t xml:space="preserve">NONE</x:t>
        </x:is>
      </x:c>
      <x:c r="U271" t="inlineStr">
        <x:is>
          <x:t xml:space="preserve"/>
        </x:is>
      </x:c>
      <x:c r="V271" t="inlineStr">
        <x:is>
          <x:t xml:space="preserve">SUCCESS</x:t>
        </x:is>
      </x:c>
      <x:c r="W271" t="n">
        <x:f>IF((COUNT('Quantification_Results'!Q271)=1),IFERROR(ROUND((SUM(('Quantification_Results'!Q271*'Quantification_Config'!$R$9))/SUM('Quantification_Config'!$R$9)),'Quantification_Config'!$U$2),""),"")</x:f>
        <x:v>50</x:v>
      </x:c>
      <x:c r="X271" t="n">
        <x:f>IF((COUNT('Quantification_Results'!W271)=1),IFERROR(ROUND((SUM(('Quantification_Results'!W271*'Quantification_Config'!$R$8))/SUM('Quantification_Config'!$R$8)),'Quantification_Config'!$U$2),""),"")</x:f>
        <x:v>50</x:v>
      </x:c>
      <x:c r="Y271" t="n">
        <x:v>0</x:v>
      </x:c>
      <x:c r="Z271"/>
      <x:c r="AA271"/>
      <x:c r="AB271">
        <x:f>IF(('Quantification_Results'!Y271&lt;&gt;1),"",IF(('Quantification_Results'!AA271=""),IF(ISNUMBER('Quantification_Results'!Z271),IF(('Quantification_Results'!Z271&lt;'Quantification_Config'!$S$12),"",IF(('Quantification_Results'!Z271&gt;'Quantification_Config'!$T$12),"",'Quantification_Results'!Z271)),""),IF(ISNUMBER('Quantification_Results'!AA271),IF(('Quantification_Results'!AA271&lt;'Quantification_Config'!$S$12),"",IF(('Quantification_Results'!AA271&gt;'Quantification_Config'!$T$12),"",'Quantification_Results'!AA271)),"")))</x:f>
      </x:c>
      <x:c r="AC271">
        <x:f>IF(ISNUMBER('Quantification_Results'!AB271),IFERROR(ROUND(((('Quantification_Results'!AB271-'Quantification_Config'!$S$12)/('Quantification_Config'!$T$12-'Quantification_Config'!$S$12))*100),'Quantification_Config'!$U$2),""),"")</x:f>
      </x:c>
      <x:c r="AD271" t="inlineStr">
        <x:is>
          <x:t xml:space="preserve"/>
        </x:is>
      </x:c>
      <x:c r="AE271" t="inlineStr">
        <x:is>
          <x:t xml:space="preserve"/>
        </x:is>
      </x:c>
      <x:c r="AF271" t="inlineStr">
        <x:is>
          <x:t xml:space="preserve"/>
        </x:is>
      </x:c>
      <x:c r="AG271" t="inlineStr">
        <x:is>
          <x:t xml:space="preserve"/>
        </x:is>
      </x:c>
      <x:c r="AH271" t="inlineStr">
        <x:is>
          <x:t xml:space="preserve">EMPTY</x:t>
        </x:is>
      </x:c>
      <x:c r="AI271">
        <x:f>IF((COUNT('Quantification_Results'!AC271)=1),IFERROR(ROUND((SUM(('Quantification_Results'!AC271*'Quantification_Config'!$R$12))/SUM('Quantification_Config'!$R$12)),'Quantification_Config'!$U$2),""),"")</x:f>
      </x:c>
      <x:c r="AJ271">
        <x:f>IF((COUNT('Quantification_Results'!AI271)=1),IFERROR(ROUND((SUM(('Quantification_Results'!AI271*'Quantification_Config'!$R$11))/SUM('Quantification_Config'!$R$11)),'Quantification_Config'!$U$2),""),"")</x:f>
      </x:c>
      <x:c r="AK271" t="n">
        <x:v>1</x:v>
      </x:c>
      <x:c r="AL271" t="n">
        <x:v>5</x:v>
      </x:c>
      <x:c r="AM271"/>
      <x:c r="AN271" t="n">
        <x:f>IF(('Quantification_Results'!AK271&lt;&gt;1),"",IF(('Quantification_Results'!AM271=""),IF(ISNUMBER('Quantification_Results'!AL271),IF(('Quantification_Results'!AL271&lt;'Quantification_Config'!$S$15),"",IF(('Quantification_Results'!AL271&gt;'Quantification_Config'!$T$15),"",'Quantification_Results'!AL271)),""),IF(ISNUMBER('Quantification_Results'!AM271),IF(('Quantification_Results'!AM271&lt;'Quantification_Config'!$S$15),"",IF(('Quantification_Results'!AM271&gt;'Quantification_Config'!$T$15),"",'Quantification_Results'!AM271)),"")))</x:f>
        <x:v>5</x:v>
      </x:c>
      <x:c r="AO271" t="n">
        <x:f>IF(ISNUMBER('Quantification_Results'!AN271),IFERROR(ROUND(((('Quantification_Results'!AN271-'Quantification_Config'!$S$15)/('Quantification_Config'!$T$15-'Quantification_Config'!$S$15))*100),'Quantification_Config'!$U$2),""),"")</x:f>
        <x:v>50</x:v>
      </x:c>
      <x:c r="AP271" t="inlineStr">
        <x:is>
          <x:t xml:space="preserve">SYSTEM-TEST-ONLY-NO-NETWORK-NOT-AN-EDUCATIONAL-EVALUATION</x:t>
        </x:is>
      </x:c>
      <x:c r="AQ271" t="inlineStr">
        <x:is>
          <x:t xml:space="preserve"/>
        </x:is>
      </x:c>
      <x:c r="AR271" t="inlineStr">
        <x:is>
          <x:t xml:space="preserve">NONE</x:t>
        </x:is>
      </x:c>
      <x:c r="AS271" t="inlineStr">
        <x:is>
          <x:t xml:space="preserve"/>
        </x:is>
      </x:c>
      <x:c r="AT271" t="inlineStr">
        <x:is>
          <x:t xml:space="preserve">SUCCESS</x:t>
        </x:is>
      </x:c>
      <x:c r="AU271" t="n">
        <x:f>IF((COUNT('Quantification_Results'!AO271)=1),IFERROR(ROUND((SUM(('Quantification_Results'!AO271*'Quantification_Config'!$R$15))/SUM('Quantification_Config'!$R$15)),'Quantification_Config'!$U$2),""),"")</x:f>
        <x:v>50</x:v>
      </x:c>
      <x:c r="AV271" t="n">
        <x:f>IF((COUNT('Quantification_Results'!AU271)=1),IFERROR(ROUND((SUM(('Quantification_Results'!AU271*'Quantification_Config'!$R$14))/SUM('Quantification_Config'!$R$14)),'Quantification_Config'!$U$2),""),"")</x:f>
        <x:v>50</x:v>
      </x:c>
      <x:c r="AW271" t="n">
        <x:v>1</x:v>
      </x:c>
      <x:c r="AX271" t="n">
        <x:v>5</x:v>
      </x:c>
      <x:c r="AY271"/>
      <x:c r="AZ271" t="n">
        <x:f>IF(('Quantification_Results'!AW271&lt;&gt;1),"",IF(('Quantification_Results'!AY271=""),IF(ISNUMBER('Quantification_Results'!AX271),IF(('Quantification_Results'!AX271&lt;'Quantification_Config'!$S$19),"",IF(('Quantification_Results'!AX271&gt;'Quantification_Config'!$T$19),"",'Quantification_Results'!AX271)),""),IF(ISNUMBER('Quantification_Results'!AY271),IF(('Quantification_Results'!AY271&lt;'Quantification_Config'!$S$19),"",IF(('Quantification_Results'!AY271&gt;'Quantification_Config'!$T$19),"",'Quantification_Results'!AY271)),"")))</x:f>
        <x:v>5</x:v>
      </x:c>
      <x:c r="BA271" t="n">
        <x:f>IF(ISNUMBER('Quantification_Results'!AZ271),IFERROR(ROUND(((('Quantification_Results'!AZ271-'Quantification_Config'!$S$19)/('Quantification_Config'!$T$19-'Quantification_Config'!$S$19))*100),'Quantification_Config'!$U$2),""),"")</x:f>
        <x:v>50</x:v>
      </x:c>
      <x:c r="BB271" t="inlineStr">
        <x:is>
          <x:t xml:space="preserve">SYSTEM-TEST-ONLY-NO-NETWORK-NOT-AN-EDUCATIONAL-EVALUATION</x:t>
        </x:is>
      </x:c>
      <x:c r="BC271" t="inlineStr">
        <x:is>
          <x:t xml:space="preserve"/>
        </x:is>
      </x:c>
      <x:c r="BD271" t="inlineStr">
        <x:is>
          <x:t xml:space="preserve">NONE</x:t>
        </x:is>
      </x:c>
      <x:c r="BE271" t="inlineStr">
        <x:is>
          <x:t xml:space="preserve"/>
        </x:is>
      </x:c>
      <x:c r="BF271" t="inlineStr">
        <x:is>
          <x:t xml:space="preserve">SUCCESS</x:t>
        </x:is>
      </x:c>
      <x:c r="BG271" t="n">
        <x:f>IF((COUNT('Quantification_Results'!BA271)=1),IFERROR(ROUND((SUM(('Quantification_Results'!BA271*'Quantification_Config'!$R$19))/SUM('Quantification_Config'!$R$19)),'Quantification_Config'!$U$2),""),"")</x:f>
        <x:v>50</x:v>
      </x:c>
      <x:c r="BH271" t="n">
        <x:f>IF((COUNT('Quantification_Results'!BG271)=1),IFERROR(ROUND((SUM(('Quantification_Results'!BG271*'Quantification_Config'!$R$18))/SUM('Quantification_Config'!$R$18)),'Quantification_Config'!$U$2),""),"")</x:f>
        <x:v>50</x:v>
      </x:c>
      <x:c r="BI271">
        <x:f>IF((COUNT('Quantification_Results'!L271,'Quantification_Results'!X271,'Quantification_Results'!AJ271,'Quantification_Results'!AV271,'Quantification_Results'!BH271)=5),IFERROR(ROUND((SUM(('Quantification_Results'!L271*'Quantification_Config'!$R$4),('Quantification_Results'!X271*'Quantification_Config'!$R$7),('Quantification_Results'!AJ271*'Quantification_Config'!$R$10),('Quantification_Results'!AV271*'Quantification_Config'!$R$13),('Quantification_Results'!BH271*'Quantification_Config'!$R$16))/SUM('Quantification_Config'!$R$4,'Quantification_Config'!$R$7,'Quantification_Config'!$R$10,'Quantification_Config'!$R$13,'Quantification_Config'!$R$16)),'Quantification_Config'!$U$2),""),"")</x:f>
      </x:c>
    </x:row>
    <x:row r="272">
      <x:c r="A272" t="n">
        <x:v>1</x:v>
      </x:c>
      <x:c r="B272" t="n">
        <x:v>5</x:v>
      </x:c>
      <x:c r="C272"/>
      <x:c r="D272" t="n">
        <x:f>IF(('Quantification_Results'!A272&lt;&gt;1),"",IF(('Quantification_Results'!C272=""),IF(ISNUMBER('Quantification_Results'!B272),IF(('Quantification_Results'!B272&lt;'Quantification_Config'!$S$6),"",IF(('Quantification_Results'!B272&gt;'Quantification_Config'!$T$6),"",'Quantification_Results'!B272)),""),IF(ISNUMBER('Quantification_Results'!C272),IF(('Quantification_Results'!C272&lt;'Quantification_Config'!$S$6),"",IF(('Quantification_Results'!C272&gt;'Quantification_Config'!$T$6),"",'Quantification_Results'!C272)),"")))</x:f>
        <x:v>5</x:v>
      </x:c>
      <x:c r="E272" t="n">
        <x:f>IF(ISNUMBER('Quantification_Results'!D272),IFERROR(ROUND(((('Quantification_Results'!D272-'Quantification_Config'!$S$6)/('Quantification_Config'!$T$6-'Quantification_Config'!$S$6))*100),'Quantification_Config'!$U$2),""),"")</x:f>
        <x:v>50</x:v>
      </x:c>
      <x:c r="F272" t="inlineStr">
        <x:is>
          <x:t xml:space="preserve">SYSTEM-TEST-ONLY-NO-NETWORK-NOT-AN-EDUCATIONAL-EVALUATION</x:t>
        </x:is>
      </x:c>
      <x:c r="G272" t="inlineStr">
        <x:is>
          <x:t xml:space="preserve"/>
        </x:is>
      </x:c>
      <x:c r="H272" t="inlineStr">
        <x:is>
          <x:t xml:space="preserve">NONE</x:t>
        </x:is>
      </x:c>
      <x:c r="I272" t="inlineStr">
        <x:is>
          <x:t xml:space="preserve"/>
        </x:is>
      </x:c>
      <x:c r="J272" t="inlineStr">
        <x:is>
          <x:t xml:space="preserve">SUCCESS</x:t>
        </x:is>
      </x:c>
      <x:c r="K272" t="n">
        <x:f>IF((COUNT('Quantification_Results'!E272)=1),IFERROR(ROUND((SUM(('Quantification_Results'!E272*'Quantification_Config'!$R$6))/SUM('Quantification_Config'!$R$6)),'Quantification_Config'!$U$2),""),"")</x:f>
        <x:v>50</x:v>
      </x:c>
      <x:c r="L272" t="n">
        <x:f>IF((COUNT('Quantification_Results'!K272)=1),IFERROR(ROUND((SUM(('Quantification_Results'!K272*'Quantification_Config'!$R$5))/SUM('Quantification_Config'!$R$5)),'Quantification_Config'!$U$2),""),"")</x:f>
        <x:v>50</x:v>
      </x:c>
      <x:c r="M272" t="n">
        <x:v>1</x:v>
      </x:c>
      <x:c r="N272" t="n">
        <x:v>5</x:v>
      </x:c>
      <x:c r="O272"/>
      <x:c r="P272" t="n">
        <x:f>IF(('Quantification_Results'!M272&lt;&gt;1),"",IF(('Quantification_Results'!O272=""),IF(ISNUMBER('Quantification_Results'!N272),IF(('Quantification_Results'!N272&lt;'Quantification_Config'!$S$9),"",IF(('Quantification_Results'!N272&gt;'Quantification_Config'!$T$9),"",'Quantification_Results'!N272)),""),IF(ISNUMBER('Quantification_Results'!O272),IF(('Quantification_Results'!O272&lt;'Quantification_Config'!$S$9),"",IF(('Quantification_Results'!O272&gt;'Quantification_Config'!$T$9),"",'Quantification_Results'!O272)),"")))</x:f>
        <x:v>5</x:v>
      </x:c>
      <x:c r="Q272" t="n">
        <x:f>IF(ISNUMBER('Quantification_Results'!P272),IFERROR(ROUND(((('Quantification_Results'!P272-'Quantification_Config'!$S$9)/('Quantification_Config'!$T$9-'Quantification_Config'!$S$9))*100),'Quantification_Config'!$U$2),""),"")</x:f>
        <x:v>50</x:v>
      </x:c>
      <x:c r="R272" t="inlineStr">
        <x:is>
          <x:t xml:space="preserve">SYSTEM-TEST-ONLY-NO-NETWORK-NOT-AN-EDUCATIONAL-EVALUATION</x:t>
        </x:is>
      </x:c>
      <x:c r="S272" t="inlineStr">
        <x:is>
          <x:t xml:space="preserve"/>
        </x:is>
      </x:c>
      <x:c r="T272" t="inlineStr">
        <x:is>
          <x:t xml:space="preserve">NONE</x:t>
        </x:is>
      </x:c>
      <x:c r="U272" t="inlineStr">
        <x:is>
          <x:t xml:space="preserve"/>
        </x:is>
      </x:c>
      <x:c r="V272" t="inlineStr">
        <x:is>
          <x:t xml:space="preserve">SUCCESS</x:t>
        </x:is>
      </x:c>
      <x:c r="W272" t="n">
        <x:f>IF((COUNT('Quantification_Results'!Q272)=1),IFERROR(ROUND((SUM(('Quantification_Results'!Q272*'Quantification_Config'!$R$9))/SUM('Quantification_Config'!$R$9)),'Quantification_Config'!$U$2),""),"")</x:f>
        <x:v>50</x:v>
      </x:c>
      <x:c r="X272" t="n">
        <x:f>IF((COUNT('Quantification_Results'!W272)=1),IFERROR(ROUND((SUM(('Quantification_Results'!W272*'Quantification_Config'!$R$8))/SUM('Quantification_Config'!$R$8)),'Quantification_Config'!$U$2),""),"")</x:f>
        <x:v>50</x:v>
      </x:c>
      <x:c r="Y272" t="n">
        <x:v>1</x:v>
      </x:c>
      <x:c r="Z272" t="n">
        <x:v>5</x:v>
      </x:c>
      <x:c r="AA272"/>
      <x:c r="AB272" t="n">
        <x:f>IF(('Quantification_Results'!Y272&lt;&gt;1),"",IF(('Quantification_Results'!AA272=""),IF(ISNUMBER('Quantification_Results'!Z272),IF(('Quantification_Results'!Z272&lt;'Quantification_Config'!$S$12),"",IF(('Quantification_Results'!Z272&gt;'Quantification_Config'!$T$12),"",'Quantification_Results'!Z272)),""),IF(ISNUMBER('Quantification_Results'!AA272),IF(('Quantification_Results'!AA272&lt;'Quantification_Config'!$S$12),"",IF(('Quantification_Results'!AA272&gt;'Quantification_Config'!$T$12),"",'Quantification_Results'!AA272)),"")))</x:f>
        <x:v>5</x:v>
      </x:c>
      <x:c r="AC272" t="n">
        <x:f>IF(ISNUMBER('Quantification_Results'!AB272),IFERROR(ROUND(((('Quantification_Results'!AB272-'Quantification_Config'!$S$12)/('Quantification_Config'!$T$12-'Quantification_Config'!$S$12))*100),'Quantification_Config'!$U$2),""),"")</x:f>
        <x:v>50</x:v>
      </x:c>
      <x:c r="AD272" t="inlineStr">
        <x:is>
          <x:t xml:space="preserve">SYSTEM-TEST-ONLY-NO-NETWORK-NOT-AN-EDUCATIONAL-EVALUATION</x:t>
        </x:is>
      </x:c>
      <x:c r="AE272" t="inlineStr">
        <x:is>
          <x:t xml:space="preserve"/>
        </x:is>
      </x:c>
      <x:c r="AF272" t="inlineStr">
        <x:is>
          <x:t xml:space="preserve">NONE</x:t>
        </x:is>
      </x:c>
      <x:c r="AG272" t="inlineStr">
        <x:is>
          <x:t xml:space="preserve"/>
        </x:is>
      </x:c>
      <x:c r="AH272" t="inlineStr">
        <x:is>
          <x:t xml:space="preserve">SUCCESS</x:t>
        </x:is>
      </x:c>
      <x:c r="AI272" t="n">
        <x:f>IF((COUNT('Quantification_Results'!AC272)=1),IFERROR(ROUND((SUM(('Quantification_Results'!AC272*'Quantification_Config'!$R$12))/SUM('Quantification_Config'!$R$12)),'Quantification_Config'!$U$2),""),"")</x:f>
        <x:v>50</x:v>
      </x:c>
      <x:c r="AJ272" t="n">
        <x:f>IF((COUNT('Quantification_Results'!AI272)=1),IFERROR(ROUND((SUM(('Quantification_Results'!AI272*'Quantification_Config'!$R$11))/SUM('Quantification_Config'!$R$11)),'Quantification_Config'!$U$2),""),"")</x:f>
        <x:v>50</x:v>
      </x:c>
      <x:c r="AK272" t="n">
        <x:v>1</x:v>
      </x:c>
      <x:c r="AL272" t="n">
        <x:v>5</x:v>
      </x:c>
      <x:c r="AM272"/>
      <x:c r="AN272" t="n">
        <x:f>IF(('Quantification_Results'!AK272&lt;&gt;1),"",IF(('Quantification_Results'!AM272=""),IF(ISNUMBER('Quantification_Results'!AL272),IF(('Quantification_Results'!AL272&lt;'Quantification_Config'!$S$15),"",IF(('Quantification_Results'!AL272&gt;'Quantification_Config'!$T$15),"",'Quantification_Results'!AL272)),""),IF(ISNUMBER('Quantification_Results'!AM272),IF(('Quantification_Results'!AM272&lt;'Quantification_Config'!$S$15),"",IF(('Quantification_Results'!AM272&gt;'Quantification_Config'!$T$15),"",'Quantification_Results'!AM272)),"")))</x:f>
        <x:v>5</x:v>
      </x:c>
      <x:c r="AO272" t="n">
        <x:f>IF(ISNUMBER('Quantification_Results'!AN272),IFERROR(ROUND(((('Quantification_Results'!AN272-'Quantification_Config'!$S$15)/('Quantification_Config'!$T$15-'Quantification_Config'!$S$15))*100),'Quantification_Config'!$U$2),""),"")</x:f>
        <x:v>50</x:v>
      </x:c>
      <x:c r="AP272" t="inlineStr">
        <x:is>
          <x:t xml:space="preserve">SYSTEM-TEST-ONLY-NO-NETWORK-NOT-AN-EDUCATIONAL-EVALUATION</x:t>
        </x:is>
      </x:c>
      <x:c r="AQ272" t="inlineStr">
        <x:is>
          <x:t xml:space="preserve"/>
        </x:is>
      </x:c>
      <x:c r="AR272" t="inlineStr">
        <x:is>
          <x:t xml:space="preserve">NONE</x:t>
        </x:is>
      </x:c>
      <x:c r="AS272" t="inlineStr">
        <x:is>
          <x:t xml:space="preserve"/>
        </x:is>
      </x:c>
      <x:c r="AT272" t="inlineStr">
        <x:is>
          <x:t xml:space="preserve">SUCCESS</x:t>
        </x:is>
      </x:c>
      <x:c r="AU272" t="n">
        <x:f>IF((COUNT('Quantification_Results'!AO272)=1),IFERROR(ROUND((SUM(('Quantification_Results'!AO272*'Quantification_Config'!$R$15))/SUM('Quantification_Config'!$R$15)),'Quantification_Config'!$U$2),""),"")</x:f>
        <x:v>50</x:v>
      </x:c>
      <x:c r="AV272" t="n">
        <x:f>IF((COUNT('Quantification_Results'!AU272)=1),IFERROR(ROUND((SUM(('Quantification_Results'!AU272*'Quantification_Config'!$R$14))/SUM('Quantification_Config'!$R$14)),'Quantification_Config'!$U$2),""),"")</x:f>
        <x:v>50</x:v>
      </x:c>
      <x:c r="AW272" t="n">
        <x:v>1</x:v>
      </x:c>
      <x:c r="AX272" t="n">
        <x:v>5</x:v>
      </x:c>
      <x:c r="AY272"/>
      <x:c r="AZ272" t="n">
        <x:f>IF(('Quantification_Results'!AW272&lt;&gt;1),"",IF(('Quantification_Results'!AY272=""),IF(ISNUMBER('Quantification_Results'!AX272),IF(('Quantification_Results'!AX272&lt;'Quantification_Config'!$S$19),"",IF(('Quantification_Results'!AX272&gt;'Quantification_Config'!$T$19),"",'Quantification_Results'!AX272)),""),IF(ISNUMBER('Quantification_Results'!AY272),IF(('Quantification_Results'!AY272&lt;'Quantification_Config'!$S$19),"",IF(('Quantification_Results'!AY272&gt;'Quantification_Config'!$T$19),"",'Quantification_Results'!AY272)),"")))</x:f>
        <x:v>5</x:v>
      </x:c>
      <x:c r="BA272" t="n">
        <x:f>IF(ISNUMBER('Quantification_Results'!AZ272),IFERROR(ROUND(((('Quantification_Results'!AZ272-'Quantification_Config'!$S$19)/('Quantification_Config'!$T$19-'Quantification_Config'!$S$19))*100),'Quantification_Config'!$U$2),""),"")</x:f>
        <x:v>50</x:v>
      </x:c>
      <x:c r="BB272" t="inlineStr">
        <x:is>
          <x:t xml:space="preserve">SYSTEM-TEST-ONLY-NO-NETWORK-NOT-AN-EDUCATIONAL-EVALUATION</x:t>
        </x:is>
      </x:c>
      <x:c r="BC272" t="inlineStr">
        <x:is>
          <x:t xml:space="preserve"/>
        </x:is>
      </x:c>
      <x:c r="BD272" t="inlineStr">
        <x:is>
          <x:t xml:space="preserve">NONE</x:t>
        </x:is>
      </x:c>
      <x:c r="BE272" t="inlineStr">
        <x:is>
          <x:t xml:space="preserve"/>
        </x:is>
      </x:c>
      <x:c r="BF272" t="inlineStr">
        <x:is>
          <x:t xml:space="preserve">SUCCESS</x:t>
        </x:is>
      </x:c>
      <x:c r="BG272" t="n">
        <x:f>IF((COUNT('Quantification_Results'!BA272)=1),IFERROR(ROUND((SUM(('Quantification_Results'!BA272*'Quantification_Config'!$R$19))/SUM('Quantification_Config'!$R$19)),'Quantification_Config'!$U$2),""),"")</x:f>
        <x:v>50</x:v>
      </x:c>
      <x:c r="BH272" t="n">
        <x:f>IF((COUNT('Quantification_Results'!BG272)=1),IFERROR(ROUND((SUM(('Quantification_Results'!BG272*'Quantification_Config'!$R$18))/SUM('Quantification_Config'!$R$18)),'Quantification_Config'!$U$2),""),"")</x:f>
        <x:v>50</x:v>
      </x:c>
      <x:c r="BI272" t="n">
        <x:f>IF((COUNT('Quantification_Results'!L272,'Quantification_Results'!X272,'Quantification_Results'!AJ272,'Quantification_Results'!AV272,'Quantification_Results'!BH272)=5),IFERROR(ROUND((SUM(('Quantification_Results'!L272*'Quantification_Config'!$R$4),('Quantification_Results'!X272*'Quantification_Config'!$R$7),('Quantification_Results'!AJ272*'Quantification_Config'!$R$10),('Quantification_Results'!AV272*'Quantification_Config'!$R$13),('Quantification_Results'!BH272*'Quantification_Config'!$R$16))/SUM('Quantification_Config'!$R$4,'Quantification_Config'!$R$7,'Quantification_Config'!$R$10,'Quantification_Config'!$R$13,'Quantification_Config'!$R$16)),'Quantification_Config'!$U$2),""),"")</x:f>
        <x:v>50</x:v>
      </x:c>
    </x:row>
    <x:row r="273">
      <x:c r="A273" t="n">
        <x:v>1</x:v>
      </x:c>
      <x:c r="B273" t="n">
        <x:v>5</x:v>
      </x:c>
      <x:c r="C273"/>
      <x:c r="D273" t="n">
        <x:f>IF(('Quantification_Results'!A273&lt;&gt;1),"",IF(('Quantification_Results'!C273=""),IF(ISNUMBER('Quantification_Results'!B273),IF(('Quantification_Results'!B273&lt;'Quantification_Config'!$S$6),"",IF(('Quantification_Results'!B273&gt;'Quantification_Config'!$T$6),"",'Quantification_Results'!B273)),""),IF(ISNUMBER('Quantification_Results'!C273),IF(('Quantification_Results'!C273&lt;'Quantification_Config'!$S$6),"",IF(('Quantification_Results'!C273&gt;'Quantification_Config'!$T$6),"",'Quantification_Results'!C273)),"")))</x:f>
        <x:v>5</x:v>
      </x:c>
      <x:c r="E273" t="n">
        <x:f>IF(ISNUMBER('Quantification_Results'!D273),IFERROR(ROUND(((('Quantification_Results'!D273-'Quantification_Config'!$S$6)/('Quantification_Config'!$T$6-'Quantification_Config'!$S$6))*100),'Quantification_Config'!$U$2),""),"")</x:f>
        <x:v>50</x:v>
      </x:c>
      <x:c r="F273" t="inlineStr">
        <x:is>
          <x:t xml:space="preserve">SYSTEM-TEST-ONLY-NO-NETWORK-NOT-AN-EDUCATIONAL-EVALUATION</x:t>
        </x:is>
      </x:c>
      <x:c r="G273" t="inlineStr">
        <x:is>
          <x:t xml:space="preserve"/>
        </x:is>
      </x:c>
      <x:c r="H273" t="inlineStr">
        <x:is>
          <x:t xml:space="preserve">NONE</x:t>
        </x:is>
      </x:c>
      <x:c r="I273" t="inlineStr">
        <x:is>
          <x:t xml:space="preserve"/>
        </x:is>
      </x:c>
      <x:c r="J273" t="inlineStr">
        <x:is>
          <x:t xml:space="preserve">SUCCESS</x:t>
        </x:is>
      </x:c>
      <x:c r="K273" t="n">
        <x:f>IF((COUNT('Quantification_Results'!E273)=1),IFERROR(ROUND((SUM(('Quantification_Results'!E273*'Quantification_Config'!$R$6))/SUM('Quantification_Config'!$R$6)),'Quantification_Config'!$U$2),""),"")</x:f>
        <x:v>50</x:v>
      </x:c>
      <x:c r="L273" t="n">
        <x:f>IF((COUNT('Quantification_Results'!K273)=1),IFERROR(ROUND((SUM(('Quantification_Results'!K273*'Quantification_Config'!$R$5))/SUM('Quantification_Config'!$R$5)),'Quantification_Config'!$U$2),""),"")</x:f>
        <x:v>50</x:v>
      </x:c>
      <x:c r="M273" t="n">
        <x:v>0</x:v>
      </x:c>
      <x:c r="N273"/>
      <x:c r="O273"/>
      <x:c r="P273">
        <x:f>IF(('Quantification_Results'!M273&lt;&gt;1),"",IF(('Quantification_Results'!O273=""),IF(ISNUMBER('Quantification_Results'!N273),IF(('Quantification_Results'!N273&lt;'Quantification_Config'!$S$9),"",IF(('Quantification_Results'!N273&gt;'Quantification_Config'!$T$9),"",'Quantification_Results'!N273)),""),IF(ISNUMBER('Quantification_Results'!O273),IF(('Quantification_Results'!O273&lt;'Quantification_Config'!$S$9),"",IF(('Quantification_Results'!O273&gt;'Quantification_Config'!$T$9),"",'Quantification_Results'!O273)),"")))</x:f>
      </x:c>
      <x:c r="Q273">
        <x:f>IF(ISNUMBER('Quantification_Results'!P273),IFERROR(ROUND(((('Quantification_Results'!P273-'Quantification_Config'!$S$9)/('Quantification_Config'!$T$9-'Quantification_Config'!$S$9))*100),'Quantification_Config'!$U$2),""),"")</x:f>
      </x:c>
      <x:c r="R273" t="inlineStr">
        <x:is>
          <x:t xml:space="preserve"/>
        </x:is>
      </x:c>
      <x:c r="S273" t="inlineStr">
        <x:is>
          <x:t xml:space="preserve"/>
        </x:is>
      </x:c>
      <x:c r="T273" t="inlineStr">
        <x:is>
          <x:t xml:space="preserve"/>
        </x:is>
      </x:c>
      <x:c r="U273" t="inlineStr">
        <x:is>
          <x:t xml:space="preserve"/>
        </x:is>
      </x:c>
      <x:c r="V273" t="inlineStr">
        <x:is>
          <x:t xml:space="preserve">EMPTY</x:t>
        </x:is>
      </x:c>
      <x:c r="W273">
        <x:f>IF((COUNT('Quantification_Results'!Q273)=1),IFERROR(ROUND((SUM(('Quantification_Results'!Q273*'Quantification_Config'!$R$9))/SUM('Quantification_Config'!$R$9)),'Quantification_Config'!$U$2),""),"")</x:f>
      </x:c>
      <x:c r="X273">
        <x:f>IF((COUNT('Quantification_Results'!W273)=1),IFERROR(ROUND((SUM(('Quantification_Results'!W273*'Quantification_Config'!$R$8))/SUM('Quantification_Config'!$R$8)),'Quantification_Config'!$U$2),""),"")</x:f>
      </x:c>
      <x:c r="Y273" t="n">
        <x:v>0</x:v>
      </x:c>
      <x:c r="Z273"/>
      <x:c r="AA273"/>
      <x:c r="AB273">
        <x:f>IF(('Quantification_Results'!Y273&lt;&gt;1),"",IF(('Quantification_Results'!AA273=""),IF(ISNUMBER('Quantification_Results'!Z273),IF(('Quantification_Results'!Z273&lt;'Quantification_Config'!$S$12),"",IF(('Quantification_Results'!Z273&gt;'Quantification_Config'!$T$12),"",'Quantification_Results'!Z273)),""),IF(ISNUMBER('Quantification_Results'!AA273),IF(('Quantification_Results'!AA273&lt;'Quantification_Config'!$S$12),"",IF(('Quantification_Results'!AA273&gt;'Quantification_Config'!$T$12),"",'Quantification_Results'!AA273)),"")))</x:f>
      </x:c>
      <x:c r="AC273">
        <x:f>IF(ISNUMBER('Quantification_Results'!AB273),IFERROR(ROUND(((('Quantification_Results'!AB273-'Quantification_Config'!$S$12)/('Quantification_Config'!$T$12-'Quantification_Config'!$S$12))*100),'Quantification_Config'!$U$2),""),"")</x:f>
      </x:c>
      <x:c r="AD273" t="inlineStr">
        <x:is>
          <x:t xml:space="preserve"/>
        </x:is>
      </x:c>
      <x:c r="AE273" t="inlineStr">
        <x:is>
          <x:t xml:space="preserve"/>
        </x:is>
      </x:c>
      <x:c r="AF273" t="inlineStr">
        <x:is>
          <x:t xml:space="preserve"/>
        </x:is>
      </x:c>
      <x:c r="AG273" t="inlineStr">
        <x:is>
          <x:t xml:space="preserve"/>
        </x:is>
      </x:c>
      <x:c r="AH273" t="inlineStr">
        <x:is>
          <x:t xml:space="preserve">EMPTY</x:t>
        </x:is>
      </x:c>
      <x:c r="AI273">
        <x:f>IF((COUNT('Quantification_Results'!AC273)=1),IFERROR(ROUND((SUM(('Quantification_Results'!AC273*'Quantification_Config'!$R$12))/SUM('Quantification_Config'!$R$12)),'Quantification_Config'!$U$2),""),"")</x:f>
      </x:c>
      <x:c r="AJ273">
        <x:f>IF((COUNT('Quantification_Results'!AI273)=1),IFERROR(ROUND((SUM(('Quantification_Results'!AI273*'Quantification_Config'!$R$11))/SUM('Quantification_Config'!$R$11)),'Quantification_Config'!$U$2),""),"")</x:f>
      </x:c>
      <x:c r="AK273" t="n">
        <x:v>1</x:v>
      </x:c>
      <x:c r="AL273" t="n">
        <x:v>5</x:v>
      </x:c>
      <x:c r="AM273"/>
      <x:c r="AN273" t="n">
        <x:f>IF(('Quantification_Results'!AK273&lt;&gt;1),"",IF(('Quantification_Results'!AM273=""),IF(ISNUMBER('Quantification_Results'!AL273),IF(('Quantification_Results'!AL273&lt;'Quantification_Config'!$S$15),"",IF(('Quantification_Results'!AL273&gt;'Quantification_Config'!$T$15),"",'Quantification_Results'!AL273)),""),IF(ISNUMBER('Quantification_Results'!AM273),IF(('Quantification_Results'!AM273&lt;'Quantification_Config'!$S$15),"",IF(('Quantification_Results'!AM273&gt;'Quantification_Config'!$T$15),"",'Quantification_Results'!AM273)),"")))</x:f>
        <x:v>5</x:v>
      </x:c>
      <x:c r="AO273" t="n">
        <x:f>IF(ISNUMBER('Quantification_Results'!AN273),IFERROR(ROUND(((('Quantification_Results'!AN273-'Quantification_Config'!$S$15)/('Quantification_Config'!$T$15-'Quantification_Config'!$S$15))*100),'Quantification_Config'!$U$2),""),"")</x:f>
        <x:v>50</x:v>
      </x:c>
      <x:c r="AP273" t="inlineStr">
        <x:is>
          <x:t xml:space="preserve">SYSTEM-TEST-ONLY-NO-NETWORK-NOT-AN-EDUCATIONAL-EVALUATION</x:t>
        </x:is>
      </x:c>
      <x:c r="AQ273" t="inlineStr">
        <x:is>
          <x:t xml:space="preserve"/>
        </x:is>
      </x:c>
      <x:c r="AR273" t="inlineStr">
        <x:is>
          <x:t xml:space="preserve">NONE</x:t>
        </x:is>
      </x:c>
      <x:c r="AS273" t="inlineStr">
        <x:is>
          <x:t xml:space="preserve"/>
        </x:is>
      </x:c>
      <x:c r="AT273" t="inlineStr">
        <x:is>
          <x:t xml:space="preserve">SUCCESS</x:t>
        </x:is>
      </x:c>
      <x:c r="AU273" t="n">
        <x:f>IF((COUNT('Quantification_Results'!AO273)=1),IFERROR(ROUND((SUM(('Quantification_Results'!AO273*'Quantification_Config'!$R$15))/SUM('Quantification_Config'!$R$15)),'Quantification_Config'!$U$2),""),"")</x:f>
        <x:v>50</x:v>
      </x:c>
      <x:c r="AV273" t="n">
        <x:f>IF((COUNT('Quantification_Results'!AU273)=1),IFERROR(ROUND((SUM(('Quantification_Results'!AU273*'Quantification_Config'!$R$14))/SUM('Quantification_Config'!$R$14)),'Quantification_Config'!$U$2),""),"")</x:f>
        <x:v>50</x:v>
      </x:c>
      <x:c r="AW273" t="n">
        <x:v>1</x:v>
      </x:c>
      <x:c r="AX273" t="n">
        <x:v>5</x:v>
      </x:c>
      <x:c r="AY273"/>
      <x:c r="AZ273" t="n">
        <x:f>IF(('Quantification_Results'!AW273&lt;&gt;1),"",IF(('Quantification_Results'!AY273=""),IF(ISNUMBER('Quantification_Results'!AX273),IF(('Quantification_Results'!AX273&lt;'Quantification_Config'!$S$19),"",IF(('Quantification_Results'!AX273&gt;'Quantification_Config'!$T$19),"",'Quantification_Results'!AX273)),""),IF(ISNUMBER('Quantification_Results'!AY273),IF(('Quantification_Results'!AY273&lt;'Quantification_Config'!$S$19),"",IF(('Quantification_Results'!AY273&gt;'Quantification_Config'!$T$19),"",'Quantification_Results'!AY273)),"")))</x:f>
        <x:v>5</x:v>
      </x:c>
      <x:c r="BA273" t="n">
        <x:f>IF(ISNUMBER('Quantification_Results'!AZ273),IFERROR(ROUND(((('Quantification_Results'!AZ273-'Quantification_Config'!$S$19)/('Quantification_Config'!$T$19-'Quantification_Config'!$S$19))*100),'Quantification_Config'!$U$2),""),"")</x:f>
        <x:v>50</x:v>
      </x:c>
      <x:c r="BB273" t="inlineStr">
        <x:is>
          <x:t xml:space="preserve">SYSTEM-TEST-ONLY-NO-NETWORK-NOT-AN-EDUCATIONAL-EVALUATION</x:t>
        </x:is>
      </x:c>
      <x:c r="BC273" t="inlineStr">
        <x:is>
          <x:t xml:space="preserve"/>
        </x:is>
      </x:c>
      <x:c r="BD273" t="inlineStr">
        <x:is>
          <x:t xml:space="preserve">NONE</x:t>
        </x:is>
      </x:c>
      <x:c r="BE273" t="inlineStr">
        <x:is>
          <x:t xml:space="preserve"/>
        </x:is>
      </x:c>
      <x:c r="BF273" t="inlineStr">
        <x:is>
          <x:t xml:space="preserve">SUCCESS</x:t>
        </x:is>
      </x:c>
      <x:c r="BG273" t="n">
        <x:f>IF((COUNT('Quantification_Results'!BA273)=1),IFERROR(ROUND((SUM(('Quantification_Results'!BA273*'Quantification_Config'!$R$19))/SUM('Quantification_Config'!$R$19)),'Quantification_Config'!$U$2),""),"")</x:f>
        <x:v>50</x:v>
      </x:c>
      <x:c r="BH273" t="n">
        <x:f>IF((COUNT('Quantification_Results'!BG273)=1),IFERROR(ROUND((SUM(('Quantification_Results'!BG273*'Quantification_Config'!$R$18))/SUM('Quantification_Config'!$R$18)),'Quantification_Config'!$U$2),""),"")</x:f>
        <x:v>50</x:v>
      </x:c>
      <x:c r="BI273">
        <x:f>IF((COUNT('Quantification_Results'!L273,'Quantification_Results'!X273,'Quantification_Results'!AJ273,'Quantification_Results'!AV273,'Quantification_Results'!BH273)=5),IFERROR(ROUND((SUM(('Quantification_Results'!L273*'Quantification_Config'!$R$4),('Quantification_Results'!X273*'Quantification_Config'!$R$7),('Quantification_Results'!AJ273*'Quantification_Config'!$R$10),('Quantification_Results'!AV273*'Quantification_Config'!$R$13),('Quantification_Results'!BH273*'Quantification_Config'!$R$16))/SUM('Quantification_Config'!$R$4,'Quantification_Config'!$R$7,'Quantification_Config'!$R$10,'Quantification_Config'!$R$13,'Quantification_Config'!$R$16)),'Quantification_Config'!$U$2),""),"")</x:f>
      </x:c>
    </x:row>
    <x:row r="274">
      <x:c r="A274" t="n">
        <x:v>1</x:v>
      </x:c>
      <x:c r="B274" t="n">
        <x:v>5</x:v>
      </x:c>
      <x:c r="C274"/>
      <x:c r="D274" t="n">
        <x:f>IF(('Quantification_Results'!A274&lt;&gt;1),"",IF(('Quantification_Results'!C274=""),IF(ISNUMBER('Quantification_Results'!B274),IF(('Quantification_Results'!B274&lt;'Quantification_Config'!$S$6),"",IF(('Quantification_Results'!B274&gt;'Quantification_Config'!$T$6),"",'Quantification_Results'!B274)),""),IF(ISNUMBER('Quantification_Results'!C274),IF(('Quantification_Results'!C274&lt;'Quantification_Config'!$S$6),"",IF(('Quantification_Results'!C274&gt;'Quantification_Config'!$T$6),"",'Quantification_Results'!C274)),"")))</x:f>
        <x:v>5</x:v>
      </x:c>
      <x:c r="E274" t="n">
        <x:f>IF(ISNUMBER('Quantification_Results'!D274),IFERROR(ROUND(((('Quantification_Results'!D274-'Quantification_Config'!$S$6)/('Quantification_Config'!$T$6-'Quantification_Config'!$S$6))*100),'Quantification_Config'!$U$2),""),"")</x:f>
        <x:v>50</x:v>
      </x:c>
      <x:c r="F274" t="inlineStr">
        <x:is>
          <x:t xml:space="preserve">SYSTEM-TEST-ONLY-NO-NETWORK-NOT-AN-EDUCATIONAL-EVALUATION</x:t>
        </x:is>
      </x:c>
      <x:c r="G274" t="inlineStr">
        <x:is>
          <x:t xml:space="preserve"/>
        </x:is>
      </x:c>
      <x:c r="H274" t="inlineStr">
        <x:is>
          <x:t xml:space="preserve">NONE</x:t>
        </x:is>
      </x:c>
      <x:c r="I274" t="inlineStr">
        <x:is>
          <x:t xml:space="preserve"/>
        </x:is>
      </x:c>
      <x:c r="J274" t="inlineStr">
        <x:is>
          <x:t xml:space="preserve">SUCCESS</x:t>
        </x:is>
      </x:c>
      <x:c r="K274" t="n">
        <x:f>IF((COUNT('Quantification_Results'!E274)=1),IFERROR(ROUND((SUM(('Quantification_Results'!E274*'Quantification_Config'!$R$6))/SUM('Quantification_Config'!$R$6)),'Quantification_Config'!$U$2),""),"")</x:f>
        <x:v>50</x:v>
      </x:c>
      <x:c r="L274" t="n">
        <x:f>IF((COUNT('Quantification_Results'!K274)=1),IFERROR(ROUND((SUM(('Quantification_Results'!K274*'Quantification_Config'!$R$5))/SUM('Quantification_Config'!$R$5)),'Quantification_Config'!$U$2),""),"")</x:f>
        <x:v>50</x:v>
      </x:c>
      <x:c r="M274" t="n">
        <x:v>1</x:v>
      </x:c>
      <x:c r="N274" t="n">
        <x:v>5</x:v>
      </x:c>
      <x:c r="O274"/>
      <x:c r="P274" t="n">
        <x:f>IF(('Quantification_Results'!M274&lt;&gt;1),"",IF(('Quantification_Results'!O274=""),IF(ISNUMBER('Quantification_Results'!N274),IF(('Quantification_Results'!N274&lt;'Quantification_Config'!$S$9),"",IF(('Quantification_Results'!N274&gt;'Quantification_Config'!$T$9),"",'Quantification_Results'!N274)),""),IF(ISNUMBER('Quantification_Results'!O274),IF(('Quantification_Results'!O274&lt;'Quantification_Config'!$S$9),"",IF(('Quantification_Results'!O274&gt;'Quantification_Config'!$T$9),"",'Quantification_Results'!O274)),"")))</x:f>
        <x:v>5</x:v>
      </x:c>
      <x:c r="Q274" t="n">
        <x:f>IF(ISNUMBER('Quantification_Results'!P274),IFERROR(ROUND(((('Quantification_Results'!P274-'Quantification_Config'!$S$9)/('Quantification_Config'!$T$9-'Quantification_Config'!$S$9))*100),'Quantification_Config'!$U$2),""),"")</x:f>
        <x:v>50</x:v>
      </x:c>
      <x:c r="R274" t="inlineStr">
        <x:is>
          <x:t xml:space="preserve">SYSTEM-TEST-ONLY-NO-NETWORK-NOT-AN-EDUCATIONAL-EVALUATION</x:t>
        </x:is>
      </x:c>
      <x:c r="S274" t="inlineStr">
        <x:is>
          <x:t xml:space="preserve"/>
        </x:is>
      </x:c>
      <x:c r="T274" t="inlineStr">
        <x:is>
          <x:t xml:space="preserve">NONE</x:t>
        </x:is>
      </x:c>
      <x:c r="U274" t="inlineStr">
        <x:is>
          <x:t xml:space="preserve"/>
        </x:is>
      </x:c>
      <x:c r="V274" t="inlineStr">
        <x:is>
          <x:t xml:space="preserve">SUCCESS</x:t>
        </x:is>
      </x:c>
      <x:c r="W274" t="n">
        <x:f>IF((COUNT('Quantification_Results'!Q274)=1),IFERROR(ROUND((SUM(('Quantification_Results'!Q274*'Quantification_Config'!$R$9))/SUM('Quantification_Config'!$R$9)),'Quantification_Config'!$U$2),""),"")</x:f>
        <x:v>50</x:v>
      </x:c>
      <x:c r="X274" t="n">
        <x:f>IF((COUNT('Quantification_Results'!W274)=1),IFERROR(ROUND((SUM(('Quantification_Results'!W274*'Quantification_Config'!$R$8))/SUM('Quantification_Config'!$R$8)),'Quantification_Config'!$U$2),""),"")</x:f>
        <x:v>50</x:v>
      </x:c>
      <x:c r="Y274" t="n">
        <x:v>0</x:v>
      </x:c>
      <x:c r="Z274"/>
      <x:c r="AA274"/>
      <x:c r="AB274">
        <x:f>IF(('Quantification_Results'!Y274&lt;&gt;1),"",IF(('Quantification_Results'!AA274=""),IF(ISNUMBER('Quantification_Results'!Z274),IF(('Quantification_Results'!Z274&lt;'Quantification_Config'!$S$12),"",IF(('Quantification_Results'!Z274&gt;'Quantification_Config'!$T$12),"",'Quantification_Results'!Z274)),""),IF(ISNUMBER('Quantification_Results'!AA274),IF(('Quantification_Results'!AA274&lt;'Quantification_Config'!$S$12),"",IF(('Quantification_Results'!AA274&gt;'Quantification_Config'!$T$12),"",'Quantification_Results'!AA274)),"")))</x:f>
      </x:c>
      <x:c r="AC274">
        <x:f>IF(ISNUMBER('Quantification_Results'!AB274),IFERROR(ROUND(((('Quantification_Results'!AB274-'Quantification_Config'!$S$12)/('Quantification_Config'!$T$12-'Quantification_Config'!$S$12))*100),'Quantification_Config'!$U$2),""),"")</x:f>
      </x:c>
      <x:c r="AD274" t="inlineStr">
        <x:is>
          <x:t xml:space="preserve"/>
        </x:is>
      </x:c>
      <x:c r="AE274" t="inlineStr">
        <x:is>
          <x:t xml:space="preserve"/>
        </x:is>
      </x:c>
      <x:c r="AF274" t="inlineStr">
        <x:is>
          <x:t xml:space="preserve"/>
        </x:is>
      </x:c>
      <x:c r="AG274" t="inlineStr">
        <x:is>
          <x:t xml:space="preserve"/>
        </x:is>
      </x:c>
      <x:c r="AH274" t="inlineStr">
        <x:is>
          <x:t xml:space="preserve">EMPTY</x:t>
        </x:is>
      </x:c>
      <x:c r="AI274">
        <x:f>IF((COUNT('Quantification_Results'!AC274)=1),IFERROR(ROUND((SUM(('Quantification_Results'!AC274*'Quantification_Config'!$R$12))/SUM('Quantification_Config'!$R$12)),'Quantification_Config'!$U$2),""),"")</x:f>
      </x:c>
      <x:c r="AJ274">
        <x:f>IF((COUNT('Quantification_Results'!AI274)=1),IFERROR(ROUND((SUM(('Quantification_Results'!AI274*'Quantification_Config'!$R$11))/SUM('Quantification_Config'!$R$11)),'Quantification_Config'!$U$2),""),"")</x:f>
      </x:c>
      <x:c r="AK274" t="n">
        <x:v>1</x:v>
      </x:c>
      <x:c r="AL274" t="n">
        <x:v>5</x:v>
      </x:c>
      <x:c r="AM274"/>
      <x:c r="AN274" t="n">
        <x:f>IF(('Quantification_Results'!AK274&lt;&gt;1),"",IF(('Quantification_Results'!AM274=""),IF(ISNUMBER('Quantification_Results'!AL274),IF(('Quantification_Results'!AL274&lt;'Quantification_Config'!$S$15),"",IF(('Quantification_Results'!AL274&gt;'Quantification_Config'!$T$15),"",'Quantification_Results'!AL274)),""),IF(ISNUMBER('Quantification_Results'!AM274),IF(('Quantification_Results'!AM274&lt;'Quantification_Config'!$S$15),"",IF(('Quantification_Results'!AM274&gt;'Quantification_Config'!$T$15),"",'Quantification_Results'!AM274)),"")))</x:f>
        <x:v>5</x:v>
      </x:c>
      <x:c r="AO274" t="n">
        <x:f>IF(ISNUMBER('Quantification_Results'!AN274),IFERROR(ROUND(((('Quantification_Results'!AN274-'Quantification_Config'!$S$15)/('Quantification_Config'!$T$15-'Quantification_Config'!$S$15))*100),'Quantification_Config'!$U$2),""),"")</x:f>
        <x:v>50</x:v>
      </x:c>
      <x:c r="AP274" t="inlineStr">
        <x:is>
          <x:t xml:space="preserve">SYSTEM-TEST-ONLY-NO-NETWORK-NOT-AN-EDUCATIONAL-EVALUATION</x:t>
        </x:is>
      </x:c>
      <x:c r="AQ274" t="inlineStr">
        <x:is>
          <x:t xml:space="preserve"/>
        </x:is>
      </x:c>
      <x:c r="AR274" t="inlineStr">
        <x:is>
          <x:t xml:space="preserve">NONE</x:t>
        </x:is>
      </x:c>
      <x:c r="AS274" t="inlineStr">
        <x:is>
          <x:t xml:space="preserve"/>
        </x:is>
      </x:c>
      <x:c r="AT274" t="inlineStr">
        <x:is>
          <x:t xml:space="preserve">SUCCESS</x:t>
        </x:is>
      </x:c>
      <x:c r="AU274" t="n">
        <x:f>IF((COUNT('Quantification_Results'!AO274)=1),IFERROR(ROUND((SUM(('Quantification_Results'!AO274*'Quantification_Config'!$R$15))/SUM('Quantification_Config'!$R$15)),'Quantification_Config'!$U$2),""),"")</x:f>
        <x:v>50</x:v>
      </x:c>
      <x:c r="AV274" t="n">
        <x:f>IF((COUNT('Quantification_Results'!AU274)=1),IFERROR(ROUND((SUM(('Quantification_Results'!AU274*'Quantification_Config'!$R$14))/SUM('Quantification_Config'!$R$14)),'Quantification_Config'!$U$2),""),"")</x:f>
        <x:v>50</x:v>
      </x:c>
      <x:c r="AW274" t="n">
        <x:v>1</x:v>
      </x:c>
      <x:c r="AX274" t="n">
        <x:v>5</x:v>
      </x:c>
      <x:c r="AY274"/>
      <x:c r="AZ274" t="n">
        <x:f>IF(('Quantification_Results'!AW274&lt;&gt;1),"",IF(('Quantification_Results'!AY274=""),IF(ISNUMBER('Quantification_Results'!AX274),IF(('Quantification_Results'!AX274&lt;'Quantification_Config'!$S$19),"",IF(('Quantification_Results'!AX274&gt;'Quantification_Config'!$T$19),"",'Quantification_Results'!AX274)),""),IF(ISNUMBER('Quantification_Results'!AY274),IF(('Quantification_Results'!AY274&lt;'Quantification_Config'!$S$19),"",IF(('Quantification_Results'!AY274&gt;'Quantification_Config'!$T$19),"",'Quantification_Results'!AY274)),"")))</x:f>
        <x:v>5</x:v>
      </x:c>
      <x:c r="BA274" t="n">
        <x:f>IF(ISNUMBER('Quantification_Results'!AZ274),IFERROR(ROUND(((('Quantification_Results'!AZ274-'Quantification_Config'!$S$19)/('Quantification_Config'!$T$19-'Quantification_Config'!$S$19))*100),'Quantification_Config'!$U$2),""),"")</x:f>
        <x:v>50</x:v>
      </x:c>
      <x:c r="BB274" t="inlineStr">
        <x:is>
          <x:t xml:space="preserve">SYSTEM-TEST-ONLY-NO-NETWORK-NOT-AN-EDUCATIONAL-EVALUATION</x:t>
        </x:is>
      </x:c>
      <x:c r="BC274" t="inlineStr">
        <x:is>
          <x:t xml:space="preserve"/>
        </x:is>
      </x:c>
      <x:c r="BD274" t="inlineStr">
        <x:is>
          <x:t xml:space="preserve">NONE</x:t>
        </x:is>
      </x:c>
      <x:c r="BE274" t="inlineStr">
        <x:is>
          <x:t xml:space="preserve"/>
        </x:is>
      </x:c>
      <x:c r="BF274" t="inlineStr">
        <x:is>
          <x:t xml:space="preserve">SUCCESS</x:t>
        </x:is>
      </x:c>
      <x:c r="BG274" t="n">
        <x:f>IF((COUNT('Quantification_Results'!BA274)=1),IFERROR(ROUND((SUM(('Quantification_Results'!BA274*'Quantification_Config'!$R$19))/SUM('Quantification_Config'!$R$19)),'Quantification_Config'!$U$2),""),"")</x:f>
        <x:v>50</x:v>
      </x:c>
      <x:c r="BH274" t="n">
        <x:f>IF((COUNT('Quantification_Results'!BG274)=1),IFERROR(ROUND((SUM(('Quantification_Results'!BG274*'Quantification_Config'!$R$18))/SUM('Quantification_Config'!$R$18)),'Quantification_Config'!$U$2),""),"")</x:f>
        <x:v>50</x:v>
      </x:c>
      <x:c r="BI274">
        <x:f>IF((COUNT('Quantification_Results'!L274,'Quantification_Results'!X274,'Quantification_Results'!AJ274,'Quantification_Results'!AV274,'Quantification_Results'!BH274)=5),IFERROR(ROUND((SUM(('Quantification_Results'!L274*'Quantification_Config'!$R$4),('Quantification_Results'!X274*'Quantification_Config'!$R$7),('Quantification_Results'!AJ274*'Quantification_Config'!$R$10),('Quantification_Results'!AV274*'Quantification_Config'!$R$13),('Quantification_Results'!BH274*'Quantification_Config'!$R$16))/SUM('Quantification_Config'!$R$4,'Quantification_Config'!$R$7,'Quantification_Config'!$R$10,'Quantification_Config'!$R$13,'Quantification_Config'!$R$16)),'Quantification_Config'!$U$2),""),"")</x:f>
      </x:c>
    </x:row>
    <x:row r="275">
      <x:c r="A275" t="n">
        <x:v>1</x:v>
      </x:c>
      <x:c r="B275" t="n">
        <x:v>5</x:v>
      </x:c>
      <x:c r="C275"/>
      <x:c r="D275" t="n">
        <x:f>IF(('Quantification_Results'!A275&lt;&gt;1),"",IF(('Quantification_Results'!C275=""),IF(ISNUMBER('Quantification_Results'!B275),IF(('Quantification_Results'!B275&lt;'Quantification_Config'!$S$6),"",IF(('Quantification_Results'!B275&gt;'Quantification_Config'!$T$6),"",'Quantification_Results'!B275)),""),IF(ISNUMBER('Quantification_Results'!C275),IF(('Quantification_Results'!C275&lt;'Quantification_Config'!$S$6),"",IF(('Quantification_Results'!C275&gt;'Quantification_Config'!$T$6),"",'Quantification_Results'!C275)),"")))</x:f>
        <x:v>5</x:v>
      </x:c>
      <x:c r="E275" t="n">
        <x:f>IF(ISNUMBER('Quantification_Results'!D275),IFERROR(ROUND(((('Quantification_Results'!D275-'Quantification_Config'!$S$6)/('Quantification_Config'!$T$6-'Quantification_Config'!$S$6))*100),'Quantification_Config'!$U$2),""),"")</x:f>
        <x:v>50</x:v>
      </x:c>
      <x:c r="F275" t="inlineStr">
        <x:is>
          <x:t xml:space="preserve">SYSTEM-TEST-ONLY-NO-NETWORK-NOT-AN-EDUCATIONAL-EVALUATION</x:t>
        </x:is>
      </x:c>
      <x:c r="G275" t="inlineStr">
        <x:is>
          <x:t xml:space="preserve"/>
        </x:is>
      </x:c>
      <x:c r="H275" t="inlineStr">
        <x:is>
          <x:t xml:space="preserve">NONE</x:t>
        </x:is>
      </x:c>
      <x:c r="I275" t="inlineStr">
        <x:is>
          <x:t xml:space="preserve"/>
        </x:is>
      </x:c>
      <x:c r="J275" t="inlineStr">
        <x:is>
          <x:t xml:space="preserve">SUCCESS</x:t>
        </x:is>
      </x:c>
      <x:c r="K275" t="n">
        <x:f>IF((COUNT('Quantification_Results'!E275)=1),IFERROR(ROUND((SUM(('Quantification_Results'!E275*'Quantification_Config'!$R$6))/SUM('Quantification_Config'!$R$6)),'Quantification_Config'!$U$2),""),"")</x:f>
        <x:v>50</x:v>
      </x:c>
      <x:c r="L275" t="n">
        <x:f>IF((COUNT('Quantification_Results'!K275)=1),IFERROR(ROUND((SUM(('Quantification_Results'!K275*'Quantification_Config'!$R$5))/SUM('Quantification_Config'!$R$5)),'Quantification_Config'!$U$2),""),"")</x:f>
        <x:v>50</x:v>
      </x:c>
      <x:c r="M275" t="n">
        <x:v>0</x:v>
      </x:c>
      <x:c r="N275"/>
      <x:c r="O275"/>
      <x:c r="P275">
        <x:f>IF(('Quantification_Results'!M275&lt;&gt;1),"",IF(('Quantification_Results'!O275=""),IF(ISNUMBER('Quantification_Results'!N275),IF(('Quantification_Results'!N275&lt;'Quantification_Config'!$S$9),"",IF(('Quantification_Results'!N275&gt;'Quantification_Config'!$T$9),"",'Quantification_Results'!N275)),""),IF(ISNUMBER('Quantification_Results'!O275),IF(('Quantification_Results'!O275&lt;'Quantification_Config'!$S$9),"",IF(('Quantification_Results'!O275&gt;'Quantification_Config'!$T$9),"",'Quantification_Results'!O275)),"")))</x:f>
      </x:c>
      <x:c r="Q275">
        <x:f>IF(ISNUMBER('Quantification_Results'!P275),IFERROR(ROUND(((('Quantification_Results'!P275-'Quantification_Config'!$S$9)/('Quantification_Config'!$T$9-'Quantification_Config'!$S$9))*100),'Quantification_Config'!$U$2),""),"")</x:f>
      </x:c>
      <x:c r="R275" t="inlineStr">
        <x:is>
          <x:t xml:space="preserve"/>
        </x:is>
      </x:c>
      <x:c r="S275" t="inlineStr">
        <x:is>
          <x:t xml:space="preserve"/>
        </x:is>
      </x:c>
      <x:c r="T275" t="inlineStr">
        <x:is>
          <x:t xml:space="preserve"/>
        </x:is>
      </x:c>
      <x:c r="U275" t="inlineStr">
        <x:is>
          <x:t xml:space="preserve"/>
        </x:is>
      </x:c>
      <x:c r="V275" t="inlineStr">
        <x:is>
          <x:t xml:space="preserve">EMPTY</x:t>
        </x:is>
      </x:c>
      <x:c r="W275">
        <x:f>IF((COUNT('Quantification_Results'!Q275)=1),IFERROR(ROUND((SUM(('Quantification_Results'!Q275*'Quantification_Config'!$R$9))/SUM('Quantification_Config'!$R$9)),'Quantification_Config'!$U$2),""),"")</x:f>
      </x:c>
      <x:c r="X275">
        <x:f>IF((COUNT('Quantification_Results'!W275)=1),IFERROR(ROUND((SUM(('Quantification_Results'!W275*'Quantification_Config'!$R$8))/SUM('Quantification_Config'!$R$8)),'Quantification_Config'!$U$2),""),"")</x:f>
      </x:c>
      <x:c r="Y275" t="n">
        <x:v>1</x:v>
      </x:c>
      <x:c r="Z275" t="n">
        <x:v>5</x:v>
      </x:c>
      <x:c r="AA275"/>
      <x:c r="AB275" t="n">
        <x:f>IF(('Quantification_Results'!Y275&lt;&gt;1),"",IF(('Quantification_Results'!AA275=""),IF(ISNUMBER('Quantification_Results'!Z275),IF(('Quantification_Results'!Z275&lt;'Quantification_Config'!$S$12),"",IF(('Quantification_Results'!Z275&gt;'Quantification_Config'!$T$12),"",'Quantification_Results'!Z275)),""),IF(ISNUMBER('Quantification_Results'!AA275),IF(('Quantification_Results'!AA275&lt;'Quantification_Config'!$S$12),"",IF(('Quantification_Results'!AA275&gt;'Quantification_Config'!$T$12),"",'Quantification_Results'!AA275)),"")))</x:f>
        <x:v>5</x:v>
      </x:c>
      <x:c r="AC275" t="n">
        <x:f>IF(ISNUMBER('Quantification_Results'!AB275),IFERROR(ROUND(((('Quantification_Results'!AB275-'Quantification_Config'!$S$12)/('Quantification_Config'!$T$12-'Quantification_Config'!$S$12))*100),'Quantification_Config'!$U$2),""),"")</x:f>
        <x:v>50</x:v>
      </x:c>
      <x:c r="AD275" t="inlineStr">
        <x:is>
          <x:t xml:space="preserve">SYSTEM-TEST-ONLY-NO-NETWORK-NOT-AN-EDUCATIONAL-EVALUATION</x:t>
        </x:is>
      </x:c>
      <x:c r="AE275" t="inlineStr">
        <x:is>
          <x:t xml:space="preserve"/>
        </x:is>
      </x:c>
      <x:c r="AF275" t="inlineStr">
        <x:is>
          <x:t xml:space="preserve">NONE</x:t>
        </x:is>
      </x:c>
      <x:c r="AG275" t="inlineStr">
        <x:is>
          <x:t xml:space="preserve"/>
        </x:is>
      </x:c>
      <x:c r="AH275" t="inlineStr">
        <x:is>
          <x:t xml:space="preserve">SUCCESS</x:t>
        </x:is>
      </x:c>
      <x:c r="AI275" t="n">
        <x:f>IF((COUNT('Quantification_Results'!AC275)=1),IFERROR(ROUND((SUM(('Quantification_Results'!AC275*'Quantification_Config'!$R$12))/SUM('Quantification_Config'!$R$12)),'Quantification_Config'!$U$2),""),"")</x:f>
        <x:v>50</x:v>
      </x:c>
      <x:c r="AJ275" t="n">
        <x:f>IF((COUNT('Quantification_Results'!AI275)=1),IFERROR(ROUND((SUM(('Quantification_Results'!AI275*'Quantification_Config'!$R$11))/SUM('Quantification_Config'!$R$11)),'Quantification_Config'!$U$2),""),"")</x:f>
        <x:v>50</x:v>
      </x:c>
      <x:c r="AK275" t="n">
        <x:v>1</x:v>
      </x:c>
      <x:c r="AL275" t="n">
        <x:v>5</x:v>
      </x:c>
      <x:c r="AM275"/>
      <x:c r="AN275" t="n">
        <x:f>IF(('Quantification_Results'!AK275&lt;&gt;1),"",IF(('Quantification_Results'!AM275=""),IF(ISNUMBER('Quantification_Results'!AL275),IF(('Quantification_Results'!AL275&lt;'Quantification_Config'!$S$15),"",IF(('Quantification_Results'!AL275&gt;'Quantification_Config'!$T$15),"",'Quantification_Results'!AL275)),""),IF(ISNUMBER('Quantification_Results'!AM275),IF(('Quantification_Results'!AM275&lt;'Quantification_Config'!$S$15),"",IF(('Quantification_Results'!AM275&gt;'Quantification_Config'!$T$15),"",'Quantification_Results'!AM275)),"")))</x:f>
        <x:v>5</x:v>
      </x:c>
      <x:c r="AO275" t="n">
        <x:f>IF(ISNUMBER('Quantification_Results'!AN275),IFERROR(ROUND(((('Quantification_Results'!AN275-'Quantification_Config'!$S$15)/('Quantification_Config'!$T$15-'Quantification_Config'!$S$15))*100),'Quantification_Config'!$U$2),""),"")</x:f>
        <x:v>50</x:v>
      </x:c>
      <x:c r="AP275" t="inlineStr">
        <x:is>
          <x:t xml:space="preserve">SYSTEM-TEST-ONLY-NO-NETWORK-NOT-AN-EDUCATIONAL-EVALUATION</x:t>
        </x:is>
      </x:c>
      <x:c r="AQ275" t="inlineStr">
        <x:is>
          <x:t xml:space="preserve"/>
        </x:is>
      </x:c>
      <x:c r="AR275" t="inlineStr">
        <x:is>
          <x:t xml:space="preserve">NONE</x:t>
        </x:is>
      </x:c>
      <x:c r="AS275" t="inlineStr">
        <x:is>
          <x:t xml:space="preserve"/>
        </x:is>
      </x:c>
      <x:c r="AT275" t="inlineStr">
        <x:is>
          <x:t xml:space="preserve">SUCCESS</x:t>
        </x:is>
      </x:c>
      <x:c r="AU275" t="n">
        <x:f>IF((COUNT('Quantification_Results'!AO275)=1),IFERROR(ROUND((SUM(('Quantification_Results'!AO275*'Quantification_Config'!$R$15))/SUM('Quantification_Config'!$R$15)),'Quantification_Config'!$U$2),""),"")</x:f>
        <x:v>50</x:v>
      </x:c>
      <x:c r="AV275" t="n">
        <x:f>IF((COUNT('Quantification_Results'!AU275)=1),IFERROR(ROUND((SUM(('Quantification_Results'!AU275*'Quantification_Config'!$R$14))/SUM('Quantification_Config'!$R$14)),'Quantification_Config'!$U$2),""),"")</x:f>
        <x:v>50</x:v>
      </x:c>
      <x:c r="AW275" t="n">
        <x:v>1</x:v>
      </x:c>
      <x:c r="AX275" t="n">
        <x:v>5</x:v>
      </x:c>
      <x:c r="AY275"/>
      <x:c r="AZ275" t="n">
        <x:f>IF(('Quantification_Results'!AW275&lt;&gt;1),"",IF(('Quantification_Results'!AY275=""),IF(ISNUMBER('Quantification_Results'!AX275),IF(('Quantification_Results'!AX275&lt;'Quantification_Config'!$S$19),"",IF(('Quantification_Results'!AX275&gt;'Quantification_Config'!$T$19),"",'Quantification_Results'!AX275)),""),IF(ISNUMBER('Quantification_Results'!AY275),IF(('Quantification_Results'!AY275&lt;'Quantification_Config'!$S$19),"",IF(('Quantification_Results'!AY275&gt;'Quantification_Config'!$T$19),"",'Quantification_Results'!AY275)),"")))</x:f>
        <x:v>5</x:v>
      </x:c>
      <x:c r="BA275" t="n">
        <x:f>IF(ISNUMBER('Quantification_Results'!AZ275),IFERROR(ROUND(((('Quantification_Results'!AZ275-'Quantification_Config'!$S$19)/('Quantification_Config'!$T$19-'Quantification_Config'!$S$19))*100),'Quantification_Config'!$U$2),""),"")</x:f>
        <x:v>50</x:v>
      </x:c>
      <x:c r="BB275" t="inlineStr">
        <x:is>
          <x:t xml:space="preserve">SYSTEM-TEST-ONLY-NO-NETWORK-NOT-AN-EDUCATIONAL-EVALUATION</x:t>
        </x:is>
      </x:c>
      <x:c r="BC275" t="inlineStr">
        <x:is>
          <x:t xml:space="preserve"/>
        </x:is>
      </x:c>
      <x:c r="BD275" t="inlineStr">
        <x:is>
          <x:t xml:space="preserve">NONE</x:t>
        </x:is>
      </x:c>
      <x:c r="BE275" t="inlineStr">
        <x:is>
          <x:t xml:space="preserve"/>
        </x:is>
      </x:c>
      <x:c r="BF275" t="inlineStr">
        <x:is>
          <x:t xml:space="preserve">SUCCESS</x:t>
        </x:is>
      </x:c>
      <x:c r="BG275" t="n">
        <x:f>IF((COUNT('Quantification_Results'!BA275)=1),IFERROR(ROUND((SUM(('Quantification_Results'!BA275*'Quantification_Config'!$R$19))/SUM('Quantification_Config'!$R$19)),'Quantification_Config'!$U$2),""),"")</x:f>
        <x:v>50</x:v>
      </x:c>
      <x:c r="BH275" t="n">
        <x:f>IF((COUNT('Quantification_Results'!BG275)=1),IFERROR(ROUND((SUM(('Quantification_Results'!BG275*'Quantification_Config'!$R$18))/SUM('Quantification_Config'!$R$18)),'Quantification_Config'!$U$2),""),"")</x:f>
        <x:v>50</x:v>
      </x:c>
      <x:c r="BI275">
        <x:f>IF((COUNT('Quantification_Results'!L275,'Quantification_Results'!X275,'Quantification_Results'!AJ275,'Quantification_Results'!AV275,'Quantification_Results'!BH275)=5),IFERROR(ROUND((SUM(('Quantification_Results'!L275*'Quantification_Config'!$R$4),('Quantification_Results'!X275*'Quantification_Config'!$R$7),('Quantification_Results'!AJ275*'Quantification_Config'!$R$10),('Quantification_Results'!AV275*'Quantification_Config'!$R$13),('Quantification_Results'!BH275*'Quantification_Config'!$R$16))/SUM('Quantification_Config'!$R$4,'Quantification_Config'!$R$7,'Quantification_Config'!$R$10,'Quantification_Config'!$R$13,'Quantification_Config'!$R$16)),'Quantification_Config'!$U$2),""),"")</x:f>
      </x:c>
    </x:row>
    <x:row r="276">
      <x:c r="A276" t="n">
        <x:v>1</x:v>
      </x:c>
      <x:c r="B276" t="n">
        <x:v>5</x:v>
      </x:c>
      <x:c r="C276"/>
      <x:c r="D276" t="n">
        <x:f>IF(('Quantification_Results'!A276&lt;&gt;1),"",IF(('Quantification_Results'!C276=""),IF(ISNUMBER('Quantification_Results'!B276),IF(('Quantification_Results'!B276&lt;'Quantification_Config'!$S$6),"",IF(('Quantification_Results'!B276&gt;'Quantification_Config'!$T$6),"",'Quantification_Results'!B276)),""),IF(ISNUMBER('Quantification_Results'!C276),IF(('Quantification_Results'!C276&lt;'Quantification_Config'!$S$6),"",IF(('Quantification_Results'!C276&gt;'Quantification_Config'!$T$6),"",'Quantification_Results'!C276)),"")))</x:f>
        <x:v>5</x:v>
      </x:c>
      <x:c r="E276" t="n">
        <x:f>IF(ISNUMBER('Quantification_Results'!D276),IFERROR(ROUND(((('Quantification_Results'!D276-'Quantification_Config'!$S$6)/('Quantification_Config'!$T$6-'Quantification_Config'!$S$6))*100),'Quantification_Config'!$U$2),""),"")</x:f>
        <x:v>50</x:v>
      </x:c>
      <x:c r="F276" t="inlineStr">
        <x:is>
          <x:t xml:space="preserve">SYSTEM-TEST-ONLY-NO-NETWORK-NOT-AN-EDUCATIONAL-EVALUATION</x:t>
        </x:is>
      </x:c>
      <x:c r="G276" t="inlineStr">
        <x:is>
          <x:t xml:space="preserve"/>
        </x:is>
      </x:c>
      <x:c r="H276" t="inlineStr">
        <x:is>
          <x:t xml:space="preserve">NONE</x:t>
        </x:is>
      </x:c>
      <x:c r="I276" t="inlineStr">
        <x:is>
          <x:t xml:space="preserve"/>
        </x:is>
      </x:c>
      <x:c r="J276" t="inlineStr">
        <x:is>
          <x:t xml:space="preserve">SUCCESS</x:t>
        </x:is>
      </x:c>
      <x:c r="K276" t="n">
        <x:f>IF((COUNT('Quantification_Results'!E276)=1),IFERROR(ROUND((SUM(('Quantification_Results'!E276*'Quantification_Config'!$R$6))/SUM('Quantification_Config'!$R$6)),'Quantification_Config'!$U$2),""),"")</x:f>
        <x:v>50</x:v>
      </x:c>
      <x:c r="L276" t="n">
        <x:f>IF((COUNT('Quantification_Results'!K276)=1),IFERROR(ROUND((SUM(('Quantification_Results'!K276*'Quantification_Config'!$R$5))/SUM('Quantification_Config'!$R$5)),'Quantification_Config'!$U$2),""),"")</x:f>
        <x:v>50</x:v>
      </x:c>
      <x:c r="M276" t="n">
        <x:v>1</x:v>
      </x:c>
      <x:c r="N276" t="n">
        <x:v>5</x:v>
      </x:c>
      <x:c r="O276"/>
      <x:c r="P276" t="n">
        <x:f>IF(('Quantification_Results'!M276&lt;&gt;1),"",IF(('Quantification_Results'!O276=""),IF(ISNUMBER('Quantification_Results'!N276),IF(('Quantification_Results'!N276&lt;'Quantification_Config'!$S$9),"",IF(('Quantification_Results'!N276&gt;'Quantification_Config'!$T$9),"",'Quantification_Results'!N276)),""),IF(ISNUMBER('Quantification_Results'!O276),IF(('Quantification_Results'!O276&lt;'Quantification_Config'!$S$9),"",IF(('Quantification_Results'!O276&gt;'Quantification_Config'!$T$9),"",'Quantification_Results'!O276)),"")))</x:f>
        <x:v>5</x:v>
      </x:c>
      <x:c r="Q276" t="n">
        <x:f>IF(ISNUMBER('Quantification_Results'!P276),IFERROR(ROUND(((('Quantification_Results'!P276-'Quantification_Config'!$S$9)/('Quantification_Config'!$T$9-'Quantification_Config'!$S$9))*100),'Quantification_Config'!$U$2),""),"")</x:f>
        <x:v>50</x:v>
      </x:c>
      <x:c r="R276" t="inlineStr">
        <x:is>
          <x:t xml:space="preserve">SYSTEM-TEST-ONLY-NO-NETWORK-NOT-AN-EDUCATIONAL-EVALUATION</x:t>
        </x:is>
      </x:c>
      <x:c r="S276" t="inlineStr">
        <x:is>
          <x:t xml:space="preserve"/>
        </x:is>
      </x:c>
      <x:c r="T276" t="inlineStr">
        <x:is>
          <x:t xml:space="preserve">NONE</x:t>
        </x:is>
      </x:c>
      <x:c r="U276" t="inlineStr">
        <x:is>
          <x:t xml:space="preserve"/>
        </x:is>
      </x:c>
      <x:c r="V276" t="inlineStr">
        <x:is>
          <x:t xml:space="preserve">SUCCESS</x:t>
        </x:is>
      </x:c>
      <x:c r="W276" t="n">
        <x:f>IF((COUNT('Quantification_Results'!Q276)=1),IFERROR(ROUND((SUM(('Quantification_Results'!Q276*'Quantification_Config'!$R$9))/SUM('Quantification_Config'!$R$9)),'Quantification_Config'!$U$2),""),"")</x:f>
        <x:v>50</x:v>
      </x:c>
      <x:c r="X276" t="n">
        <x:f>IF((COUNT('Quantification_Results'!W276)=1),IFERROR(ROUND((SUM(('Quantification_Results'!W276*'Quantification_Config'!$R$8))/SUM('Quantification_Config'!$R$8)),'Quantification_Config'!$U$2),""),"")</x:f>
        <x:v>50</x:v>
      </x:c>
      <x:c r="Y276" t="n">
        <x:v>0</x:v>
      </x:c>
      <x:c r="Z276"/>
      <x:c r="AA276"/>
      <x:c r="AB276">
        <x:f>IF(('Quantification_Results'!Y276&lt;&gt;1),"",IF(('Quantification_Results'!AA276=""),IF(ISNUMBER('Quantification_Results'!Z276),IF(('Quantification_Results'!Z276&lt;'Quantification_Config'!$S$12),"",IF(('Quantification_Results'!Z276&gt;'Quantification_Config'!$T$12),"",'Quantification_Results'!Z276)),""),IF(ISNUMBER('Quantification_Results'!AA276),IF(('Quantification_Results'!AA276&lt;'Quantification_Config'!$S$12),"",IF(('Quantification_Results'!AA276&gt;'Quantification_Config'!$T$12),"",'Quantification_Results'!AA276)),"")))</x:f>
      </x:c>
      <x:c r="AC276">
        <x:f>IF(ISNUMBER('Quantification_Results'!AB276),IFERROR(ROUND(((('Quantification_Results'!AB276-'Quantification_Config'!$S$12)/('Quantification_Config'!$T$12-'Quantification_Config'!$S$12))*100),'Quantification_Config'!$U$2),""),"")</x:f>
      </x:c>
      <x:c r="AD276" t="inlineStr">
        <x:is>
          <x:t xml:space="preserve"/>
        </x:is>
      </x:c>
      <x:c r="AE276" t="inlineStr">
        <x:is>
          <x:t xml:space="preserve"/>
        </x:is>
      </x:c>
      <x:c r="AF276" t="inlineStr">
        <x:is>
          <x:t xml:space="preserve"/>
        </x:is>
      </x:c>
      <x:c r="AG276" t="inlineStr">
        <x:is>
          <x:t xml:space="preserve"/>
        </x:is>
      </x:c>
      <x:c r="AH276" t="inlineStr">
        <x:is>
          <x:t xml:space="preserve">EMPTY</x:t>
        </x:is>
      </x:c>
      <x:c r="AI276">
        <x:f>IF((COUNT('Quantification_Results'!AC276)=1),IFERROR(ROUND((SUM(('Quantification_Results'!AC276*'Quantification_Config'!$R$12))/SUM('Quantification_Config'!$R$12)),'Quantification_Config'!$U$2),""),"")</x:f>
      </x:c>
      <x:c r="AJ276">
        <x:f>IF((COUNT('Quantification_Results'!AI276)=1),IFERROR(ROUND((SUM(('Quantification_Results'!AI276*'Quantification_Config'!$R$11))/SUM('Quantification_Config'!$R$11)),'Quantification_Config'!$U$2),""),"")</x:f>
      </x:c>
      <x:c r="AK276" t="n">
        <x:v>1</x:v>
      </x:c>
      <x:c r="AL276" t="n">
        <x:v>5</x:v>
      </x:c>
      <x:c r="AM276"/>
      <x:c r="AN276" t="n">
        <x:f>IF(('Quantification_Results'!AK276&lt;&gt;1),"",IF(('Quantification_Results'!AM276=""),IF(ISNUMBER('Quantification_Results'!AL276),IF(('Quantification_Results'!AL276&lt;'Quantification_Config'!$S$15),"",IF(('Quantification_Results'!AL276&gt;'Quantification_Config'!$T$15),"",'Quantification_Results'!AL276)),""),IF(ISNUMBER('Quantification_Results'!AM276),IF(('Quantification_Results'!AM276&lt;'Quantification_Config'!$S$15),"",IF(('Quantification_Results'!AM276&gt;'Quantification_Config'!$T$15),"",'Quantification_Results'!AM276)),"")))</x:f>
        <x:v>5</x:v>
      </x:c>
      <x:c r="AO276" t="n">
        <x:f>IF(ISNUMBER('Quantification_Results'!AN276),IFERROR(ROUND(((('Quantification_Results'!AN276-'Quantification_Config'!$S$15)/('Quantification_Config'!$T$15-'Quantification_Config'!$S$15))*100),'Quantification_Config'!$U$2),""),"")</x:f>
        <x:v>50</x:v>
      </x:c>
      <x:c r="AP276" t="inlineStr">
        <x:is>
          <x:t xml:space="preserve">SYSTEM-TEST-ONLY-NO-NETWORK-NOT-AN-EDUCATIONAL-EVALUATION</x:t>
        </x:is>
      </x:c>
      <x:c r="AQ276" t="inlineStr">
        <x:is>
          <x:t xml:space="preserve"/>
        </x:is>
      </x:c>
      <x:c r="AR276" t="inlineStr">
        <x:is>
          <x:t xml:space="preserve">NONE</x:t>
        </x:is>
      </x:c>
      <x:c r="AS276" t="inlineStr">
        <x:is>
          <x:t xml:space="preserve"/>
        </x:is>
      </x:c>
      <x:c r="AT276" t="inlineStr">
        <x:is>
          <x:t xml:space="preserve">SUCCESS</x:t>
        </x:is>
      </x:c>
      <x:c r="AU276" t="n">
        <x:f>IF((COUNT('Quantification_Results'!AO276)=1),IFERROR(ROUND((SUM(('Quantification_Results'!AO276*'Quantification_Config'!$R$15))/SUM('Quantification_Config'!$R$15)),'Quantification_Config'!$U$2),""),"")</x:f>
        <x:v>50</x:v>
      </x:c>
      <x:c r="AV276" t="n">
        <x:f>IF((COUNT('Quantification_Results'!AU276)=1),IFERROR(ROUND((SUM(('Quantification_Results'!AU276*'Quantification_Config'!$R$14))/SUM('Quantification_Config'!$R$14)),'Quantification_Config'!$U$2),""),"")</x:f>
        <x:v>50</x:v>
      </x:c>
      <x:c r="AW276" t="n">
        <x:v>1</x:v>
      </x:c>
      <x:c r="AX276" t="n">
        <x:v>5</x:v>
      </x:c>
      <x:c r="AY276"/>
      <x:c r="AZ276" t="n">
        <x:f>IF(('Quantification_Results'!AW276&lt;&gt;1),"",IF(('Quantification_Results'!AY276=""),IF(ISNUMBER('Quantification_Results'!AX276),IF(('Quantification_Results'!AX276&lt;'Quantification_Config'!$S$19),"",IF(('Quantification_Results'!AX276&gt;'Quantification_Config'!$T$19),"",'Quantification_Results'!AX276)),""),IF(ISNUMBER('Quantification_Results'!AY276),IF(('Quantification_Results'!AY276&lt;'Quantification_Config'!$S$19),"",IF(('Quantification_Results'!AY276&gt;'Quantification_Config'!$T$19),"",'Quantification_Results'!AY276)),"")))</x:f>
        <x:v>5</x:v>
      </x:c>
      <x:c r="BA276" t="n">
        <x:f>IF(ISNUMBER('Quantification_Results'!AZ276),IFERROR(ROUND(((('Quantification_Results'!AZ276-'Quantification_Config'!$S$19)/('Quantification_Config'!$T$19-'Quantification_Config'!$S$19))*100),'Quantification_Config'!$U$2),""),"")</x:f>
        <x:v>50</x:v>
      </x:c>
      <x:c r="BB276" t="inlineStr">
        <x:is>
          <x:t xml:space="preserve">SYSTEM-TEST-ONLY-NO-NETWORK-NOT-AN-EDUCATIONAL-EVALUATION</x:t>
        </x:is>
      </x:c>
      <x:c r="BC276" t="inlineStr">
        <x:is>
          <x:t xml:space="preserve"/>
        </x:is>
      </x:c>
      <x:c r="BD276" t="inlineStr">
        <x:is>
          <x:t xml:space="preserve">NONE</x:t>
        </x:is>
      </x:c>
      <x:c r="BE276" t="inlineStr">
        <x:is>
          <x:t xml:space="preserve"/>
        </x:is>
      </x:c>
      <x:c r="BF276" t="inlineStr">
        <x:is>
          <x:t xml:space="preserve">SUCCESS</x:t>
        </x:is>
      </x:c>
      <x:c r="BG276" t="n">
        <x:f>IF((COUNT('Quantification_Results'!BA276)=1),IFERROR(ROUND((SUM(('Quantification_Results'!BA276*'Quantification_Config'!$R$19))/SUM('Quantification_Config'!$R$19)),'Quantification_Config'!$U$2),""),"")</x:f>
        <x:v>50</x:v>
      </x:c>
      <x:c r="BH276" t="n">
        <x:f>IF((COUNT('Quantification_Results'!BG276)=1),IFERROR(ROUND((SUM(('Quantification_Results'!BG276*'Quantification_Config'!$R$18))/SUM('Quantification_Config'!$R$18)),'Quantification_Config'!$U$2),""),"")</x:f>
        <x:v>50</x:v>
      </x:c>
      <x:c r="BI276">
        <x:f>IF((COUNT('Quantification_Results'!L276,'Quantification_Results'!X276,'Quantification_Results'!AJ276,'Quantification_Results'!AV276,'Quantification_Results'!BH276)=5),IFERROR(ROUND((SUM(('Quantification_Results'!L276*'Quantification_Config'!$R$4),('Quantification_Results'!X276*'Quantification_Config'!$R$7),('Quantification_Results'!AJ276*'Quantification_Config'!$R$10),('Quantification_Results'!AV276*'Quantification_Config'!$R$13),('Quantification_Results'!BH276*'Quantification_Config'!$R$16))/SUM('Quantification_Config'!$R$4,'Quantification_Config'!$R$7,'Quantification_Config'!$R$10,'Quantification_Config'!$R$13,'Quantification_Config'!$R$16)),'Quantification_Config'!$U$2),""),"")</x:f>
      </x:c>
    </x:row>
    <x:row r="277">
      <x:c r="A277" t="n">
        <x:v>1</x:v>
      </x:c>
      <x:c r="B277" t="n">
        <x:v>5</x:v>
      </x:c>
      <x:c r="C277"/>
      <x:c r="D277" t="n">
        <x:f>IF(('Quantification_Results'!A277&lt;&gt;1),"",IF(('Quantification_Results'!C277=""),IF(ISNUMBER('Quantification_Results'!B277),IF(('Quantification_Results'!B277&lt;'Quantification_Config'!$S$6),"",IF(('Quantification_Results'!B277&gt;'Quantification_Config'!$T$6),"",'Quantification_Results'!B277)),""),IF(ISNUMBER('Quantification_Results'!C277),IF(('Quantification_Results'!C277&lt;'Quantification_Config'!$S$6),"",IF(('Quantification_Results'!C277&gt;'Quantification_Config'!$T$6),"",'Quantification_Results'!C277)),"")))</x:f>
        <x:v>5</x:v>
      </x:c>
      <x:c r="E277" t="n">
        <x:f>IF(ISNUMBER('Quantification_Results'!D277),IFERROR(ROUND(((('Quantification_Results'!D277-'Quantification_Config'!$S$6)/('Quantification_Config'!$T$6-'Quantification_Config'!$S$6))*100),'Quantification_Config'!$U$2),""),"")</x:f>
        <x:v>50</x:v>
      </x:c>
      <x:c r="F277" t="inlineStr">
        <x:is>
          <x:t xml:space="preserve">SYSTEM-TEST-ONLY-NO-NETWORK-NOT-AN-EDUCATIONAL-EVALUATION</x:t>
        </x:is>
      </x:c>
      <x:c r="G277" t="inlineStr">
        <x:is>
          <x:t xml:space="preserve"/>
        </x:is>
      </x:c>
      <x:c r="H277" t="inlineStr">
        <x:is>
          <x:t xml:space="preserve">NONE</x:t>
        </x:is>
      </x:c>
      <x:c r="I277" t="inlineStr">
        <x:is>
          <x:t xml:space="preserve"/>
        </x:is>
      </x:c>
      <x:c r="J277" t="inlineStr">
        <x:is>
          <x:t xml:space="preserve">SUCCESS</x:t>
        </x:is>
      </x:c>
      <x:c r="K277" t="n">
        <x:f>IF((COUNT('Quantification_Results'!E277)=1),IFERROR(ROUND((SUM(('Quantification_Results'!E277*'Quantification_Config'!$R$6))/SUM('Quantification_Config'!$R$6)),'Quantification_Config'!$U$2),""),"")</x:f>
        <x:v>50</x:v>
      </x:c>
      <x:c r="L277" t="n">
        <x:f>IF((COUNT('Quantification_Results'!K277)=1),IFERROR(ROUND((SUM(('Quantification_Results'!K277*'Quantification_Config'!$R$5))/SUM('Quantification_Config'!$R$5)),'Quantification_Config'!$U$2),""),"")</x:f>
        <x:v>50</x:v>
      </x:c>
      <x:c r="M277" t="n">
        <x:v>1</x:v>
      </x:c>
      <x:c r="N277" t="n">
        <x:v>5</x:v>
      </x:c>
      <x:c r="O277"/>
      <x:c r="P277" t="n">
        <x:f>IF(('Quantification_Results'!M277&lt;&gt;1),"",IF(('Quantification_Results'!O277=""),IF(ISNUMBER('Quantification_Results'!N277),IF(('Quantification_Results'!N277&lt;'Quantification_Config'!$S$9),"",IF(('Quantification_Results'!N277&gt;'Quantification_Config'!$T$9),"",'Quantification_Results'!N277)),""),IF(ISNUMBER('Quantification_Results'!O277),IF(('Quantification_Results'!O277&lt;'Quantification_Config'!$S$9),"",IF(('Quantification_Results'!O277&gt;'Quantification_Config'!$T$9),"",'Quantification_Results'!O277)),"")))</x:f>
        <x:v>5</x:v>
      </x:c>
      <x:c r="Q277" t="n">
        <x:f>IF(ISNUMBER('Quantification_Results'!P277),IFERROR(ROUND(((('Quantification_Results'!P277-'Quantification_Config'!$S$9)/('Quantification_Config'!$T$9-'Quantification_Config'!$S$9))*100),'Quantification_Config'!$U$2),""),"")</x:f>
        <x:v>50</x:v>
      </x:c>
      <x:c r="R277" t="inlineStr">
        <x:is>
          <x:t xml:space="preserve">SYSTEM-TEST-ONLY-NO-NETWORK-NOT-AN-EDUCATIONAL-EVALUATION</x:t>
        </x:is>
      </x:c>
      <x:c r="S277" t="inlineStr">
        <x:is>
          <x:t xml:space="preserve"/>
        </x:is>
      </x:c>
      <x:c r="T277" t="inlineStr">
        <x:is>
          <x:t xml:space="preserve">NONE</x:t>
        </x:is>
      </x:c>
      <x:c r="U277" t="inlineStr">
        <x:is>
          <x:t xml:space="preserve"/>
        </x:is>
      </x:c>
      <x:c r="V277" t="inlineStr">
        <x:is>
          <x:t xml:space="preserve">SUCCESS</x:t>
        </x:is>
      </x:c>
      <x:c r="W277" t="n">
        <x:f>IF((COUNT('Quantification_Results'!Q277)=1),IFERROR(ROUND((SUM(('Quantification_Results'!Q277*'Quantification_Config'!$R$9))/SUM('Quantification_Config'!$R$9)),'Quantification_Config'!$U$2),""),"")</x:f>
        <x:v>50</x:v>
      </x:c>
      <x:c r="X277" t="n">
        <x:f>IF((COUNT('Quantification_Results'!W277)=1),IFERROR(ROUND((SUM(('Quantification_Results'!W277*'Quantification_Config'!$R$8))/SUM('Quantification_Config'!$R$8)),'Quantification_Config'!$U$2),""),"")</x:f>
        <x:v>50</x:v>
      </x:c>
      <x:c r="Y277" t="n">
        <x:v>1</x:v>
      </x:c>
      <x:c r="Z277" t="n">
        <x:v>5</x:v>
      </x:c>
      <x:c r="AA277"/>
      <x:c r="AB277" t="n">
        <x:f>IF(('Quantification_Results'!Y277&lt;&gt;1),"",IF(('Quantification_Results'!AA277=""),IF(ISNUMBER('Quantification_Results'!Z277),IF(('Quantification_Results'!Z277&lt;'Quantification_Config'!$S$12),"",IF(('Quantification_Results'!Z277&gt;'Quantification_Config'!$T$12),"",'Quantification_Results'!Z277)),""),IF(ISNUMBER('Quantification_Results'!AA277),IF(('Quantification_Results'!AA277&lt;'Quantification_Config'!$S$12),"",IF(('Quantification_Results'!AA277&gt;'Quantification_Config'!$T$12),"",'Quantification_Results'!AA277)),"")))</x:f>
        <x:v>5</x:v>
      </x:c>
      <x:c r="AC277" t="n">
        <x:f>IF(ISNUMBER('Quantification_Results'!AB277),IFERROR(ROUND(((('Quantification_Results'!AB277-'Quantification_Config'!$S$12)/('Quantification_Config'!$T$12-'Quantification_Config'!$S$12))*100),'Quantification_Config'!$U$2),""),"")</x:f>
        <x:v>50</x:v>
      </x:c>
      <x:c r="AD277" t="inlineStr">
        <x:is>
          <x:t xml:space="preserve">SYSTEM-TEST-ONLY-NO-NETWORK-NOT-AN-EDUCATIONAL-EVALUATION</x:t>
        </x:is>
      </x:c>
      <x:c r="AE277" t="inlineStr">
        <x:is>
          <x:t xml:space="preserve"/>
        </x:is>
      </x:c>
      <x:c r="AF277" t="inlineStr">
        <x:is>
          <x:t xml:space="preserve">NONE</x:t>
        </x:is>
      </x:c>
      <x:c r="AG277" t="inlineStr">
        <x:is>
          <x:t xml:space="preserve"/>
        </x:is>
      </x:c>
      <x:c r="AH277" t="inlineStr">
        <x:is>
          <x:t xml:space="preserve">SUCCESS</x:t>
        </x:is>
      </x:c>
      <x:c r="AI277" t="n">
        <x:f>IF((COUNT('Quantification_Results'!AC277)=1),IFERROR(ROUND((SUM(('Quantification_Results'!AC277*'Quantification_Config'!$R$12))/SUM('Quantification_Config'!$R$12)),'Quantification_Config'!$U$2),""),"")</x:f>
        <x:v>50</x:v>
      </x:c>
      <x:c r="AJ277" t="n">
        <x:f>IF((COUNT('Quantification_Results'!AI277)=1),IFERROR(ROUND((SUM(('Quantification_Results'!AI277*'Quantification_Config'!$R$11))/SUM('Quantification_Config'!$R$11)),'Quantification_Config'!$U$2),""),"")</x:f>
        <x:v>50</x:v>
      </x:c>
      <x:c r="AK277" t="n">
        <x:v>1</x:v>
      </x:c>
      <x:c r="AL277" t="n">
        <x:v>5</x:v>
      </x:c>
      <x:c r="AM277"/>
      <x:c r="AN277" t="n">
        <x:f>IF(('Quantification_Results'!AK277&lt;&gt;1),"",IF(('Quantification_Results'!AM277=""),IF(ISNUMBER('Quantification_Results'!AL277),IF(('Quantification_Results'!AL277&lt;'Quantification_Config'!$S$15),"",IF(('Quantification_Results'!AL277&gt;'Quantification_Config'!$T$15),"",'Quantification_Results'!AL277)),""),IF(ISNUMBER('Quantification_Results'!AM277),IF(('Quantification_Results'!AM277&lt;'Quantification_Config'!$S$15),"",IF(('Quantification_Results'!AM277&gt;'Quantification_Config'!$T$15),"",'Quantification_Results'!AM277)),"")))</x:f>
        <x:v>5</x:v>
      </x:c>
      <x:c r="AO277" t="n">
        <x:f>IF(ISNUMBER('Quantification_Results'!AN277),IFERROR(ROUND(((('Quantification_Results'!AN277-'Quantification_Config'!$S$15)/('Quantification_Config'!$T$15-'Quantification_Config'!$S$15))*100),'Quantification_Config'!$U$2),""),"")</x:f>
        <x:v>50</x:v>
      </x:c>
      <x:c r="AP277" t="inlineStr">
        <x:is>
          <x:t xml:space="preserve">SYSTEM-TEST-ONLY-NO-NETWORK-NOT-AN-EDUCATIONAL-EVALUATION</x:t>
        </x:is>
      </x:c>
      <x:c r="AQ277" t="inlineStr">
        <x:is>
          <x:t xml:space="preserve"/>
        </x:is>
      </x:c>
      <x:c r="AR277" t="inlineStr">
        <x:is>
          <x:t xml:space="preserve">NONE</x:t>
        </x:is>
      </x:c>
      <x:c r="AS277" t="inlineStr">
        <x:is>
          <x:t xml:space="preserve"/>
        </x:is>
      </x:c>
      <x:c r="AT277" t="inlineStr">
        <x:is>
          <x:t xml:space="preserve">SUCCESS</x:t>
        </x:is>
      </x:c>
      <x:c r="AU277" t="n">
        <x:f>IF((COUNT('Quantification_Results'!AO277)=1),IFERROR(ROUND((SUM(('Quantification_Results'!AO277*'Quantification_Config'!$R$15))/SUM('Quantification_Config'!$R$15)),'Quantification_Config'!$U$2),""),"")</x:f>
        <x:v>50</x:v>
      </x:c>
      <x:c r="AV277" t="n">
        <x:f>IF((COUNT('Quantification_Results'!AU277)=1),IFERROR(ROUND((SUM(('Quantification_Results'!AU277*'Quantification_Config'!$R$14))/SUM('Quantification_Config'!$R$14)),'Quantification_Config'!$U$2),""),"")</x:f>
        <x:v>50</x:v>
      </x:c>
      <x:c r="AW277" t="n">
        <x:v>0</x:v>
      </x:c>
      <x:c r="AX277"/>
      <x:c r="AY277"/>
      <x:c r="AZ277">
        <x:f>IF(('Quantification_Results'!AW277&lt;&gt;1),"",IF(('Quantification_Results'!AY277=""),IF(ISNUMBER('Quantification_Results'!AX277),IF(('Quantification_Results'!AX277&lt;'Quantification_Config'!$S$19),"",IF(('Quantification_Results'!AX277&gt;'Quantification_Config'!$T$19),"",'Quantification_Results'!AX277)),""),IF(ISNUMBER('Quantification_Results'!AY277),IF(('Quantification_Results'!AY277&lt;'Quantification_Config'!$S$19),"",IF(('Quantification_Results'!AY277&gt;'Quantification_Config'!$T$19),"",'Quantification_Results'!AY277)),"")))</x:f>
      </x:c>
      <x:c r="BA277">
        <x:f>IF(ISNUMBER('Quantification_Results'!AZ277),IFERROR(ROUND(((('Quantification_Results'!AZ277-'Quantification_Config'!$S$19)/('Quantification_Config'!$T$19-'Quantification_Config'!$S$19))*100),'Quantification_Config'!$U$2),""),"")</x:f>
      </x:c>
      <x:c r="BB277" t="inlineStr">
        <x:is>
          <x:t xml:space="preserve"/>
        </x:is>
      </x:c>
      <x:c r="BC277" t="inlineStr">
        <x:is>
          <x:t xml:space="preserve"/>
        </x:is>
      </x:c>
      <x:c r="BD277" t="inlineStr">
        <x:is>
          <x:t xml:space="preserve"/>
        </x:is>
      </x:c>
      <x:c r="BE277" t="inlineStr">
        <x:is>
          <x:t xml:space="preserve"/>
        </x:is>
      </x:c>
      <x:c r="BF277" t="inlineStr">
        <x:is>
          <x:t xml:space="preserve">EMPTY</x:t>
        </x:is>
      </x:c>
      <x:c r="BG277">
        <x:f>IF((COUNT('Quantification_Results'!BA277)=1),IFERROR(ROUND((SUM(('Quantification_Results'!BA277*'Quantification_Config'!$R$19))/SUM('Quantification_Config'!$R$19)),'Quantification_Config'!$U$2),""),"")</x:f>
      </x:c>
      <x:c r="BH277">
        <x:f>IF((COUNT('Quantification_Results'!BG277)=1),IFERROR(ROUND((SUM(('Quantification_Results'!BG277*'Quantification_Config'!$R$18))/SUM('Quantification_Config'!$R$18)),'Quantification_Config'!$U$2),""),"")</x:f>
      </x:c>
      <x:c r="BI277">
        <x:f>IF((COUNT('Quantification_Results'!L277,'Quantification_Results'!X277,'Quantification_Results'!AJ277,'Quantification_Results'!AV277,'Quantification_Results'!BH277)=5),IFERROR(ROUND((SUM(('Quantification_Results'!L277*'Quantification_Config'!$R$4),('Quantification_Results'!X277*'Quantification_Config'!$R$7),('Quantification_Results'!AJ277*'Quantification_Config'!$R$10),('Quantification_Results'!AV277*'Quantification_Config'!$R$13),('Quantification_Results'!BH277*'Quantification_Config'!$R$16))/SUM('Quantification_Config'!$R$4,'Quantification_Config'!$R$7,'Quantification_Config'!$R$10,'Quantification_Config'!$R$13,'Quantification_Config'!$R$16)),'Quantification_Config'!$U$2),""),"")</x:f>
      </x:c>
    </x:row>
    <x:row r="278">
      <x:c r="A278" t="n">
        <x:v>1</x:v>
      </x:c>
      <x:c r="B278" t="n">
        <x:v>5</x:v>
      </x:c>
      <x:c r="C278"/>
      <x:c r="D278" t="n">
        <x:f>IF(('Quantification_Results'!A278&lt;&gt;1),"",IF(('Quantification_Results'!C278=""),IF(ISNUMBER('Quantification_Results'!B278),IF(('Quantification_Results'!B278&lt;'Quantification_Config'!$S$6),"",IF(('Quantification_Results'!B278&gt;'Quantification_Config'!$T$6),"",'Quantification_Results'!B278)),""),IF(ISNUMBER('Quantification_Results'!C278),IF(('Quantification_Results'!C278&lt;'Quantification_Config'!$S$6),"",IF(('Quantification_Results'!C278&gt;'Quantification_Config'!$T$6),"",'Quantification_Results'!C278)),"")))</x:f>
        <x:v>5</x:v>
      </x:c>
      <x:c r="E278" t="n">
        <x:f>IF(ISNUMBER('Quantification_Results'!D278),IFERROR(ROUND(((('Quantification_Results'!D278-'Quantification_Config'!$S$6)/('Quantification_Config'!$T$6-'Quantification_Config'!$S$6))*100),'Quantification_Config'!$U$2),""),"")</x:f>
        <x:v>50</x:v>
      </x:c>
      <x:c r="F278" t="inlineStr">
        <x:is>
          <x:t xml:space="preserve">SYSTEM-TEST-ONLY-NO-NETWORK-NOT-AN-EDUCATIONAL-EVALUATION</x:t>
        </x:is>
      </x:c>
      <x:c r="G278" t="inlineStr">
        <x:is>
          <x:t xml:space="preserve"/>
        </x:is>
      </x:c>
      <x:c r="H278" t="inlineStr">
        <x:is>
          <x:t xml:space="preserve">NONE</x:t>
        </x:is>
      </x:c>
      <x:c r="I278" t="inlineStr">
        <x:is>
          <x:t xml:space="preserve"/>
        </x:is>
      </x:c>
      <x:c r="J278" t="inlineStr">
        <x:is>
          <x:t xml:space="preserve">SUCCESS</x:t>
        </x:is>
      </x:c>
      <x:c r="K278" t="n">
        <x:f>IF((COUNT('Quantification_Results'!E278)=1),IFERROR(ROUND((SUM(('Quantification_Results'!E278*'Quantification_Config'!$R$6))/SUM('Quantification_Config'!$R$6)),'Quantification_Config'!$U$2),""),"")</x:f>
        <x:v>50</x:v>
      </x:c>
      <x:c r="L278" t="n">
        <x:f>IF((COUNT('Quantification_Results'!K278)=1),IFERROR(ROUND((SUM(('Quantification_Results'!K278*'Quantification_Config'!$R$5))/SUM('Quantification_Config'!$R$5)),'Quantification_Config'!$U$2),""),"")</x:f>
        <x:v>50</x:v>
      </x:c>
      <x:c r="M278" t="n">
        <x:v>1</x:v>
      </x:c>
      <x:c r="N278" t="n">
        <x:v>5</x:v>
      </x:c>
      <x:c r="O278"/>
      <x:c r="P278" t="n">
        <x:f>IF(('Quantification_Results'!M278&lt;&gt;1),"",IF(('Quantification_Results'!O278=""),IF(ISNUMBER('Quantification_Results'!N278),IF(('Quantification_Results'!N278&lt;'Quantification_Config'!$S$9),"",IF(('Quantification_Results'!N278&gt;'Quantification_Config'!$T$9),"",'Quantification_Results'!N278)),""),IF(ISNUMBER('Quantification_Results'!O278),IF(('Quantification_Results'!O278&lt;'Quantification_Config'!$S$9),"",IF(('Quantification_Results'!O278&gt;'Quantification_Config'!$T$9),"",'Quantification_Results'!O278)),"")))</x:f>
        <x:v>5</x:v>
      </x:c>
      <x:c r="Q278" t="n">
        <x:f>IF(ISNUMBER('Quantification_Results'!P278),IFERROR(ROUND(((('Quantification_Results'!P278-'Quantification_Config'!$S$9)/('Quantification_Config'!$T$9-'Quantification_Config'!$S$9))*100),'Quantification_Config'!$U$2),""),"")</x:f>
        <x:v>50</x:v>
      </x:c>
      <x:c r="R278" t="inlineStr">
        <x:is>
          <x:t xml:space="preserve">SYSTEM-TEST-ONLY-NO-NETWORK-NOT-AN-EDUCATIONAL-EVALUATION</x:t>
        </x:is>
      </x:c>
      <x:c r="S278" t="inlineStr">
        <x:is>
          <x:t xml:space="preserve"/>
        </x:is>
      </x:c>
      <x:c r="T278" t="inlineStr">
        <x:is>
          <x:t xml:space="preserve">NONE</x:t>
        </x:is>
      </x:c>
      <x:c r="U278" t="inlineStr">
        <x:is>
          <x:t xml:space="preserve"/>
        </x:is>
      </x:c>
      <x:c r="V278" t="inlineStr">
        <x:is>
          <x:t xml:space="preserve">SUCCESS</x:t>
        </x:is>
      </x:c>
      <x:c r="W278" t="n">
        <x:f>IF((COUNT('Quantification_Results'!Q278)=1),IFERROR(ROUND((SUM(('Quantification_Results'!Q278*'Quantification_Config'!$R$9))/SUM('Quantification_Config'!$R$9)),'Quantification_Config'!$U$2),""),"")</x:f>
        <x:v>50</x:v>
      </x:c>
      <x:c r="X278" t="n">
        <x:f>IF((COUNT('Quantification_Results'!W278)=1),IFERROR(ROUND((SUM(('Quantification_Results'!W278*'Quantification_Config'!$R$8))/SUM('Quantification_Config'!$R$8)),'Quantification_Config'!$U$2),""),"")</x:f>
        <x:v>50</x:v>
      </x:c>
      <x:c r="Y278" t="n">
        <x:v>0</x:v>
      </x:c>
      <x:c r="Z278"/>
      <x:c r="AA278"/>
      <x:c r="AB278">
        <x:f>IF(('Quantification_Results'!Y278&lt;&gt;1),"",IF(('Quantification_Results'!AA278=""),IF(ISNUMBER('Quantification_Results'!Z278),IF(('Quantification_Results'!Z278&lt;'Quantification_Config'!$S$12),"",IF(('Quantification_Results'!Z278&gt;'Quantification_Config'!$T$12),"",'Quantification_Results'!Z278)),""),IF(ISNUMBER('Quantification_Results'!AA278),IF(('Quantification_Results'!AA278&lt;'Quantification_Config'!$S$12),"",IF(('Quantification_Results'!AA278&gt;'Quantification_Config'!$T$12),"",'Quantification_Results'!AA278)),"")))</x:f>
      </x:c>
      <x:c r="AC278">
        <x:f>IF(ISNUMBER('Quantification_Results'!AB278),IFERROR(ROUND(((('Quantification_Results'!AB278-'Quantification_Config'!$S$12)/('Quantification_Config'!$T$12-'Quantification_Config'!$S$12))*100),'Quantification_Config'!$U$2),""),"")</x:f>
      </x:c>
      <x:c r="AD278" t="inlineStr">
        <x:is>
          <x:t xml:space="preserve"/>
        </x:is>
      </x:c>
      <x:c r="AE278" t="inlineStr">
        <x:is>
          <x:t xml:space="preserve"/>
        </x:is>
      </x:c>
      <x:c r="AF278" t="inlineStr">
        <x:is>
          <x:t xml:space="preserve"/>
        </x:is>
      </x:c>
      <x:c r="AG278" t="inlineStr">
        <x:is>
          <x:t xml:space="preserve"/>
        </x:is>
      </x:c>
      <x:c r="AH278" t="inlineStr">
        <x:is>
          <x:t xml:space="preserve">EMPTY</x:t>
        </x:is>
      </x:c>
      <x:c r="AI278">
        <x:f>IF((COUNT('Quantification_Results'!AC278)=1),IFERROR(ROUND((SUM(('Quantification_Results'!AC278*'Quantification_Config'!$R$12))/SUM('Quantification_Config'!$R$12)),'Quantification_Config'!$U$2),""),"")</x:f>
      </x:c>
      <x:c r="AJ278">
        <x:f>IF((COUNT('Quantification_Results'!AI278)=1),IFERROR(ROUND((SUM(('Quantification_Results'!AI278*'Quantification_Config'!$R$11))/SUM('Quantification_Config'!$R$11)),'Quantification_Config'!$U$2),""),"")</x:f>
      </x:c>
      <x:c r="AK278" t="n">
        <x:v>1</x:v>
      </x:c>
      <x:c r="AL278" t="n">
        <x:v>5</x:v>
      </x:c>
      <x:c r="AM278"/>
      <x:c r="AN278" t="n">
        <x:f>IF(('Quantification_Results'!AK278&lt;&gt;1),"",IF(('Quantification_Results'!AM278=""),IF(ISNUMBER('Quantification_Results'!AL278),IF(('Quantification_Results'!AL278&lt;'Quantification_Config'!$S$15),"",IF(('Quantification_Results'!AL278&gt;'Quantification_Config'!$T$15),"",'Quantification_Results'!AL278)),""),IF(ISNUMBER('Quantification_Results'!AM278),IF(('Quantification_Results'!AM278&lt;'Quantification_Config'!$S$15),"",IF(('Quantification_Results'!AM278&gt;'Quantification_Config'!$T$15),"",'Quantification_Results'!AM278)),"")))</x:f>
        <x:v>5</x:v>
      </x:c>
      <x:c r="AO278" t="n">
        <x:f>IF(ISNUMBER('Quantification_Results'!AN278),IFERROR(ROUND(((('Quantification_Results'!AN278-'Quantification_Config'!$S$15)/('Quantification_Config'!$T$15-'Quantification_Config'!$S$15))*100),'Quantification_Config'!$U$2),""),"")</x:f>
        <x:v>50</x:v>
      </x:c>
      <x:c r="AP278" t="inlineStr">
        <x:is>
          <x:t xml:space="preserve">SYSTEM-TEST-ONLY-NO-NETWORK-NOT-AN-EDUCATIONAL-EVALUATION</x:t>
        </x:is>
      </x:c>
      <x:c r="AQ278" t="inlineStr">
        <x:is>
          <x:t xml:space="preserve"/>
        </x:is>
      </x:c>
      <x:c r="AR278" t="inlineStr">
        <x:is>
          <x:t xml:space="preserve">NONE</x:t>
        </x:is>
      </x:c>
      <x:c r="AS278" t="inlineStr">
        <x:is>
          <x:t xml:space="preserve"/>
        </x:is>
      </x:c>
      <x:c r="AT278" t="inlineStr">
        <x:is>
          <x:t xml:space="preserve">SUCCESS</x:t>
        </x:is>
      </x:c>
      <x:c r="AU278" t="n">
        <x:f>IF((COUNT('Quantification_Results'!AO278)=1),IFERROR(ROUND((SUM(('Quantification_Results'!AO278*'Quantification_Config'!$R$15))/SUM('Quantification_Config'!$R$15)),'Quantification_Config'!$U$2),""),"")</x:f>
        <x:v>50</x:v>
      </x:c>
      <x:c r="AV278" t="n">
        <x:f>IF((COUNT('Quantification_Results'!AU278)=1),IFERROR(ROUND((SUM(('Quantification_Results'!AU278*'Quantification_Config'!$R$14))/SUM('Quantification_Config'!$R$14)),'Quantification_Config'!$U$2),""),"")</x:f>
        <x:v>50</x:v>
      </x:c>
      <x:c r="AW278" t="n">
        <x:v>1</x:v>
      </x:c>
      <x:c r="AX278" t="n">
        <x:v>5</x:v>
      </x:c>
      <x:c r="AY278"/>
      <x:c r="AZ278" t="n">
        <x:f>IF(('Quantification_Results'!AW278&lt;&gt;1),"",IF(('Quantification_Results'!AY278=""),IF(ISNUMBER('Quantification_Results'!AX278),IF(('Quantification_Results'!AX278&lt;'Quantification_Config'!$S$19),"",IF(('Quantification_Results'!AX278&gt;'Quantification_Config'!$T$19),"",'Quantification_Results'!AX278)),""),IF(ISNUMBER('Quantification_Results'!AY278),IF(('Quantification_Results'!AY278&lt;'Quantification_Config'!$S$19),"",IF(('Quantification_Results'!AY278&gt;'Quantification_Config'!$T$19),"",'Quantification_Results'!AY278)),"")))</x:f>
        <x:v>5</x:v>
      </x:c>
      <x:c r="BA278" t="n">
        <x:f>IF(ISNUMBER('Quantification_Results'!AZ278),IFERROR(ROUND(((('Quantification_Results'!AZ278-'Quantification_Config'!$S$19)/('Quantification_Config'!$T$19-'Quantification_Config'!$S$19))*100),'Quantification_Config'!$U$2),""),"")</x:f>
        <x:v>50</x:v>
      </x:c>
      <x:c r="BB278" t="inlineStr">
        <x:is>
          <x:t xml:space="preserve">SYSTEM-TEST-ONLY-NO-NETWORK-NOT-AN-EDUCATIONAL-EVALUATION</x:t>
        </x:is>
      </x:c>
      <x:c r="BC278" t="inlineStr">
        <x:is>
          <x:t xml:space="preserve"/>
        </x:is>
      </x:c>
      <x:c r="BD278" t="inlineStr">
        <x:is>
          <x:t xml:space="preserve">NONE</x:t>
        </x:is>
      </x:c>
      <x:c r="BE278" t="inlineStr">
        <x:is>
          <x:t xml:space="preserve"/>
        </x:is>
      </x:c>
      <x:c r="BF278" t="inlineStr">
        <x:is>
          <x:t xml:space="preserve">SUCCESS</x:t>
        </x:is>
      </x:c>
      <x:c r="BG278" t="n">
        <x:f>IF((COUNT('Quantification_Results'!BA278)=1),IFERROR(ROUND((SUM(('Quantification_Results'!BA278*'Quantification_Config'!$R$19))/SUM('Quantification_Config'!$R$19)),'Quantification_Config'!$U$2),""),"")</x:f>
        <x:v>50</x:v>
      </x:c>
      <x:c r="BH278" t="n">
        <x:f>IF((COUNT('Quantification_Results'!BG278)=1),IFERROR(ROUND((SUM(('Quantification_Results'!BG278*'Quantification_Config'!$R$18))/SUM('Quantification_Config'!$R$18)),'Quantification_Config'!$U$2),""),"")</x:f>
        <x:v>50</x:v>
      </x:c>
      <x:c r="BI278">
        <x:f>IF((COUNT('Quantification_Results'!L278,'Quantification_Results'!X278,'Quantification_Results'!AJ278,'Quantification_Results'!AV278,'Quantification_Results'!BH278)=5),IFERROR(ROUND((SUM(('Quantification_Results'!L278*'Quantification_Config'!$R$4),('Quantification_Results'!X278*'Quantification_Config'!$R$7),('Quantification_Results'!AJ278*'Quantification_Config'!$R$10),('Quantification_Results'!AV278*'Quantification_Config'!$R$13),('Quantification_Results'!BH278*'Quantification_Config'!$R$16))/SUM('Quantification_Config'!$R$4,'Quantification_Config'!$R$7,'Quantification_Config'!$R$10,'Quantification_Config'!$R$13,'Quantification_Config'!$R$16)),'Quantification_Config'!$U$2),""),"")</x:f>
      </x:c>
    </x:row>
    <x:row r="279">
      <x:c r="A279" t="n">
        <x:v>1</x:v>
      </x:c>
      <x:c r="B279" t="n">
        <x:v>5</x:v>
      </x:c>
      <x:c r="C279"/>
      <x:c r="D279" t="n">
        <x:f>IF(('Quantification_Results'!A279&lt;&gt;1),"",IF(('Quantification_Results'!C279=""),IF(ISNUMBER('Quantification_Results'!B279),IF(('Quantification_Results'!B279&lt;'Quantification_Config'!$S$6),"",IF(('Quantification_Results'!B279&gt;'Quantification_Config'!$T$6),"",'Quantification_Results'!B279)),""),IF(ISNUMBER('Quantification_Results'!C279),IF(('Quantification_Results'!C279&lt;'Quantification_Config'!$S$6),"",IF(('Quantification_Results'!C279&gt;'Quantification_Config'!$T$6),"",'Quantification_Results'!C279)),"")))</x:f>
        <x:v>5</x:v>
      </x:c>
      <x:c r="E279" t="n">
        <x:f>IF(ISNUMBER('Quantification_Results'!D279),IFERROR(ROUND(((('Quantification_Results'!D279-'Quantification_Config'!$S$6)/('Quantification_Config'!$T$6-'Quantification_Config'!$S$6))*100),'Quantification_Config'!$U$2),""),"")</x:f>
        <x:v>50</x:v>
      </x:c>
      <x:c r="F279" t="inlineStr">
        <x:is>
          <x:t xml:space="preserve">SYSTEM-TEST-ONLY-NO-NETWORK-NOT-AN-EDUCATIONAL-EVALUATION</x:t>
        </x:is>
      </x:c>
      <x:c r="G279" t="inlineStr">
        <x:is>
          <x:t xml:space="preserve"/>
        </x:is>
      </x:c>
      <x:c r="H279" t="inlineStr">
        <x:is>
          <x:t xml:space="preserve">NONE</x:t>
        </x:is>
      </x:c>
      <x:c r="I279" t="inlineStr">
        <x:is>
          <x:t xml:space="preserve"/>
        </x:is>
      </x:c>
      <x:c r="J279" t="inlineStr">
        <x:is>
          <x:t xml:space="preserve">SUCCESS</x:t>
        </x:is>
      </x:c>
      <x:c r="K279" t="n">
        <x:f>IF((COUNT('Quantification_Results'!E279)=1),IFERROR(ROUND((SUM(('Quantification_Results'!E279*'Quantification_Config'!$R$6))/SUM('Quantification_Config'!$R$6)),'Quantification_Config'!$U$2),""),"")</x:f>
        <x:v>50</x:v>
      </x:c>
      <x:c r="L279" t="n">
        <x:f>IF((COUNT('Quantification_Results'!K279)=1),IFERROR(ROUND((SUM(('Quantification_Results'!K279*'Quantification_Config'!$R$5))/SUM('Quantification_Config'!$R$5)),'Quantification_Config'!$U$2),""),"")</x:f>
        <x:v>50</x:v>
      </x:c>
      <x:c r="M279" t="n">
        <x:v>0</x:v>
      </x:c>
      <x:c r="N279"/>
      <x:c r="O279"/>
      <x:c r="P279">
        <x:f>IF(('Quantification_Results'!M279&lt;&gt;1),"",IF(('Quantification_Results'!O279=""),IF(ISNUMBER('Quantification_Results'!N279),IF(('Quantification_Results'!N279&lt;'Quantification_Config'!$S$9),"",IF(('Quantification_Results'!N279&gt;'Quantification_Config'!$T$9),"",'Quantification_Results'!N279)),""),IF(ISNUMBER('Quantification_Results'!O279),IF(('Quantification_Results'!O279&lt;'Quantification_Config'!$S$9),"",IF(('Quantification_Results'!O279&gt;'Quantification_Config'!$T$9),"",'Quantification_Results'!O279)),"")))</x:f>
      </x:c>
      <x:c r="Q279">
        <x:f>IF(ISNUMBER('Quantification_Results'!P279),IFERROR(ROUND(((('Quantification_Results'!P279-'Quantification_Config'!$S$9)/('Quantification_Config'!$T$9-'Quantification_Config'!$S$9))*100),'Quantification_Config'!$U$2),""),"")</x:f>
      </x:c>
      <x:c r="R279" t="inlineStr">
        <x:is>
          <x:t xml:space="preserve"/>
        </x:is>
      </x:c>
      <x:c r="S279" t="inlineStr">
        <x:is>
          <x:t xml:space="preserve"/>
        </x:is>
      </x:c>
      <x:c r="T279" t="inlineStr">
        <x:is>
          <x:t xml:space="preserve"/>
        </x:is>
      </x:c>
      <x:c r="U279" t="inlineStr">
        <x:is>
          <x:t xml:space="preserve"/>
        </x:is>
      </x:c>
      <x:c r="V279" t="inlineStr">
        <x:is>
          <x:t xml:space="preserve">EMPTY</x:t>
        </x:is>
      </x:c>
      <x:c r="W279">
        <x:f>IF((COUNT('Quantification_Results'!Q279)=1),IFERROR(ROUND((SUM(('Quantification_Results'!Q279*'Quantification_Config'!$R$9))/SUM('Quantification_Config'!$R$9)),'Quantification_Config'!$U$2),""),"")</x:f>
      </x:c>
      <x:c r="X279">
        <x:f>IF((COUNT('Quantification_Results'!W279)=1),IFERROR(ROUND((SUM(('Quantification_Results'!W279*'Quantification_Config'!$R$8))/SUM('Quantification_Config'!$R$8)),'Quantification_Config'!$U$2),""),"")</x:f>
      </x:c>
      <x:c r="Y279" t="n">
        <x:v>0</x:v>
      </x:c>
      <x:c r="Z279"/>
      <x:c r="AA279"/>
      <x:c r="AB279">
        <x:f>IF(('Quantification_Results'!Y279&lt;&gt;1),"",IF(('Quantification_Results'!AA279=""),IF(ISNUMBER('Quantification_Results'!Z279),IF(('Quantification_Results'!Z279&lt;'Quantification_Config'!$S$12),"",IF(('Quantification_Results'!Z279&gt;'Quantification_Config'!$T$12),"",'Quantification_Results'!Z279)),""),IF(ISNUMBER('Quantification_Results'!AA279),IF(('Quantification_Results'!AA279&lt;'Quantification_Config'!$S$12),"",IF(('Quantification_Results'!AA279&gt;'Quantification_Config'!$T$12),"",'Quantification_Results'!AA279)),"")))</x:f>
      </x:c>
      <x:c r="AC279">
        <x:f>IF(ISNUMBER('Quantification_Results'!AB279),IFERROR(ROUND(((('Quantification_Results'!AB279-'Quantification_Config'!$S$12)/('Quantification_Config'!$T$12-'Quantification_Config'!$S$12))*100),'Quantification_Config'!$U$2),""),"")</x:f>
      </x:c>
      <x:c r="AD279" t="inlineStr">
        <x:is>
          <x:t xml:space="preserve"/>
        </x:is>
      </x:c>
      <x:c r="AE279" t="inlineStr">
        <x:is>
          <x:t xml:space="preserve"/>
        </x:is>
      </x:c>
      <x:c r="AF279" t="inlineStr">
        <x:is>
          <x:t xml:space="preserve"/>
        </x:is>
      </x:c>
      <x:c r="AG279" t="inlineStr">
        <x:is>
          <x:t xml:space="preserve"/>
        </x:is>
      </x:c>
      <x:c r="AH279" t="inlineStr">
        <x:is>
          <x:t xml:space="preserve">EMPTY</x:t>
        </x:is>
      </x:c>
      <x:c r="AI279">
        <x:f>IF((COUNT('Quantification_Results'!AC279)=1),IFERROR(ROUND((SUM(('Quantification_Results'!AC279*'Quantification_Config'!$R$12))/SUM('Quantification_Config'!$R$12)),'Quantification_Config'!$U$2),""),"")</x:f>
      </x:c>
      <x:c r="AJ279">
        <x:f>IF((COUNT('Quantification_Results'!AI279)=1),IFERROR(ROUND((SUM(('Quantification_Results'!AI279*'Quantification_Config'!$R$11))/SUM('Quantification_Config'!$R$11)),'Quantification_Config'!$U$2),""),"")</x:f>
      </x:c>
      <x:c r="AK279" t="n">
        <x:v>1</x:v>
      </x:c>
      <x:c r="AL279" t="n">
        <x:v>5</x:v>
      </x:c>
      <x:c r="AM279"/>
      <x:c r="AN279" t="n">
        <x:f>IF(('Quantification_Results'!AK279&lt;&gt;1),"",IF(('Quantification_Results'!AM279=""),IF(ISNUMBER('Quantification_Results'!AL279),IF(('Quantification_Results'!AL279&lt;'Quantification_Config'!$S$15),"",IF(('Quantification_Results'!AL279&gt;'Quantification_Config'!$T$15),"",'Quantification_Results'!AL279)),""),IF(ISNUMBER('Quantification_Results'!AM279),IF(('Quantification_Results'!AM279&lt;'Quantification_Config'!$S$15),"",IF(('Quantification_Results'!AM279&gt;'Quantification_Config'!$T$15),"",'Quantification_Results'!AM279)),"")))</x:f>
        <x:v>5</x:v>
      </x:c>
      <x:c r="AO279" t="n">
        <x:f>IF(ISNUMBER('Quantification_Results'!AN279),IFERROR(ROUND(((('Quantification_Results'!AN279-'Quantification_Config'!$S$15)/('Quantification_Config'!$T$15-'Quantification_Config'!$S$15))*100),'Quantification_Config'!$U$2),""),"")</x:f>
        <x:v>50</x:v>
      </x:c>
      <x:c r="AP279" t="inlineStr">
        <x:is>
          <x:t xml:space="preserve">SYSTEM-TEST-ONLY-NO-NETWORK-NOT-AN-EDUCATIONAL-EVALUATION</x:t>
        </x:is>
      </x:c>
      <x:c r="AQ279" t="inlineStr">
        <x:is>
          <x:t xml:space="preserve"/>
        </x:is>
      </x:c>
      <x:c r="AR279" t="inlineStr">
        <x:is>
          <x:t xml:space="preserve">NONE</x:t>
        </x:is>
      </x:c>
      <x:c r="AS279" t="inlineStr">
        <x:is>
          <x:t xml:space="preserve"/>
        </x:is>
      </x:c>
      <x:c r="AT279" t="inlineStr">
        <x:is>
          <x:t xml:space="preserve">SUCCESS</x:t>
        </x:is>
      </x:c>
      <x:c r="AU279" t="n">
        <x:f>IF((COUNT('Quantification_Results'!AO279)=1),IFERROR(ROUND((SUM(('Quantification_Results'!AO279*'Quantification_Config'!$R$15))/SUM('Quantification_Config'!$R$15)),'Quantification_Config'!$U$2),""),"")</x:f>
        <x:v>50</x:v>
      </x:c>
      <x:c r="AV279" t="n">
        <x:f>IF((COUNT('Quantification_Results'!AU279)=1),IFERROR(ROUND((SUM(('Quantification_Results'!AU279*'Quantification_Config'!$R$14))/SUM('Quantification_Config'!$R$14)),'Quantification_Config'!$U$2),""),"")</x:f>
        <x:v>50</x:v>
      </x:c>
      <x:c r="AW279" t="n">
        <x:v>0</x:v>
      </x:c>
      <x:c r="AX279"/>
      <x:c r="AY279"/>
      <x:c r="AZ279">
        <x:f>IF(('Quantification_Results'!AW279&lt;&gt;1),"",IF(('Quantification_Results'!AY279=""),IF(ISNUMBER('Quantification_Results'!AX279),IF(('Quantification_Results'!AX279&lt;'Quantification_Config'!$S$19),"",IF(('Quantification_Results'!AX279&gt;'Quantification_Config'!$T$19),"",'Quantification_Results'!AX279)),""),IF(ISNUMBER('Quantification_Results'!AY279),IF(('Quantification_Results'!AY279&lt;'Quantification_Config'!$S$19),"",IF(('Quantification_Results'!AY279&gt;'Quantification_Config'!$T$19),"",'Quantification_Results'!AY279)),"")))</x:f>
      </x:c>
      <x:c r="BA279">
        <x:f>IF(ISNUMBER('Quantification_Results'!AZ279),IFERROR(ROUND(((('Quantification_Results'!AZ279-'Quantification_Config'!$S$19)/('Quantification_Config'!$T$19-'Quantification_Config'!$S$19))*100),'Quantification_Config'!$U$2),""),"")</x:f>
      </x:c>
      <x:c r="BB279" t="inlineStr">
        <x:is>
          <x:t xml:space="preserve"/>
        </x:is>
      </x:c>
      <x:c r="BC279" t="inlineStr">
        <x:is>
          <x:t xml:space="preserve"/>
        </x:is>
      </x:c>
      <x:c r="BD279" t="inlineStr">
        <x:is>
          <x:t xml:space="preserve"/>
        </x:is>
      </x:c>
      <x:c r="BE279" t="inlineStr">
        <x:is>
          <x:t xml:space="preserve"/>
        </x:is>
      </x:c>
      <x:c r="BF279" t="inlineStr">
        <x:is>
          <x:t xml:space="preserve">EMPTY</x:t>
        </x:is>
      </x:c>
      <x:c r="BG279">
        <x:f>IF((COUNT('Quantification_Results'!BA279)=1),IFERROR(ROUND((SUM(('Quantification_Results'!BA279*'Quantification_Config'!$R$19))/SUM('Quantification_Config'!$R$19)),'Quantification_Config'!$U$2),""),"")</x:f>
      </x:c>
      <x:c r="BH279">
        <x:f>IF((COUNT('Quantification_Results'!BG279)=1),IFERROR(ROUND((SUM(('Quantification_Results'!BG279*'Quantification_Config'!$R$18))/SUM('Quantification_Config'!$R$18)),'Quantification_Config'!$U$2),""),"")</x:f>
      </x:c>
      <x:c r="BI279">
        <x:f>IF((COUNT('Quantification_Results'!L279,'Quantification_Results'!X279,'Quantification_Results'!AJ279,'Quantification_Results'!AV279,'Quantification_Results'!BH279)=5),IFERROR(ROUND((SUM(('Quantification_Results'!L279*'Quantification_Config'!$R$4),('Quantification_Results'!X279*'Quantification_Config'!$R$7),('Quantification_Results'!AJ279*'Quantification_Config'!$R$10),('Quantification_Results'!AV279*'Quantification_Config'!$R$13),('Quantification_Results'!BH279*'Quantification_Config'!$R$16))/SUM('Quantification_Config'!$R$4,'Quantification_Config'!$R$7,'Quantification_Config'!$R$10,'Quantification_Config'!$R$13,'Quantification_Config'!$R$16)),'Quantification_Config'!$U$2),""),"")</x:f>
      </x:c>
    </x:row>
    <x:row r="280">
      <x:c r="A280" t="n">
        <x:v>1</x:v>
      </x:c>
      <x:c r="B280" t="n">
        <x:v>5</x:v>
      </x:c>
      <x:c r="C280"/>
      <x:c r="D280" t="n">
        <x:f>IF(('Quantification_Results'!A280&lt;&gt;1),"",IF(('Quantification_Results'!C280=""),IF(ISNUMBER('Quantification_Results'!B280),IF(('Quantification_Results'!B280&lt;'Quantification_Config'!$S$6),"",IF(('Quantification_Results'!B280&gt;'Quantification_Config'!$T$6),"",'Quantification_Results'!B280)),""),IF(ISNUMBER('Quantification_Results'!C280),IF(('Quantification_Results'!C280&lt;'Quantification_Config'!$S$6),"",IF(('Quantification_Results'!C280&gt;'Quantification_Config'!$T$6),"",'Quantification_Results'!C280)),"")))</x:f>
        <x:v>5</x:v>
      </x:c>
      <x:c r="E280" t="n">
        <x:f>IF(ISNUMBER('Quantification_Results'!D280),IFERROR(ROUND(((('Quantification_Results'!D280-'Quantification_Config'!$S$6)/('Quantification_Config'!$T$6-'Quantification_Config'!$S$6))*100),'Quantification_Config'!$U$2),""),"")</x:f>
        <x:v>50</x:v>
      </x:c>
      <x:c r="F280" t="inlineStr">
        <x:is>
          <x:t xml:space="preserve">SYSTEM-TEST-ONLY-NO-NETWORK-NOT-AN-EDUCATIONAL-EVALUATION</x:t>
        </x:is>
      </x:c>
      <x:c r="G280" t="inlineStr">
        <x:is>
          <x:t xml:space="preserve"/>
        </x:is>
      </x:c>
      <x:c r="H280" t="inlineStr">
        <x:is>
          <x:t xml:space="preserve">NONE</x:t>
        </x:is>
      </x:c>
      <x:c r="I280" t="inlineStr">
        <x:is>
          <x:t xml:space="preserve"/>
        </x:is>
      </x:c>
      <x:c r="J280" t="inlineStr">
        <x:is>
          <x:t xml:space="preserve">SUCCESS</x:t>
        </x:is>
      </x:c>
      <x:c r="K280" t="n">
        <x:f>IF((COUNT('Quantification_Results'!E280)=1),IFERROR(ROUND((SUM(('Quantification_Results'!E280*'Quantification_Config'!$R$6))/SUM('Quantification_Config'!$R$6)),'Quantification_Config'!$U$2),""),"")</x:f>
        <x:v>50</x:v>
      </x:c>
      <x:c r="L280" t="n">
        <x:f>IF((COUNT('Quantification_Results'!K280)=1),IFERROR(ROUND((SUM(('Quantification_Results'!K280*'Quantification_Config'!$R$5))/SUM('Quantification_Config'!$R$5)),'Quantification_Config'!$U$2),""),"")</x:f>
        <x:v>50</x:v>
      </x:c>
      <x:c r="M280" t="n">
        <x:v>1</x:v>
      </x:c>
      <x:c r="N280" t="n">
        <x:v>5</x:v>
      </x:c>
      <x:c r="O280"/>
      <x:c r="P280" t="n">
        <x:f>IF(('Quantification_Results'!M280&lt;&gt;1),"",IF(('Quantification_Results'!O280=""),IF(ISNUMBER('Quantification_Results'!N280),IF(('Quantification_Results'!N280&lt;'Quantification_Config'!$S$9),"",IF(('Quantification_Results'!N280&gt;'Quantification_Config'!$T$9),"",'Quantification_Results'!N280)),""),IF(ISNUMBER('Quantification_Results'!O280),IF(('Quantification_Results'!O280&lt;'Quantification_Config'!$S$9),"",IF(('Quantification_Results'!O280&gt;'Quantification_Config'!$T$9),"",'Quantification_Results'!O280)),"")))</x:f>
        <x:v>5</x:v>
      </x:c>
      <x:c r="Q280" t="n">
        <x:f>IF(ISNUMBER('Quantification_Results'!P280),IFERROR(ROUND(((('Quantification_Results'!P280-'Quantification_Config'!$S$9)/('Quantification_Config'!$T$9-'Quantification_Config'!$S$9))*100),'Quantification_Config'!$U$2),""),"")</x:f>
        <x:v>50</x:v>
      </x:c>
      <x:c r="R280" t="inlineStr">
        <x:is>
          <x:t xml:space="preserve">SYSTEM-TEST-ONLY-NO-NETWORK-NOT-AN-EDUCATIONAL-EVALUATION</x:t>
        </x:is>
      </x:c>
      <x:c r="S280" t="inlineStr">
        <x:is>
          <x:t xml:space="preserve"/>
        </x:is>
      </x:c>
      <x:c r="T280" t="inlineStr">
        <x:is>
          <x:t xml:space="preserve">NONE</x:t>
        </x:is>
      </x:c>
      <x:c r="U280" t="inlineStr">
        <x:is>
          <x:t xml:space="preserve"/>
        </x:is>
      </x:c>
      <x:c r="V280" t="inlineStr">
        <x:is>
          <x:t xml:space="preserve">SUCCESS</x:t>
        </x:is>
      </x:c>
      <x:c r="W280" t="n">
        <x:f>IF((COUNT('Quantification_Results'!Q280)=1),IFERROR(ROUND((SUM(('Quantification_Results'!Q280*'Quantification_Config'!$R$9))/SUM('Quantification_Config'!$R$9)),'Quantification_Config'!$U$2),""),"")</x:f>
        <x:v>50</x:v>
      </x:c>
      <x:c r="X280" t="n">
        <x:f>IF((COUNT('Quantification_Results'!W280)=1),IFERROR(ROUND((SUM(('Quantification_Results'!W280*'Quantification_Config'!$R$8))/SUM('Quantification_Config'!$R$8)),'Quantification_Config'!$U$2),""),"")</x:f>
        <x:v>50</x:v>
      </x:c>
      <x:c r="Y280" t="n">
        <x:v>1</x:v>
      </x:c>
      <x:c r="Z280" t="n">
        <x:v>5</x:v>
      </x:c>
      <x:c r="AA280"/>
      <x:c r="AB280" t="n">
        <x:f>IF(('Quantification_Results'!Y280&lt;&gt;1),"",IF(('Quantification_Results'!AA280=""),IF(ISNUMBER('Quantification_Results'!Z280),IF(('Quantification_Results'!Z280&lt;'Quantification_Config'!$S$12),"",IF(('Quantification_Results'!Z280&gt;'Quantification_Config'!$T$12),"",'Quantification_Results'!Z280)),""),IF(ISNUMBER('Quantification_Results'!AA280),IF(('Quantification_Results'!AA280&lt;'Quantification_Config'!$S$12),"",IF(('Quantification_Results'!AA280&gt;'Quantification_Config'!$T$12),"",'Quantification_Results'!AA280)),"")))</x:f>
        <x:v>5</x:v>
      </x:c>
      <x:c r="AC280" t="n">
        <x:f>IF(ISNUMBER('Quantification_Results'!AB280),IFERROR(ROUND(((('Quantification_Results'!AB280-'Quantification_Config'!$S$12)/('Quantification_Config'!$T$12-'Quantification_Config'!$S$12))*100),'Quantification_Config'!$U$2),""),"")</x:f>
        <x:v>50</x:v>
      </x:c>
      <x:c r="AD280" t="inlineStr">
        <x:is>
          <x:t xml:space="preserve">SYSTEM-TEST-ONLY-NO-NETWORK-NOT-AN-EDUCATIONAL-EVALUATION</x:t>
        </x:is>
      </x:c>
      <x:c r="AE280" t="inlineStr">
        <x:is>
          <x:t xml:space="preserve"/>
        </x:is>
      </x:c>
      <x:c r="AF280" t="inlineStr">
        <x:is>
          <x:t xml:space="preserve">NONE</x:t>
        </x:is>
      </x:c>
      <x:c r="AG280" t="inlineStr">
        <x:is>
          <x:t xml:space="preserve"/>
        </x:is>
      </x:c>
      <x:c r="AH280" t="inlineStr">
        <x:is>
          <x:t xml:space="preserve">SUCCESS</x:t>
        </x:is>
      </x:c>
      <x:c r="AI280" t="n">
        <x:f>IF((COUNT('Quantification_Results'!AC280)=1),IFERROR(ROUND((SUM(('Quantification_Results'!AC280*'Quantification_Config'!$R$12))/SUM('Quantification_Config'!$R$12)),'Quantification_Config'!$U$2),""),"")</x:f>
        <x:v>50</x:v>
      </x:c>
      <x:c r="AJ280" t="n">
        <x:f>IF((COUNT('Quantification_Results'!AI280)=1),IFERROR(ROUND((SUM(('Quantification_Results'!AI280*'Quantification_Config'!$R$11))/SUM('Quantification_Config'!$R$11)),'Quantification_Config'!$U$2),""),"")</x:f>
        <x:v>50</x:v>
      </x:c>
      <x:c r="AK280" t="n">
        <x:v>1</x:v>
      </x:c>
      <x:c r="AL280" t="n">
        <x:v>5</x:v>
      </x:c>
      <x:c r="AM280"/>
      <x:c r="AN280" t="n">
        <x:f>IF(('Quantification_Results'!AK280&lt;&gt;1),"",IF(('Quantification_Results'!AM280=""),IF(ISNUMBER('Quantification_Results'!AL280),IF(('Quantification_Results'!AL280&lt;'Quantification_Config'!$S$15),"",IF(('Quantification_Results'!AL280&gt;'Quantification_Config'!$T$15),"",'Quantification_Results'!AL280)),""),IF(ISNUMBER('Quantification_Results'!AM280),IF(('Quantification_Results'!AM280&lt;'Quantification_Config'!$S$15),"",IF(('Quantification_Results'!AM280&gt;'Quantification_Config'!$T$15),"",'Quantification_Results'!AM280)),"")))</x:f>
        <x:v>5</x:v>
      </x:c>
      <x:c r="AO280" t="n">
        <x:f>IF(ISNUMBER('Quantification_Results'!AN280),IFERROR(ROUND(((('Quantification_Results'!AN280-'Quantification_Config'!$S$15)/('Quantification_Config'!$T$15-'Quantification_Config'!$S$15))*100),'Quantification_Config'!$U$2),""),"")</x:f>
        <x:v>50</x:v>
      </x:c>
      <x:c r="AP280" t="inlineStr">
        <x:is>
          <x:t xml:space="preserve">SYSTEM-TEST-ONLY-NO-NETWORK-NOT-AN-EDUCATIONAL-EVALUATION</x:t>
        </x:is>
      </x:c>
      <x:c r="AQ280" t="inlineStr">
        <x:is>
          <x:t xml:space="preserve"/>
        </x:is>
      </x:c>
      <x:c r="AR280" t="inlineStr">
        <x:is>
          <x:t xml:space="preserve">NONE</x:t>
        </x:is>
      </x:c>
      <x:c r="AS280" t="inlineStr">
        <x:is>
          <x:t xml:space="preserve"/>
        </x:is>
      </x:c>
      <x:c r="AT280" t="inlineStr">
        <x:is>
          <x:t xml:space="preserve">SUCCESS</x:t>
        </x:is>
      </x:c>
      <x:c r="AU280" t="n">
        <x:f>IF((COUNT('Quantification_Results'!AO280)=1),IFERROR(ROUND((SUM(('Quantification_Results'!AO280*'Quantification_Config'!$R$15))/SUM('Quantification_Config'!$R$15)),'Quantification_Config'!$U$2),""),"")</x:f>
        <x:v>50</x:v>
      </x:c>
      <x:c r="AV280" t="n">
        <x:f>IF((COUNT('Quantification_Results'!AU280)=1),IFERROR(ROUND((SUM(('Quantification_Results'!AU280*'Quantification_Config'!$R$14))/SUM('Quantification_Config'!$R$14)),'Quantification_Config'!$U$2),""),"")</x:f>
        <x:v>50</x:v>
      </x:c>
      <x:c r="AW280" t="n">
        <x:v>1</x:v>
      </x:c>
      <x:c r="AX280" t="n">
        <x:v>5</x:v>
      </x:c>
      <x:c r="AY280"/>
      <x:c r="AZ280" t="n">
        <x:f>IF(('Quantification_Results'!AW280&lt;&gt;1),"",IF(('Quantification_Results'!AY280=""),IF(ISNUMBER('Quantification_Results'!AX280),IF(('Quantification_Results'!AX280&lt;'Quantification_Config'!$S$19),"",IF(('Quantification_Results'!AX280&gt;'Quantification_Config'!$T$19),"",'Quantification_Results'!AX280)),""),IF(ISNUMBER('Quantification_Results'!AY280),IF(('Quantification_Results'!AY280&lt;'Quantification_Config'!$S$19),"",IF(('Quantification_Results'!AY280&gt;'Quantification_Config'!$T$19),"",'Quantification_Results'!AY280)),"")))</x:f>
        <x:v>5</x:v>
      </x:c>
      <x:c r="BA280" t="n">
        <x:f>IF(ISNUMBER('Quantification_Results'!AZ280),IFERROR(ROUND(((('Quantification_Results'!AZ280-'Quantification_Config'!$S$19)/('Quantification_Config'!$T$19-'Quantification_Config'!$S$19))*100),'Quantification_Config'!$U$2),""),"")</x:f>
        <x:v>50</x:v>
      </x:c>
      <x:c r="BB280" t="inlineStr">
        <x:is>
          <x:t xml:space="preserve">SYSTEM-TEST-ONLY-NO-NETWORK-NOT-AN-EDUCATIONAL-EVALUATION</x:t>
        </x:is>
      </x:c>
      <x:c r="BC280" t="inlineStr">
        <x:is>
          <x:t xml:space="preserve"/>
        </x:is>
      </x:c>
      <x:c r="BD280" t="inlineStr">
        <x:is>
          <x:t xml:space="preserve">NONE</x:t>
        </x:is>
      </x:c>
      <x:c r="BE280" t="inlineStr">
        <x:is>
          <x:t xml:space="preserve"/>
        </x:is>
      </x:c>
      <x:c r="BF280" t="inlineStr">
        <x:is>
          <x:t xml:space="preserve">SUCCESS</x:t>
        </x:is>
      </x:c>
      <x:c r="BG280" t="n">
        <x:f>IF((COUNT('Quantification_Results'!BA280)=1),IFERROR(ROUND((SUM(('Quantification_Results'!BA280*'Quantification_Config'!$R$19))/SUM('Quantification_Config'!$R$19)),'Quantification_Config'!$U$2),""),"")</x:f>
        <x:v>50</x:v>
      </x:c>
      <x:c r="BH280" t="n">
        <x:f>IF((COUNT('Quantification_Results'!BG280)=1),IFERROR(ROUND((SUM(('Quantification_Results'!BG280*'Quantification_Config'!$R$18))/SUM('Quantification_Config'!$R$18)),'Quantification_Config'!$U$2),""),"")</x:f>
        <x:v>50</x:v>
      </x:c>
      <x:c r="BI280" t="n">
        <x:f>IF((COUNT('Quantification_Results'!L280,'Quantification_Results'!X280,'Quantification_Results'!AJ280,'Quantification_Results'!AV280,'Quantification_Results'!BH280)=5),IFERROR(ROUND((SUM(('Quantification_Results'!L280*'Quantification_Config'!$R$4),('Quantification_Results'!X280*'Quantification_Config'!$R$7),('Quantification_Results'!AJ280*'Quantification_Config'!$R$10),('Quantification_Results'!AV280*'Quantification_Config'!$R$13),('Quantification_Results'!BH280*'Quantification_Config'!$R$16))/SUM('Quantification_Config'!$R$4,'Quantification_Config'!$R$7,'Quantification_Config'!$R$10,'Quantification_Config'!$R$13,'Quantification_Config'!$R$16)),'Quantification_Config'!$U$2),""),"")</x:f>
        <x:v>50</x:v>
      </x:c>
    </x:row>
    <x:row r="281">
      <x:c r="A281" t="n">
        <x:v>1</x:v>
      </x:c>
      <x:c r="B281" t="n">
        <x:v>5</x:v>
      </x:c>
      <x:c r="C281"/>
      <x:c r="D281" t="n">
        <x:f>IF(('Quantification_Results'!A281&lt;&gt;1),"",IF(('Quantification_Results'!C281=""),IF(ISNUMBER('Quantification_Results'!B281),IF(('Quantification_Results'!B281&lt;'Quantification_Config'!$S$6),"",IF(('Quantification_Results'!B281&gt;'Quantification_Config'!$T$6),"",'Quantification_Results'!B281)),""),IF(ISNUMBER('Quantification_Results'!C281),IF(('Quantification_Results'!C281&lt;'Quantification_Config'!$S$6),"",IF(('Quantification_Results'!C281&gt;'Quantification_Config'!$T$6),"",'Quantification_Results'!C281)),"")))</x:f>
        <x:v>5</x:v>
      </x:c>
      <x:c r="E281" t="n">
        <x:f>IF(ISNUMBER('Quantification_Results'!D281),IFERROR(ROUND(((('Quantification_Results'!D281-'Quantification_Config'!$S$6)/('Quantification_Config'!$T$6-'Quantification_Config'!$S$6))*100),'Quantification_Config'!$U$2),""),"")</x:f>
        <x:v>50</x:v>
      </x:c>
      <x:c r="F281" t="inlineStr">
        <x:is>
          <x:t xml:space="preserve">SYSTEM-TEST-ONLY-NO-NETWORK-NOT-AN-EDUCATIONAL-EVALUATION</x:t>
        </x:is>
      </x:c>
      <x:c r="G281" t="inlineStr">
        <x:is>
          <x:t xml:space="preserve"/>
        </x:is>
      </x:c>
      <x:c r="H281" t="inlineStr">
        <x:is>
          <x:t xml:space="preserve">NONE</x:t>
        </x:is>
      </x:c>
      <x:c r="I281" t="inlineStr">
        <x:is>
          <x:t xml:space="preserve"/>
        </x:is>
      </x:c>
      <x:c r="J281" t="inlineStr">
        <x:is>
          <x:t xml:space="preserve">SUCCESS</x:t>
        </x:is>
      </x:c>
      <x:c r="K281" t="n">
        <x:f>IF((COUNT('Quantification_Results'!E281)=1),IFERROR(ROUND((SUM(('Quantification_Results'!E281*'Quantification_Config'!$R$6))/SUM('Quantification_Config'!$R$6)),'Quantification_Config'!$U$2),""),"")</x:f>
        <x:v>50</x:v>
      </x:c>
      <x:c r="L281" t="n">
        <x:f>IF((COUNT('Quantification_Results'!K281)=1),IFERROR(ROUND((SUM(('Quantification_Results'!K281*'Quantification_Config'!$R$5))/SUM('Quantification_Config'!$R$5)),'Quantification_Config'!$U$2),""),"")</x:f>
        <x:v>50</x:v>
      </x:c>
      <x:c r="M281" t="n">
        <x:v>1</x:v>
      </x:c>
      <x:c r="N281" t="n">
        <x:v>5</x:v>
      </x:c>
      <x:c r="O281"/>
      <x:c r="P281" t="n">
        <x:f>IF(('Quantification_Results'!M281&lt;&gt;1),"",IF(('Quantification_Results'!O281=""),IF(ISNUMBER('Quantification_Results'!N281),IF(('Quantification_Results'!N281&lt;'Quantification_Config'!$S$9),"",IF(('Quantification_Results'!N281&gt;'Quantification_Config'!$T$9),"",'Quantification_Results'!N281)),""),IF(ISNUMBER('Quantification_Results'!O281),IF(('Quantification_Results'!O281&lt;'Quantification_Config'!$S$9),"",IF(('Quantification_Results'!O281&gt;'Quantification_Config'!$T$9),"",'Quantification_Results'!O281)),"")))</x:f>
        <x:v>5</x:v>
      </x:c>
      <x:c r="Q281" t="n">
        <x:f>IF(ISNUMBER('Quantification_Results'!P281),IFERROR(ROUND(((('Quantification_Results'!P281-'Quantification_Config'!$S$9)/('Quantification_Config'!$T$9-'Quantification_Config'!$S$9))*100),'Quantification_Config'!$U$2),""),"")</x:f>
        <x:v>50</x:v>
      </x:c>
      <x:c r="R281" t="inlineStr">
        <x:is>
          <x:t xml:space="preserve">SYSTEM-TEST-ONLY-NO-NETWORK-NOT-AN-EDUCATIONAL-EVALUATION</x:t>
        </x:is>
      </x:c>
      <x:c r="S281" t="inlineStr">
        <x:is>
          <x:t xml:space="preserve"/>
        </x:is>
      </x:c>
      <x:c r="T281" t="inlineStr">
        <x:is>
          <x:t xml:space="preserve">NONE</x:t>
        </x:is>
      </x:c>
      <x:c r="U281" t="inlineStr">
        <x:is>
          <x:t xml:space="preserve"/>
        </x:is>
      </x:c>
      <x:c r="V281" t="inlineStr">
        <x:is>
          <x:t xml:space="preserve">SUCCESS</x:t>
        </x:is>
      </x:c>
      <x:c r="W281" t="n">
        <x:f>IF((COUNT('Quantification_Results'!Q281)=1),IFERROR(ROUND((SUM(('Quantification_Results'!Q281*'Quantification_Config'!$R$9))/SUM('Quantification_Config'!$R$9)),'Quantification_Config'!$U$2),""),"")</x:f>
        <x:v>50</x:v>
      </x:c>
      <x:c r="X281" t="n">
        <x:f>IF((COUNT('Quantification_Results'!W281)=1),IFERROR(ROUND((SUM(('Quantification_Results'!W281*'Quantification_Config'!$R$8))/SUM('Quantification_Config'!$R$8)),'Quantification_Config'!$U$2),""),"")</x:f>
        <x:v>50</x:v>
      </x:c>
      <x:c r="Y281" t="n">
        <x:v>0</x:v>
      </x:c>
      <x:c r="Z281"/>
      <x:c r="AA281"/>
      <x:c r="AB281">
        <x:f>IF(('Quantification_Results'!Y281&lt;&gt;1),"",IF(('Quantification_Results'!AA281=""),IF(ISNUMBER('Quantification_Results'!Z281),IF(('Quantification_Results'!Z281&lt;'Quantification_Config'!$S$12),"",IF(('Quantification_Results'!Z281&gt;'Quantification_Config'!$T$12),"",'Quantification_Results'!Z281)),""),IF(ISNUMBER('Quantification_Results'!AA281),IF(('Quantification_Results'!AA281&lt;'Quantification_Config'!$S$12),"",IF(('Quantification_Results'!AA281&gt;'Quantification_Config'!$T$12),"",'Quantification_Results'!AA281)),"")))</x:f>
      </x:c>
      <x:c r="AC281">
        <x:f>IF(ISNUMBER('Quantification_Results'!AB281),IFERROR(ROUND(((('Quantification_Results'!AB281-'Quantification_Config'!$S$12)/('Quantification_Config'!$T$12-'Quantification_Config'!$S$12))*100),'Quantification_Config'!$U$2),""),"")</x:f>
      </x:c>
      <x:c r="AD281" t="inlineStr">
        <x:is>
          <x:t xml:space="preserve"/>
        </x:is>
      </x:c>
      <x:c r="AE281" t="inlineStr">
        <x:is>
          <x:t xml:space="preserve"/>
        </x:is>
      </x:c>
      <x:c r="AF281" t="inlineStr">
        <x:is>
          <x:t xml:space="preserve"/>
        </x:is>
      </x:c>
      <x:c r="AG281" t="inlineStr">
        <x:is>
          <x:t xml:space="preserve"/>
        </x:is>
      </x:c>
      <x:c r="AH281" t="inlineStr">
        <x:is>
          <x:t xml:space="preserve">EMPTY</x:t>
        </x:is>
      </x:c>
      <x:c r="AI281">
        <x:f>IF((COUNT('Quantification_Results'!AC281)=1),IFERROR(ROUND((SUM(('Quantification_Results'!AC281*'Quantification_Config'!$R$12))/SUM('Quantification_Config'!$R$12)),'Quantification_Config'!$U$2),""),"")</x:f>
      </x:c>
      <x:c r="AJ281">
        <x:f>IF((COUNT('Quantification_Results'!AI281)=1),IFERROR(ROUND((SUM(('Quantification_Results'!AI281*'Quantification_Config'!$R$11))/SUM('Quantification_Config'!$R$11)),'Quantification_Config'!$U$2),""),"")</x:f>
      </x:c>
      <x:c r="AK281" t="n">
        <x:v>1</x:v>
      </x:c>
      <x:c r="AL281" t="n">
        <x:v>5</x:v>
      </x:c>
      <x:c r="AM281"/>
      <x:c r="AN281" t="n">
        <x:f>IF(('Quantification_Results'!AK281&lt;&gt;1),"",IF(('Quantification_Results'!AM281=""),IF(ISNUMBER('Quantification_Results'!AL281),IF(('Quantification_Results'!AL281&lt;'Quantification_Config'!$S$15),"",IF(('Quantification_Results'!AL281&gt;'Quantification_Config'!$T$15),"",'Quantification_Results'!AL281)),""),IF(ISNUMBER('Quantification_Results'!AM281),IF(('Quantification_Results'!AM281&lt;'Quantification_Config'!$S$15),"",IF(('Quantification_Results'!AM281&gt;'Quantification_Config'!$T$15),"",'Quantification_Results'!AM281)),"")))</x:f>
        <x:v>5</x:v>
      </x:c>
      <x:c r="AO281" t="n">
        <x:f>IF(ISNUMBER('Quantification_Results'!AN281),IFERROR(ROUND(((('Quantification_Results'!AN281-'Quantification_Config'!$S$15)/('Quantification_Config'!$T$15-'Quantification_Config'!$S$15))*100),'Quantification_Config'!$U$2),""),"")</x:f>
        <x:v>50</x:v>
      </x:c>
      <x:c r="AP281" t="inlineStr">
        <x:is>
          <x:t xml:space="preserve">SYSTEM-TEST-ONLY-NO-NETWORK-NOT-AN-EDUCATIONAL-EVALUATION</x:t>
        </x:is>
      </x:c>
      <x:c r="AQ281" t="inlineStr">
        <x:is>
          <x:t xml:space="preserve"/>
        </x:is>
      </x:c>
      <x:c r="AR281" t="inlineStr">
        <x:is>
          <x:t xml:space="preserve">NONE</x:t>
        </x:is>
      </x:c>
      <x:c r="AS281" t="inlineStr">
        <x:is>
          <x:t xml:space="preserve"/>
        </x:is>
      </x:c>
      <x:c r="AT281" t="inlineStr">
        <x:is>
          <x:t xml:space="preserve">SUCCESS</x:t>
        </x:is>
      </x:c>
      <x:c r="AU281" t="n">
        <x:f>IF((COUNT('Quantification_Results'!AO281)=1),IFERROR(ROUND((SUM(('Quantification_Results'!AO281*'Quantification_Config'!$R$15))/SUM('Quantification_Config'!$R$15)),'Quantification_Config'!$U$2),""),"")</x:f>
        <x:v>50</x:v>
      </x:c>
      <x:c r="AV281" t="n">
        <x:f>IF((COUNT('Quantification_Results'!AU281)=1),IFERROR(ROUND((SUM(('Quantification_Results'!AU281*'Quantification_Config'!$R$14))/SUM('Quantification_Config'!$R$14)),'Quantification_Config'!$U$2),""),"")</x:f>
        <x:v>50</x:v>
      </x:c>
      <x:c r="AW281" t="n">
        <x:v>1</x:v>
      </x:c>
      <x:c r="AX281" t="n">
        <x:v>5</x:v>
      </x:c>
      <x:c r="AY281"/>
      <x:c r="AZ281" t="n">
        <x:f>IF(('Quantification_Results'!AW281&lt;&gt;1),"",IF(('Quantification_Results'!AY281=""),IF(ISNUMBER('Quantification_Results'!AX281),IF(('Quantification_Results'!AX281&lt;'Quantification_Config'!$S$19),"",IF(('Quantification_Results'!AX281&gt;'Quantification_Config'!$T$19),"",'Quantification_Results'!AX281)),""),IF(ISNUMBER('Quantification_Results'!AY281),IF(('Quantification_Results'!AY281&lt;'Quantification_Config'!$S$19),"",IF(('Quantification_Results'!AY281&gt;'Quantification_Config'!$T$19),"",'Quantification_Results'!AY281)),"")))</x:f>
        <x:v>5</x:v>
      </x:c>
      <x:c r="BA281" t="n">
        <x:f>IF(ISNUMBER('Quantification_Results'!AZ281),IFERROR(ROUND(((('Quantification_Results'!AZ281-'Quantification_Config'!$S$19)/('Quantification_Config'!$T$19-'Quantification_Config'!$S$19))*100),'Quantification_Config'!$U$2),""),"")</x:f>
        <x:v>50</x:v>
      </x:c>
      <x:c r="BB281" t="inlineStr">
        <x:is>
          <x:t xml:space="preserve">SYSTEM-TEST-ONLY-NO-NETWORK-NOT-AN-EDUCATIONAL-EVALUATION</x:t>
        </x:is>
      </x:c>
      <x:c r="BC281" t="inlineStr">
        <x:is>
          <x:t xml:space="preserve"/>
        </x:is>
      </x:c>
      <x:c r="BD281" t="inlineStr">
        <x:is>
          <x:t xml:space="preserve">NONE</x:t>
        </x:is>
      </x:c>
      <x:c r="BE281" t="inlineStr">
        <x:is>
          <x:t xml:space="preserve"/>
        </x:is>
      </x:c>
      <x:c r="BF281" t="inlineStr">
        <x:is>
          <x:t xml:space="preserve">SUCCESS</x:t>
        </x:is>
      </x:c>
      <x:c r="BG281" t="n">
        <x:f>IF((COUNT('Quantification_Results'!BA281)=1),IFERROR(ROUND((SUM(('Quantification_Results'!BA281*'Quantification_Config'!$R$19))/SUM('Quantification_Config'!$R$19)),'Quantification_Config'!$U$2),""),"")</x:f>
        <x:v>50</x:v>
      </x:c>
      <x:c r="BH281" t="n">
        <x:f>IF((COUNT('Quantification_Results'!BG281)=1),IFERROR(ROUND((SUM(('Quantification_Results'!BG281*'Quantification_Config'!$R$18))/SUM('Quantification_Config'!$R$18)),'Quantification_Config'!$U$2),""),"")</x:f>
        <x:v>50</x:v>
      </x:c>
      <x:c r="BI281">
        <x:f>IF((COUNT('Quantification_Results'!L281,'Quantification_Results'!X281,'Quantification_Results'!AJ281,'Quantification_Results'!AV281,'Quantification_Results'!BH281)=5),IFERROR(ROUND((SUM(('Quantification_Results'!L281*'Quantification_Config'!$R$4),('Quantification_Results'!X281*'Quantification_Config'!$R$7),('Quantification_Results'!AJ281*'Quantification_Config'!$R$10),('Quantification_Results'!AV281*'Quantification_Config'!$R$13),('Quantification_Results'!BH281*'Quantification_Config'!$R$16))/SUM('Quantification_Config'!$R$4,'Quantification_Config'!$R$7,'Quantification_Config'!$R$10,'Quantification_Config'!$R$13,'Quantification_Config'!$R$16)),'Quantification_Config'!$U$2),""),"")</x:f>
      </x:c>
    </x:row>
    <x:row r="282">
      <x:c r="A282" t="n">
        <x:v>1</x:v>
      </x:c>
      <x:c r="B282" t="n">
        <x:v>5</x:v>
      </x:c>
      <x:c r="C282"/>
      <x:c r="D282" t="n">
        <x:f>IF(('Quantification_Results'!A282&lt;&gt;1),"",IF(('Quantification_Results'!C282=""),IF(ISNUMBER('Quantification_Results'!B282),IF(('Quantification_Results'!B282&lt;'Quantification_Config'!$S$6),"",IF(('Quantification_Results'!B282&gt;'Quantification_Config'!$T$6),"",'Quantification_Results'!B282)),""),IF(ISNUMBER('Quantification_Results'!C282),IF(('Quantification_Results'!C282&lt;'Quantification_Config'!$S$6),"",IF(('Quantification_Results'!C282&gt;'Quantification_Config'!$T$6),"",'Quantification_Results'!C282)),"")))</x:f>
        <x:v>5</x:v>
      </x:c>
      <x:c r="E282" t="n">
        <x:f>IF(ISNUMBER('Quantification_Results'!D282),IFERROR(ROUND(((('Quantification_Results'!D282-'Quantification_Config'!$S$6)/('Quantification_Config'!$T$6-'Quantification_Config'!$S$6))*100),'Quantification_Config'!$U$2),""),"")</x:f>
        <x:v>50</x:v>
      </x:c>
      <x:c r="F282" t="inlineStr">
        <x:is>
          <x:t xml:space="preserve">SYSTEM-TEST-ONLY-NO-NETWORK-NOT-AN-EDUCATIONAL-EVALUATION</x:t>
        </x:is>
      </x:c>
      <x:c r="G282" t="inlineStr">
        <x:is>
          <x:t xml:space="preserve"/>
        </x:is>
      </x:c>
      <x:c r="H282" t="inlineStr">
        <x:is>
          <x:t xml:space="preserve">NONE</x:t>
        </x:is>
      </x:c>
      <x:c r="I282" t="inlineStr">
        <x:is>
          <x:t xml:space="preserve"/>
        </x:is>
      </x:c>
      <x:c r="J282" t="inlineStr">
        <x:is>
          <x:t xml:space="preserve">SUCCESS</x:t>
        </x:is>
      </x:c>
      <x:c r="K282" t="n">
        <x:f>IF((COUNT('Quantification_Results'!E282)=1),IFERROR(ROUND((SUM(('Quantification_Results'!E282*'Quantification_Config'!$R$6))/SUM('Quantification_Config'!$R$6)),'Quantification_Config'!$U$2),""),"")</x:f>
        <x:v>50</x:v>
      </x:c>
      <x:c r="L282" t="n">
        <x:f>IF((COUNT('Quantification_Results'!K282)=1),IFERROR(ROUND((SUM(('Quantification_Results'!K282*'Quantification_Config'!$R$5))/SUM('Quantification_Config'!$R$5)),'Quantification_Config'!$U$2),""),"")</x:f>
        <x:v>50</x:v>
      </x:c>
      <x:c r="M282" t="n">
        <x:v>1</x:v>
      </x:c>
      <x:c r="N282" t="n">
        <x:v>5</x:v>
      </x:c>
      <x:c r="O282"/>
      <x:c r="P282" t="n">
        <x:f>IF(('Quantification_Results'!M282&lt;&gt;1),"",IF(('Quantification_Results'!O282=""),IF(ISNUMBER('Quantification_Results'!N282),IF(('Quantification_Results'!N282&lt;'Quantification_Config'!$S$9),"",IF(('Quantification_Results'!N282&gt;'Quantification_Config'!$T$9),"",'Quantification_Results'!N282)),""),IF(ISNUMBER('Quantification_Results'!O282),IF(('Quantification_Results'!O282&lt;'Quantification_Config'!$S$9),"",IF(('Quantification_Results'!O282&gt;'Quantification_Config'!$T$9),"",'Quantification_Results'!O282)),"")))</x:f>
        <x:v>5</x:v>
      </x:c>
      <x:c r="Q282" t="n">
        <x:f>IF(ISNUMBER('Quantification_Results'!P282),IFERROR(ROUND(((('Quantification_Results'!P282-'Quantification_Config'!$S$9)/('Quantification_Config'!$T$9-'Quantification_Config'!$S$9))*100),'Quantification_Config'!$U$2),""),"")</x:f>
        <x:v>50</x:v>
      </x:c>
      <x:c r="R282" t="inlineStr">
        <x:is>
          <x:t xml:space="preserve">SYSTEM-TEST-ONLY-NO-NETWORK-NOT-AN-EDUCATIONAL-EVALUATION</x:t>
        </x:is>
      </x:c>
      <x:c r="S282" t="inlineStr">
        <x:is>
          <x:t xml:space="preserve"/>
        </x:is>
      </x:c>
      <x:c r="T282" t="inlineStr">
        <x:is>
          <x:t xml:space="preserve">NONE</x:t>
        </x:is>
      </x:c>
      <x:c r="U282" t="inlineStr">
        <x:is>
          <x:t xml:space="preserve"/>
        </x:is>
      </x:c>
      <x:c r="V282" t="inlineStr">
        <x:is>
          <x:t xml:space="preserve">SUCCESS</x:t>
        </x:is>
      </x:c>
      <x:c r="W282" t="n">
        <x:f>IF((COUNT('Quantification_Results'!Q282)=1),IFERROR(ROUND((SUM(('Quantification_Results'!Q282*'Quantification_Config'!$R$9))/SUM('Quantification_Config'!$R$9)),'Quantification_Config'!$U$2),""),"")</x:f>
        <x:v>50</x:v>
      </x:c>
      <x:c r="X282" t="n">
        <x:f>IF((COUNT('Quantification_Results'!W282)=1),IFERROR(ROUND((SUM(('Quantification_Results'!W282*'Quantification_Config'!$R$8))/SUM('Quantification_Config'!$R$8)),'Quantification_Config'!$U$2),""),"")</x:f>
        <x:v>50</x:v>
      </x:c>
      <x:c r="Y282" t="n">
        <x:v>1</x:v>
      </x:c>
      <x:c r="Z282" t="n">
        <x:v>5</x:v>
      </x:c>
      <x:c r="AA282"/>
      <x:c r="AB282" t="n">
        <x:f>IF(('Quantification_Results'!Y282&lt;&gt;1),"",IF(('Quantification_Results'!AA282=""),IF(ISNUMBER('Quantification_Results'!Z282),IF(('Quantification_Results'!Z282&lt;'Quantification_Config'!$S$12),"",IF(('Quantification_Results'!Z282&gt;'Quantification_Config'!$T$12),"",'Quantification_Results'!Z282)),""),IF(ISNUMBER('Quantification_Results'!AA282),IF(('Quantification_Results'!AA282&lt;'Quantification_Config'!$S$12),"",IF(('Quantification_Results'!AA282&gt;'Quantification_Config'!$T$12),"",'Quantification_Results'!AA282)),"")))</x:f>
        <x:v>5</x:v>
      </x:c>
      <x:c r="AC282" t="n">
        <x:f>IF(ISNUMBER('Quantification_Results'!AB282),IFERROR(ROUND(((('Quantification_Results'!AB282-'Quantification_Config'!$S$12)/('Quantification_Config'!$T$12-'Quantification_Config'!$S$12))*100),'Quantification_Config'!$U$2),""),"")</x:f>
        <x:v>50</x:v>
      </x:c>
      <x:c r="AD282" t="inlineStr">
        <x:is>
          <x:t xml:space="preserve">SYSTEM-TEST-ONLY-NO-NETWORK-NOT-AN-EDUCATIONAL-EVALUATION</x:t>
        </x:is>
      </x:c>
      <x:c r="AE282" t="inlineStr">
        <x:is>
          <x:t xml:space="preserve"/>
        </x:is>
      </x:c>
      <x:c r="AF282" t="inlineStr">
        <x:is>
          <x:t xml:space="preserve">NONE</x:t>
        </x:is>
      </x:c>
      <x:c r="AG282" t="inlineStr">
        <x:is>
          <x:t xml:space="preserve"/>
        </x:is>
      </x:c>
      <x:c r="AH282" t="inlineStr">
        <x:is>
          <x:t xml:space="preserve">SUCCESS</x:t>
        </x:is>
      </x:c>
      <x:c r="AI282" t="n">
        <x:f>IF((COUNT('Quantification_Results'!AC282)=1),IFERROR(ROUND((SUM(('Quantification_Results'!AC282*'Quantification_Config'!$R$12))/SUM('Quantification_Config'!$R$12)),'Quantification_Config'!$U$2),""),"")</x:f>
        <x:v>50</x:v>
      </x:c>
      <x:c r="AJ282" t="n">
        <x:f>IF((COUNT('Quantification_Results'!AI282)=1),IFERROR(ROUND((SUM(('Quantification_Results'!AI282*'Quantification_Config'!$R$11))/SUM('Quantification_Config'!$R$11)),'Quantification_Config'!$U$2),""),"")</x:f>
        <x:v>50</x:v>
      </x:c>
      <x:c r="AK282" t="n">
        <x:v>1</x:v>
      </x:c>
      <x:c r="AL282" t="n">
        <x:v>5</x:v>
      </x:c>
      <x:c r="AM282"/>
      <x:c r="AN282" t="n">
        <x:f>IF(('Quantification_Results'!AK282&lt;&gt;1),"",IF(('Quantification_Results'!AM282=""),IF(ISNUMBER('Quantification_Results'!AL282),IF(('Quantification_Results'!AL282&lt;'Quantification_Config'!$S$15),"",IF(('Quantification_Results'!AL282&gt;'Quantification_Config'!$T$15),"",'Quantification_Results'!AL282)),""),IF(ISNUMBER('Quantification_Results'!AM282),IF(('Quantification_Results'!AM282&lt;'Quantification_Config'!$S$15),"",IF(('Quantification_Results'!AM282&gt;'Quantification_Config'!$T$15),"",'Quantification_Results'!AM282)),"")))</x:f>
        <x:v>5</x:v>
      </x:c>
      <x:c r="AO282" t="n">
        <x:f>IF(ISNUMBER('Quantification_Results'!AN282),IFERROR(ROUND(((('Quantification_Results'!AN282-'Quantification_Config'!$S$15)/('Quantification_Config'!$T$15-'Quantification_Config'!$S$15))*100),'Quantification_Config'!$U$2),""),"")</x:f>
        <x:v>50</x:v>
      </x:c>
      <x:c r="AP282" t="inlineStr">
        <x:is>
          <x:t xml:space="preserve">SYSTEM-TEST-ONLY-NO-NETWORK-NOT-AN-EDUCATIONAL-EVALUATION</x:t>
        </x:is>
      </x:c>
      <x:c r="AQ282" t="inlineStr">
        <x:is>
          <x:t xml:space="preserve"/>
        </x:is>
      </x:c>
      <x:c r="AR282" t="inlineStr">
        <x:is>
          <x:t xml:space="preserve">NONE</x:t>
        </x:is>
      </x:c>
      <x:c r="AS282" t="inlineStr">
        <x:is>
          <x:t xml:space="preserve"/>
        </x:is>
      </x:c>
      <x:c r="AT282" t="inlineStr">
        <x:is>
          <x:t xml:space="preserve">SUCCESS</x:t>
        </x:is>
      </x:c>
      <x:c r="AU282" t="n">
        <x:f>IF((COUNT('Quantification_Results'!AO282)=1),IFERROR(ROUND((SUM(('Quantification_Results'!AO282*'Quantification_Config'!$R$15))/SUM('Quantification_Config'!$R$15)),'Quantification_Config'!$U$2),""),"")</x:f>
        <x:v>50</x:v>
      </x:c>
      <x:c r="AV282" t="n">
        <x:f>IF((COUNT('Quantification_Results'!AU282)=1),IFERROR(ROUND((SUM(('Quantification_Results'!AU282*'Quantification_Config'!$R$14))/SUM('Quantification_Config'!$R$14)),'Quantification_Config'!$U$2),""),"")</x:f>
        <x:v>50</x:v>
      </x:c>
      <x:c r="AW282" t="n">
        <x:v>1</x:v>
      </x:c>
      <x:c r="AX282" t="n">
        <x:v>5</x:v>
      </x:c>
      <x:c r="AY282"/>
      <x:c r="AZ282" t="n">
        <x:f>IF(('Quantification_Results'!AW282&lt;&gt;1),"",IF(('Quantification_Results'!AY282=""),IF(ISNUMBER('Quantification_Results'!AX282),IF(('Quantification_Results'!AX282&lt;'Quantification_Config'!$S$19),"",IF(('Quantification_Results'!AX282&gt;'Quantification_Config'!$T$19),"",'Quantification_Results'!AX282)),""),IF(ISNUMBER('Quantification_Results'!AY282),IF(('Quantification_Results'!AY282&lt;'Quantification_Config'!$S$19),"",IF(('Quantification_Results'!AY282&gt;'Quantification_Config'!$T$19),"",'Quantification_Results'!AY282)),"")))</x:f>
        <x:v>5</x:v>
      </x:c>
      <x:c r="BA282" t="n">
        <x:f>IF(ISNUMBER('Quantification_Results'!AZ282),IFERROR(ROUND(((('Quantification_Results'!AZ282-'Quantification_Config'!$S$19)/('Quantification_Config'!$T$19-'Quantification_Config'!$S$19))*100),'Quantification_Config'!$U$2),""),"")</x:f>
        <x:v>50</x:v>
      </x:c>
      <x:c r="BB282" t="inlineStr">
        <x:is>
          <x:t xml:space="preserve">SYSTEM-TEST-ONLY-NO-NETWORK-NOT-AN-EDUCATIONAL-EVALUATION</x:t>
        </x:is>
      </x:c>
      <x:c r="BC282" t="inlineStr">
        <x:is>
          <x:t xml:space="preserve"/>
        </x:is>
      </x:c>
      <x:c r="BD282" t="inlineStr">
        <x:is>
          <x:t xml:space="preserve">NONE</x:t>
        </x:is>
      </x:c>
      <x:c r="BE282" t="inlineStr">
        <x:is>
          <x:t xml:space="preserve"/>
        </x:is>
      </x:c>
      <x:c r="BF282" t="inlineStr">
        <x:is>
          <x:t xml:space="preserve">SUCCESS</x:t>
        </x:is>
      </x:c>
      <x:c r="BG282" t="n">
        <x:f>IF((COUNT('Quantification_Results'!BA282)=1),IFERROR(ROUND((SUM(('Quantification_Results'!BA282*'Quantification_Config'!$R$19))/SUM('Quantification_Config'!$R$19)),'Quantification_Config'!$U$2),""),"")</x:f>
        <x:v>50</x:v>
      </x:c>
      <x:c r="BH282" t="n">
        <x:f>IF((COUNT('Quantification_Results'!BG282)=1),IFERROR(ROUND((SUM(('Quantification_Results'!BG282*'Quantification_Config'!$R$18))/SUM('Quantification_Config'!$R$18)),'Quantification_Config'!$U$2),""),"")</x:f>
        <x:v>50</x:v>
      </x:c>
      <x:c r="BI282" t="n">
        <x:f>IF((COUNT('Quantification_Results'!L282,'Quantification_Results'!X282,'Quantification_Results'!AJ282,'Quantification_Results'!AV282,'Quantification_Results'!BH282)=5),IFERROR(ROUND((SUM(('Quantification_Results'!L282*'Quantification_Config'!$R$4),('Quantification_Results'!X282*'Quantification_Config'!$R$7),('Quantification_Results'!AJ282*'Quantification_Config'!$R$10),('Quantification_Results'!AV282*'Quantification_Config'!$R$13),('Quantification_Results'!BH282*'Quantification_Config'!$R$16))/SUM('Quantification_Config'!$R$4,'Quantification_Config'!$R$7,'Quantification_Config'!$R$10,'Quantification_Config'!$R$13,'Quantification_Config'!$R$16)),'Quantification_Config'!$U$2),""),"")</x:f>
        <x:v>50</x:v>
      </x:c>
    </x:row>
    <x:row r="283">
      <x:c r="A283" t="n">
        <x:v>1</x:v>
      </x:c>
      <x:c r="B283" t="n">
        <x:v>5</x:v>
      </x:c>
      <x:c r="C283"/>
      <x:c r="D283" t="n">
        <x:f>IF(('Quantification_Results'!A283&lt;&gt;1),"",IF(('Quantification_Results'!C283=""),IF(ISNUMBER('Quantification_Results'!B283),IF(('Quantification_Results'!B283&lt;'Quantification_Config'!$S$6),"",IF(('Quantification_Results'!B283&gt;'Quantification_Config'!$T$6),"",'Quantification_Results'!B283)),""),IF(ISNUMBER('Quantification_Results'!C283),IF(('Quantification_Results'!C283&lt;'Quantification_Config'!$S$6),"",IF(('Quantification_Results'!C283&gt;'Quantification_Config'!$T$6),"",'Quantification_Results'!C283)),"")))</x:f>
        <x:v>5</x:v>
      </x:c>
      <x:c r="E283" t="n">
        <x:f>IF(ISNUMBER('Quantification_Results'!D283),IFERROR(ROUND(((('Quantification_Results'!D283-'Quantification_Config'!$S$6)/('Quantification_Config'!$T$6-'Quantification_Config'!$S$6))*100),'Quantification_Config'!$U$2),""),"")</x:f>
        <x:v>50</x:v>
      </x:c>
      <x:c r="F283" t="inlineStr">
        <x:is>
          <x:t xml:space="preserve">SYSTEM-TEST-ONLY-NO-NETWORK-NOT-AN-EDUCATIONAL-EVALUATION</x:t>
        </x:is>
      </x:c>
      <x:c r="G283" t="inlineStr">
        <x:is>
          <x:t xml:space="preserve"/>
        </x:is>
      </x:c>
      <x:c r="H283" t="inlineStr">
        <x:is>
          <x:t xml:space="preserve">NONE</x:t>
        </x:is>
      </x:c>
      <x:c r="I283" t="inlineStr">
        <x:is>
          <x:t xml:space="preserve"/>
        </x:is>
      </x:c>
      <x:c r="J283" t="inlineStr">
        <x:is>
          <x:t xml:space="preserve">SUCCESS</x:t>
        </x:is>
      </x:c>
      <x:c r="K283" t="n">
        <x:f>IF((COUNT('Quantification_Results'!E283)=1),IFERROR(ROUND((SUM(('Quantification_Results'!E283*'Quantification_Config'!$R$6))/SUM('Quantification_Config'!$R$6)),'Quantification_Config'!$U$2),""),"")</x:f>
        <x:v>50</x:v>
      </x:c>
      <x:c r="L283" t="n">
        <x:f>IF((COUNT('Quantification_Results'!K283)=1),IFERROR(ROUND((SUM(('Quantification_Results'!K283*'Quantification_Config'!$R$5))/SUM('Quantification_Config'!$R$5)),'Quantification_Config'!$U$2),""),"")</x:f>
        <x:v>50</x:v>
      </x:c>
      <x:c r="M283" t="n">
        <x:v>1</x:v>
      </x:c>
      <x:c r="N283" t="n">
        <x:v>5</x:v>
      </x:c>
      <x:c r="O283"/>
      <x:c r="P283" t="n">
        <x:f>IF(('Quantification_Results'!M283&lt;&gt;1),"",IF(('Quantification_Results'!O283=""),IF(ISNUMBER('Quantification_Results'!N283),IF(('Quantification_Results'!N283&lt;'Quantification_Config'!$S$9),"",IF(('Quantification_Results'!N283&gt;'Quantification_Config'!$T$9),"",'Quantification_Results'!N283)),""),IF(ISNUMBER('Quantification_Results'!O283),IF(('Quantification_Results'!O283&lt;'Quantification_Config'!$S$9),"",IF(('Quantification_Results'!O283&gt;'Quantification_Config'!$T$9),"",'Quantification_Results'!O283)),"")))</x:f>
        <x:v>5</x:v>
      </x:c>
      <x:c r="Q283" t="n">
        <x:f>IF(ISNUMBER('Quantification_Results'!P283),IFERROR(ROUND(((('Quantification_Results'!P283-'Quantification_Config'!$S$9)/('Quantification_Config'!$T$9-'Quantification_Config'!$S$9))*100),'Quantification_Config'!$U$2),""),"")</x:f>
        <x:v>50</x:v>
      </x:c>
      <x:c r="R283" t="inlineStr">
        <x:is>
          <x:t xml:space="preserve">SYSTEM-TEST-ONLY-NO-NETWORK-NOT-AN-EDUCATIONAL-EVALUATION</x:t>
        </x:is>
      </x:c>
      <x:c r="S283" t="inlineStr">
        <x:is>
          <x:t xml:space="preserve"/>
        </x:is>
      </x:c>
      <x:c r="T283" t="inlineStr">
        <x:is>
          <x:t xml:space="preserve">NONE</x:t>
        </x:is>
      </x:c>
      <x:c r="U283" t="inlineStr">
        <x:is>
          <x:t xml:space="preserve"/>
        </x:is>
      </x:c>
      <x:c r="V283" t="inlineStr">
        <x:is>
          <x:t xml:space="preserve">SUCCESS</x:t>
        </x:is>
      </x:c>
      <x:c r="W283" t="n">
        <x:f>IF((COUNT('Quantification_Results'!Q283)=1),IFERROR(ROUND((SUM(('Quantification_Results'!Q283*'Quantification_Config'!$R$9))/SUM('Quantification_Config'!$R$9)),'Quantification_Config'!$U$2),""),"")</x:f>
        <x:v>50</x:v>
      </x:c>
      <x:c r="X283" t="n">
        <x:f>IF((COUNT('Quantification_Results'!W283)=1),IFERROR(ROUND((SUM(('Quantification_Results'!W283*'Quantification_Config'!$R$8))/SUM('Quantification_Config'!$R$8)),'Quantification_Config'!$U$2),""),"")</x:f>
        <x:v>50</x:v>
      </x:c>
      <x:c r="Y283" t="n">
        <x:v>0</x:v>
      </x:c>
      <x:c r="Z283"/>
      <x:c r="AA283"/>
      <x:c r="AB283">
        <x:f>IF(('Quantification_Results'!Y283&lt;&gt;1),"",IF(('Quantification_Results'!AA283=""),IF(ISNUMBER('Quantification_Results'!Z283),IF(('Quantification_Results'!Z283&lt;'Quantification_Config'!$S$12),"",IF(('Quantification_Results'!Z283&gt;'Quantification_Config'!$T$12),"",'Quantification_Results'!Z283)),""),IF(ISNUMBER('Quantification_Results'!AA283),IF(('Quantification_Results'!AA283&lt;'Quantification_Config'!$S$12),"",IF(('Quantification_Results'!AA283&gt;'Quantification_Config'!$T$12),"",'Quantification_Results'!AA283)),"")))</x:f>
      </x:c>
      <x:c r="AC283">
        <x:f>IF(ISNUMBER('Quantification_Results'!AB283),IFERROR(ROUND(((('Quantification_Results'!AB283-'Quantification_Config'!$S$12)/('Quantification_Config'!$T$12-'Quantification_Config'!$S$12))*100),'Quantification_Config'!$U$2),""),"")</x:f>
      </x:c>
      <x:c r="AD283" t="inlineStr">
        <x:is>
          <x:t xml:space="preserve"/>
        </x:is>
      </x:c>
      <x:c r="AE283" t="inlineStr">
        <x:is>
          <x:t xml:space="preserve"/>
        </x:is>
      </x:c>
      <x:c r="AF283" t="inlineStr">
        <x:is>
          <x:t xml:space="preserve"/>
        </x:is>
      </x:c>
      <x:c r="AG283" t="inlineStr">
        <x:is>
          <x:t xml:space="preserve"/>
        </x:is>
      </x:c>
      <x:c r="AH283" t="inlineStr">
        <x:is>
          <x:t xml:space="preserve">EMPTY</x:t>
        </x:is>
      </x:c>
      <x:c r="AI283">
        <x:f>IF((COUNT('Quantification_Results'!AC283)=1),IFERROR(ROUND((SUM(('Quantification_Results'!AC283*'Quantification_Config'!$R$12))/SUM('Quantification_Config'!$R$12)),'Quantification_Config'!$U$2),""),"")</x:f>
      </x:c>
      <x:c r="AJ283">
        <x:f>IF((COUNT('Quantification_Results'!AI283)=1),IFERROR(ROUND((SUM(('Quantification_Results'!AI283*'Quantification_Config'!$R$11))/SUM('Quantification_Config'!$R$11)),'Quantification_Config'!$U$2),""),"")</x:f>
      </x:c>
      <x:c r="AK283" t="n">
        <x:v>1</x:v>
      </x:c>
      <x:c r="AL283" t="n">
        <x:v>5</x:v>
      </x:c>
      <x:c r="AM283"/>
      <x:c r="AN283" t="n">
        <x:f>IF(('Quantification_Results'!AK283&lt;&gt;1),"",IF(('Quantification_Results'!AM283=""),IF(ISNUMBER('Quantification_Results'!AL283),IF(('Quantification_Results'!AL283&lt;'Quantification_Config'!$S$15),"",IF(('Quantification_Results'!AL283&gt;'Quantification_Config'!$T$15),"",'Quantification_Results'!AL283)),""),IF(ISNUMBER('Quantification_Results'!AM283),IF(('Quantification_Results'!AM283&lt;'Quantification_Config'!$S$15),"",IF(('Quantification_Results'!AM283&gt;'Quantification_Config'!$T$15),"",'Quantification_Results'!AM283)),"")))</x:f>
        <x:v>5</x:v>
      </x:c>
      <x:c r="AO283" t="n">
        <x:f>IF(ISNUMBER('Quantification_Results'!AN283),IFERROR(ROUND(((('Quantification_Results'!AN283-'Quantification_Config'!$S$15)/('Quantification_Config'!$T$15-'Quantification_Config'!$S$15))*100),'Quantification_Config'!$U$2),""),"")</x:f>
        <x:v>50</x:v>
      </x:c>
      <x:c r="AP283" t="inlineStr">
        <x:is>
          <x:t xml:space="preserve">SYSTEM-TEST-ONLY-NO-NETWORK-NOT-AN-EDUCATIONAL-EVALUATION</x:t>
        </x:is>
      </x:c>
      <x:c r="AQ283" t="inlineStr">
        <x:is>
          <x:t xml:space="preserve"/>
        </x:is>
      </x:c>
      <x:c r="AR283" t="inlineStr">
        <x:is>
          <x:t xml:space="preserve">NONE</x:t>
        </x:is>
      </x:c>
      <x:c r="AS283" t="inlineStr">
        <x:is>
          <x:t xml:space="preserve"/>
        </x:is>
      </x:c>
      <x:c r="AT283" t="inlineStr">
        <x:is>
          <x:t xml:space="preserve">SUCCESS</x:t>
        </x:is>
      </x:c>
      <x:c r="AU283" t="n">
        <x:f>IF((COUNT('Quantification_Results'!AO283)=1),IFERROR(ROUND((SUM(('Quantification_Results'!AO283*'Quantification_Config'!$R$15))/SUM('Quantification_Config'!$R$15)),'Quantification_Config'!$U$2),""),"")</x:f>
        <x:v>50</x:v>
      </x:c>
      <x:c r="AV283" t="n">
        <x:f>IF((COUNT('Quantification_Results'!AU283)=1),IFERROR(ROUND((SUM(('Quantification_Results'!AU283*'Quantification_Config'!$R$14))/SUM('Quantification_Config'!$R$14)),'Quantification_Config'!$U$2),""),"")</x:f>
        <x:v>50</x:v>
      </x:c>
      <x:c r="AW283" t="n">
        <x:v>1</x:v>
      </x:c>
      <x:c r="AX283" t="n">
        <x:v>5</x:v>
      </x:c>
      <x:c r="AY283"/>
      <x:c r="AZ283" t="n">
        <x:f>IF(('Quantification_Results'!AW283&lt;&gt;1),"",IF(('Quantification_Results'!AY283=""),IF(ISNUMBER('Quantification_Results'!AX283),IF(('Quantification_Results'!AX283&lt;'Quantification_Config'!$S$19),"",IF(('Quantification_Results'!AX283&gt;'Quantification_Config'!$T$19),"",'Quantification_Results'!AX283)),""),IF(ISNUMBER('Quantification_Results'!AY283),IF(('Quantification_Results'!AY283&lt;'Quantification_Config'!$S$19),"",IF(('Quantification_Results'!AY283&gt;'Quantification_Config'!$T$19),"",'Quantification_Results'!AY283)),"")))</x:f>
        <x:v>5</x:v>
      </x:c>
      <x:c r="BA283" t="n">
        <x:f>IF(ISNUMBER('Quantification_Results'!AZ283),IFERROR(ROUND(((('Quantification_Results'!AZ283-'Quantification_Config'!$S$19)/('Quantification_Config'!$T$19-'Quantification_Config'!$S$19))*100),'Quantification_Config'!$U$2),""),"")</x:f>
        <x:v>50</x:v>
      </x:c>
      <x:c r="BB283" t="inlineStr">
        <x:is>
          <x:t xml:space="preserve">SYSTEM-TEST-ONLY-NO-NETWORK-NOT-AN-EDUCATIONAL-EVALUATION</x:t>
        </x:is>
      </x:c>
      <x:c r="BC283" t="inlineStr">
        <x:is>
          <x:t xml:space="preserve"/>
        </x:is>
      </x:c>
      <x:c r="BD283" t="inlineStr">
        <x:is>
          <x:t xml:space="preserve">NONE</x:t>
        </x:is>
      </x:c>
      <x:c r="BE283" t="inlineStr">
        <x:is>
          <x:t xml:space="preserve"/>
        </x:is>
      </x:c>
      <x:c r="BF283" t="inlineStr">
        <x:is>
          <x:t xml:space="preserve">SUCCESS</x:t>
        </x:is>
      </x:c>
      <x:c r="BG283" t="n">
        <x:f>IF((COUNT('Quantification_Results'!BA283)=1),IFERROR(ROUND((SUM(('Quantification_Results'!BA283*'Quantification_Config'!$R$19))/SUM('Quantification_Config'!$R$19)),'Quantification_Config'!$U$2),""),"")</x:f>
        <x:v>50</x:v>
      </x:c>
      <x:c r="BH283" t="n">
        <x:f>IF((COUNT('Quantification_Results'!BG283)=1),IFERROR(ROUND((SUM(('Quantification_Results'!BG283*'Quantification_Config'!$R$18))/SUM('Quantification_Config'!$R$18)),'Quantification_Config'!$U$2),""),"")</x:f>
        <x:v>50</x:v>
      </x:c>
      <x:c r="BI283">
        <x:f>IF((COUNT('Quantification_Results'!L283,'Quantification_Results'!X283,'Quantification_Results'!AJ283,'Quantification_Results'!AV283,'Quantification_Results'!BH283)=5),IFERROR(ROUND((SUM(('Quantification_Results'!L283*'Quantification_Config'!$R$4),('Quantification_Results'!X283*'Quantification_Config'!$R$7),('Quantification_Results'!AJ283*'Quantification_Config'!$R$10),('Quantification_Results'!AV283*'Quantification_Config'!$R$13),('Quantification_Results'!BH283*'Quantification_Config'!$R$16))/SUM('Quantification_Config'!$R$4,'Quantification_Config'!$R$7,'Quantification_Config'!$R$10,'Quantification_Config'!$R$13,'Quantification_Config'!$R$16)),'Quantification_Config'!$U$2),""),"")</x:f>
      </x:c>
    </x:row>
    <x:row r="284">
      <x:c r="A284" t="n">
        <x:v>1</x:v>
      </x:c>
      <x:c r="B284" t="n">
        <x:v>5</x:v>
      </x:c>
      <x:c r="C284"/>
      <x:c r="D284" t="n">
        <x:f>IF(('Quantification_Results'!A284&lt;&gt;1),"",IF(('Quantification_Results'!C284=""),IF(ISNUMBER('Quantification_Results'!B284),IF(('Quantification_Results'!B284&lt;'Quantification_Config'!$S$6),"",IF(('Quantification_Results'!B284&gt;'Quantification_Config'!$T$6),"",'Quantification_Results'!B284)),""),IF(ISNUMBER('Quantification_Results'!C284),IF(('Quantification_Results'!C284&lt;'Quantification_Config'!$S$6),"",IF(('Quantification_Results'!C284&gt;'Quantification_Config'!$T$6),"",'Quantification_Results'!C284)),"")))</x:f>
        <x:v>5</x:v>
      </x:c>
      <x:c r="E284" t="n">
        <x:f>IF(ISNUMBER('Quantification_Results'!D284),IFERROR(ROUND(((('Quantification_Results'!D284-'Quantification_Config'!$S$6)/('Quantification_Config'!$T$6-'Quantification_Config'!$S$6))*100),'Quantification_Config'!$U$2),""),"")</x:f>
        <x:v>50</x:v>
      </x:c>
      <x:c r="F284" t="inlineStr">
        <x:is>
          <x:t xml:space="preserve">SYSTEM-TEST-ONLY-NO-NETWORK-NOT-AN-EDUCATIONAL-EVALUATION</x:t>
        </x:is>
      </x:c>
      <x:c r="G284" t="inlineStr">
        <x:is>
          <x:t xml:space="preserve"/>
        </x:is>
      </x:c>
      <x:c r="H284" t="inlineStr">
        <x:is>
          <x:t xml:space="preserve">NONE</x:t>
        </x:is>
      </x:c>
      <x:c r="I284" t="inlineStr">
        <x:is>
          <x:t xml:space="preserve"/>
        </x:is>
      </x:c>
      <x:c r="J284" t="inlineStr">
        <x:is>
          <x:t xml:space="preserve">SUCCESS</x:t>
        </x:is>
      </x:c>
      <x:c r="K284" t="n">
        <x:f>IF((COUNT('Quantification_Results'!E284)=1),IFERROR(ROUND((SUM(('Quantification_Results'!E284*'Quantification_Config'!$R$6))/SUM('Quantification_Config'!$R$6)),'Quantification_Config'!$U$2),""),"")</x:f>
        <x:v>50</x:v>
      </x:c>
      <x:c r="L284" t="n">
        <x:f>IF((COUNT('Quantification_Results'!K284)=1),IFERROR(ROUND((SUM(('Quantification_Results'!K284*'Quantification_Config'!$R$5))/SUM('Quantification_Config'!$R$5)),'Quantification_Config'!$U$2),""),"")</x:f>
        <x:v>50</x:v>
      </x:c>
      <x:c r="M284" t="n">
        <x:v>1</x:v>
      </x:c>
      <x:c r="N284" t="n">
        <x:v>5</x:v>
      </x:c>
      <x:c r="O284"/>
      <x:c r="P284" t="n">
        <x:f>IF(('Quantification_Results'!M284&lt;&gt;1),"",IF(('Quantification_Results'!O284=""),IF(ISNUMBER('Quantification_Results'!N284),IF(('Quantification_Results'!N284&lt;'Quantification_Config'!$S$9),"",IF(('Quantification_Results'!N284&gt;'Quantification_Config'!$T$9),"",'Quantification_Results'!N284)),""),IF(ISNUMBER('Quantification_Results'!O284),IF(('Quantification_Results'!O284&lt;'Quantification_Config'!$S$9),"",IF(('Quantification_Results'!O284&gt;'Quantification_Config'!$T$9),"",'Quantification_Results'!O284)),"")))</x:f>
        <x:v>5</x:v>
      </x:c>
      <x:c r="Q284" t="n">
        <x:f>IF(ISNUMBER('Quantification_Results'!P284),IFERROR(ROUND(((('Quantification_Results'!P284-'Quantification_Config'!$S$9)/('Quantification_Config'!$T$9-'Quantification_Config'!$S$9))*100),'Quantification_Config'!$U$2),""),"")</x:f>
        <x:v>50</x:v>
      </x:c>
      <x:c r="R284" t="inlineStr">
        <x:is>
          <x:t xml:space="preserve">SYSTEM-TEST-ONLY-NO-NETWORK-NOT-AN-EDUCATIONAL-EVALUATION</x:t>
        </x:is>
      </x:c>
      <x:c r="S284" t="inlineStr">
        <x:is>
          <x:t xml:space="preserve"/>
        </x:is>
      </x:c>
      <x:c r="T284" t="inlineStr">
        <x:is>
          <x:t xml:space="preserve">NONE</x:t>
        </x:is>
      </x:c>
      <x:c r="U284" t="inlineStr">
        <x:is>
          <x:t xml:space="preserve"/>
        </x:is>
      </x:c>
      <x:c r="V284" t="inlineStr">
        <x:is>
          <x:t xml:space="preserve">SUCCESS</x:t>
        </x:is>
      </x:c>
      <x:c r="W284" t="n">
        <x:f>IF((COUNT('Quantification_Results'!Q284)=1),IFERROR(ROUND((SUM(('Quantification_Results'!Q284*'Quantification_Config'!$R$9))/SUM('Quantification_Config'!$R$9)),'Quantification_Config'!$U$2),""),"")</x:f>
        <x:v>50</x:v>
      </x:c>
      <x:c r="X284" t="n">
        <x:f>IF((COUNT('Quantification_Results'!W284)=1),IFERROR(ROUND((SUM(('Quantification_Results'!W284*'Quantification_Config'!$R$8))/SUM('Quantification_Config'!$R$8)),'Quantification_Config'!$U$2),""),"")</x:f>
        <x:v>50</x:v>
      </x:c>
      <x:c r="Y284" t="n">
        <x:v>0</x:v>
      </x:c>
      <x:c r="Z284"/>
      <x:c r="AA284"/>
      <x:c r="AB284">
        <x:f>IF(('Quantification_Results'!Y284&lt;&gt;1),"",IF(('Quantification_Results'!AA284=""),IF(ISNUMBER('Quantification_Results'!Z284),IF(('Quantification_Results'!Z284&lt;'Quantification_Config'!$S$12),"",IF(('Quantification_Results'!Z284&gt;'Quantification_Config'!$T$12),"",'Quantification_Results'!Z284)),""),IF(ISNUMBER('Quantification_Results'!AA284),IF(('Quantification_Results'!AA284&lt;'Quantification_Config'!$S$12),"",IF(('Quantification_Results'!AA284&gt;'Quantification_Config'!$T$12),"",'Quantification_Results'!AA284)),"")))</x:f>
      </x:c>
      <x:c r="AC284">
        <x:f>IF(ISNUMBER('Quantification_Results'!AB284),IFERROR(ROUND(((('Quantification_Results'!AB284-'Quantification_Config'!$S$12)/('Quantification_Config'!$T$12-'Quantification_Config'!$S$12))*100),'Quantification_Config'!$U$2),""),"")</x:f>
      </x:c>
      <x:c r="AD284" t="inlineStr">
        <x:is>
          <x:t xml:space="preserve"/>
        </x:is>
      </x:c>
      <x:c r="AE284" t="inlineStr">
        <x:is>
          <x:t xml:space="preserve"/>
        </x:is>
      </x:c>
      <x:c r="AF284" t="inlineStr">
        <x:is>
          <x:t xml:space="preserve"/>
        </x:is>
      </x:c>
      <x:c r="AG284" t="inlineStr">
        <x:is>
          <x:t xml:space="preserve"/>
        </x:is>
      </x:c>
      <x:c r="AH284" t="inlineStr">
        <x:is>
          <x:t xml:space="preserve">EMPTY</x:t>
        </x:is>
      </x:c>
      <x:c r="AI284">
        <x:f>IF((COUNT('Quantification_Results'!AC284)=1),IFERROR(ROUND((SUM(('Quantification_Results'!AC284*'Quantification_Config'!$R$12))/SUM('Quantification_Config'!$R$12)),'Quantification_Config'!$U$2),""),"")</x:f>
      </x:c>
      <x:c r="AJ284">
        <x:f>IF((COUNT('Quantification_Results'!AI284)=1),IFERROR(ROUND((SUM(('Quantification_Results'!AI284*'Quantification_Config'!$R$11))/SUM('Quantification_Config'!$R$11)),'Quantification_Config'!$U$2),""),"")</x:f>
      </x:c>
      <x:c r="AK284" t="n">
        <x:v>1</x:v>
      </x:c>
      <x:c r="AL284" t="n">
        <x:v>5</x:v>
      </x:c>
      <x:c r="AM284"/>
      <x:c r="AN284" t="n">
        <x:f>IF(('Quantification_Results'!AK284&lt;&gt;1),"",IF(('Quantification_Results'!AM284=""),IF(ISNUMBER('Quantification_Results'!AL284),IF(('Quantification_Results'!AL284&lt;'Quantification_Config'!$S$15),"",IF(('Quantification_Results'!AL284&gt;'Quantification_Config'!$T$15),"",'Quantification_Results'!AL284)),""),IF(ISNUMBER('Quantification_Results'!AM284),IF(('Quantification_Results'!AM284&lt;'Quantification_Config'!$S$15),"",IF(('Quantification_Results'!AM284&gt;'Quantification_Config'!$T$15),"",'Quantification_Results'!AM284)),"")))</x:f>
        <x:v>5</x:v>
      </x:c>
      <x:c r="AO284" t="n">
        <x:f>IF(ISNUMBER('Quantification_Results'!AN284),IFERROR(ROUND(((('Quantification_Results'!AN284-'Quantification_Config'!$S$15)/('Quantification_Config'!$T$15-'Quantification_Config'!$S$15))*100),'Quantification_Config'!$U$2),""),"")</x:f>
        <x:v>50</x:v>
      </x:c>
      <x:c r="AP284" t="inlineStr">
        <x:is>
          <x:t xml:space="preserve">SYSTEM-TEST-ONLY-NO-NETWORK-NOT-AN-EDUCATIONAL-EVALUATION</x:t>
        </x:is>
      </x:c>
      <x:c r="AQ284" t="inlineStr">
        <x:is>
          <x:t xml:space="preserve"/>
        </x:is>
      </x:c>
      <x:c r="AR284" t="inlineStr">
        <x:is>
          <x:t xml:space="preserve">NONE</x:t>
        </x:is>
      </x:c>
      <x:c r="AS284" t="inlineStr">
        <x:is>
          <x:t xml:space="preserve"/>
        </x:is>
      </x:c>
      <x:c r="AT284" t="inlineStr">
        <x:is>
          <x:t xml:space="preserve">SUCCESS</x:t>
        </x:is>
      </x:c>
      <x:c r="AU284" t="n">
        <x:f>IF((COUNT('Quantification_Results'!AO284)=1),IFERROR(ROUND((SUM(('Quantification_Results'!AO284*'Quantification_Config'!$R$15))/SUM('Quantification_Config'!$R$15)),'Quantification_Config'!$U$2),""),"")</x:f>
        <x:v>50</x:v>
      </x:c>
      <x:c r="AV284" t="n">
        <x:f>IF((COUNT('Quantification_Results'!AU284)=1),IFERROR(ROUND((SUM(('Quantification_Results'!AU284*'Quantification_Config'!$R$14))/SUM('Quantification_Config'!$R$14)),'Quantification_Config'!$U$2),""),"")</x:f>
        <x:v>50</x:v>
      </x:c>
      <x:c r="AW284" t="n">
        <x:v>1</x:v>
      </x:c>
      <x:c r="AX284" t="n">
        <x:v>5</x:v>
      </x:c>
      <x:c r="AY284"/>
      <x:c r="AZ284" t="n">
        <x:f>IF(('Quantification_Results'!AW284&lt;&gt;1),"",IF(('Quantification_Results'!AY284=""),IF(ISNUMBER('Quantification_Results'!AX284),IF(('Quantification_Results'!AX284&lt;'Quantification_Config'!$S$19),"",IF(('Quantification_Results'!AX284&gt;'Quantification_Config'!$T$19),"",'Quantification_Results'!AX284)),""),IF(ISNUMBER('Quantification_Results'!AY284),IF(('Quantification_Results'!AY284&lt;'Quantification_Config'!$S$19),"",IF(('Quantification_Results'!AY284&gt;'Quantification_Config'!$T$19),"",'Quantification_Results'!AY284)),"")))</x:f>
        <x:v>5</x:v>
      </x:c>
      <x:c r="BA284" t="n">
        <x:f>IF(ISNUMBER('Quantification_Results'!AZ284),IFERROR(ROUND(((('Quantification_Results'!AZ284-'Quantification_Config'!$S$19)/('Quantification_Config'!$T$19-'Quantification_Config'!$S$19))*100),'Quantification_Config'!$U$2),""),"")</x:f>
        <x:v>50</x:v>
      </x:c>
      <x:c r="BB284" t="inlineStr">
        <x:is>
          <x:t xml:space="preserve">SYSTEM-TEST-ONLY-NO-NETWORK-NOT-AN-EDUCATIONAL-EVALUATION</x:t>
        </x:is>
      </x:c>
      <x:c r="BC284" t="inlineStr">
        <x:is>
          <x:t xml:space="preserve"/>
        </x:is>
      </x:c>
      <x:c r="BD284" t="inlineStr">
        <x:is>
          <x:t xml:space="preserve">NONE</x:t>
        </x:is>
      </x:c>
      <x:c r="BE284" t="inlineStr">
        <x:is>
          <x:t xml:space="preserve"/>
        </x:is>
      </x:c>
      <x:c r="BF284" t="inlineStr">
        <x:is>
          <x:t xml:space="preserve">SUCCESS</x:t>
        </x:is>
      </x:c>
      <x:c r="BG284" t="n">
        <x:f>IF((COUNT('Quantification_Results'!BA284)=1),IFERROR(ROUND((SUM(('Quantification_Results'!BA284*'Quantification_Config'!$R$19))/SUM('Quantification_Config'!$R$19)),'Quantification_Config'!$U$2),""),"")</x:f>
        <x:v>50</x:v>
      </x:c>
      <x:c r="BH284" t="n">
        <x:f>IF((COUNT('Quantification_Results'!BG284)=1),IFERROR(ROUND((SUM(('Quantification_Results'!BG284*'Quantification_Config'!$R$18))/SUM('Quantification_Config'!$R$18)),'Quantification_Config'!$U$2),""),"")</x:f>
        <x:v>50</x:v>
      </x:c>
      <x:c r="BI284">
        <x:f>IF((COUNT('Quantification_Results'!L284,'Quantification_Results'!X284,'Quantification_Results'!AJ284,'Quantification_Results'!AV284,'Quantification_Results'!BH284)=5),IFERROR(ROUND((SUM(('Quantification_Results'!L284*'Quantification_Config'!$R$4),('Quantification_Results'!X284*'Quantification_Config'!$R$7),('Quantification_Results'!AJ284*'Quantification_Config'!$R$10),('Quantification_Results'!AV284*'Quantification_Config'!$R$13),('Quantification_Results'!BH284*'Quantification_Config'!$R$16))/SUM('Quantification_Config'!$R$4,'Quantification_Config'!$R$7,'Quantification_Config'!$R$10,'Quantification_Config'!$R$13,'Quantification_Config'!$R$16)),'Quantification_Config'!$U$2),""),"")</x:f>
      </x:c>
    </x:row>
    <x:row r="285">
      <x:c r="A285" t="n">
        <x:v>1</x:v>
      </x:c>
      <x:c r="B285" t="n">
        <x:v>5</x:v>
      </x:c>
      <x:c r="C285"/>
      <x:c r="D285" t="n">
        <x:f>IF(('Quantification_Results'!A285&lt;&gt;1),"",IF(('Quantification_Results'!C285=""),IF(ISNUMBER('Quantification_Results'!B285),IF(('Quantification_Results'!B285&lt;'Quantification_Config'!$S$6),"",IF(('Quantification_Results'!B285&gt;'Quantification_Config'!$T$6),"",'Quantification_Results'!B285)),""),IF(ISNUMBER('Quantification_Results'!C285),IF(('Quantification_Results'!C285&lt;'Quantification_Config'!$S$6),"",IF(('Quantification_Results'!C285&gt;'Quantification_Config'!$T$6),"",'Quantification_Results'!C285)),"")))</x:f>
        <x:v>5</x:v>
      </x:c>
      <x:c r="E285" t="n">
        <x:f>IF(ISNUMBER('Quantification_Results'!D285),IFERROR(ROUND(((('Quantification_Results'!D285-'Quantification_Config'!$S$6)/('Quantification_Config'!$T$6-'Quantification_Config'!$S$6))*100),'Quantification_Config'!$U$2),""),"")</x:f>
        <x:v>50</x:v>
      </x:c>
      <x:c r="F285" t="inlineStr">
        <x:is>
          <x:t xml:space="preserve">SYSTEM-TEST-ONLY-NO-NETWORK-NOT-AN-EDUCATIONAL-EVALUATION</x:t>
        </x:is>
      </x:c>
      <x:c r="G285" t="inlineStr">
        <x:is>
          <x:t xml:space="preserve"/>
        </x:is>
      </x:c>
      <x:c r="H285" t="inlineStr">
        <x:is>
          <x:t xml:space="preserve">NONE</x:t>
        </x:is>
      </x:c>
      <x:c r="I285" t="inlineStr">
        <x:is>
          <x:t xml:space="preserve"/>
        </x:is>
      </x:c>
      <x:c r="J285" t="inlineStr">
        <x:is>
          <x:t xml:space="preserve">SUCCESS</x:t>
        </x:is>
      </x:c>
      <x:c r="K285" t="n">
        <x:f>IF((COUNT('Quantification_Results'!E285)=1),IFERROR(ROUND((SUM(('Quantification_Results'!E285*'Quantification_Config'!$R$6))/SUM('Quantification_Config'!$R$6)),'Quantification_Config'!$U$2),""),"")</x:f>
        <x:v>50</x:v>
      </x:c>
      <x:c r="L285" t="n">
        <x:f>IF((COUNT('Quantification_Results'!K285)=1),IFERROR(ROUND((SUM(('Quantification_Results'!K285*'Quantification_Config'!$R$5))/SUM('Quantification_Config'!$R$5)),'Quantification_Config'!$U$2),""),"")</x:f>
        <x:v>50</x:v>
      </x:c>
      <x:c r="M285" t="n">
        <x:v>1</x:v>
      </x:c>
      <x:c r="N285" t="n">
        <x:v>5</x:v>
      </x:c>
      <x:c r="O285"/>
      <x:c r="P285" t="n">
        <x:f>IF(('Quantification_Results'!M285&lt;&gt;1),"",IF(('Quantification_Results'!O285=""),IF(ISNUMBER('Quantification_Results'!N285),IF(('Quantification_Results'!N285&lt;'Quantification_Config'!$S$9),"",IF(('Quantification_Results'!N285&gt;'Quantification_Config'!$T$9),"",'Quantification_Results'!N285)),""),IF(ISNUMBER('Quantification_Results'!O285),IF(('Quantification_Results'!O285&lt;'Quantification_Config'!$S$9),"",IF(('Quantification_Results'!O285&gt;'Quantification_Config'!$T$9),"",'Quantification_Results'!O285)),"")))</x:f>
        <x:v>5</x:v>
      </x:c>
      <x:c r="Q285" t="n">
        <x:f>IF(ISNUMBER('Quantification_Results'!P285),IFERROR(ROUND(((('Quantification_Results'!P285-'Quantification_Config'!$S$9)/('Quantification_Config'!$T$9-'Quantification_Config'!$S$9))*100),'Quantification_Config'!$U$2),""),"")</x:f>
        <x:v>50</x:v>
      </x:c>
      <x:c r="R285" t="inlineStr">
        <x:is>
          <x:t xml:space="preserve">SYSTEM-TEST-ONLY-NO-NETWORK-NOT-AN-EDUCATIONAL-EVALUATION</x:t>
        </x:is>
      </x:c>
      <x:c r="S285" t="inlineStr">
        <x:is>
          <x:t xml:space="preserve"/>
        </x:is>
      </x:c>
      <x:c r="T285" t="inlineStr">
        <x:is>
          <x:t xml:space="preserve">NONE</x:t>
        </x:is>
      </x:c>
      <x:c r="U285" t="inlineStr">
        <x:is>
          <x:t xml:space="preserve"/>
        </x:is>
      </x:c>
      <x:c r="V285" t="inlineStr">
        <x:is>
          <x:t xml:space="preserve">SUCCESS</x:t>
        </x:is>
      </x:c>
      <x:c r="W285" t="n">
        <x:f>IF((COUNT('Quantification_Results'!Q285)=1),IFERROR(ROUND((SUM(('Quantification_Results'!Q285*'Quantification_Config'!$R$9))/SUM('Quantification_Config'!$R$9)),'Quantification_Config'!$U$2),""),"")</x:f>
        <x:v>50</x:v>
      </x:c>
      <x:c r="X285" t="n">
        <x:f>IF((COUNT('Quantification_Results'!W285)=1),IFERROR(ROUND((SUM(('Quantification_Results'!W285*'Quantification_Config'!$R$8))/SUM('Quantification_Config'!$R$8)),'Quantification_Config'!$U$2),""),"")</x:f>
        <x:v>50</x:v>
      </x:c>
      <x:c r="Y285" t="n">
        <x:v>1</x:v>
      </x:c>
      <x:c r="Z285" t="n">
        <x:v>5</x:v>
      </x:c>
      <x:c r="AA285"/>
      <x:c r="AB285" t="n">
        <x:f>IF(('Quantification_Results'!Y285&lt;&gt;1),"",IF(('Quantification_Results'!AA285=""),IF(ISNUMBER('Quantification_Results'!Z285),IF(('Quantification_Results'!Z285&lt;'Quantification_Config'!$S$12),"",IF(('Quantification_Results'!Z285&gt;'Quantification_Config'!$T$12),"",'Quantification_Results'!Z285)),""),IF(ISNUMBER('Quantification_Results'!AA285),IF(('Quantification_Results'!AA285&lt;'Quantification_Config'!$S$12),"",IF(('Quantification_Results'!AA285&gt;'Quantification_Config'!$T$12),"",'Quantification_Results'!AA285)),"")))</x:f>
        <x:v>5</x:v>
      </x:c>
      <x:c r="AC285" t="n">
        <x:f>IF(ISNUMBER('Quantification_Results'!AB285),IFERROR(ROUND(((('Quantification_Results'!AB285-'Quantification_Config'!$S$12)/('Quantification_Config'!$T$12-'Quantification_Config'!$S$12))*100),'Quantification_Config'!$U$2),""),"")</x:f>
        <x:v>50</x:v>
      </x:c>
      <x:c r="AD285" t="inlineStr">
        <x:is>
          <x:t xml:space="preserve">SYSTEM-TEST-ONLY-NO-NETWORK-NOT-AN-EDUCATIONAL-EVALUATION</x:t>
        </x:is>
      </x:c>
      <x:c r="AE285" t="inlineStr">
        <x:is>
          <x:t xml:space="preserve"/>
        </x:is>
      </x:c>
      <x:c r="AF285" t="inlineStr">
        <x:is>
          <x:t xml:space="preserve">NONE</x:t>
        </x:is>
      </x:c>
      <x:c r="AG285" t="inlineStr">
        <x:is>
          <x:t xml:space="preserve"/>
        </x:is>
      </x:c>
      <x:c r="AH285" t="inlineStr">
        <x:is>
          <x:t xml:space="preserve">SUCCESS</x:t>
        </x:is>
      </x:c>
      <x:c r="AI285" t="n">
        <x:f>IF((COUNT('Quantification_Results'!AC285)=1),IFERROR(ROUND((SUM(('Quantification_Results'!AC285*'Quantification_Config'!$R$12))/SUM('Quantification_Config'!$R$12)),'Quantification_Config'!$U$2),""),"")</x:f>
        <x:v>50</x:v>
      </x:c>
      <x:c r="AJ285" t="n">
        <x:f>IF((COUNT('Quantification_Results'!AI285)=1),IFERROR(ROUND((SUM(('Quantification_Results'!AI285*'Quantification_Config'!$R$11))/SUM('Quantification_Config'!$R$11)),'Quantification_Config'!$U$2),""),"")</x:f>
        <x:v>50</x:v>
      </x:c>
      <x:c r="AK285" t="n">
        <x:v>1</x:v>
      </x:c>
      <x:c r="AL285" t="n">
        <x:v>5</x:v>
      </x:c>
      <x:c r="AM285"/>
      <x:c r="AN285" t="n">
        <x:f>IF(('Quantification_Results'!AK285&lt;&gt;1),"",IF(('Quantification_Results'!AM285=""),IF(ISNUMBER('Quantification_Results'!AL285),IF(('Quantification_Results'!AL285&lt;'Quantification_Config'!$S$15),"",IF(('Quantification_Results'!AL285&gt;'Quantification_Config'!$T$15),"",'Quantification_Results'!AL285)),""),IF(ISNUMBER('Quantification_Results'!AM285),IF(('Quantification_Results'!AM285&lt;'Quantification_Config'!$S$15),"",IF(('Quantification_Results'!AM285&gt;'Quantification_Config'!$T$15),"",'Quantification_Results'!AM285)),"")))</x:f>
        <x:v>5</x:v>
      </x:c>
      <x:c r="AO285" t="n">
        <x:f>IF(ISNUMBER('Quantification_Results'!AN285),IFERROR(ROUND(((('Quantification_Results'!AN285-'Quantification_Config'!$S$15)/('Quantification_Config'!$T$15-'Quantification_Config'!$S$15))*100),'Quantification_Config'!$U$2),""),"")</x:f>
        <x:v>50</x:v>
      </x:c>
      <x:c r="AP285" t="inlineStr">
        <x:is>
          <x:t xml:space="preserve">SYSTEM-TEST-ONLY-NO-NETWORK-NOT-AN-EDUCATIONAL-EVALUATION</x:t>
        </x:is>
      </x:c>
      <x:c r="AQ285" t="inlineStr">
        <x:is>
          <x:t xml:space="preserve"/>
        </x:is>
      </x:c>
      <x:c r="AR285" t="inlineStr">
        <x:is>
          <x:t xml:space="preserve">NONE</x:t>
        </x:is>
      </x:c>
      <x:c r="AS285" t="inlineStr">
        <x:is>
          <x:t xml:space="preserve"/>
        </x:is>
      </x:c>
      <x:c r="AT285" t="inlineStr">
        <x:is>
          <x:t xml:space="preserve">SUCCESS</x:t>
        </x:is>
      </x:c>
      <x:c r="AU285" t="n">
        <x:f>IF((COUNT('Quantification_Results'!AO285)=1),IFERROR(ROUND((SUM(('Quantification_Results'!AO285*'Quantification_Config'!$R$15))/SUM('Quantification_Config'!$R$15)),'Quantification_Config'!$U$2),""),"")</x:f>
        <x:v>50</x:v>
      </x:c>
      <x:c r="AV285" t="n">
        <x:f>IF((COUNT('Quantification_Results'!AU285)=1),IFERROR(ROUND((SUM(('Quantification_Results'!AU285*'Quantification_Config'!$R$14))/SUM('Quantification_Config'!$R$14)),'Quantification_Config'!$U$2),""),"")</x:f>
        <x:v>50</x:v>
      </x:c>
      <x:c r="AW285" t="n">
        <x:v>1</x:v>
      </x:c>
      <x:c r="AX285" t="n">
        <x:v>5</x:v>
      </x:c>
      <x:c r="AY285"/>
      <x:c r="AZ285" t="n">
        <x:f>IF(('Quantification_Results'!AW285&lt;&gt;1),"",IF(('Quantification_Results'!AY285=""),IF(ISNUMBER('Quantification_Results'!AX285),IF(('Quantification_Results'!AX285&lt;'Quantification_Config'!$S$19),"",IF(('Quantification_Results'!AX285&gt;'Quantification_Config'!$T$19),"",'Quantification_Results'!AX285)),""),IF(ISNUMBER('Quantification_Results'!AY285),IF(('Quantification_Results'!AY285&lt;'Quantification_Config'!$S$19),"",IF(('Quantification_Results'!AY285&gt;'Quantification_Config'!$T$19),"",'Quantification_Results'!AY285)),"")))</x:f>
        <x:v>5</x:v>
      </x:c>
      <x:c r="BA285" t="n">
        <x:f>IF(ISNUMBER('Quantification_Results'!AZ285),IFERROR(ROUND(((('Quantification_Results'!AZ285-'Quantification_Config'!$S$19)/('Quantification_Config'!$T$19-'Quantification_Config'!$S$19))*100),'Quantification_Config'!$U$2),""),"")</x:f>
        <x:v>50</x:v>
      </x:c>
      <x:c r="BB285" t="inlineStr">
        <x:is>
          <x:t xml:space="preserve">SYSTEM-TEST-ONLY-NO-NETWORK-NOT-AN-EDUCATIONAL-EVALUATION</x:t>
        </x:is>
      </x:c>
      <x:c r="BC285" t="inlineStr">
        <x:is>
          <x:t xml:space="preserve"/>
        </x:is>
      </x:c>
      <x:c r="BD285" t="inlineStr">
        <x:is>
          <x:t xml:space="preserve">NONE</x:t>
        </x:is>
      </x:c>
      <x:c r="BE285" t="inlineStr">
        <x:is>
          <x:t xml:space="preserve"/>
        </x:is>
      </x:c>
      <x:c r="BF285" t="inlineStr">
        <x:is>
          <x:t xml:space="preserve">SUCCESS</x:t>
        </x:is>
      </x:c>
      <x:c r="BG285" t="n">
        <x:f>IF((COUNT('Quantification_Results'!BA285)=1),IFERROR(ROUND((SUM(('Quantification_Results'!BA285*'Quantification_Config'!$R$19))/SUM('Quantification_Config'!$R$19)),'Quantification_Config'!$U$2),""),"")</x:f>
        <x:v>50</x:v>
      </x:c>
      <x:c r="BH285" t="n">
        <x:f>IF((COUNT('Quantification_Results'!BG285)=1),IFERROR(ROUND((SUM(('Quantification_Results'!BG285*'Quantification_Config'!$R$18))/SUM('Quantification_Config'!$R$18)),'Quantification_Config'!$U$2),""),"")</x:f>
        <x:v>50</x:v>
      </x:c>
      <x:c r="BI285" t="n">
        <x:f>IF((COUNT('Quantification_Results'!L285,'Quantification_Results'!X285,'Quantification_Results'!AJ285,'Quantification_Results'!AV285,'Quantification_Results'!BH285)=5),IFERROR(ROUND((SUM(('Quantification_Results'!L285*'Quantification_Config'!$R$4),('Quantification_Results'!X285*'Quantification_Config'!$R$7),('Quantification_Results'!AJ285*'Quantification_Config'!$R$10),('Quantification_Results'!AV285*'Quantification_Config'!$R$13),('Quantification_Results'!BH285*'Quantification_Config'!$R$16))/SUM('Quantification_Config'!$R$4,'Quantification_Config'!$R$7,'Quantification_Config'!$R$10,'Quantification_Config'!$R$13,'Quantification_Config'!$R$16)),'Quantification_Config'!$U$2),""),"")</x:f>
        <x:v>50</x:v>
      </x:c>
    </x:row>
    <x:row r="286">
      <x:c r="A286" t="n">
        <x:v>1</x:v>
      </x:c>
      <x:c r="B286" t="n">
        <x:v>5</x:v>
      </x:c>
      <x:c r="C286"/>
      <x:c r="D286" t="n">
        <x:f>IF(('Quantification_Results'!A286&lt;&gt;1),"",IF(('Quantification_Results'!C286=""),IF(ISNUMBER('Quantification_Results'!B286),IF(('Quantification_Results'!B286&lt;'Quantification_Config'!$S$6),"",IF(('Quantification_Results'!B286&gt;'Quantification_Config'!$T$6),"",'Quantification_Results'!B286)),""),IF(ISNUMBER('Quantification_Results'!C286),IF(('Quantification_Results'!C286&lt;'Quantification_Config'!$S$6),"",IF(('Quantification_Results'!C286&gt;'Quantification_Config'!$T$6),"",'Quantification_Results'!C286)),"")))</x:f>
        <x:v>5</x:v>
      </x:c>
      <x:c r="E286" t="n">
        <x:f>IF(ISNUMBER('Quantification_Results'!D286),IFERROR(ROUND(((('Quantification_Results'!D286-'Quantification_Config'!$S$6)/('Quantification_Config'!$T$6-'Quantification_Config'!$S$6))*100),'Quantification_Config'!$U$2),""),"")</x:f>
        <x:v>50</x:v>
      </x:c>
      <x:c r="F286" t="inlineStr">
        <x:is>
          <x:t xml:space="preserve">SYSTEM-TEST-ONLY-NO-NETWORK-NOT-AN-EDUCATIONAL-EVALUATION</x:t>
        </x:is>
      </x:c>
      <x:c r="G286" t="inlineStr">
        <x:is>
          <x:t xml:space="preserve"/>
        </x:is>
      </x:c>
      <x:c r="H286" t="inlineStr">
        <x:is>
          <x:t xml:space="preserve">NONE</x:t>
        </x:is>
      </x:c>
      <x:c r="I286" t="inlineStr">
        <x:is>
          <x:t xml:space="preserve"/>
        </x:is>
      </x:c>
      <x:c r="J286" t="inlineStr">
        <x:is>
          <x:t xml:space="preserve">SUCCESS</x:t>
        </x:is>
      </x:c>
      <x:c r="K286" t="n">
        <x:f>IF((COUNT('Quantification_Results'!E286)=1),IFERROR(ROUND((SUM(('Quantification_Results'!E286*'Quantification_Config'!$R$6))/SUM('Quantification_Config'!$R$6)),'Quantification_Config'!$U$2),""),"")</x:f>
        <x:v>50</x:v>
      </x:c>
      <x:c r="L286" t="n">
        <x:f>IF((COUNT('Quantification_Results'!K286)=1),IFERROR(ROUND((SUM(('Quantification_Results'!K286*'Quantification_Config'!$R$5))/SUM('Quantification_Config'!$R$5)),'Quantification_Config'!$U$2),""),"")</x:f>
        <x:v>50</x:v>
      </x:c>
      <x:c r="M286" t="n">
        <x:v>1</x:v>
      </x:c>
      <x:c r="N286" t="n">
        <x:v>5</x:v>
      </x:c>
      <x:c r="O286"/>
      <x:c r="P286" t="n">
        <x:f>IF(('Quantification_Results'!M286&lt;&gt;1),"",IF(('Quantification_Results'!O286=""),IF(ISNUMBER('Quantification_Results'!N286),IF(('Quantification_Results'!N286&lt;'Quantification_Config'!$S$9),"",IF(('Quantification_Results'!N286&gt;'Quantification_Config'!$T$9),"",'Quantification_Results'!N286)),""),IF(ISNUMBER('Quantification_Results'!O286),IF(('Quantification_Results'!O286&lt;'Quantification_Config'!$S$9),"",IF(('Quantification_Results'!O286&gt;'Quantification_Config'!$T$9),"",'Quantification_Results'!O286)),"")))</x:f>
        <x:v>5</x:v>
      </x:c>
      <x:c r="Q286" t="n">
        <x:f>IF(ISNUMBER('Quantification_Results'!P286),IFERROR(ROUND(((('Quantification_Results'!P286-'Quantification_Config'!$S$9)/('Quantification_Config'!$T$9-'Quantification_Config'!$S$9))*100),'Quantification_Config'!$U$2),""),"")</x:f>
        <x:v>50</x:v>
      </x:c>
      <x:c r="R286" t="inlineStr">
        <x:is>
          <x:t xml:space="preserve">SYSTEM-TEST-ONLY-NO-NETWORK-NOT-AN-EDUCATIONAL-EVALUATION</x:t>
        </x:is>
      </x:c>
      <x:c r="S286" t="inlineStr">
        <x:is>
          <x:t xml:space="preserve"/>
        </x:is>
      </x:c>
      <x:c r="T286" t="inlineStr">
        <x:is>
          <x:t xml:space="preserve">NONE</x:t>
        </x:is>
      </x:c>
      <x:c r="U286" t="inlineStr">
        <x:is>
          <x:t xml:space="preserve"/>
        </x:is>
      </x:c>
      <x:c r="V286" t="inlineStr">
        <x:is>
          <x:t xml:space="preserve">SUCCESS</x:t>
        </x:is>
      </x:c>
      <x:c r="W286" t="n">
        <x:f>IF((COUNT('Quantification_Results'!Q286)=1),IFERROR(ROUND((SUM(('Quantification_Results'!Q286*'Quantification_Config'!$R$9))/SUM('Quantification_Config'!$R$9)),'Quantification_Config'!$U$2),""),"")</x:f>
        <x:v>50</x:v>
      </x:c>
      <x:c r="X286" t="n">
        <x:f>IF((COUNT('Quantification_Results'!W286)=1),IFERROR(ROUND((SUM(('Quantification_Results'!W286*'Quantification_Config'!$R$8))/SUM('Quantification_Config'!$R$8)),'Quantification_Config'!$U$2),""),"")</x:f>
        <x:v>50</x:v>
      </x:c>
      <x:c r="Y286" t="n">
        <x:v>0</x:v>
      </x:c>
      <x:c r="Z286"/>
      <x:c r="AA286"/>
      <x:c r="AB286">
        <x:f>IF(('Quantification_Results'!Y286&lt;&gt;1),"",IF(('Quantification_Results'!AA286=""),IF(ISNUMBER('Quantification_Results'!Z286),IF(('Quantification_Results'!Z286&lt;'Quantification_Config'!$S$12),"",IF(('Quantification_Results'!Z286&gt;'Quantification_Config'!$T$12),"",'Quantification_Results'!Z286)),""),IF(ISNUMBER('Quantification_Results'!AA286),IF(('Quantification_Results'!AA286&lt;'Quantification_Config'!$S$12),"",IF(('Quantification_Results'!AA286&gt;'Quantification_Config'!$T$12),"",'Quantification_Results'!AA286)),"")))</x:f>
      </x:c>
      <x:c r="AC286">
        <x:f>IF(ISNUMBER('Quantification_Results'!AB286),IFERROR(ROUND(((('Quantification_Results'!AB286-'Quantification_Config'!$S$12)/('Quantification_Config'!$T$12-'Quantification_Config'!$S$12))*100),'Quantification_Config'!$U$2),""),"")</x:f>
      </x:c>
      <x:c r="AD286" t="inlineStr">
        <x:is>
          <x:t xml:space="preserve"/>
        </x:is>
      </x:c>
      <x:c r="AE286" t="inlineStr">
        <x:is>
          <x:t xml:space="preserve"/>
        </x:is>
      </x:c>
      <x:c r="AF286" t="inlineStr">
        <x:is>
          <x:t xml:space="preserve"/>
        </x:is>
      </x:c>
      <x:c r="AG286" t="inlineStr">
        <x:is>
          <x:t xml:space="preserve"/>
        </x:is>
      </x:c>
      <x:c r="AH286" t="inlineStr">
        <x:is>
          <x:t xml:space="preserve">EMPTY</x:t>
        </x:is>
      </x:c>
      <x:c r="AI286">
        <x:f>IF((COUNT('Quantification_Results'!AC286)=1),IFERROR(ROUND((SUM(('Quantification_Results'!AC286*'Quantification_Config'!$R$12))/SUM('Quantification_Config'!$R$12)),'Quantification_Config'!$U$2),""),"")</x:f>
      </x:c>
      <x:c r="AJ286">
        <x:f>IF((COUNT('Quantification_Results'!AI286)=1),IFERROR(ROUND((SUM(('Quantification_Results'!AI286*'Quantification_Config'!$R$11))/SUM('Quantification_Config'!$R$11)),'Quantification_Config'!$U$2),""),"")</x:f>
      </x:c>
      <x:c r="AK286" t="n">
        <x:v>1</x:v>
      </x:c>
      <x:c r="AL286" t="n">
        <x:v>5</x:v>
      </x:c>
      <x:c r="AM286"/>
      <x:c r="AN286" t="n">
        <x:f>IF(('Quantification_Results'!AK286&lt;&gt;1),"",IF(('Quantification_Results'!AM286=""),IF(ISNUMBER('Quantification_Results'!AL286),IF(('Quantification_Results'!AL286&lt;'Quantification_Config'!$S$15),"",IF(('Quantification_Results'!AL286&gt;'Quantification_Config'!$T$15),"",'Quantification_Results'!AL286)),""),IF(ISNUMBER('Quantification_Results'!AM286),IF(('Quantification_Results'!AM286&lt;'Quantification_Config'!$S$15),"",IF(('Quantification_Results'!AM286&gt;'Quantification_Config'!$T$15),"",'Quantification_Results'!AM286)),"")))</x:f>
        <x:v>5</x:v>
      </x:c>
      <x:c r="AO286" t="n">
        <x:f>IF(ISNUMBER('Quantification_Results'!AN286),IFERROR(ROUND(((('Quantification_Results'!AN286-'Quantification_Config'!$S$15)/('Quantification_Config'!$T$15-'Quantification_Config'!$S$15))*100),'Quantification_Config'!$U$2),""),"")</x:f>
        <x:v>50</x:v>
      </x:c>
      <x:c r="AP286" t="inlineStr">
        <x:is>
          <x:t xml:space="preserve">SYSTEM-TEST-ONLY-NO-NETWORK-NOT-AN-EDUCATIONAL-EVALUATION</x:t>
        </x:is>
      </x:c>
      <x:c r="AQ286" t="inlineStr">
        <x:is>
          <x:t xml:space="preserve"/>
        </x:is>
      </x:c>
      <x:c r="AR286" t="inlineStr">
        <x:is>
          <x:t xml:space="preserve">NONE</x:t>
        </x:is>
      </x:c>
      <x:c r="AS286" t="inlineStr">
        <x:is>
          <x:t xml:space="preserve"/>
        </x:is>
      </x:c>
      <x:c r="AT286" t="inlineStr">
        <x:is>
          <x:t xml:space="preserve">SUCCESS</x:t>
        </x:is>
      </x:c>
      <x:c r="AU286" t="n">
        <x:f>IF((COUNT('Quantification_Results'!AO286)=1),IFERROR(ROUND((SUM(('Quantification_Results'!AO286*'Quantification_Config'!$R$15))/SUM('Quantification_Config'!$R$15)),'Quantification_Config'!$U$2),""),"")</x:f>
        <x:v>50</x:v>
      </x:c>
      <x:c r="AV286" t="n">
        <x:f>IF((COUNT('Quantification_Results'!AU286)=1),IFERROR(ROUND((SUM(('Quantification_Results'!AU286*'Quantification_Config'!$R$14))/SUM('Quantification_Config'!$R$14)),'Quantification_Config'!$U$2),""),"")</x:f>
        <x:v>50</x:v>
      </x:c>
      <x:c r="AW286" t="n">
        <x:v>1</x:v>
      </x:c>
      <x:c r="AX286" t="n">
        <x:v>5</x:v>
      </x:c>
      <x:c r="AY286"/>
      <x:c r="AZ286" t="n">
        <x:f>IF(('Quantification_Results'!AW286&lt;&gt;1),"",IF(('Quantification_Results'!AY286=""),IF(ISNUMBER('Quantification_Results'!AX286),IF(('Quantification_Results'!AX286&lt;'Quantification_Config'!$S$19),"",IF(('Quantification_Results'!AX286&gt;'Quantification_Config'!$T$19),"",'Quantification_Results'!AX286)),""),IF(ISNUMBER('Quantification_Results'!AY286),IF(('Quantification_Results'!AY286&lt;'Quantification_Config'!$S$19),"",IF(('Quantification_Results'!AY286&gt;'Quantification_Config'!$T$19),"",'Quantification_Results'!AY286)),"")))</x:f>
        <x:v>5</x:v>
      </x:c>
      <x:c r="BA286" t="n">
        <x:f>IF(ISNUMBER('Quantification_Results'!AZ286),IFERROR(ROUND(((('Quantification_Results'!AZ286-'Quantification_Config'!$S$19)/('Quantification_Config'!$T$19-'Quantification_Config'!$S$19))*100),'Quantification_Config'!$U$2),""),"")</x:f>
        <x:v>50</x:v>
      </x:c>
      <x:c r="BB286" t="inlineStr">
        <x:is>
          <x:t xml:space="preserve">SYSTEM-TEST-ONLY-NO-NETWORK-NOT-AN-EDUCATIONAL-EVALUATION</x:t>
        </x:is>
      </x:c>
      <x:c r="BC286" t="inlineStr">
        <x:is>
          <x:t xml:space="preserve"/>
        </x:is>
      </x:c>
      <x:c r="BD286" t="inlineStr">
        <x:is>
          <x:t xml:space="preserve">NONE</x:t>
        </x:is>
      </x:c>
      <x:c r="BE286" t="inlineStr">
        <x:is>
          <x:t xml:space="preserve"/>
        </x:is>
      </x:c>
      <x:c r="BF286" t="inlineStr">
        <x:is>
          <x:t xml:space="preserve">SUCCESS</x:t>
        </x:is>
      </x:c>
      <x:c r="BG286" t="n">
        <x:f>IF((COUNT('Quantification_Results'!BA286)=1),IFERROR(ROUND((SUM(('Quantification_Results'!BA286*'Quantification_Config'!$R$19))/SUM('Quantification_Config'!$R$19)),'Quantification_Config'!$U$2),""),"")</x:f>
        <x:v>50</x:v>
      </x:c>
      <x:c r="BH286" t="n">
        <x:f>IF((COUNT('Quantification_Results'!BG286)=1),IFERROR(ROUND((SUM(('Quantification_Results'!BG286*'Quantification_Config'!$R$18))/SUM('Quantification_Config'!$R$18)),'Quantification_Config'!$U$2),""),"")</x:f>
        <x:v>50</x:v>
      </x:c>
      <x:c r="BI286">
        <x:f>IF((COUNT('Quantification_Results'!L286,'Quantification_Results'!X286,'Quantification_Results'!AJ286,'Quantification_Results'!AV286,'Quantification_Results'!BH286)=5),IFERROR(ROUND((SUM(('Quantification_Results'!L286*'Quantification_Config'!$R$4),('Quantification_Results'!X286*'Quantification_Config'!$R$7),('Quantification_Results'!AJ286*'Quantification_Config'!$R$10),('Quantification_Results'!AV286*'Quantification_Config'!$R$13),('Quantification_Results'!BH286*'Quantification_Config'!$R$16))/SUM('Quantification_Config'!$R$4,'Quantification_Config'!$R$7,'Quantification_Config'!$R$10,'Quantification_Config'!$R$13,'Quantification_Config'!$R$16)),'Quantification_Config'!$U$2),""),"")</x:f>
      </x:c>
    </x:row>
    <x:row r="287">
      <x:c r="A287" t="n">
        <x:v>1</x:v>
      </x:c>
      <x:c r="B287" t="n">
        <x:v>5</x:v>
      </x:c>
      <x:c r="C287"/>
      <x:c r="D287" t="n">
        <x:f>IF(('Quantification_Results'!A287&lt;&gt;1),"",IF(('Quantification_Results'!C287=""),IF(ISNUMBER('Quantification_Results'!B287),IF(('Quantification_Results'!B287&lt;'Quantification_Config'!$S$6),"",IF(('Quantification_Results'!B287&gt;'Quantification_Config'!$T$6),"",'Quantification_Results'!B287)),""),IF(ISNUMBER('Quantification_Results'!C287),IF(('Quantification_Results'!C287&lt;'Quantification_Config'!$S$6),"",IF(('Quantification_Results'!C287&gt;'Quantification_Config'!$T$6),"",'Quantification_Results'!C287)),"")))</x:f>
        <x:v>5</x:v>
      </x:c>
      <x:c r="E287" t="n">
        <x:f>IF(ISNUMBER('Quantification_Results'!D287),IFERROR(ROUND(((('Quantification_Results'!D287-'Quantification_Config'!$S$6)/('Quantification_Config'!$T$6-'Quantification_Config'!$S$6))*100),'Quantification_Config'!$U$2),""),"")</x:f>
        <x:v>50</x:v>
      </x:c>
      <x:c r="F287" t="inlineStr">
        <x:is>
          <x:t xml:space="preserve">SYSTEM-TEST-ONLY-NO-NETWORK-NOT-AN-EDUCATIONAL-EVALUATION</x:t>
        </x:is>
      </x:c>
      <x:c r="G287" t="inlineStr">
        <x:is>
          <x:t xml:space="preserve"/>
        </x:is>
      </x:c>
      <x:c r="H287" t="inlineStr">
        <x:is>
          <x:t xml:space="preserve">NONE</x:t>
        </x:is>
      </x:c>
      <x:c r="I287" t="inlineStr">
        <x:is>
          <x:t xml:space="preserve"/>
        </x:is>
      </x:c>
      <x:c r="J287" t="inlineStr">
        <x:is>
          <x:t xml:space="preserve">SUCCESS</x:t>
        </x:is>
      </x:c>
      <x:c r="K287" t="n">
        <x:f>IF((COUNT('Quantification_Results'!E287)=1),IFERROR(ROUND((SUM(('Quantification_Results'!E287*'Quantification_Config'!$R$6))/SUM('Quantification_Config'!$R$6)),'Quantification_Config'!$U$2),""),"")</x:f>
        <x:v>50</x:v>
      </x:c>
      <x:c r="L287" t="n">
        <x:f>IF((COUNT('Quantification_Results'!K287)=1),IFERROR(ROUND((SUM(('Quantification_Results'!K287*'Quantification_Config'!$R$5))/SUM('Quantification_Config'!$R$5)),'Quantification_Config'!$U$2),""),"")</x:f>
        <x:v>50</x:v>
      </x:c>
      <x:c r="M287" t="n">
        <x:v>1</x:v>
      </x:c>
      <x:c r="N287" t="n">
        <x:v>5</x:v>
      </x:c>
      <x:c r="O287"/>
      <x:c r="P287" t="n">
        <x:f>IF(('Quantification_Results'!M287&lt;&gt;1),"",IF(('Quantification_Results'!O287=""),IF(ISNUMBER('Quantification_Results'!N287),IF(('Quantification_Results'!N287&lt;'Quantification_Config'!$S$9),"",IF(('Quantification_Results'!N287&gt;'Quantification_Config'!$T$9),"",'Quantification_Results'!N287)),""),IF(ISNUMBER('Quantification_Results'!O287),IF(('Quantification_Results'!O287&lt;'Quantification_Config'!$S$9),"",IF(('Quantification_Results'!O287&gt;'Quantification_Config'!$T$9),"",'Quantification_Results'!O287)),"")))</x:f>
        <x:v>5</x:v>
      </x:c>
      <x:c r="Q287" t="n">
        <x:f>IF(ISNUMBER('Quantification_Results'!P287),IFERROR(ROUND(((('Quantification_Results'!P287-'Quantification_Config'!$S$9)/('Quantification_Config'!$T$9-'Quantification_Config'!$S$9))*100),'Quantification_Config'!$U$2),""),"")</x:f>
        <x:v>50</x:v>
      </x:c>
      <x:c r="R287" t="inlineStr">
        <x:is>
          <x:t xml:space="preserve">SYSTEM-TEST-ONLY-NO-NETWORK-NOT-AN-EDUCATIONAL-EVALUATION</x:t>
        </x:is>
      </x:c>
      <x:c r="S287" t="inlineStr">
        <x:is>
          <x:t xml:space="preserve"/>
        </x:is>
      </x:c>
      <x:c r="T287" t="inlineStr">
        <x:is>
          <x:t xml:space="preserve">NONE</x:t>
        </x:is>
      </x:c>
      <x:c r="U287" t="inlineStr">
        <x:is>
          <x:t xml:space="preserve"/>
        </x:is>
      </x:c>
      <x:c r="V287" t="inlineStr">
        <x:is>
          <x:t xml:space="preserve">SUCCESS</x:t>
        </x:is>
      </x:c>
      <x:c r="W287" t="n">
        <x:f>IF((COUNT('Quantification_Results'!Q287)=1),IFERROR(ROUND((SUM(('Quantification_Results'!Q287*'Quantification_Config'!$R$9))/SUM('Quantification_Config'!$R$9)),'Quantification_Config'!$U$2),""),"")</x:f>
        <x:v>50</x:v>
      </x:c>
      <x:c r="X287" t="n">
        <x:f>IF((COUNT('Quantification_Results'!W287)=1),IFERROR(ROUND((SUM(('Quantification_Results'!W287*'Quantification_Config'!$R$8))/SUM('Quantification_Config'!$R$8)),'Quantification_Config'!$U$2),""),"")</x:f>
        <x:v>50</x:v>
      </x:c>
      <x:c r="Y287" t="n">
        <x:v>0</x:v>
      </x:c>
      <x:c r="Z287"/>
      <x:c r="AA287"/>
      <x:c r="AB287">
        <x:f>IF(('Quantification_Results'!Y287&lt;&gt;1),"",IF(('Quantification_Results'!AA287=""),IF(ISNUMBER('Quantification_Results'!Z287),IF(('Quantification_Results'!Z287&lt;'Quantification_Config'!$S$12),"",IF(('Quantification_Results'!Z287&gt;'Quantification_Config'!$T$12),"",'Quantification_Results'!Z287)),""),IF(ISNUMBER('Quantification_Results'!AA287),IF(('Quantification_Results'!AA287&lt;'Quantification_Config'!$S$12),"",IF(('Quantification_Results'!AA287&gt;'Quantification_Config'!$T$12),"",'Quantification_Results'!AA287)),"")))</x:f>
      </x:c>
      <x:c r="AC287">
        <x:f>IF(ISNUMBER('Quantification_Results'!AB287),IFERROR(ROUND(((('Quantification_Results'!AB287-'Quantification_Config'!$S$12)/('Quantification_Config'!$T$12-'Quantification_Config'!$S$12))*100),'Quantification_Config'!$U$2),""),"")</x:f>
      </x:c>
      <x:c r="AD287" t="inlineStr">
        <x:is>
          <x:t xml:space="preserve"/>
        </x:is>
      </x:c>
      <x:c r="AE287" t="inlineStr">
        <x:is>
          <x:t xml:space="preserve"/>
        </x:is>
      </x:c>
      <x:c r="AF287" t="inlineStr">
        <x:is>
          <x:t xml:space="preserve"/>
        </x:is>
      </x:c>
      <x:c r="AG287" t="inlineStr">
        <x:is>
          <x:t xml:space="preserve"/>
        </x:is>
      </x:c>
      <x:c r="AH287" t="inlineStr">
        <x:is>
          <x:t xml:space="preserve">EMPTY</x:t>
        </x:is>
      </x:c>
      <x:c r="AI287">
        <x:f>IF((COUNT('Quantification_Results'!AC287)=1),IFERROR(ROUND((SUM(('Quantification_Results'!AC287*'Quantification_Config'!$R$12))/SUM('Quantification_Config'!$R$12)),'Quantification_Config'!$U$2),""),"")</x:f>
      </x:c>
      <x:c r="AJ287">
        <x:f>IF((COUNT('Quantification_Results'!AI287)=1),IFERROR(ROUND((SUM(('Quantification_Results'!AI287*'Quantification_Config'!$R$11))/SUM('Quantification_Config'!$R$11)),'Quantification_Config'!$U$2),""),"")</x:f>
      </x:c>
      <x:c r="AK287" t="n">
        <x:v>1</x:v>
      </x:c>
      <x:c r="AL287" t="n">
        <x:v>5</x:v>
      </x:c>
      <x:c r="AM287"/>
      <x:c r="AN287" t="n">
        <x:f>IF(('Quantification_Results'!AK287&lt;&gt;1),"",IF(('Quantification_Results'!AM287=""),IF(ISNUMBER('Quantification_Results'!AL287),IF(('Quantification_Results'!AL287&lt;'Quantification_Config'!$S$15),"",IF(('Quantification_Results'!AL287&gt;'Quantification_Config'!$T$15),"",'Quantification_Results'!AL287)),""),IF(ISNUMBER('Quantification_Results'!AM287),IF(('Quantification_Results'!AM287&lt;'Quantification_Config'!$S$15),"",IF(('Quantification_Results'!AM287&gt;'Quantification_Config'!$T$15),"",'Quantification_Results'!AM287)),"")))</x:f>
        <x:v>5</x:v>
      </x:c>
      <x:c r="AO287" t="n">
        <x:f>IF(ISNUMBER('Quantification_Results'!AN287),IFERROR(ROUND(((('Quantification_Results'!AN287-'Quantification_Config'!$S$15)/('Quantification_Config'!$T$15-'Quantification_Config'!$S$15))*100),'Quantification_Config'!$U$2),""),"")</x:f>
        <x:v>50</x:v>
      </x:c>
      <x:c r="AP287" t="inlineStr">
        <x:is>
          <x:t xml:space="preserve">SYSTEM-TEST-ONLY-NO-NETWORK-NOT-AN-EDUCATIONAL-EVALUATION</x:t>
        </x:is>
      </x:c>
      <x:c r="AQ287" t="inlineStr">
        <x:is>
          <x:t xml:space="preserve"/>
        </x:is>
      </x:c>
      <x:c r="AR287" t="inlineStr">
        <x:is>
          <x:t xml:space="preserve">NONE</x:t>
        </x:is>
      </x:c>
      <x:c r="AS287" t="inlineStr">
        <x:is>
          <x:t xml:space="preserve"/>
        </x:is>
      </x:c>
      <x:c r="AT287" t="inlineStr">
        <x:is>
          <x:t xml:space="preserve">SUCCESS</x:t>
        </x:is>
      </x:c>
      <x:c r="AU287" t="n">
        <x:f>IF((COUNT('Quantification_Results'!AO287)=1),IFERROR(ROUND((SUM(('Quantification_Results'!AO287*'Quantification_Config'!$R$15))/SUM('Quantification_Config'!$R$15)),'Quantification_Config'!$U$2),""),"")</x:f>
        <x:v>50</x:v>
      </x:c>
      <x:c r="AV287" t="n">
        <x:f>IF((COUNT('Quantification_Results'!AU287)=1),IFERROR(ROUND((SUM(('Quantification_Results'!AU287*'Quantification_Config'!$R$14))/SUM('Quantification_Config'!$R$14)),'Quantification_Config'!$U$2),""),"")</x:f>
        <x:v>50</x:v>
      </x:c>
      <x:c r="AW287" t="n">
        <x:v>1</x:v>
      </x:c>
      <x:c r="AX287" t="n">
        <x:v>5</x:v>
      </x:c>
      <x:c r="AY287"/>
      <x:c r="AZ287" t="n">
        <x:f>IF(('Quantification_Results'!AW287&lt;&gt;1),"",IF(('Quantification_Results'!AY287=""),IF(ISNUMBER('Quantification_Results'!AX287),IF(('Quantification_Results'!AX287&lt;'Quantification_Config'!$S$19),"",IF(('Quantification_Results'!AX287&gt;'Quantification_Config'!$T$19),"",'Quantification_Results'!AX287)),""),IF(ISNUMBER('Quantification_Results'!AY287),IF(('Quantification_Results'!AY287&lt;'Quantification_Config'!$S$19),"",IF(('Quantification_Results'!AY287&gt;'Quantification_Config'!$T$19),"",'Quantification_Results'!AY287)),"")))</x:f>
        <x:v>5</x:v>
      </x:c>
      <x:c r="BA287" t="n">
        <x:f>IF(ISNUMBER('Quantification_Results'!AZ287),IFERROR(ROUND(((('Quantification_Results'!AZ287-'Quantification_Config'!$S$19)/('Quantification_Config'!$T$19-'Quantification_Config'!$S$19))*100),'Quantification_Config'!$U$2),""),"")</x:f>
        <x:v>50</x:v>
      </x:c>
      <x:c r="BB287" t="inlineStr">
        <x:is>
          <x:t xml:space="preserve">SYSTEM-TEST-ONLY-NO-NETWORK-NOT-AN-EDUCATIONAL-EVALUATION</x:t>
        </x:is>
      </x:c>
      <x:c r="BC287" t="inlineStr">
        <x:is>
          <x:t xml:space="preserve"/>
        </x:is>
      </x:c>
      <x:c r="BD287" t="inlineStr">
        <x:is>
          <x:t xml:space="preserve">NONE</x:t>
        </x:is>
      </x:c>
      <x:c r="BE287" t="inlineStr">
        <x:is>
          <x:t xml:space="preserve"/>
        </x:is>
      </x:c>
      <x:c r="BF287" t="inlineStr">
        <x:is>
          <x:t xml:space="preserve">SUCCESS</x:t>
        </x:is>
      </x:c>
      <x:c r="BG287" t="n">
        <x:f>IF((COUNT('Quantification_Results'!BA287)=1),IFERROR(ROUND((SUM(('Quantification_Results'!BA287*'Quantification_Config'!$R$19))/SUM('Quantification_Config'!$R$19)),'Quantification_Config'!$U$2),""),"")</x:f>
        <x:v>50</x:v>
      </x:c>
      <x:c r="BH287" t="n">
        <x:f>IF((COUNT('Quantification_Results'!BG287)=1),IFERROR(ROUND((SUM(('Quantification_Results'!BG287*'Quantification_Config'!$R$18))/SUM('Quantification_Config'!$R$18)),'Quantification_Config'!$U$2),""),"")</x:f>
        <x:v>50</x:v>
      </x:c>
      <x:c r="BI287">
        <x:f>IF((COUNT('Quantification_Results'!L287,'Quantification_Results'!X287,'Quantification_Results'!AJ287,'Quantification_Results'!AV287,'Quantification_Results'!BH287)=5),IFERROR(ROUND((SUM(('Quantification_Results'!L287*'Quantification_Config'!$R$4),('Quantification_Results'!X287*'Quantification_Config'!$R$7),('Quantification_Results'!AJ287*'Quantification_Config'!$R$10),('Quantification_Results'!AV287*'Quantification_Config'!$R$13),('Quantification_Results'!BH287*'Quantification_Config'!$R$16))/SUM('Quantification_Config'!$R$4,'Quantification_Config'!$R$7,'Quantification_Config'!$R$10,'Quantification_Config'!$R$13,'Quantification_Config'!$R$16)),'Quantification_Config'!$U$2),""),"")</x:f>
      </x:c>
    </x:row>
    <x:row r="288">
      <x:c r="A288" t="n">
        <x:v>1</x:v>
      </x:c>
      <x:c r="B288" t="n">
        <x:v>5</x:v>
      </x:c>
      <x:c r="C288"/>
      <x:c r="D288" t="n">
        <x:f>IF(('Quantification_Results'!A288&lt;&gt;1),"",IF(('Quantification_Results'!C288=""),IF(ISNUMBER('Quantification_Results'!B288),IF(('Quantification_Results'!B288&lt;'Quantification_Config'!$S$6),"",IF(('Quantification_Results'!B288&gt;'Quantification_Config'!$T$6),"",'Quantification_Results'!B288)),""),IF(ISNUMBER('Quantification_Results'!C288),IF(('Quantification_Results'!C288&lt;'Quantification_Config'!$S$6),"",IF(('Quantification_Results'!C288&gt;'Quantification_Config'!$T$6),"",'Quantification_Results'!C288)),"")))</x:f>
        <x:v>5</x:v>
      </x:c>
      <x:c r="E288" t="n">
        <x:f>IF(ISNUMBER('Quantification_Results'!D288),IFERROR(ROUND(((('Quantification_Results'!D288-'Quantification_Config'!$S$6)/('Quantification_Config'!$T$6-'Quantification_Config'!$S$6))*100),'Quantification_Config'!$U$2),""),"")</x:f>
        <x:v>50</x:v>
      </x:c>
      <x:c r="F288" t="inlineStr">
        <x:is>
          <x:t xml:space="preserve">SYSTEM-TEST-ONLY-NO-NETWORK-NOT-AN-EDUCATIONAL-EVALUATION</x:t>
        </x:is>
      </x:c>
      <x:c r="G288" t="inlineStr">
        <x:is>
          <x:t xml:space="preserve"/>
        </x:is>
      </x:c>
      <x:c r="H288" t="inlineStr">
        <x:is>
          <x:t xml:space="preserve">NONE</x:t>
        </x:is>
      </x:c>
      <x:c r="I288" t="inlineStr">
        <x:is>
          <x:t xml:space="preserve"/>
        </x:is>
      </x:c>
      <x:c r="J288" t="inlineStr">
        <x:is>
          <x:t xml:space="preserve">SUCCESS</x:t>
        </x:is>
      </x:c>
      <x:c r="K288" t="n">
        <x:f>IF((COUNT('Quantification_Results'!E288)=1),IFERROR(ROUND((SUM(('Quantification_Results'!E288*'Quantification_Config'!$R$6))/SUM('Quantification_Config'!$R$6)),'Quantification_Config'!$U$2),""),"")</x:f>
        <x:v>50</x:v>
      </x:c>
      <x:c r="L288" t="n">
        <x:f>IF((COUNT('Quantification_Results'!K288)=1),IFERROR(ROUND((SUM(('Quantification_Results'!K288*'Quantification_Config'!$R$5))/SUM('Quantification_Config'!$R$5)),'Quantification_Config'!$U$2),""),"")</x:f>
        <x:v>50</x:v>
      </x:c>
      <x:c r="M288" t="n">
        <x:v>1</x:v>
      </x:c>
      <x:c r="N288" t="n">
        <x:v>5</x:v>
      </x:c>
      <x:c r="O288"/>
      <x:c r="P288" t="n">
        <x:f>IF(('Quantification_Results'!M288&lt;&gt;1),"",IF(('Quantification_Results'!O288=""),IF(ISNUMBER('Quantification_Results'!N288),IF(('Quantification_Results'!N288&lt;'Quantification_Config'!$S$9),"",IF(('Quantification_Results'!N288&gt;'Quantification_Config'!$T$9),"",'Quantification_Results'!N288)),""),IF(ISNUMBER('Quantification_Results'!O288),IF(('Quantification_Results'!O288&lt;'Quantification_Config'!$S$9),"",IF(('Quantification_Results'!O288&gt;'Quantification_Config'!$T$9),"",'Quantification_Results'!O288)),"")))</x:f>
        <x:v>5</x:v>
      </x:c>
      <x:c r="Q288" t="n">
        <x:f>IF(ISNUMBER('Quantification_Results'!P288),IFERROR(ROUND(((('Quantification_Results'!P288-'Quantification_Config'!$S$9)/('Quantification_Config'!$T$9-'Quantification_Config'!$S$9))*100),'Quantification_Config'!$U$2),""),"")</x:f>
        <x:v>50</x:v>
      </x:c>
      <x:c r="R288" t="inlineStr">
        <x:is>
          <x:t xml:space="preserve">SYSTEM-TEST-ONLY-NO-NETWORK-NOT-AN-EDUCATIONAL-EVALUATION</x:t>
        </x:is>
      </x:c>
      <x:c r="S288" t="inlineStr">
        <x:is>
          <x:t xml:space="preserve"/>
        </x:is>
      </x:c>
      <x:c r="T288" t="inlineStr">
        <x:is>
          <x:t xml:space="preserve">NONE</x:t>
        </x:is>
      </x:c>
      <x:c r="U288" t="inlineStr">
        <x:is>
          <x:t xml:space="preserve"/>
        </x:is>
      </x:c>
      <x:c r="V288" t="inlineStr">
        <x:is>
          <x:t xml:space="preserve">SUCCESS</x:t>
        </x:is>
      </x:c>
      <x:c r="W288" t="n">
        <x:f>IF((COUNT('Quantification_Results'!Q288)=1),IFERROR(ROUND((SUM(('Quantification_Results'!Q288*'Quantification_Config'!$R$9))/SUM('Quantification_Config'!$R$9)),'Quantification_Config'!$U$2),""),"")</x:f>
        <x:v>50</x:v>
      </x:c>
      <x:c r="X288" t="n">
        <x:f>IF((COUNT('Quantification_Results'!W288)=1),IFERROR(ROUND((SUM(('Quantification_Results'!W288*'Quantification_Config'!$R$8))/SUM('Quantification_Config'!$R$8)),'Quantification_Config'!$U$2),""),"")</x:f>
        <x:v>50</x:v>
      </x:c>
      <x:c r="Y288" t="n">
        <x:v>0</x:v>
      </x:c>
      <x:c r="Z288"/>
      <x:c r="AA288"/>
      <x:c r="AB288">
        <x:f>IF(('Quantification_Results'!Y288&lt;&gt;1),"",IF(('Quantification_Results'!AA288=""),IF(ISNUMBER('Quantification_Results'!Z288),IF(('Quantification_Results'!Z288&lt;'Quantification_Config'!$S$12),"",IF(('Quantification_Results'!Z288&gt;'Quantification_Config'!$T$12),"",'Quantification_Results'!Z288)),""),IF(ISNUMBER('Quantification_Results'!AA288),IF(('Quantification_Results'!AA288&lt;'Quantification_Config'!$S$12),"",IF(('Quantification_Results'!AA288&gt;'Quantification_Config'!$T$12),"",'Quantification_Results'!AA288)),"")))</x:f>
      </x:c>
      <x:c r="AC288">
        <x:f>IF(ISNUMBER('Quantification_Results'!AB288),IFERROR(ROUND(((('Quantification_Results'!AB288-'Quantification_Config'!$S$12)/('Quantification_Config'!$T$12-'Quantification_Config'!$S$12))*100),'Quantification_Config'!$U$2),""),"")</x:f>
      </x:c>
      <x:c r="AD288" t="inlineStr">
        <x:is>
          <x:t xml:space="preserve"/>
        </x:is>
      </x:c>
      <x:c r="AE288" t="inlineStr">
        <x:is>
          <x:t xml:space="preserve"/>
        </x:is>
      </x:c>
      <x:c r="AF288" t="inlineStr">
        <x:is>
          <x:t xml:space="preserve"/>
        </x:is>
      </x:c>
      <x:c r="AG288" t="inlineStr">
        <x:is>
          <x:t xml:space="preserve"/>
        </x:is>
      </x:c>
      <x:c r="AH288" t="inlineStr">
        <x:is>
          <x:t xml:space="preserve">EMPTY</x:t>
        </x:is>
      </x:c>
      <x:c r="AI288">
        <x:f>IF((COUNT('Quantification_Results'!AC288)=1),IFERROR(ROUND((SUM(('Quantification_Results'!AC288*'Quantification_Config'!$R$12))/SUM('Quantification_Config'!$R$12)),'Quantification_Config'!$U$2),""),"")</x:f>
      </x:c>
      <x:c r="AJ288">
        <x:f>IF((COUNT('Quantification_Results'!AI288)=1),IFERROR(ROUND((SUM(('Quantification_Results'!AI288*'Quantification_Config'!$R$11))/SUM('Quantification_Config'!$R$11)),'Quantification_Config'!$U$2),""),"")</x:f>
      </x:c>
      <x:c r="AK288" t="n">
        <x:v>1</x:v>
      </x:c>
      <x:c r="AL288" t="n">
        <x:v>5</x:v>
      </x:c>
      <x:c r="AM288"/>
      <x:c r="AN288" t="n">
        <x:f>IF(('Quantification_Results'!AK288&lt;&gt;1),"",IF(('Quantification_Results'!AM288=""),IF(ISNUMBER('Quantification_Results'!AL288),IF(('Quantification_Results'!AL288&lt;'Quantification_Config'!$S$15),"",IF(('Quantification_Results'!AL288&gt;'Quantification_Config'!$T$15),"",'Quantification_Results'!AL288)),""),IF(ISNUMBER('Quantification_Results'!AM288),IF(('Quantification_Results'!AM288&lt;'Quantification_Config'!$S$15),"",IF(('Quantification_Results'!AM288&gt;'Quantification_Config'!$T$15),"",'Quantification_Results'!AM288)),"")))</x:f>
        <x:v>5</x:v>
      </x:c>
      <x:c r="AO288" t="n">
        <x:f>IF(ISNUMBER('Quantification_Results'!AN288),IFERROR(ROUND(((('Quantification_Results'!AN288-'Quantification_Config'!$S$15)/('Quantification_Config'!$T$15-'Quantification_Config'!$S$15))*100),'Quantification_Config'!$U$2),""),"")</x:f>
        <x:v>50</x:v>
      </x:c>
      <x:c r="AP288" t="inlineStr">
        <x:is>
          <x:t xml:space="preserve">SYSTEM-TEST-ONLY-NO-NETWORK-NOT-AN-EDUCATIONAL-EVALUATION</x:t>
        </x:is>
      </x:c>
      <x:c r="AQ288" t="inlineStr">
        <x:is>
          <x:t xml:space="preserve"/>
        </x:is>
      </x:c>
      <x:c r="AR288" t="inlineStr">
        <x:is>
          <x:t xml:space="preserve">NONE</x:t>
        </x:is>
      </x:c>
      <x:c r="AS288" t="inlineStr">
        <x:is>
          <x:t xml:space="preserve"/>
        </x:is>
      </x:c>
      <x:c r="AT288" t="inlineStr">
        <x:is>
          <x:t xml:space="preserve">SUCCESS</x:t>
        </x:is>
      </x:c>
      <x:c r="AU288" t="n">
        <x:f>IF((COUNT('Quantification_Results'!AO288)=1),IFERROR(ROUND((SUM(('Quantification_Results'!AO288*'Quantification_Config'!$R$15))/SUM('Quantification_Config'!$R$15)),'Quantification_Config'!$U$2),""),"")</x:f>
        <x:v>50</x:v>
      </x:c>
      <x:c r="AV288" t="n">
        <x:f>IF((COUNT('Quantification_Results'!AU288)=1),IFERROR(ROUND((SUM(('Quantification_Results'!AU288*'Quantification_Config'!$R$14))/SUM('Quantification_Config'!$R$14)),'Quantification_Config'!$U$2),""),"")</x:f>
        <x:v>50</x:v>
      </x:c>
      <x:c r="AW288" t="n">
        <x:v>1</x:v>
      </x:c>
      <x:c r="AX288" t="n">
        <x:v>5</x:v>
      </x:c>
      <x:c r="AY288"/>
      <x:c r="AZ288" t="n">
        <x:f>IF(('Quantification_Results'!AW288&lt;&gt;1),"",IF(('Quantification_Results'!AY288=""),IF(ISNUMBER('Quantification_Results'!AX288),IF(('Quantification_Results'!AX288&lt;'Quantification_Config'!$S$19),"",IF(('Quantification_Results'!AX288&gt;'Quantification_Config'!$T$19),"",'Quantification_Results'!AX288)),""),IF(ISNUMBER('Quantification_Results'!AY288),IF(('Quantification_Results'!AY288&lt;'Quantification_Config'!$S$19),"",IF(('Quantification_Results'!AY288&gt;'Quantification_Config'!$T$19),"",'Quantification_Results'!AY288)),"")))</x:f>
        <x:v>5</x:v>
      </x:c>
      <x:c r="BA288" t="n">
        <x:f>IF(ISNUMBER('Quantification_Results'!AZ288),IFERROR(ROUND(((('Quantification_Results'!AZ288-'Quantification_Config'!$S$19)/('Quantification_Config'!$T$19-'Quantification_Config'!$S$19))*100),'Quantification_Config'!$U$2),""),"")</x:f>
        <x:v>50</x:v>
      </x:c>
      <x:c r="BB288" t="inlineStr">
        <x:is>
          <x:t xml:space="preserve">SYSTEM-TEST-ONLY-NO-NETWORK-NOT-AN-EDUCATIONAL-EVALUATION</x:t>
        </x:is>
      </x:c>
      <x:c r="BC288" t="inlineStr">
        <x:is>
          <x:t xml:space="preserve"/>
        </x:is>
      </x:c>
      <x:c r="BD288" t="inlineStr">
        <x:is>
          <x:t xml:space="preserve">NONE</x:t>
        </x:is>
      </x:c>
      <x:c r="BE288" t="inlineStr">
        <x:is>
          <x:t xml:space="preserve"/>
        </x:is>
      </x:c>
      <x:c r="BF288" t="inlineStr">
        <x:is>
          <x:t xml:space="preserve">SUCCESS</x:t>
        </x:is>
      </x:c>
      <x:c r="BG288" t="n">
        <x:f>IF((COUNT('Quantification_Results'!BA288)=1),IFERROR(ROUND((SUM(('Quantification_Results'!BA288*'Quantification_Config'!$R$19))/SUM('Quantification_Config'!$R$19)),'Quantification_Config'!$U$2),""),"")</x:f>
        <x:v>50</x:v>
      </x:c>
      <x:c r="BH288" t="n">
        <x:f>IF((COUNT('Quantification_Results'!BG288)=1),IFERROR(ROUND((SUM(('Quantification_Results'!BG288*'Quantification_Config'!$R$18))/SUM('Quantification_Config'!$R$18)),'Quantification_Config'!$U$2),""),"")</x:f>
        <x:v>50</x:v>
      </x:c>
      <x:c r="BI288">
        <x:f>IF((COUNT('Quantification_Results'!L288,'Quantification_Results'!X288,'Quantification_Results'!AJ288,'Quantification_Results'!AV288,'Quantification_Results'!BH288)=5),IFERROR(ROUND((SUM(('Quantification_Results'!L288*'Quantification_Config'!$R$4),('Quantification_Results'!X288*'Quantification_Config'!$R$7),('Quantification_Results'!AJ288*'Quantification_Config'!$R$10),('Quantification_Results'!AV288*'Quantification_Config'!$R$13),('Quantification_Results'!BH288*'Quantification_Config'!$R$16))/SUM('Quantification_Config'!$R$4,'Quantification_Config'!$R$7,'Quantification_Config'!$R$10,'Quantification_Config'!$R$13,'Quantification_Config'!$R$16)),'Quantification_Config'!$U$2),""),"")</x:f>
      </x:c>
    </x:row>
    <x:row r="289">
      <x:c r="A289" t="n">
        <x:v>1</x:v>
      </x:c>
      <x:c r="B289" t="n">
        <x:v>5</x:v>
      </x:c>
      <x:c r="C289"/>
      <x:c r="D289" t="n">
        <x:f>IF(('Quantification_Results'!A289&lt;&gt;1),"",IF(('Quantification_Results'!C289=""),IF(ISNUMBER('Quantification_Results'!B289),IF(('Quantification_Results'!B289&lt;'Quantification_Config'!$S$6),"",IF(('Quantification_Results'!B289&gt;'Quantification_Config'!$T$6),"",'Quantification_Results'!B289)),""),IF(ISNUMBER('Quantification_Results'!C289),IF(('Quantification_Results'!C289&lt;'Quantification_Config'!$S$6),"",IF(('Quantification_Results'!C289&gt;'Quantification_Config'!$T$6),"",'Quantification_Results'!C289)),"")))</x:f>
        <x:v>5</x:v>
      </x:c>
      <x:c r="E289" t="n">
        <x:f>IF(ISNUMBER('Quantification_Results'!D289),IFERROR(ROUND(((('Quantification_Results'!D289-'Quantification_Config'!$S$6)/('Quantification_Config'!$T$6-'Quantification_Config'!$S$6))*100),'Quantification_Config'!$U$2),""),"")</x:f>
        <x:v>50</x:v>
      </x:c>
      <x:c r="F289" t="inlineStr">
        <x:is>
          <x:t xml:space="preserve">SYSTEM-TEST-ONLY-NO-NETWORK-NOT-AN-EDUCATIONAL-EVALUATION</x:t>
        </x:is>
      </x:c>
      <x:c r="G289" t="inlineStr">
        <x:is>
          <x:t xml:space="preserve"/>
        </x:is>
      </x:c>
      <x:c r="H289" t="inlineStr">
        <x:is>
          <x:t xml:space="preserve">NONE</x:t>
        </x:is>
      </x:c>
      <x:c r="I289" t="inlineStr">
        <x:is>
          <x:t xml:space="preserve"/>
        </x:is>
      </x:c>
      <x:c r="J289" t="inlineStr">
        <x:is>
          <x:t xml:space="preserve">SUCCESS</x:t>
        </x:is>
      </x:c>
      <x:c r="K289" t="n">
        <x:f>IF((COUNT('Quantification_Results'!E289)=1),IFERROR(ROUND((SUM(('Quantification_Results'!E289*'Quantification_Config'!$R$6))/SUM('Quantification_Config'!$R$6)),'Quantification_Config'!$U$2),""),"")</x:f>
        <x:v>50</x:v>
      </x:c>
      <x:c r="L289" t="n">
        <x:f>IF((COUNT('Quantification_Results'!K289)=1),IFERROR(ROUND((SUM(('Quantification_Results'!K289*'Quantification_Config'!$R$5))/SUM('Quantification_Config'!$R$5)),'Quantification_Config'!$U$2),""),"")</x:f>
        <x:v>50</x:v>
      </x:c>
      <x:c r="M289" t="n">
        <x:v>1</x:v>
      </x:c>
      <x:c r="N289" t="n">
        <x:v>5</x:v>
      </x:c>
      <x:c r="O289"/>
      <x:c r="P289" t="n">
        <x:f>IF(('Quantification_Results'!M289&lt;&gt;1),"",IF(('Quantification_Results'!O289=""),IF(ISNUMBER('Quantification_Results'!N289),IF(('Quantification_Results'!N289&lt;'Quantification_Config'!$S$9),"",IF(('Quantification_Results'!N289&gt;'Quantification_Config'!$T$9),"",'Quantification_Results'!N289)),""),IF(ISNUMBER('Quantification_Results'!O289),IF(('Quantification_Results'!O289&lt;'Quantification_Config'!$S$9),"",IF(('Quantification_Results'!O289&gt;'Quantification_Config'!$T$9),"",'Quantification_Results'!O289)),"")))</x:f>
        <x:v>5</x:v>
      </x:c>
      <x:c r="Q289" t="n">
        <x:f>IF(ISNUMBER('Quantification_Results'!P289),IFERROR(ROUND(((('Quantification_Results'!P289-'Quantification_Config'!$S$9)/('Quantification_Config'!$T$9-'Quantification_Config'!$S$9))*100),'Quantification_Config'!$U$2),""),"")</x:f>
        <x:v>50</x:v>
      </x:c>
      <x:c r="R289" t="inlineStr">
        <x:is>
          <x:t xml:space="preserve">SYSTEM-TEST-ONLY-NO-NETWORK-NOT-AN-EDUCATIONAL-EVALUATION</x:t>
        </x:is>
      </x:c>
      <x:c r="S289" t="inlineStr">
        <x:is>
          <x:t xml:space="preserve"/>
        </x:is>
      </x:c>
      <x:c r="T289" t="inlineStr">
        <x:is>
          <x:t xml:space="preserve">NONE</x:t>
        </x:is>
      </x:c>
      <x:c r="U289" t="inlineStr">
        <x:is>
          <x:t xml:space="preserve"/>
        </x:is>
      </x:c>
      <x:c r="V289" t="inlineStr">
        <x:is>
          <x:t xml:space="preserve">SUCCESS</x:t>
        </x:is>
      </x:c>
      <x:c r="W289" t="n">
        <x:f>IF((COUNT('Quantification_Results'!Q289)=1),IFERROR(ROUND((SUM(('Quantification_Results'!Q289*'Quantification_Config'!$R$9))/SUM('Quantification_Config'!$R$9)),'Quantification_Config'!$U$2),""),"")</x:f>
        <x:v>50</x:v>
      </x:c>
      <x:c r="X289" t="n">
        <x:f>IF((COUNT('Quantification_Results'!W289)=1),IFERROR(ROUND((SUM(('Quantification_Results'!W289*'Quantification_Config'!$R$8))/SUM('Quantification_Config'!$R$8)),'Quantification_Config'!$U$2),""),"")</x:f>
        <x:v>50</x:v>
      </x:c>
      <x:c r="Y289" t="n">
        <x:v>0</x:v>
      </x:c>
      <x:c r="Z289"/>
      <x:c r="AA289"/>
      <x:c r="AB289">
        <x:f>IF(('Quantification_Results'!Y289&lt;&gt;1),"",IF(('Quantification_Results'!AA289=""),IF(ISNUMBER('Quantification_Results'!Z289),IF(('Quantification_Results'!Z289&lt;'Quantification_Config'!$S$12),"",IF(('Quantification_Results'!Z289&gt;'Quantification_Config'!$T$12),"",'Quantification_Results'!Z289)),""),IF(ISNUMBER('Quantification_Results'!AA289),IF(('Quantification_Results'!AA289&lt;'Quantification_Config'!$S$12),"",IF(('Quantification_Results'!AA289&gt;'Quantification_Config'!$T$12),"",'Quantification_Results'!AA289)),"")))</x:f>
      </x:c>
      <x:c r="AC289">
        <x:f>IF(ISNUMBER('Quantification_Results'!AB289),IFERROR(ROUND(((('Quantification_Results'!AB289-'Quantification_Config'!$S$12)/('Quantification_Config'!$T$12-'Quantification_Config'!$S$12))*100),'Quantification_Config'!$U$2),""),"")</x:f>
      </x:c>
      <x:c r="AD289" t="inlineStr">
        <x:is>
          <x:t xml:space="preserve"/>
        </x:is>
      </x:c>
      <x:c r="AE289" t="inlineStr">
        <x:is>
          <x:t xml:space="preserve"/>
        </x:is>
      </x:c>
      <x:c r="AF289" t="inlineStr">
        <x:is>
          <x:t xml:space="preserve"/>
        </x:is>
      </x:c>
      <x:c r="AG289" t="inlineStr">
        <x:is>
          <x:t xml:space="preserve"/>
        </x:is>
      </x:c>
      <x:c r="AH289" t="inlineStr">
        <x:is>
          <x:t xml:space="preserve">EMPTY</x:t>
        </x:is>
      </x:c>
      <x:c r="AI289">
        <x:f>IF((COUNT('Quantification_Results'!AC289)=1),IFERROR(ROUND((SUM(('Quantification_Results'!AC289*'Quantification_Config'!$R$12))/SUM('Quantification_Config'!$R$12)),'Quantification_Config'!$U$2),""),"")</x:f>
      </x:c>
      <x:c r="AJ289">
        <x:f>IF((COUNT('Quantification_Results'!AI289)=1),IFERROR(ROUND((SUM(('Quantification_Results'!AI289*'Quantification_Config'!$R$11))/SUM('Quantification_Config'!$R$11)),'Quantification_Config'!$U$2),""),"")</x:f>
      </x:c>
      <x:c r="AK289" t="n">
        <x:v>1</x:v>
      </x:c>
      <x:c r="AL289" t="n">
        <x:v>5</x:v>
      </x:c>
      <x:c r="AM289"/>
      <x:c r="AN289" t="n">
        <x:f>IF(('Quantification_Results'!AK289&lt;&gt;1),"",IF(('Quantification_Results'!AM289=""),IF(ISNUMBER('Quantification_Results'!AL289),IF(('Quantification_Results'!AL289&lt;'Quantification_Config'!$S$15),"",IF(('Quantification_Results'!AL289&gt;'Quantification_Config'!$T$15),"",'Quantification_Results'!AL289)),""),IF(ISNUMBER('Quantification_Results'!AM289),IF(('Quantification_Results'!AM289&lt;'Quantification_Config'!$S$15),"",IF(('Quantification_Results'!AM289&gt;'Quantification_Config'!$T$15),"",'Quantification_Results'!AM289)),"")))</x:f>
        <x:v>5</x:v>
      </x:c>
      <x:c r="AO289" t="n">
        <x:f>IF(ISNUMBER('Quantification_Results'!AN289),IFERROR(ROUND(((('Quantification_Results'!AN289-'Quantification_Config'!$S$15)/('Quantification_Config'!$T$15-'Quantification_Config'!$S$15))*100),'Quantification_Config'!$U$2),""),"")</x:f>
        <x:v>50</x:v>
      </x:c>
      <x:c r="AP289" t="inlineStr">
        <x:is>
          <x:t xml:space="preserve">SYSTEM-TEST-ONLY-NO-NETWORK-NOT-AN-EDUCATIONAL-EVALUATION</x:t>
        </x:is>
      </x:c>
      <x:c r="AQ289" t="inlineStr">
        <x:is>
          <x:t xml:space="preserve"/>
        </x:is>
      </x:c>
      <x:c r="AR289" t="inlineStr">
        <x:is>
          <x:t xml:space="preserve">NONE</x:t>
        </x:is>
      </x:c>
      <x:c r="AS289" t="inlineStr">
        <x:is>
          <x:t xml:space="preserve"/>
        </x:is>
      </x:c>
      <x:c r="AT289" t="inlineStr">
        <x:is>
          <x:t xml:space="preserve">SUCCESS</x:t>
        </x:is>
      </x:c>
      <x:c r="AU289" t="n">
        <x:f>IF((COUNT('Quantification_Results'!AO289)=1),IFERROR(ROUND((SUM(('Quantification_Results'!AO289*'Quantification_Config'!$R$15))/SUM('Quantification_Config'!$R$15)),'Quantification_Config'!$U$2),""),"")</x:f>
        <x:v>50</x:v>
      </x:c>
      <x:c r="AV289" t="n">
        <x:f>IF((COUNT('Quantification_Results'!AU289)=1),IFERROR(ROUND((SUM(('Quantification_Results'!AU289*'Quantification_Config'!$R$14))/SUM('Quantification_Config'!$R$14)),'Quantification_Config'!$U$2),""),"")</x:f>
        <x:v>50</x:v>
      </x:c>
      <x:c r="AW289" t="n">
        <x:v>1</x:v>
      </x:c>
      <x:c r="AX289" t="n">
        <x:v>5</x:v>
      </x:c>
      <x:c r="AY289"/>
      <x:c r="AZ289" t="n">
        <x:f>IF(('Quantification_Results'!AW289&lt;&gt;1),"",IF(('Quantification_Results'!AY289=""),IF(ISNUMBER('Quantification_Results'!AX289),IF(('Quantification_Results'!AX289&lt;'Quantification_Config'!$S$19),"",IF(('Quantification_Results'!AX289&gt;'Quantification_Config'!$T$19),"",'Quantification_Results'!AX289)),""),IF(ISNUMBER('Quantification_Results'!AY289),IF(('Quantification_Results'!AY289&lt;'Quantification_Config'!$S$19),"",IF(('Quantification_Results'!AY289&gt;'Quantification_Config'!$T$19),"",'Quantification_Results'!AY289)),"")))</x:f>
        <x:v>5</x:v>
      </x:c>
      <x:c r="BA289" t="n">
        <x:f>IF(ISNUMBER('Quantification_Results'!AZ289),IFERROR(ROUND(((('Quantification_Results'!AZ289-'Quantification_Config'!$S$19)/('Quantification_Config'!$T$19-'Quantification_Config'!$S$19))*100),'Quantification_Config'!$U$2),""),"")</x:f>
        <x:v>50</x:v>
      </x:c>
      <x:c r="BB289" t="inlineStr">
        <x:is>
          <x:t xml:space="preserve">SYSTEM-TEST-ONLY-NO-NETWORK-NOT-AN-EDUCATIONAL-EVALUATION</x:t>
        </x:is>
      </x:c>
      <x:c r="BC289" t="inlineStr">
        <x:is>
          <x:t xml:space="preserve"/>
        </x:is>
      </x:c>
      <x:c r="BD289" t="inlineStr">
        <x:is>
          <x:t xml:space="preserve">NONE</x:t>
        </x:is>
      </x:c>
      <x:c r="BE289" t="inlineStr">
        <x:is>
          <x:t xml:space="preserve"/>
        </x:is>
      </x:c>
      <x:c r="BF289" t="inlineStr">
        <x:is>
          <x:t xml:space="preserve">SUCCESS</x:t>
        </x:is>
      </x:c>
      <x:c r="BG289" t="n">
        <x:f>IF((COUNT('Quantification_Results'!BA289)=1),IFERROR(ROUND((SUM(('Quantification_Results'!BA289*'Quantification_Config'!$R$19))/SUM('Quantification_Config'!$R$19)),'Quantification_Config'!$U$2),""),"")</x:f>
        <x:v>50</x:v>
      </x:c>
      <x:c r="BH289" t="n">
        <x:f>IF((COUNT('Quantification_Results'!BG289)=1),IFERROR(ROUND((SUM(('Quantification_Results'!BG289*'Quantification_Config'!$R$18))/SUM('Quantification_Config'!$R$18)),'Quantification_Config'!$U$2),""),"")</x:f>
        <x:v>50</x:v>
      </x:c>
      <x:c r="BI289">
        <x:f>IF((COUNT('Quantification_Results'!L289,'Quantification_Results'!X289,'Quantification_Results'!AJ289,'Quantification_Results'!AV289,'Quantification_Results'!BH289)=5),IFERROR(ROUND((SUM(('Quantification_Results'!L289*'Quantification_Config'!$R$4),('Quantification_Results'!X289*'Quantification_Config'!$R$7),('Quantification_Results'!AJ289*'Quantification_Config'!$R$10),('Quantification_Results'!AV289*'Quantification_Config'!$R$13),('Quantification_Results'!BH289*'Quantification_Config'!$R$16))/SUM('Quantification_Config'!$R$4,'Quantification_Config'!$R$7,'Quantification_Config'!$R$10,'Quantification_Config'!$R$13,'Quantification_Config'!$R$16)),'Quantification_Config'!$U$2),""),"")</x:f>
      </x:c>
    </x:row>
    <x:row r="290">
      <x:c r="A290" t="n">
        <x:v>1</x:v>
      </x:c>
      <x:c r="B290" t="n">
        <x:v>5</x:v>
      </x:c>
      <x:c r="C290"/>
      <x:c r="D290" t="n">
        <x:f>IF(('Quantification_Results'!A290&lt;&gt;1),"",IF(('Quantification_Results'!C290=""),IF(ISNUMBER('Quantification_Results'!B290),IF(('Quantification_Results'!B290&lt;'Quantification_Config'!$S$6),"",IF(('Quantification_Results'!B290&gt;'Quantification_Config'!$T$6),"",'Quantification_Results'!B290)),""),IF(ISNUMBER('Quantification_Results'!C290),IF(('Quantification_Results'!C290&lt;'Quantification_Config'!$S$6),"",IF(('Quantification_Results'!C290&gt;'Quantification_Config'!$T$6),"",'Quantification_Results'!C290)),"")))</x:f>
        <x:v>5</x:v>
      </x:c>
      <x:c r="E290" t="n">
        <x:f>IF(ISNUMBER('Quantification_Results'!D290),IFERROR(ROUND(((('Quantification_Results'!D290-'Quantification_Config'!$S$6)/('Quantification_Config'!$T$6-'Quantification_Config'!$S$6))*100),'Quantification_Config'!$U$2),""),"")</x:f>
        <x:v>50</x:v>
      </x:c>
      <x:c r="F290" t="inlineStr">
        <x:is>
          <x:t xml:space="preserve">SYSTEM-TEST-ONLY-NO-NETWORK-NOT-AN-EDUCATIONAL-EVALUATION</x:t>
        </x:is>
      </x:c>
      <x:c r="G290" t="inlineStr">
        <x:is>
          <x:t xml:space="preserve"/>
        </x:is>
      </x:c>
      <x:c r="H290" t="inlineStr">
        <x:is>
          <x:t xml:space="preserve">NONE</x:t>
        </x:is>
      </x:c>
      <x:c r="I290" t="inlineStr">
        <x:is>
          <x:t xml:space="preserve"/>
        </x:is>
      </x:c>
      <x:c r="J290" t="inlineStr">
        <x:is>
          <x:t xml:space="preserve">SUCCESS</x:t>
        </x:is>
      </x:c>
      <x:c r="K290" t="n">
        <x:f>IF((COUNT('Quantification_Results'!E290)=1),IFERROR(ROUND((SUM(('Quantification_Results'!E290*'Quantification_Config'!$R$6))/SUM('Quantification_Config'!$R$6)),'Quantification_Config'!$U$2),""),"")</x:f>
        <x:v>50</x:v>
      </x:c>
      <x:c r="L290" t="n">
        <x:f>IF((COUNT('Quantification_Results'!K290)=1),IFERROR(ROUND((SUM(('Quantification_Results'!K290*'Quantification_Config'!$R$5))/SUM('Quantification_Config'!$R$5)),'Quantification_Config'!$U$2),""),"")</x:f>
        <x:v>50</x:v>
      </x:c>
      <x:c r="M290" t="n">
        <x:v>1</x:v>
      </x:c>
      <x:c r="N290" t="n">
        <x:v>5</x:v>
      </x:c>
      <x:c r="O290"/>
      <x:c r="P290" t="n">
        <x:f>IF(('Quantification_Results'!M290&lt;&gt;1),"",IF(('Quantification_Results'!O290=""),IF(ISNUMBER('Quantification_Results'!N290),IF(('Quantification_Results'!N290&lt;'Quantification_Config'!$S$9),"",IF(('Quantification_Results'!N290&gt;'Quantification_Config'!$T$9),"",'Quantification_Results'!N290)),""),IF(ISNUMBER('Quantification_Results'!O290),IF(('Quantification_Results'!O290&lt;'Quantification_Config'!$S$9),"",IF(('Quantification_Results'!O290&gt;'Quantification_Config'!$T$9),"",'Quantification_Results'!O290)),"")))</x:f>
        <x:v>5</x:v>
      </x:c>
      <x:c r="Q290" t="n">
        <x:f>IF(ISNUMBER('Quantification_Results'!P290),IFERROR(ROUND(((('Quantification_Results'!P290-'Quantification_Config'!$S$9)/('Quantification_Config'!$T$9-'Quantification_Config'!$S$9))*100),'Quantification_Config'!$U$2),""),"")</x:f>
        <x:v>50</x:v>
      </x:c>
      <x:c r="R290" t="inlineStr">
        <x:is>
          <x:t xml:space="preserve">SYSTEM-TEST-ONLY-NO-NETWORK-NOT-AN-EDUCATIONAL-EVALUATION</x:t>
        </x:is>
      </x:c>
      <x:c r="S290" t="inlineStr">
        <x:is>
          <x:t xml:space="preserve"/>
        </x:is>
      </x:c>
      <x:c r="T290" t="inlineStr">
        <x:is>
          <x:t xml:space="preserve">NONE</x:t>
        </x:is>
      </x:c>
      <x:c r="U290" t="inlineStr">
        <x:is>
          <x:t xml:space="preserve"/>
        </x:is>
      </x:c>
      <x:c r="V290" t="inlineStr">
        <x:is>
          <x:t xml:space="preserve">SUCCESS</x:t>
        </x:is>
      </x:c>
      <x:c r="W290" t="n">
        <x:f>IF((COUNT('Quantification_Results'!Q290)=1),IFERROR(ROUND((SUM(('Quantification_Results'!Q290*'Quantification_Config'!$R$9))/SUM('Quantification_Config'!$R$9)),'Quantification_Config'!$U$2),""),"")</x:f>
        <x:v>50</x:v>
      </x:c>
      <x:c r="X290" t="n">
        <x:f>IF((COUNT('Quantification_Results'!W290)=1),IFERROR(ROUND((SUM(('Quantification_Results'!W290*'Quantification_Config'!$R$8))/SUM('Quantification_Config'!$R$8)),'Quantification_Config'!$U$2),""),"")</x:f>
        <x:v>50</x:v>
      </x:c>
      <x:c r="Y290" t="n">
        <x:v>0</x:v>
      </x:c>
      <x:c r="Z290"/>
      <x:c r="AA290"/>
      <x:c r="AB290">
        <x:f>IF(('Quantification_Results'!Y290&lt;&gt;1),"",IF(('Quantification_Results'!AA290=""),IF(ISNUMBER('Quantification_Results'!Z290),IF(('Quantification_Results'!Z290&lt;'Quantification_Config'!$S$12),"",IF(('Quantification_Results'!Z290&gt;'Quantification_Config'!$T$12),"",'Quantification_Results'!Z290)),""),IF(ISNUMBER('Quantification_Results'!AA290),IF(('Quantification_Results'!AA290&lt;'Quantification_Config'!$S$12),"",IF(('Quantification_Results'!AA290&gt;'Quantification_Config'!$T$12),"",'Quantification_Results'!AA290)),"")))</x:f>
      </x:c>
      <x:c r="AC290">
        <x:f>IF(ISNUMBER('Quantification_Results'!AB290),IFERROR(ROUND(((('Quantification_Results'!AB290-'Quantification_Config'!$S$12)/('Quantification_Config'!$T$12-'Quantification_Config'!$S$12))*100),'Quantification_Config'!$U$2),""),"")</x:f>
      </x:c>
      <x:c r="AD290" t="inlineStr">
        <x:is>
          <x:t xml:space="preserve"/>
        </x:is>
      </x:c>
      <x:c r="AE290" t="inlineStr">
        <x:is>
          <x:t xml:space="preserve"/>
        </x:is>
      </x:c>
      <x:c r="AF290" t="inlineStr">
        <x:is>
          <x:t xml:space="preserve"/>
        </x:is>
      </x:c>
      <x:c r="AG290" t="inlineStr">
        <x:is>
          <x:t xml:space="preserve"/>
        </x:is>
      </x:c>
      <x:c r="AH290" t="inlineStr">
        <x:is>
          <x:t xml:space="preserve">EMPTY</x:t>
        </x:is>
      </x:c>
      <x:c r="AI290">
        <x:f>IF((COUNT('Quantification_Results'!AC290)=1),IFERROR(ROUND((SUM(('Quantification_Results'!AC290*'Quantification_Config'!$R$12))/SUM('Quantification_Config'!$R$12)),'Quantification_Config'!$U$2),""),"")</x:f>
      </x:c>
      <x:c r="AJ290">
        <x:f>IF((COUNT('Quantification_Results'!AI290)=1),IFERROR(ROUND((SUM(('Quantification_Results'!AI290*'Quantification_Config'!$R$11))/SUM('Quantification_Config'!$R$11)),'Quantification_Config'!$U$2),""),"")</x:f>
      </x:c>
      <x:c r="AK290" t="n">
        <x:v>1</x:v>
      </x:c>
      <x:c r="AL290" t="n">
        <x:v>5</x:v>
      </x:c>
      <x:c r="AM290"/>
      <x:c r="AN290" t="n">
        <x:f>IF(('Quantification_Results'!AK290&lt;&gt;1),"",IF(('Quantification_Results'!AM290=""),IF(ISNUMBER('Quantification_Results'!AL290),IF(('Quantification_Results'!AL290&lt;'Quantification_Config'!$S$15),"",IF(('Quantification_Results'!AL290&gt;'Quantification_Config'!$T$15),"",'Quantification_Results'!AL290)),""),IF(ISNUMBER('Quantification_Results'!AM290),IF(('Quantification_Results'!AM290&lt;'Quantification_Config'!$S$15),"",IF(('Quantification_Results'!AM290&gt;'Quantification_Config'!$T$15),"",'Quantification_Results'!AM290)),"")))</x:f>
        <x:v>5</x:v>
      </x:c>
      <x:c r="AO290" t="n">
        <x:f>IF(ISNUMBER('Quantification_Results'!AN290),IFERROR(ROUND(((('Quantification_Results'!AN290-'Quantification_Config'!$S$15)/('Quantification_Config'!$T$15-'Quantification_Config'!$S$15))*100),'Quantification_Config'!$U$2),""),"")</x:f>
        <x:v>50</x:v>
      </x:c>
      <x:c r="AP290" t="inlineStr">
        <x:is>
          <x:t xml:space="preserve">SYSTEM-TEST-ONLY-NO-NETWORK-NOT-AN-EDUCATIONAL-EVALUATION</x:t>
        </x:is>
      </x:c>
      <x:c r="AQ290" t="inlineStr">
        <x:is>
          <x:t xml:space="preserve"/>
        </x:is>
      </x:c>
      <x:c r="AR290" t="inlineStr">
        <x:is>
          <x:t xml:space="preserve">NONE</x:t>
        </x:is>
      </x:c>
      <x:c r="AS290" t="inlineStr">
        <x:is>
          <x:t xml:space="preserve"/>
        </x:is>
      </x:c>
      <x:c r="AT290" t="inlineStr">
        <x:is>
          <x:t xml:space="preserve">SUCCESS</x:t>
        </x:is>
      </x:c>
      <x:c r="AU290" t="n">
        <x:f>IF((COUNT('Quantification_Results'!AO290)=1),IFERROR(ROUND((SUM(('Quantification_Results'!AO290*'Quantification_Config'!$R$15))/SUM('Quantification_Config'!$R$15)),'Quantification_Config'!$U$2),""),"")</x:f>
        <x:v>50</x:v>
      </x:c>
      <x:c r="AV290" t="n">
        <x:f>IF((COUNT('Quantification_Results'!AU290)=1),IFERROR(ROUND((SUM(('Quantification_Results'!AU290*'Quantification_Config'!$R$14))/SUM('Quantification_Config'!$R$14)),'Quantification_Config'!$U$2),""),"")</x:f>
        <x:v>50</x:v>
      </x:c>
      <x:c r="AW290" t="n">
        <x:v>1</x:v>
      </x:c>
      <x:c r="AX290" t="n">
        <x:v>5</x:v>
      </x:c>
      <x:c r="AY290"/>
      <x:c r="AZ290" t="n">
        <x:f>IF(('Quantification_Results'!AW290&lt;&gt;1),"",IF(('Quantification_Results'!AY290=""),IF(ISNUMBER('Quantification_Results'!AX290),IF(('Quantification_Results'!AX290&lt;'Quantification_Config'!$S$19),"",IF(('Quantification_Results'!AX290&gt;'Quantification_Config'!$T$19),"",'Quantification_Results'!AX290)),""),IF(ISNUMBER('Quantification_Results'!AY290),IF(('Quantification_Results'!AY290&lt;'Quantification_Config'!$S$19),"",IF(('Quantification_Results'!AY290&gt;'Quantification_Config'!$T$19),"",'Quantification_Results'!AY290)),"")))</x:f>
        <x:v>5</x:v>
      </x:c>
      <x:c r="BA290" t="n">
        <x:f>IF(ISNUMBER('Quantification_Results'!AZ290),IFERROR(ROUND(((('Quantification_Results'!AZ290-'Quantification_Config'!$S$19)/('Quantification_Config'!$T$19-'Quantification_Config'!$S$19))*100),'Quantification_Config'!$U$2),""),"")</x:f>
        <x:v>50</x:v>
      </x:c>
      <x:c r="BB290" t="inlineStr">
        <x:is>
          <x:t xml:space="preserve">SYSTEM-TEST-ONLY-NO-NETWORK-NOT-AN-EDUCATIONAL-EVALUATION</x:t>
        </x:is>
      </x:c>
      <x:c r="BC290" t="inlineStr">
        <x:is>
          <x:t xml:space="preserve"/>
        </x:is>
      </x:c>
      <x:c r="BD290" t="inlineStr">
        <x:is>
          <x:t xml:space="preserve">NONE</x:t>
        </x:is>
      </x:c>
      <x:c r="BE290" t="inlineStr">
        <x:is>
          <x:t xml:space="preserve"/>
        </x:is>
      </x:c>
      <x:c r="BF290" t="inlineStr">
        <x:is>
          <x:t xml:space="preserve">SUCCESS</x:t>
        </x:is>
      </x:c>
      <x:c r="BG290" t="n">
        <x:f>IF((COUNT('Quantification_Results'!BA290)=1),IFERROR(ROUND((SUM(('Quantification_Results'!BA290*'Quantification_Config'!$R$19))/SUM('Quantification_Config'!$R$19)),'Quantification_Config'!$U$2),""),"")</x:f>
        <x:v>50</x:v>
      </x:c>
      <x:c r="BH290" t="n">
        <x:f>IF((COUNT('Quantification_Results'!BG290)=1),IFERROR(ROUND((SUM(('Quantification_Results'!BG290*'Quantification_Config'!$R$18))/SUM('Quantification_Config'!$R$18)),'Quantification_Config'!$U$2),""),"")</x:f>
        <x:v>50</x:v>
      </x:c>
      <x:c r="BI290">
        <x:f>IF((COUNT('Quantification_Results'!L290,'Quantification_Results'!X290,'Quantification_Results'!AJ290,'Quantification_Results'!AV290,'Quantification_Results'!BH290)=5),IFERROR(ROUND((SUM(('Quantification_Results'!L290*'Quantification_Config'!$R$4),('Quantification_Results'!X290*'Quantification_Config'!$R$7),('Quantification_Results'!AJ290*'Quantification_Config'!$R$10),('Quantification_Results'!AV290*'Quantification_Config'!$R$13),('Quantification_Results'!BH290*'Quantification_Config'!$R$16))/SUM('Quantification_Config'!$R$4,'Quantification_Config'!$R$7,'Quantification_Config'!$R$10,'Quantification_Config'!$R$13,'Quantification_Config'!$R$16)),'Quantification_Config'!$U$2),""),"")</x:f>
      </x:c>
    </x:row>
    <x:row r="291">
      <x:c r="A291" t="n">
        <x:v>1</x:v>
      </x:c>
      <x:c r="B291" t="n">
        <x:v>5</x:v>
      </x:c>
      <x:c r="C291"/>
      <x:c r="D291" t="n">
        <x:f>IF(('Quantification_Results'!A291&lt;&gt;1),"",IF(('Quantification_Results'!C291=""),IF(ISNUMBER('Quantification_Results'!B291),IF(('Quantification_Results'!B291&lt;'Quantification_Config'!$S$6),"",IF(('Quantification_Results'!B291&gt;'Quantification_Config'!$T$6),"",'Quantification_Results'!B291)),""),IF(ISNUMBER('Quantification_Results'!C291),IF(('Quantification_Results'!C291&lt;'Quantification_Config'!$S$6),"",IF(('Quantification_Results'!C291&gt;'Quantification_Config'!$T$6),"",'Quantification_Results'!C291)),"")))</x:f>
        <x:v>5</x:v>
      </x:c>
      <x:c r="E291" t="n">
        <x:f>IF(ISNUMBER('Quantification_Results'!D291),IFERROR(ROUND(((('Quantification_Results'!D291-'Quantification_Config'!$S$6)/('Quantification_Config'!$T$6-'Quantification_Config'!$S$6))*100),'Quantification_Config'!$U$2),""),"")</x:f>
        <x:v>50</x:v>
      </x:c>
      <x:c r="F291" t="inlineStr">
        <x:is>
          <x:t xml:space="preserve">SYSTEM-TEST-ONLY-NO-NETWORK-NOT-AN-EDUCATIONAL-EVALUATION</x:t>
        </x:is>
      </x:c>
      <x:c r="G291" t="inlineStr">
        <x:is>
          <x:t xml:space="preserve"/>
        </x:is>
      </x:c>
      <x:c r="H291" t="inlineStr">
        <x:is>
          <x:t xml:space="preserve">NONE</x:t>
        </x:is>
      </x:c>
      <x:c r="I291" t="inlineStr">
        <x:is>
          <x:t xml:space="preserve"/>
        </x:is>
      </x:c>
      <x:c r="J291" t="inlineStr">
        <x:is>
          <x:t xml:space="preserve">SUCCESS</x:t>
        </x:is>
      </x:c>
      <x:c r="K291" t="n">
        <x:f>IF((COUNT('Quantification_Results'!E291)=1),IFERROR(ROUND((SUM(('Quantification_Results'!E291*'Quantification_Config'!$R$6))/SUM('Quantification_Config'!$R$6)),'Quantification_Config'!$U$2),""),"")</x:f>
        <x:v>50</x:v>
      </x:c>
      <x:c r="L291" t="n">
        <x:f>IF((COUNT('Quantification_Results'!K291)=1),IFERROR(ROUND((SUM(('Quantification_Results'!K291*'Quantification_Config'!$R$5))/SUM('Quantification_Config'!$R$5)),'Quantification_Config'!$U$2),""),"")</x:f>
        <x:v>50</x:v>
      </x:c>
      <x:c r="M291" t="n">
        <x:v>1</x:v>
      </x:c>
      <x:c r="N291" t="n">
        <x:v>5</x:v>
      </x:c>
      <x:c r="O291"/>
      <x:c r="P291" t="n">
        <x:f>IF(('Quantification_Results'!M291&lt;&gt;1),"",IF(('Quantification_Results'!O291=""),IF(ISNUMBER('Quantification_Results'!N291),IF(('Quantification_Results'!N291&lt;'Quantification_Config'!$S$9),"",IF(('Quantification_Results'!N291&gt;'Quantification_Config'!$T$9),"",'Quantification_Results'!N291)),""),IF(ISNUMBER('Quantification_Results'!O291),IF(('Quantification_Results'!O291&lt;'Quantification_Config'!$S$9),"",IF(('Quantification_Results'!O291&gt;'Quantification_Config'!$T$9),"",'Quantification_Results'!O291)),"")))</x:f>
        <x:v>5</x:v>
      </x:c>
      <x:c r="Q291" t="n">
        <x:f>IF(ISNUMBER('Quantification_Results'!P291),IFERROR(ROUND(((('Quantification_Results'!P291-'Quantification_Config'!$S$9)/('Quantification_Config'!$T$9-'Quantification_Config'!$S$9))*100),'Quantification_Config'!$U$2),""),"")</x:f>
        <x:v>50</x:v>
      </x:c>
      <x:c r="R291" t="inlineStr">
        <x:is>
          <x:t xml:space="preserve">SYSTEM-TEST-ONLY-NO-NETWORK-NOT-AN-EDUCATIONAL-EVALUATION</x:t>
        </x:is>
      </x:c>
      <x:c r="S291" t="inlineStr">
        <x:is>
          <x:t xml:space="preserve"/>
        </x:is>
      </x:c>
      <x:c r="T291" t="inlineStr">
        <x:is>
          <x:t xml:space="preserve">NONE</x:t>
        </x:is>
      </x:c>
      <x:c r="U291" t="inlineStr">
        <x:is>
          <x:t xml:space="preserve"/>
        </x:is>
      </x:c>
      <x:c r="V291" t="inlineStr">
        <x:is>
          <x:t xml:space="preserve">SUCCESS</x:t>
        </x:is>
      </x:c>
      <x:c r="W291" t="n">
        <x:f>IF((COUNT('Quantification_Results'!Q291)=1),IFERROR(ROUND((SUM(('Quantification_Results'!Q291*'Quantification_Config'!$R$9))/SUM('Quantification_Config'!$R$9)),'Quantification_Config'!$U$2),""),"")</x:f>
        <x:v>50</x:v>
      </x:c>
      <x:c r="X291" t="n">
        <x:f>IF((COUNT('Quantification_Results'!W291)=1),IFERROR(ROUND((SUM(('Quantification_Results'!W291*'Quantification_Config'!$R$8))/SUM('Quantification_Config'!$R$8)),'Quantification_Config'!$U$2),""),"")</x:f>
        <x:v>50</x:v>
      </x:c>
      <x:c r="Y291" t="n">
        <x:v>0</x:v>
      </x:c>
      <x:c r="Z291"/>
      <x:c r="AA291"/>
      <x:c r="AB291">
        <x:f>IF(('Quantification_Results'!Y291&lt;&gt;1),"",IF(('Quantification_Results'!AA291=""),IF(ISNUMBER('Quantification_Results'!Z291),IF(('Quantification_Results'!Z291&lt;'Quantification_Config'!$S$12),"",IF(('Quantification_Results'!Z291&gt;'Quantification_Config'!$T$12),"",'Quantification_Results'!Z291)),""),IF(ISNUMBER('Quantification_Results'!AA291),IF(('Quantification_Results'!AA291&lt;'Quantification_Config'!$S$12),"",IF(('Quantification_Results'!AA291&gt;'Quantification_Config'!$T$12),"",'Quantification_Results'!AA291)),"")))</x:f>
      </x:c>
      <x:c r="AC291">
        <x:f>IF(ISNUMBER('Quantification_Results'!AB291),IFERROR(ROUND(((('Quantification_Results'!AB291-'Quantification_Config'!$S$12)/('Quantification_Config'!$T$12-'Quantification_Config'!$S$12))*100),'Quantification_Config'!$U$2),""),"")</x:f>
      </x:c>
      <x:c r="AD291" t="inlineStr">
        <x:is>
          <x:t xml:space="preserve"/>
        </x:is>
      </x:c>
      <x:c r="AE291" t="inlineStr">
        <x:is>
          <x:t xml:space="preserve"/>
        </x:is>
      </x:c>
      <x:c r="AF291" t="inlineStr">
        <x:is>
          <x:t xml:space="preserve"/>
        </x:is>
      </x:c>
      <x:c r="AG291" t="inlineStr">
        <x:is>
          <x:t xml:space="preserve"/>
        </x:is>
      </x:c>
      <x:c r="AH291" t="inlineStr">
        <x:is>
          <x:t xml:space="preserve">EMPTY</x:t>
        </x:is>
      </x:c>
      <x:c r="AI291">
        <x:f>IF((COUNT('Quantification_Results'!AC291)=1),IFERROR(ROUND((SUM(('Quantification_Results'!AC291*'Quantification_Config'!$R$12))/SUM('Quantification_Config'!$R$12)),'Quantification_Config'!$U$2),""),"")</x:f>
      </x:c>
      <x:c r="AJ291">
        <x:f>IF((COUNT('Quantification_Results'!AI291)=1),IFERROR(ROUND((SUM(('Quantification_Results'!AI291*'Quantification_Config'!$R$11))/SUM('Quantification_Config'!$R$11)),'Quantification_Config'!$U$2),""),"")</x:f>
      </x:c>
      <x:c r="AK291" t="n">
        <x:v>1</x:v>
      </x:c>
      <x:c r="AL291" t="n">
        <x:v>5</x:v>
      </x:c>
      <x:c r="AM291"/>
      <x:c r="AN291" t="n">
        <x:f>IF(('Quantification_Results'!AK291&lt;&gt;1),"",IF(('Quantification_Results'!AM291=""),IF(ISNUMBER('Quantification_Results'!AL291),IF(('Quantification_Results'!AL291&lt;'Quantification_Config'!$S$15),"",IF(('Quantification_Results'!AL291&gt;'Quantification_Config'!$T$15),"",'Quantification_Results'!AL291)),""),IF(ISNUMBER('Quantification_Results'!AM291),IF(('Quantification_Results'!AM291&lt;'Quantification_Config'!$S$15),"",IF(('Quantification_Results'!AM291&gt;'Quantification_Config'!$T$15),"",'Quantification_Results'!AM291)),"")))</x:f>
        <x:v>5</x:v>
      </x:c>
      <x:c r="AO291" t="n">
        <x:f>IF(ISNUMBER('Quantification_Results'!AN291),IFERROR(ROUND(((('Quantification_Results'!AN291-'Quantification_Config'!$S$15)/('Quantification_Config'!$T$15-'Quantification_Config'!$S$15))*100),'Quantification_Config'!$U$2),""),"")</x:f>
        <x:v>50</x:v>
      </x:c>
      <x:c r="AP291" t="inlineStr">
        <x:is>
          <x:t xml:space="preserve">SYSTEM-TEST-ONLY-NO-NETWORK-NOT-AN-EDUCATIONAL-EVALUATION</x:t>
        </x:is>
      </x:c>
      <x:c r="AQ291" t="inlineStr">
        <x:is>
          <x:t xml:space="preserve"/>
        </x:is>
      </x:c>
      <x:c r="AR291" t="inlineStr">
        <x:is>
          <x:t xml:space="preserve">NONE</x:t>
        </x:is>
      </x:c>
      <x:c r="AS291" t="inlineStr">
        <x:is>
          <x:t xml:space="preserve"/>
        </x:is>
      </x:c>
      <x:c r="AT291" t="inlineStr">
        <x:is>
          <x:t xml:space="preserve">SUCCESS</x:t>
        </x:is>
      </x:c>
      <x:c r="AU291" t="n">
        <x:f>IF((COUNT('Quantification_Results'!AO291)=1),IFERROR(ROUND((SUM(('Quantification_Results'!AO291*'Quantification_Config'!$R$15))/SUM('Quantification_Config'!$R$15)),'Quantification_Config'!$U$2),""),"")</x:f>
        <x:v>50</x:v>
      </x:c>
      <x:c r="AV291" t="n">
        <x:f>IF((COUNT('Quantification_Results'!AU291)=1),IFERROR(ROUND((SUM(('Quantification_Results'!AU291*'Quantification_Config'!$R$14))/SUM('Quantification_Config'!$R$14)),'Quantification_Config'!$U$2),""),"")</x:f>
        <x:v>50</x:v>
      </x:c>
      <x:c r="AW291" t="n">
        <x:v>1</x:v>
      </x:c>
      <x:c r="AX291" t="n">
        <x:v>5</x:v>
      </x:c>
      <x:c r="AY291"/>
      <x:c r="AZ291" t="n">
        <x:f>IF(('Quantification_Results'!AW291&lt;&gt;1),"",IF(('Quantification_Results'!AY291=""),IF(ISNUMBER('Quantification_Results'!AX291),IF(('Quantification_Results'!AX291&lt;'Quantification_Config'!$S$19),"",IF(('Quantification_Results'!AX291&gt;'Quantification_Config'!$T$19),"",'Quantification_Results'!AX291)),""),IF(ISNUMBER('Quantification_Results'!AY291),IF(('Quantification_Results'!AY291&lt;'Quantification_Config'!$S$19),"",IF(('Quantification_Results'!AY291&gt;'Quantification_Config'!$T$19),"",'Quantification_Results'!AY291)),"")))</x:f>
        <x:v>5</x:v>
      </x:c>
      <x:c r="BA291" t="n">
        <x:f>IF(ISNUMBER('Quantification_Results'!AZ291),IFERROR(ROUND(((('Quantification_Results'!AZ291-'Quantification_Config'!$S$19)/('Quantification_Config'!$T$19-'Quantification_Config'!$S$19))*100),'Quantification_Config'!$U$2),""),"")</x:f>
        <x:v>50</x:v>
      </x:c>
      <x:c r="BB291" t="inlineStr">
        <x:is>
          <x:t xml:space="preserve">SYSTEM-TEST-ONLY-NO-NETWORK-NOT-AN-EDUCATIONAL-EVALUATION</x:t>
        </x:is>
      </x:c>
      <x:c r="BC291" t="inlineStr">
        <x:is>
          <x:t xml:space="preserve"/>
        </x:is>
      </x:c>
      <x:c r="BD291" t="inlineStr">
        <x:is>
          <x:t xml:space="preserve">NONE</x:t>
        </x:is>
      </x:c>
      <x:c r="BE291" t="inlineStr">
        <x:is>
          <x:t xml:space="preserve"/>
        </x:is>
      </x:c>
      <x:c r="BF291" t="inlineStr">
        <x:is>
          <x:t xml:space="preserve">SUCCESS</x:t>
        </x:is>
      </x:c>
      <x:c r="BG291" t="n">
        <x:f>IF((COUNT('Quantification_Results'!BA291)=1),IFERROR(ROUND((SUM(('Quantification_Results'!BA291*'Quantification_Config'!$R$19))/SUM('Quantification_Config'!$R$19)),'Quantification_Config'!$U$2),""),"")</x:f>
        <x:v>50</x:v>
      </x:c>
      <x:c r="BH291" t="n">
        <x:f>IF((COUNT('Quantification_Results'!BG291)=1),IFERROR(ROUND((SUM(('Quantification_Results'!BG291*'Quantification_Config'!$R$18))/SUM('Quantification_Config'!$R$18)),'Quantification_Config'!$U$2),""),"")</x:f>
        <x:v>50</x:v>
      </x:c>
      <x:c r="BI291">
        <x:f>IF((COUNT('Quantification_Results'!L291,'Quantification_Results'!X291,'Quantification_Results'!AJ291,'Quantification_Results'!AV291,'Quantification_Results'!BH291)=5),IFERROR(ROUND((SUM(('Quantification_Results'!L291*'Quantification_Config'!$R$4),('Quantification_Results'!X291*'Quantification_Config'!$R$7),('Quantification_Results'!AJ291*'Quantification_Config'!$R$10),('Quantification_Results'!AV291*'Quantification_Config'!$R$13),('Quantification_Results'!BH291*'Quantification_Config'!$R$16))/SUM('Quantification_Config'!$R$4,'Quantification_Config'!$R$7,'Quantification_Config'!$R$10,'Quantification_Config'!$R$13,'Quantification_Config'!$R$16)),'Quantification_Config'!$U$2),""),"")</x:f>
      </x:c>
    </x:row>
    <x:row r="292">
      <x:c r="A292" t="n">
        <x:v>1</x:v>
      </x:c>
      <x:c r="B292" t="n">
        <x:v>5</x:v>
      </x:c>
      <x:c r="C292"/>
      <x:c r="D292" t="n">
        <x:f>IF(('Quantification_Results'!A292&lt;&gt;1),"",IF(('Quantification_Results'!C292=""),IF(ISNUMBER('Quantification_Results'!B292),IF(('Quantification_Results'!B292&lt;'Quantification_Config'!$S$6),"",IF(('Quantification_Results'!B292&gt;'Quantification_Config'!$T$6),"",'Quantification_Results'!B292)),""),IF(ISNUMBER('Quantification_Results'!C292),IF(('Quantification_Results'!C292&lt;'Quantification_Config'!$S$6),"",IF(('Quantification_Results'!C292&gt;'Quantification_Config'!$T$6),"",'Quantification_Results'!C292)),"")))</x:f>
        <x:v>5</x:v>
      </x:c>
      <x:c r="E292" t="n">
        <x:f>IF(ISNUMBER('Quantification_Results'!D292),IFERROR(ROUND(((('Quantification_Results'!D292-'Quantification_Config'!$S$6)/('Quantification_Config'!$T$6-'Quantification_Config'!$S$6))*100),'Quantification_Config'!$U$2),""),"")</x:f>
        <x:v>50</x:v>
      </x:c>
      <x:c r="F292" t="inlineStr">
        <x:is>
          <x:t xml:space="preserve">SYSTEM-TEST-ONLY-NO-NETWORK-NOT-AN-EDUCATIONAL-EVALUATION</x:t>
        </x:is>
      </x:c>
      <x:c r="G292" t="inlineStr">
        <x:is>
          <x:t xml:space="preserve"/>
        </x:is>
      </x:c>
      <x:c r="H292" t="inlineStr">
        <x:is>
          <x:t xml:space="preserve">NONE</x:t>
        </x:is>
      </x:c>
      <x:c r="I292" t="inlineStr">
        <x:is>
          <x:t xml:space="preserve"/>
        </x:is>
      </x:c>
      <x:c r="J292" t="inlineStr">
        <x:is>
          <x:t xml:space="preserve">SUCCESS</x:t>
        </x:is>
      </x:c>
      <x:c r="K292" t="n">
        <x:f>IF((COUNT('Quantification_Results'!E292)=1),IFERROR(ROUND((SUM(('Quantification_Results'!E292*'Quantification_Config'!$R$6))/SUM('Quantification_Config'!$R$6)),'Quantification_Config'!$U$2),""),"")</x:f>
        <x:v>50</x:v>
      </x:c>
      <x:c r="L292" t="n">
        <x:f>IF((COUNT('Quantification_Results'!K292)=1),IFERROR(ROUND((SUM(('Quantification_Results'!K292*'Quantification_Config'!$R$5))/SUM('Quantification_Config'!$R$5)),'Quantification_Config'!$U$2),""),"")</x:f>
        <x:v>50</x:v>
      </x:c>
      <x:c r="M292" t="n">
        <x:v>1</x:v>
      </x:c>
      <x:c r="N292" t="n">
        <x:v>5</x:v>
      </x:c>
      <x:c r="O292"/>
      <x:c r="P292" t="n">
        <x:f>IF(('Quantification_Results'!M292&lt;&gt;1),"",IF(('Quantification_Results'!O292=""),IF(ISNUMBER('Quantification_Results'!N292),IF(('Quantification_Results'!N292&lt;'Quantification_Config'!$S$9),"",IF(('Quantification_Results'!N292&gt;'Quantification_Config'!$T$9),"",'Quantification_Results'!N292)),""),IF(ISNUMBER('Quantification_Results'!O292),IF(('Quantification_Results'!O292&lt;'Quantification_Config'!$S$9),"",IF(('Quantification_Results'!O292&gt;'Quantification_Config'!$T$9),"",'Quantification_Results'!O292)),"")))</x:f>
        <x:v>5</x:v>
      </x:c>
      <x:c r="Q292" t="n">
        <x:f>IF(ISNUMBER('Quantification_Results'!P292),IFERROR(ROUND(((('Quantification_Results'!P292-'Quantification_Config'!$S$9)/('Quantification_Config'!$T$9-'Quantification_Config'!$S$9))*100),'Quantification_Config'!$U$2),""),"")</x:f>
        <x:v>50</x:v>
      </x:c>
      <x:c r="R292" t="inlineStr">
        <x:is>
          <x:t xml:space="preserve">SYSTEM-TEST-ONLY-NO-NETWORK-NOT-AN-EDUCATIONAL-EVALUATION</x:t>
        </x:is>
      </x:c>
      <x:c r="S292" t="inlineStr">
        <x:is>
          <x:t xml:space="preserve"/>
        </x:is>
      </x:c>
      <x:c r="T292" t="inlineStr">
        <x:is>
          <x:t xml:space="preserve">NONE</x:t>
        </x:is>
      </x:c>
      <x:c r="U292" t="inlineStr">
        <x:is>
          <x:t xml:space="preserve"/>
        </x:is>
      </x:c>
      <x:c r="V292" t="inlineStr">
        <x:is>
          <x:t xml:space="preserve">SUCCESS</x:t>
        </x:is>
      </x:c>
      <x:c r="W292" t="n">
        <x:f>IF((COUNT('Quantification_Results'!Q292)=1),IFERROR(ROUND((SUM(('Quantification_Results'!Q292*'Quantification_Config'!$R$9))/SUM('Quantification_Config'!$R$9)),'Quantification_Config'!$U$2),""),"")</x:f>
        <x:v>50</x:v>
      </x:c>
      <x:c r="X292" t="n">
        <x:f>IF((COUNT('Quantification_Results'!W292)=1),IFERROR(ROUND((SUM(('Quantification_Results'!W292*'Quantification_Config'!$R$8))/SUM('Quantification_Config'!$R$8)),'Quantification_Config'!$U$2),""),"")</x:f>
        <x:v>50</x:v>
      </x:c>
      <x:c r="Y292" t="n">
        <x:v>0</x:v>
      </x:c>
      <x:c r="Z292"/>
      <x:c r="AA292"/>
      <x:c r="AB292">
        <x:f>IF(('Quantification_Results'!Y292&lt;&gt;1),"",IF(('Quantification_Results'!AA292=""),IF(ISNUMBER('Quantification_Results'!Z292),IF(('Quantification_Results'!Z292&lt;'Quantification_Config'!$S$12),"",IF(('Quantification_Results'!Z292&gt;'Quantification_Config'!$T$12),"",'Quantification_Results'!Z292)),""),IF(ISNUMBER('Quantification_Results'!AA292),IF(('Quantification_Results'!AA292&lt;'Quantification_Config'!$S$12),"",IF(('Quantification_Results'!AA292&gt;'Quantification_Config'!$T$12),"",'Quantification_Results'!AA292)),"")))</x:f>
      </x:c>
      <x:c r="AC292">
        <x:f>IF(ISNUMBER('Quantification_Results'!AB292),IFERROR(ROUND(((('Quantification_Results'!AB292-'Quantification_Config'!$S$12)/('Quantification_Config'!$T$12-'Quantification_Config'!$S$12))*100),'Quantification_Config'!$U$2),""),"")</x:f>
      </x:c>
      <x:c r="AD292" t="inlineStr">
        <x:is>
          <x:t xml:space="preserve"/>
        </x:is>
      </x:c>
      <x:c r="AE292" t="inlineStr">
        <x:is>
          <x:t xml:space="preserve"/>
        </x:is>
      </x:c>
      <x:c r="AF292" t="inlineStr">
        <x:is>
          <x:t xml:space="preserve"/>
        </x:is>
      </x:c>
      <x:c r="AG292" t="inlineStr">
        <x:is>
          <x:t xml:space="preserve"/>
        </x:is>
      </x:c>
      <x:c r="AH292" t="inlineStr">
        <x:is>
          <x:t xml:space="preserve">EMPTY</x:t>
        </x:is>
      </x:c>
      <x:c r="AI292">
        <x:f>IF((COUNT('Quantification_Results'!AC292)=1),IFERROR(ROUND((SUM(('Quantification_Results'!AC292*'Quantification_Config'!$R$12))/SUM('Quantification_Config'!$R$12)),'Quantification_Config'!$U$2),""),"")</x:f>
      </x:c>
      <x:c r="AJ292">
        <x:f>IF((COUNT('Quantification_Results'!AI292)=1),IFERROR(ROUND((SUM(('Quantification_Results'!AI292*'Quantification_Config'!$R$11))/SUM('Quantification_Config'!$R$11)),'Quantification_Config'!$U$2),""),"")</x:f>
      </x:c>
      <x:c r="AK292" t="n">
        <x:v>1</x:v>
      </x:c>
      <x:c r="AL292" t="n">
        <x:v>5</x:v>
      </x:c>
      <x:c r="AM292"/>
      <x:c r="AN292" t="n">
        <x:f>IF(('Quantification_Results'!AK292&lt;&gt;1),"",IF(('Quantification_Results'!AM292=""),IF(ISNUMBER('Quantification_Results'!AL292),IF(('Quantification_Results'!AL292&lt;'Quantification_Config'!$S$15),"",IF(('Quantification_Results'!AL292&gt;'Quantification_Config'!$T$15),"",'Quantification_Results'!AL292)),""),IF(ISNUMBER('Quantification_Results'!AM292),IF(('Quantification_Results'!AM292&lt;'Quantification_Config'!$S$15),"",IF(('Quantification_Results'!AM292&gt;'Quantification_Config'!$T$15),"",'Quantification_Results'!AM292)),"")))</x:f>
        <x:v>5</x:v>
      </x:c>
      <x:c r="AO292" t="n">
        <x:f>IF(ISNUMBER('Quantification_Results'!AN292),IFERROR(ROUND(((('Quantification_Results'!AN292-'Quantification_Config'!$S$15)/('Quantification_Config'!$T$15-'Quantification_Config'!$S$15))*100),'Quantification_Config'!$U$2),""),"")</x:f>
        <x:v>50</x:v>
      </x:c>
      <x:c r="AP292" t="inlineStr">
        <x:is>
          <x:t xml:space="preserve">SYSTEM-TEST-ONLY-NO-NETWORK-NOT-AN-EDUCATIONAL-EVALUATION</x:t>
        </x:is>
      </x:c>
      <x:c r="AQ292" t="inlineStr">
        <x:is>
          <x:t xml:space="preserve"/>
        </x:is>
      </x:c>
      <x:c r="AR292" t="inlineStr">
        <x:is>
          <x:t xml:space="preserve">NONE</x:t>
        </x:is>
      </x:c>
      <x:c r="AS292" t="inlineStr">
        <x:is>
          <x:t xml:space="preserve"/>
        </x:is>
      </x:c>
      <x:c r="AT292" t="inlineStr">
        <x:is>
          <x:t xml:space="preserve">SUCCESS</x:t>
        </x:is>
      </x:c>
      <x:c r="AU292" t="n">
        <x:f>IF((COUNT('Quantification_Results'!AO292)=1),IFERROR(ROUND((SUM(('Quantification_Results'!AO292*'Quantification_Config'!$R$15))/SUM('Quantification_Config'!$R$15)),'Quantification_Config'!$U$2),""),"")</x:f>
        <x:v>50</x:v>
      </x:c>
      <x:c r="AV292" t="n">
        <x:f>IF((COUNT('Quantification_Results'!AU292)=1),IFERROR(ROUND((SUM(('Quantification_Results'!AU292*'Quantification_Config'!$R$14))/SUM('Quantification_Config'!$R$14)),'Quantification_Config'!$U$2),""),"")</x:f>
        <x:v>50</x:v>
      </x:c>
      <x:c r="AW292" t="n">
        <x:v>1</x:v>
      </x:c>
      <x:c r="AX292" t="n">
        <x:v>5</x:v>
      </x:c>
      <x:c r="AY292"/>
      <x:c r="AZ292" t="n">
        <x:f>IF(('Quantification_Results'!AW292&lt;&gt;1),"",IF(('Quantification_Results'!AY292=""),IF(ISNUMBER('Quantification_Results'!AX292),IF(('Quantification_Results'!AX292&lt;'Quantification_Config'!$S$19),"",IF(('Quantification_Results'!AX292&gt;'Quantification_Config'!$T$19),"",'Quantification_Results'!AX292)),""),IF(ISNUMBER('Quantification_Results'!AY292),IF(('Quantification_Results'!AY292&lt;'Quantification_Config'!$S$19),"",IF(('Quantification_Results'!AY292&gt;'Quantification_Config'!$T$19),"",'Quantification_Results'!AY292)),"")))</x:f>
        <x:v>5</x:v>
      </x:c>
      <x:c r="BA292" t="n">
        <x:f>IF(ISNUMBER('Quantification_Results'!AZ292),IFERROR(ROUND(((('Quantification_Results'!AZ292-'Quantification_Config'!$S$19)/('Quantification_Config'!$T$19-'Quantification_Config'!$S$19))*100),'Quantification_Config'!$U$2),""),"")</x:f>
        <x:v>50</x:v>
      </x:c>
      <x:c r="BB292" t="inlineStr">
        <x:is>
          <x:t xml:space="preserve">SYSTEM-TEST-ONLY-NO-NETWORK-NOT-AN-EDUCATIONAL-EVALUATION</x:t>
        </x:is>
      </x:c>
      <x:c r="BC292" t="inlineStr">
        <x:is>
          <x:t xml:space="preserve"/>
        </x:is>
      </x:c>
      <x:c r="BD292" t="inlineStr">
        <x:is>
          <x:t xml:space="preserve">NONE</x:t>
        </x:is>
      </x:c>
      <x:c r="BE292" t="inlineStr">
        <x:is>
          <x:t xml:space="preserve"/>
        </x:is>
      </x:c>
      <x:c r="BF292" t="inlineStr">
        <x:is>
          <x:t xml:space="preserve">SUCCESS</x:t>
        </x:is>
      </x:c>
      <x:c r="BG292" t="n">
        <x:f>IF((COUNT('Quantification_Results'!BA292)=1),IFERROR(ROUND((SUM(('Quantification_Results'!BA292*'Quantification_Config'!$R$19))/SUM('Quantification_Config'!$R$19)),'Quantification_Config'!$U$2),""),"")</x:f>
        <x:v>50</x:v>
      </x:c>
      <x:c r="BH292" t="n">
        <x:f>IF((COUNT('Quantification_Results'!BG292)=1),IFERROR(ROUND((SUM(('Quantification_Results'!BG292*'Quantification_Config'!$R$18))/SUM('Quantification_Config'!$R$18)),'Quantification_Config'!$U$2),""),"")</x:f>
        <x:v>50</x:v>
      </x:c>
      <x:c r="BI292">
        <x:f>IF((COUNT('Quantification_Results'!L292,'Quantification_Results'!X292,'Quantification_Results'!AJ292,'Quantification_Results'!AV292,'Quantification_Results'!BH292)=5),IFERROR(ROUND((SUM(('Quantification_Results'!L292*'Quantification_Config'!$R$4),('Quantification_Results'!X292*'Quantification_Config'!$R$7),('Quantification_Results'!AJ292*'Quantification_Config'!$R$10),('Quantification_Results'!AV292*'Quantification_Config'!$R$13),('Quantification_Results'!BH292*'Quantification_Config'!$R$16))/SUM('Quantification_Config'!$R$4,'Quantification_Config'!$R$7,'Quantification_Config'!$R$10,'Quantification_Config'!$R$13,'Quantification_Config'!$R$16)),'Quantification_Config'!$U$2),""),"")</x:f>
      </x:c>
    </x:row>
    <x:row r="293">
      <x:c r="A293" t="n">
        <x:v>1</x:v>
      </x:c>
      <x:c r="B293" t="n">
        <x:v>5</x:v>
      </x:c>
      <x:c r="C293"/>
      <x:c r="D293" t="n">
        <x:f>IF(('Quantification_Results'!A293&lt;&gt;1),"",IF(('Quantification_Results'!C293=""),IF(ISNUMBER('Quantification_Results'!B293),IF(('Quantification_Results'!B293&lt;'Quantification_Config'!$S$6),"",IF(('Quantification_Results'!B293&gt;'Quantification_Config'!$T$6),"",'Quantification_Results'!B293)),""),IF(ISNUMBER('Quantification_Results'!C293),IF(('Quantification_Results'!C293&lt;'Quantification_Config'!$S$6),"",IF(('Quantification_Results'!C293&gt;'Quantification_Config'!$T$6),"",'Quantification_Results'!C293)),"")))</x:f>
        <x:v>5</x:v>
      </x:c>
      <x:c r="E293" t="n">
        <x:f>IF(ISNUMBER('Quantification_Results'!D293),IFERROR(ROUND(((('Quantification_Results'!D293-'Quantification_Config'!$S$6)/('Quantification_Config'!$T$6-'Quantification_Config'!$S$6))*100),'Quantification_Config'!$U$2),""),"")</x:f>
        <x:v>50</x:v>
      </x:c>
      <x:c r="F293" t="inlineStr">
        <x:is>
          <x:t xml:space="preserve">SYSTEM-TEST-ONLY-NO-NETWORK-NOT-AN-EDUCATIONAL-EVALUATION</x:t>
        </x:is>
      </x:c>
      <x:c r="G293" t="inlineStr">
        <x:is>
          <x:t xml:space="preserve"/>
        </x:is>
      </x:c>
      <x:c r="H293" t="inlineStr">
        <x:is>
          <x:t xml:space="preserve">NONE</x:t>
        </x:is>
      </x:c>
      <x:c r="I293" t="inlineStr">
        <x:is>
          <x:t xml:space="preserve"/>
        </x:is>
      </x:c>
      <x:c r="J293" t="inlineStr">
        <x:is>
          <x:t xml:space="preserve">SUCCESS</x:t>
        </x:is>
      </x:c>
      <x:c r="K293" t="n">
        <x:f>IF((COUNT('Quantification_Results'!E293)=1),IFERROR(ROUND((SUM(('Quantification_Results'!E293*'Quantification_Config'!$R$6))/SUM('Quantification_Config'!$R$6)),'Quantification_Config'!$U$2),""),"")</x:f>
        <x:v>50</x:v>
      </x:c>
      <x:c r="L293" t="n">
        <x:f>IF((COUNT('Quantification_Results'!K293)=1),IFERROR(ROUND((SUM(('Quantification_Results'!K293*'Quantification_Config'!$R$5))/SUM('Quantification_Config'!$R$5)),'Quantification_Config'!$U$2),""),"")</x:f>
        <x:v>50</x:v>
      </x:c>
      <x:c r="M293" t="n">
        <x:v>0</x:v>
      </x:c>
      <x:c r="N293"/>
      <x:c r="O293"/>
      <x:c r="P293">
        <x:f>IF(('Quantification_Results'!M293&lt;&gt;1),"",IF(('Quantification_Results'!O293=""),IF(ISNUMBER('Quantification_Results'!N293),IF(('Quantification_Results'!N293&lt;'Quantification_Config'!$S$9),"",IF(('Quantification_Results'!N293&gt;'Quantification_Config'!$T$9),"",'Quantification_Results'!N293)),""),IF(ISNUMBER('Quantification_Results'!O293),IF(('Quantification_Results'!O293&lt;'Quantification_Config'!$S$9),"",IF(('Quantification_Results'!O293&gt;'Quantification_Config'!$T$9),"",'Quantification_Results'!O293)),"")))</x:f>
      </x:c>
      <x:c r="Q293">
        <x:f>IF(ISNUMBER('Quantification_Results'!P293),IFERROR(ROUND(((('Quantification_Results'!P293-'Quantification_Config'!$S$9)/('Quantification_Config'!$T$9-'Quantification_Config'!$S$9))*100),'Quantification_Config'!$U$2),""),"")</x:f>
      </x:c>
      <x:c r="R293" t="inlineStr">
        <x:is>
          <x:t xml:space="preserve"/>
        </x:is>
      </x:c>
      <x:c r="S293" t="inlineStr">
        <x:is>
          <x:t xml:space="preserve"/>
        </x:is>
      </x:c>
      <x:c r="T293" t="inlineStr">
        <x:is>
          <x:t xml:space="preserve"/>
        </x:is>
      </x:c>
      <x:c r="U293" t="inlineStr">
        <x:is>
          <x:t xml:space="preserve"/>
        </x:is>
      </x:c>
      <x:c r="V293" t="inlineStr">
        <x:is>
          <x:t xml:space="preserve">EMPTY</x:t>
        </x:is>
      </x:c>
      <x:c r="W293">
        <x:f>IF((COUNT('Quantification_Results'!Q293)=1),IFERROR(ROUND((SUM(('Quantification_Results'!Q293*'Quantification_Config'!$R$9))/SUM('Quantification_Config'!$R$9)),'Quantification_Config'!$U$2),""),"")</x:f>
      </x:c>
      <x:c r="X293">
        <x:f>IF((COUNT('Quantification_Results'!W293)=1),IFERROR(ROUND((SUM(('Quantification_Results'!W293*'Quantification_Config'!$R$8))/SUM('Quantification_Config'!$R$8)),'Quantification_Config'!$U$2),""),"")</x:f>
      </x:c>
      <x:c r="Y293" t="n">
        <x:v>0</x:v>
      </x:c>
      <x:c r="Z293"/>
      <x:c r="AA293"/>
      <x:c r="AB293">
        <x:f>IF(('Quantification_Results'!Y293&lt;&gt;1),"",IF(('Quantification_Results'!AA293=""),IF(ISNUMBER('Quantification_Results'!Z293),IF(('Quantification_Results'!Z293&lt;'Quantification_Config'!$S$12),"",IF(('Quantification_Results'!Z293&gt;'Quantification_Config'!$T$12),"",'Quantification_Results'!Z293)),""),IF(ISNUMBER('Quantification_Results'!AA293),IF(('Quantification_Results'!AA293&lt;'Quantification_Config'!$S$12),"",IF(('Quantification_Results'!AA293&gt;'Quantification_Config'!$T$12),"",'Quantification_Results'!AA293)),"")))</x:f>
      </x:c>
      <x:c r="AC293">
        <x:f>IF(ISNUMBER('Quantification_Results'!AB293),IFERROR(ROUND(((('Quantification_Results'!AB293-'Quantification_Config'!$S$12)/('Quantification_Config'!$T$12-'Quantification_Config'!$S$12))*100),'Quantification_Config'!$U$2),""),"")</x:f>
      </x:c>
      <x:c r="AD293" t="inlineStr">
        <x:is>
          <x:t xml:space="preserve"/>
        </x:is>
      </x:c>
      <x:c r="AE293" t="inlineStr">
        <x:is>
          <x:t xml:space="preserve"/>
        </x:is>
      </x:c>
      <x:c r="AF293" t="inlineStr">
        <x:is>
          <x:t xml:space="preserve"/>
        </x:is>
      </x:c>
      <x:c r="AG293" t="inlineStr">
        <x:is>
          <x:t xml:space="preserve"/>
        </x:is>
      </x:c>
      <x:c r="AH293" t="inlineStr">
        <x:is>
          <x:t xml:space="preserve">EMPTY</x:t>
        </x:is>
      </x:c>
      <x:c r="AI293">
        <x:f>IF((COUNT('Quantification_Results'!AC293)=1),IFERROR(ROUND((SUM(('Quantification_Results'!AC293*'Quantification_Config'!$R$12))/SUM('Quantification_Config'!$R$12)),'Quantification_Config'!$U$2),""),"")</x:f>
      </x:c>
      <x:c r="AJ293">
        <x:f>IF((COUNT('Quantification_Results'!AI293)=1),IFERROR(ROUND((SUM(('Quantification_Results'!AI293*'Quantification_Config'!$R$11))/SUM('Quantification_Config'!$R$11)),'Quantification_Config'!$U$2),""),"")</x:f>
      </x:c>
      <x:c r="AK293" t="n">
        <x:v>1</x:v>
      </x:c>
      <x:c r="AL293" t="n">
        <x:v>5</x:v>
      </x:c>
      <x:c r="AM293"/>
      <x:c r="AN293" t="n">
        <x:f>IF(('Quantification_Results'!AK293&lt;&gt;1),"",IF(('Quantification_Results'!AM293=""),IF(ISNUMBER('Quantification_Results'!AL293),IF(('Quantification_Results'!AL293&lt;'Quantification_Config'!$S$15),"",IF(('Quantification_Results'!AL293&gt;'Quantification_Config'!$T$15),"",'Quantification_Results'!AL293)),""),IF(ISNUMBER('Quantification_Results'!AM293),IF(('Quantification_Results'!AM293&lt;'Quantification_Config'!$S$15),"",IF(('Quantification_Results'!AM293&gt;'Quantification_Config'!$T$15),"",'Quantification_Results'!AM293)),"")))</x:f>
        <x:v>5</x:v>
      </x:c>
      <x:c r="AO293" t="n">
        <x:f>IF(ISNUMBER('Quantification_Results'!AN293),IFERROR(ROUND(((('Quantification_Results'!AN293-'Quantification_Config'!$S$15)/('Quantification_Config'!$T$15-'Quantification_Config'!$S$15))*100),'Quantification_Config'!$U$2),""),"")</x:f>
        <x:v>50</x:v>
      </x:c>
      <x:c r="AP293" t="inlineStr">
        <x:is>
          <x:t xml:space="preserve">SYSTEM-TEST-ONLY-NO-NETWORK-NOT-AN-EDUCATIONAL-EVALUATION</x:t>
        </x:is>
      </x:c>
      <x:c r="AQ293" t="inlineStr">
        <x:is>
          <x:t xml:space="preserve"/>
        </x:is>
      </x:c>
      <x:c r="AR293" t="inlineStr">
        <x:is>
          <x:t xml:space="preserve">NONE</x:t>
        </x:is>
      </x:c>
      <x:c r="AS293" t="inlineStr">
        <x:is>
          <x:t xml:space="preserve"/>
        </x:is>
      </x:c>
      <x:c r="AT293" t="inlineStr">
        <x:is>
          <x:t xml:space="preserve">SUCCESS</x:t>
        </x:is>
      </x:c>
      <x:c r="AU293" t="n">
        <x:f>IF((COUNT('Quantification_Results'!AO293)=1),IFERROR(ROUND((SUM(('Quantification_Results'!AO293*'Quantification_Config'!$R$15))/SUM('Quantification_Config'!$R$15)),'Quantification_Config'!$U$2),""),"")</x:f>
        <x:v>50</x:v>
      </x:c>
      <x:c r="AV293" t="n">
        <x:f>IF((COUNT('Quantification_Results'!AU293)=1),IFERROR(ROUND((SUM(('Quantification_Results'!AU293*'Quantification_Config'!$R$14))/SUM('Quantification_Config'!$R$14)),'Quantification_Config'!$U$2),""),"")</x:f>
        <x:v>50</x:v>
      </x:c>
      <x:c r="AW293" t="n">
        <x:v>0</x:v>
      </x:c>
      <x:c r="AX293"/>
      <x:c r="AY293"/>
      <x:c r="AZ293">
        <x:f>IF(('Quantification_Results'!AW293&lt;&gt;1),"",IF(('Quantification_Results'!AY293=""),IF(ISNUMBER('Quantification_Results'!AX293),IF(('Quantification_Results'!AX293&lt;'Quantification_Config'!$S$19),"",IF(('Quantification_Results'!AX293&gt;'Quantification_Config'!$T$19),"",'Quantification_Results'!AX293)),""),IF(ISNUMBER('Quantification_Results'!AY293),IF(('Quantification_Results'!AY293&lt;'Quantification_Config'!$S$19),"",IF(('Quantification_Results'!AY293&gt;'Quantification_Config'!$T$19),"",'Quantification_Results'!AY293)),"")))</x:f>
      </x:c>
      <x:c r="BA293">
        <x:f>IF(ISNUMBER('Quantification_Results'!AZ293),IFERROR(ROUND(((('Quantification_Results'!AZ293-'Quantification_Config'!$S$19)/('Quantification_Config'!$T$19-'Quantification_Config'!$S$19))*100),'Quantification_Config'!$U$2),""),"")</x:f>
      </x:c>
      <x:c r="BB293" t="inlineStr">
        <x:is>
          <x:t xml:space="preserve"/>
        </x:is>
      </x:c>
      <x:c r="BC293" t="inlineStr">
        <x:is>
          <x:t xml:space="preserve"/>
        </x:is>
      </x:c>
      <x:c r="BD293" t="inlineStr">
        <x:is>
          <x:t xml:space="preserve"/>
        </x:is>
      </x:c>
      <x:c r="BE293" t="inlineStr">
        <x:is>
          <x:t xml:space="preserve"/>
        </x:is>
      </x:c>
      <x:c r="BF293" t="inlineStr">
        <x:is>
          <x:t xml:space="preserve">EMPTY</x:t>
        </x:is>
      </x:c>
      <x:c r="BG293">
        <x:f>IF((COUNT('Quantification_Results'!BA293)=1),IFERROR(ROUND((SUM(('Quantification_Results'!BA293*'Quantification_Config'!$R$19))/SUM('Quantification_Config'!$R$19)),'Quantification_Config'!$U$2),""),"")</x:f>
      </x:c>
      <x:c r="BH293">
        <x:f>IF((COUNT('Quantification_Results'!BG293)=1),IFERROR(ROUND((SUM(('Quantification_Results'!BG293*'Quantification_Config'!$R$18))/SUM('Quantification_Config'!$R$18)),'Quantification_Config'!$U$2),""),"")</x:f>
      </x:c>
      <x:c r="BI293">
        <x:f>IF((COUNT('Quantification_Results'!L293,'Quantification_Results'!X293,'Quantification_Results'!AJ293,'Quantification_Results'!AV293,'Quantification_Results'!BH293)=5),IFERROR(ROUND((SUM(('Quantification_Results'!L293*'Quantification_Config'!$R$4),('Quantification_Results'!X293*'Quantification_Config'!$R$7),('Quantification_Results'!AJ293*'Quantification_Config'!$R$10),('Quantification_Results'!AV293*'Quantification_Config'!$R$13),('Quantification_Results'!BH293*'Quantification_Config'!$R$16))/SUM('Quantification_Config'!$R$4,'Quantification_Config'!$R$7,'Quantification_Config'!$R$10,'Quantification_Config'!$R$13,'Quantification_Config'!$R$16)),'Quantification_Config'!$U$2),""),"")</x:f>
      </x:c>
    </x:row>
    <x:row r="294">
      <x:c r="A294" t="n">
        <x:v>1</x:v>
      </x:c>
      <x:c r="B294" t="n">
        <x:v>5</x:v>
      </x:c>
      <x:c r="C294"/>
      <x:c r="D294" t="n">
        <x:f>IF(('Quantification_Results'!A294&lt;&gt;1),"",IF(('Quantification_Results'!C294=""),IF(ISNUMBER('Quantification_Results'!B294),IF(('Quantification_Results'!B294&lt;'Quantification_Config'!$S$6),"",IF(('Quantification_Results'!B294&gt;'Quantification_Config'!$T$6),"",'Quantification_Results'!B294)),""),IF(ISNUMBER('Quantification_Results'!C294),IF(('Quantification_Results'!C294&lt;'Quantification_Config'!$S$6),"",IF(('Quantification_Results'!C294&gt;'Quantification_Config'!$T$6),"",'Quantification_Results'!C294)),"")))</x:f>
        <x:v>5</x:v>
      </x:c>
      <x:c r="E294" t="n">
        <x:f>IF(ISNUMBER('Quantification_Results'!D294),IFERROR(ROUND(((('Quantification_Results'!D294-'Quantification_Config'!$S$6)/('Quantification_Config'!$T$6-'Quantification_Config'!$S$6))*100),'Quantification_Config'!$U$2),""),"")</x:f>
        <x:v>50</x:v>
      </x:c>
      <x:c r="F294" t="inlineStr">
        <x:is>
          <x:t xml:space="preserve">SYSTEM-TEST-ONLY-NO-NETWORK-NOT-AN-EDUCATIONAL-EVALUATION</x:t>
        </x:is>
      </x:c>
      <x:c r="G294" t="inlineStr">
        <x:is>
          <x:t xml:space="preserve"/>
        </x:is>
      </x:c>
      <x:c r="H294" t="inlineStr">
        <x:is>
          <x:t xml:space="preserve">NONE</x:t>
        </x:is>
      </x:c>
      <x:c r="I294" t="inlineStr">
        <x:is>
          <x:t xml:space="preserve"/>
        </x:is>
      </x:c>
      <x:c r="J294" t="inlineStr">
        <x:is>
          <x:t xml:space="preserve">SUCCESS</x:t>
        </x:is>
      </x:c>
      <x:c r="K294" t="n">
        <x:f>IF((COUNT('Quantification_Results'!E294)=1),IFERROR(ROUND((SUM(('Quantification_Results'!E294*'Quantification_Config'!$R$6))/SUM('Quantification_Config'!$R$6)),'Quantification_Config'!$U$2),""),"")</x:f>
        <x:v>50</x:v>
      </x:c>
      <x:c r="L294" t="n">
        <x:f>IF((COUNT('Quantification_Results'!K294)=1),IFERROR(ROUND((SUM(('Quantification_Results'!K294*'Quantification_Config'!$R$5))/SUM('Quantification_Config'!$R$5)),'Quantification_Config'!$U$2),""),"")</x:f>
        <x:v>50</x:v>
      </x:c>
      <x:c r="M294" t="n">
        <x:v>1</x:v>
      </x:c>
      <x:c r="N294" t="n">
        <x:v>5</x:v>
      </x:c>
      <x:c r="O294"/>
      <x:c r="P294" t="n">
        <x:f>IF(('Quantification_Results'!M294&lt;&gt;1),"",IF(('Quantification_Results'!O294=""),IF(ISNUMBER('Quantification_Results'!N294),IF(('Quantification_Results'!N294&lt;'Quantification_Config'!$S$9),"",IF(('Quantification_Results'!N294&gt;'Quantification_Config'!$T$9),"",'Quantification_Results'!N294)),""),IF(ISNUMBER('Quantification_Results'!O294),IF(('Quantification_Results'!O294&lt;'Quantification_Config'!$S$9),"",IF(('Quantification_Results'!O294&gt;'Quantification_Config'!$T$9),"",'Quantification_Results'!O294)),"")))</x:f>
        <x:v>5</x:v>
      </x:c>
      <x:c r="Q294" t="n">
        <x:f>IF(ISNUMBER('Quantification_Results'!P294),IFERROR(ROUND(((('Quantification_Results'!P294-'Quantification_Config'!$S$9)/('Quantification_Config'!$T$9-'Quantification_Config'!$S$9))*100),'Quantification_Config'!$U$2),""),"")</x:f>
        <x:v>50</x:v>
      </x:c>
      <x:c r="R294" t="inlineStr">
        <x:is>
          <x:t xml:space="preserve">SYSTEM-TEST-ONLY-NO-NETWORK-NOT-AN-EDUCATIONAL-EVALUATION</x:t>
        </x:is>
      </x:c>
      <x:c r="S294" t="inlineStr">
        <x:is>
          <x:t xml:space="preserve"/>
        </x:is>
      </x:c>
      <x:c r="T294" t="inlineStr">
        <x:is>
          <x:t xml:space="preserve">NONE</x:t>
        </x:is>
      </x:c>
      <x:c r="U294" t="inlineStr">
        <x:is>
          <x:t xml:space="preserve"/>
        </x:is>
      </x:c>
      <x:c r="V294" t="inlineStr">
        <x:is>
          <x:t xml:space="preserve">SUCCESS</x:t>
        </x:is>
      </x:c>
      <x:c r="W294" t="n">
        <x:f>IF((COUNT('Quantification_Results'!Q294)=1),IFERROR(ROUND((SUM(('Quantification_Results'!Q294*'Quantification_Config'!$R$9))/SUM('Quantification_Config'!$R$9)),'Quantification_Config'!$U$2),""),"")</x:f>
        <x:v>50</x:v>
      </x:c>
      <x:c r="X294" t="n">
        <x:f>IF((COUNT('Quantification_Results'!W294)=1),IFERROR(ROUND((SUM(('Quantification_Results'!W294*'Quantification_Config'!$R$8))/SUM('Quantification_Config'!$R$8)),'Quantification_Config'!$U$2),""),"")</x:f>
        <x:v>50</x:v>
      </x:c>
      <x:c r="Y294" t="n">
        <x:v>0</x:v>
      </x:c>
      <x:c r="Z294"/>
      <x:c r="AA294"/>
      <x:c r="AB294">
        <x:f>IF(('Quantification_Results'!Y294&lt;&gt;1),"",IF(('Quantification_Results'!AA294=""),IF(ISNUMBER('Quantification_Results'!Z294),IF(('Quantification_Results'!Z294&lt;'Quantification_Config'!$S$12),"",IF(('Quantification_Results'!Z294&gt;'Quantification_Config'!$T$12),"",'Quantification_Results'!Z294)),""),IF(ISNUMBER('Quantification_Results'!AA294),IF(('Quantification_Results'!AA294&lt;'Quantification_Config'!$S$12),"",IF(('Quantification_Results'!AA294&gt;'Quantification_Config'!$T$12),"",'Quantification_Results'!AA294)),"")))</x:f>
      </x:c>
      <x:c r="AC294">
        <x:f>IF(ISNUMBER('Quantification_Results'!AB294),IFERROR(ROUND(((('Quantification_Results'!AB294-'Quantification_Config'!$S$12)/('Quantification_Config'!$T$12-'Quantification_Config'!$S$12))*100),'Quantification_Config'!$U$2),""),"")</x:f>
      </x:c>
      <x:c r="AD294" t="inlineStr">
        <x:is>
          <x:t xml:space="preserve"/>
        </x:is>
      </x:c>
      <x:c r="AE294" t="inlineStr">
        <x:is>
          <x:t xml:space="preserve"/>
        </x:is>
      </x:c>
      <x:c r="AF294" t="inlineStr">
        <x:is>
          <x:t xml:space="preserve"/>
        </x:is>
      </x:c>
      <x:c r="AG294" t="inlineStr">
        <x:is>
          <x:t xml:space="preserve"/>
        </x:is>
      </x:c>
      <x:c r="AH294" t="inlineStr">
        <x:is>
          <x:t xml:space="preserve">EMPTY</x:t>
        </x:is>
      </x:c>
      <x:c r="AI294">
        <x:f>IF((COUNT('Quantification_Results'!AC294)=1),IFERROR(ROUND((SUM(('Quantification_Results'!AC294*'Quantification_Config'!$R$12))/SUM('Quantification_Config'!$R$12)),'Quantification_Config'!$U$2),""),"")</x:f>
      </x:c>
      <x:c r="AJ294">
        <x:f>IF((COUNT('Quantification_Results'!AI294)=1),IFERROR(ROUND((SUM(('Quantification_Results'!AI294*'Quantification_Config'!$R$11))/SUM('Quantification_Config'!$R$11)),'Quantification_Config'!$U$2),""),"")</x:f>
      </x:c>
      <x:c r="AK294" t="n">
        <x:v>1</x:v>
      </x:c>
      <x:c r="AL294" t="n">
        <x:v>5</x:v>
      </x:c>
      <x:c r="AM294"/>
      <x:c r="AN294" t="n">
        <x:f>IF(('Quantification_Results'!AK294&lt;&gt;1),"",IF(('Quantification_Results'!AM294=""),IF(ISNUMBER('Quantification_Results'!AL294),IF(('Quantification_Results'!AL294&lt;'Quantification_Config'!$S$15),"",IF(('Quantification_Results'!AL294&gt;'Quantification_Config'!$T$15),"",'Quantification_Results'!AL294)),""),IF(ISNUMBER('Quantification_Results'!AM294),IF(('Quantification_Results'!AM294&lt;'Quantification_Config'!$S$15),"",IF(('Quantification_Results'!AM294&gt;'Quantification_Config'!$T$15),"",'Quantification_Results'!AM294)),"")))</x:f>
        <x:v>5</x:v>
      </x:c>
      <x:c r="AO294" t="n">
        <x:f>IF(ISNUMBER('Quantification_Results'!AN294),IFERROR(ROUND(((('Quantification_Results'!AN294-'Quantification_Config'!$S$15)/('Quantification_Config'!$T$15-'Quantification_Config'!$S$15))*100),'Quantification_Config'!$U$2),""),"")</x:f>
        <x:v>50</x:v>
      </x:c>
      <x:c r="AP294" t="inlineStr">
        <x:is>
          <x:t xml:space="preserve">SYSTEM-TEST-ONLY-NO-NETWORK-NOT-AN-EDUCATIONAL-EVALUATION</x:t>
        </x:is>
      </x:c>
      <x:c r="AQ294" t="inlineStr">
        <x:is>
          <x:t xml:space="preserve"/>
        </x:is>
      </x:c>
      <x:c r="AR294" t="inlineStr">
        <x:is>
          <x:t xml:space="preserve">NONE</x:t>
        </x:is>
      </x:c>
      <x:c r="AS294" t="inlineStr">
        <x:is>
          <x:t xml:space="preserve"/>
        </x:is>
      </x:c>
      <x:c r="AT294" t="inlineStr">
        <x:is>
          <x:t xml:space="preserve">SUCCESS</x:t>
        </x:is>
      </x:c>
      <x:c r="AU294" t="n">
        <x:f>IF((COUNT('Quantification_Results'!AO294)=1),IFERROR(ROUND((SUM(('Quantification_Results'!AO294*'Quantification_Config'!$R$15))/SUM('Quantification_Config'!$R$15)),'Quantification_Config'!$U$2),""),"")</x:f>
        <x:v>50</x:v>
      </x:c>
      <x:c r="AV294" t="n">
        <x:f>IF((COUNT('Quantification_Results'!AU294)=1),IFERROR(ROUND((SUM(('Quantification_Results'!AU294*'Quantification_Config'!$R$14))/SUM('Quantification_Config'!$R$14)),'Quantification_Config'!$U$2),""),"")</x:f>
        <x:v>50</x:v>
      </x:c>
      <x:c r="AW294" t="n">
        <x:v>1</x:v>
      </x:c>
      <x:c r="AX294" t="n">
        <x:v>5</x:v>
      </x:c>
      <x:c r="AY294"/>
      <x:c r="AZ294" t="n">
        <x:f>IF(('Quantification_Results'!AW294&lt;&gt;1),"",IF(('Quantification_Results'!AY294=""),IF(ISNUMBER('Quantification_Results'!AX294),IF(('Quantification_Results'!AX294&lt;'Quantification_Config'!$S$19),"",IF(('Quantification_Results'!AX294&gt;'Quantification_Config'!$T$19),"",'Quantification_Results'!AX294)),""),IF(ISNUMBER('Quantification_Results'!AY294),IF(('Quantification_Results'!AY294&lt;'Quantification_Config'!$S$19),"",IF(('Quantification_Results'!AY294&gt;'Quantification_Config'!$T$19),"",'Quantification_Results'!AY294)),"")))</x:f>
        <x:v>5</x:v>
      </x:c>
      <x:c r="BA294" t="n">
        <x:f>IF(ISNUMBER('Quantification_Results'!AZ294),IFERROR(ROUND(((('Quantification_Results'!AZ294-'Quantification_Config'!$S$19)/('Quantification_Config'!$T$19-'Quantification_Config'!$S$19))*100),'Quantification_Config'!$U$2),""),"")</x:f>
        <x:v>50</x:v>
      </x:c>
      <x:c r="BB294" t="inlineStr">
        <x:is>
          <x:t xml:space="preserve">SYSTEM-TEST-ONLY-NO-NETWORK-NOT-AN-EDUCATIONAL-EVALUATION</x:t>
        </x:is>
      </x:c>
      <x:c r="BC294" t="inlineStr">
        <x:is>
          <x:t xml:space="preserve"/>
        </x:is>
      </x:c>
      <x:c r="BD294" t="inlineStr">
        <x:is>
          <x:t xml:space="preserve">NONE</x:t>
        </x:is>
      </x:c>
      <x:c r="BE294" t="inlineStr">
        <x:is>
          <x:t xml:space="preserve"/>
        </x:is>
      </x:c>
      <x:c r="BF294" t="inlineStr">
        <x:is>
          <x:t xml:space="preserve">SUCCESS</x:t>
        </x:is>
      </x:c>
      <x:c r="BG294" t="n">
        <x:f>IF((COUNT('Quantification_Results'!BA294)=1),IFERROR(ROUND((SUM(('Quantification_Results'!BA294*'Quantification_Config'!$R$19))/SUM('Quantification_Config'!$R$19)),'Quantification_Config'!$U$2),""),"")</x:f>
        <x:v>50</x:v>
      </x:c>
      <x:c r="BH294" t="n">
        <x:f>IF((COUNT('Quantification_Results'!BG294)=1),IFERROR(ROUND((SUM(('Quantification_Results'!BG294*'Quantification_Config'!$R$18))/SUM('Quantification_Config'!$R$18)),'Quantification_Config'!$U$2),""),"")</x:f>
        <x:v>50</x:v>
      </x:c>
      <x:c r="BI294">
        <x:f>IF((COUNT('Quantification_Results'!L294,'Quantification_Results'!X294,'Quantification_Results'!AJ294,'Quantification_Results'!AV294,'Quantification_Results'!BH294)=5),IFERROR(ROUND((SUM(('Quantification_Results'!L294*'Quantification_Config'!$R$4),('Quantification_Results'!X294*'Quantification_Config'!$R$7),('Quantification_Results'!AJ294*'Quantification_Config'!$R$10),('Quantification_Results'!AV294*'Quantification_Config'!$R$13),('Quantification_Results'!BH294*'Quantification_Config'!$R$16))/SUM('Quantification_Config'!$R$4,'Quantification_Config'!$R$7,'Quantification_Config'!$R$10,'Quantification_Config'!$R$13,'Quantification_Config'!$R$16)),'Quantification_Config'!$U$2),""),"")</x:f>
      </x:c>
    </x:row>
    <x:row r="295">
      <x:c r="A295" t="n">
        <x:v>1</x:v>
      </x:c>
      <x:c r="B295" t="n">
        <x:v>5</x:v>
      </x:c>
      <x:c r="C295"/>
      <x:c r="D295" t="n">
        <x:f>IF(('Quantification_Results'!A295&lt;&gt;1),"",IF(('Quantification_Results'!C295=""),IF(ISNUMBER('Quantification_Results'!B295),IF(('Quantification_Results'!B295&lt;'Quantification_Config'!$S$6),"",IF(('Quantification_Results'!B295&gt;'Quantification_Config'!$T$6),"",'Quantification_Results'!B295)),""),IF(ISNUMBER('Quantification_Results'!C295),IF(('Quantification_Results'!C295&lt;'Quantification_Config'!$S$6),"",IF(('Quantification_Results'!C295&gt;'Quantification_Config'!$T$6),"",'Quantification_Results'!C295)),"")))</x:f>
        <x:v>5</x:v>
      </x:c>
      <x:c r="E295" t="n">
        <x:f>IF(ISNUMBER('Quantification_Results'!D295),IFERROR(ROUND(((('Quantification_Results'!D295-'Quantification_Config'!$S$6)/('Quantification_Config'!$T$6-'Quantification_Config'!$S$6))*100),'Quantification_Config'!$U$2),""),"")</x:f>
        <x:v>50</x:v>
      </x:c>
      <x:c r="F295" t="inlineStr">
        <x:is>
          <x:t xml:space="preserve">SYSTEM-TEST-ONLY-NO-NETWORK-NOT-AN-EDUCATIONAL-EVALUATION</x:t>
        </x:is>
      </x:c>
      <x:c r="G295" t="inlineStr">
        <x:is>
          <x:t xml:space="preserve"/>
        </x:is>
      </x:c>
      <x:c r="H295" t="inlineStr">
        <x:is>
          <x:t xml:space="preserve">NONE</x:t>
        </x:is>
      </x:c>
      <x:c r="I295" t="inlineStr">
        <x:is>
          <x:t xml:space="preserve"/>
        </x:is>
      </x:c>
      <x:c r="J295" t="inlineStr">
        <x:is>
          <x:t xml:space="preserve">SUCCESS</x:t>
        </x:is>
      </x:c>
      <x:c r="K295" t="n">
        <x:f>IF((COUNT('Quantification_Results'!E295)=1),IFERROR(ROUND((SUM(('Quantification_Results'!E295*'Quantification_Config'!$R$6))/SUM('Quantification_Config'!$R$6)),'Quantification_Config'!$U$2),""),"")</x:f>
        <x:v>50</x:v>
      </x:c>
      <x:c r="L295" t="n">
        <x:f>IF((COUNT('Quantification_Results'!K295)=1),IFERROR(ROUND((SUM(('Quantification_Results'!K295*'Quantification_Config'!$R$5))/SUM('Quantification_Config'!$R$5)),'Quantification_Config'!$U$2),""),"")</x:f>
        <x:v>50</x:v>
      </x:c>
      <x:c r="M295" t="n">
        <x:v>1</x:v>
      </x:c>
      <x:c r="N295" t="n">
        <x:v>5</x:v>
      </x:c>
      <x:c r="O295"/>
      <x:c r="P295" t="n">
        <x:f>IF(('Quantification_Results'!M295&lt;&gt;1),"",IF(('Quantification_Results'!O295=""),IF(ISNUMBER('Quantification_Results'!N295),IF(('Quantification_Results'!N295&lt;'Quantification_Config'!$S$9),"",IF(('Quantification_Results'!N295&gt;'Quantification_Config'!$T$9),"",'Quantification_Results'!N295)),""),IF(ISNUMBER('Quantification_Results'!O295),IF(('Quantification_Results'!O295&lt;'Quantification_Config'!$S$9),"",IF(('Quantification_Results'!O295&gt;'Quantification_Config'!$T$9),"",'Quantification_Results'!O295)),"")))</x:f>
        <x:v>5</x:v>
      </x:c>
      <x:c r="Q295" t="n">
        <x:f>IF(ISNUMBER('Quantification_Results'!P295),IFERROR(ROUND(((('Quantification_Results'!P295-'Quantification_Config'!$S$9)/('Quantification_Config'!$T$9-'Quantification_Config'!$S$9))*100),'Quantification_Config'!$U$2),""),"")</x:f>
        <x:v>50</x:v>
      </x:c>
      <x:c r="R295" t="inlineStr">
        <x:is>
          <x:t xml:space="preserve">SYSTEM-TEST-ONLY-NO-NETWORK-NOT-AN-EDUCATIONAL-EVALUATION</x:t>
        </x:is>
      </x:c>
      <x:c r="S295" t="inlineStr">
        <x:is>
          <x:t xml:space="preserve"/>
        </x:is>
      </x:c>
      <x:c r="T295" t="inlineStr">
        <x:is>
          <x:t xml:space="preserve">NONE</x:t>
        </x:is>
      </x:c>
      <x:c r="U295" t="inlineStr">
        <x:is>
          <x:t xml:space="preserve"/>
        </x:is>
      </x:c>
      <x:c r="V295" t="inlineStr">
        <x:is>
          <x:t xml:space="preserve">SUCCESS</x:t>
        </x:is>
      </x:c>
      <x:c r="W295" t="n">
        <x:f>IF((COUNT('Quantification_Results'!Q295)=1),IFERROR(ROUND((SUM(('Quantification_Results'!Q295*'Quantification_Config'!$R$9))/SUM('Quantification_Config'!$R$9)),'Quantification_Config'!$U$2),""),"")</x:f>
        <x:v>50</x:v>
      </x:c>
      <x:c r="X295" t="n">
        <x:f>IF((COUNT('Quantification_Results'!W295)=1),IFERROR(ROUND((SUM(('Quantification_Results'!W295*'Quantification_Config'!$R$8))/SUM('Quantification_Config'!$R$8)),'Quantification_Config'!$U$2),""),"")</x:f>
        <x:v>50</x:v>
      </x:c>
      <x:c r="Y295" t="n">
        <x:v>0</x:v>
      </x:c>
      <x:c r="Z295"/>
      <x:c r="AA295"/>
      <x:c r="AB295">
        <x:f>IF(('Quantification_Results'!Y295&lt;&gt;1),"",IF(('Quantification_Results'!AA295=""),IF(ISNUMBER('Quantification_Results'!Z295),IF(('Quantification_Results'!Z295&lt;'Quantification_Config'!$S$12),"",IF(('Quantification_Results'!Z295&gt;'Quantification_Config'!$T$12),"",'Quantification_Results'!Z295)),""),IF(ISNUMBER('Quantification_Results'!AA295),IF(('Quantification_Results'!AA295&lt;'Quantification_Config'!$S$12),"",IF(('Quantification_Results'!AA295&gt;'Quantification_Config'!$T$12),"",'Quantification_Results'!AA295)),"")))</x:f>
      </x:c>
      <x:c r="AC295">
        <x:f>IF(ISNUMBER('Quantification_Results'!AB295),IFERROR(ROUND(((('Quantification_Results'!AB295-'Quantification_Config'!$S$12)/('Quantification_Config'!$T$12-'Quantification_Config'!$S$12))*100),'Quantification_Config'!$U$2),""),"")</x:f>
      </x:c>
      <x:c r="AD295" t="inlineStr">
        <x:is>
          <x:t xml:space="preserve"/>
        </x:is>
      </x:c>
      <x:c r="AE295" t="inlineStr">
        <x:is>
          <x:t xml:space="preserve"/>
        </x:is>
      </x:c>
      <x:c r="AF295" t="inlineStr">
        <x:is>
          <x:t xml:space="preserve"/>
        </x:is>
      </x:c>
      <x:c r="AG295" t="inlineStr">
        <x:is>
          <x:t xml:space="preserve"/>
        </x:is>
      </x:c>
      <x:c r="AH295" t="inlineStr">
        <x:is>
          <x:t xml:space="preserve">EMPTY</x:t>
        </x:is>
      </x:c>
      <x:c r="AI295">
        <x:f>IF((COUNT('Quantification_Results'!AC295)=1),IFERROR(ROUND((SUM(('Quantification_Results'!AC295*'Quantification_Config'!$R$12))/SUM('Quantification_Config'!$R$12)),'Quantification_Config'!$U$2),""),"")</x:f>
      </x:c>
      <x:c r="AJ295">
        <x:f>IF((COUNT('Quantification_Results'!AI295)=1),IFERROR(ROUND((SUM(('Quantification_Results'!AI295*'Quantification_Config'!$R$11))/SUM('Quantification_Config'!$R$11)),'Quantification_Config'!$U$2),""),"")</x:f>
      </x:c>
      <x:c r="AK295" t="n">
        <x:v>1</x:v>
      </x:c>
      <x:c r="AL295" t="n">
        <x:v>5</x:v>
      </x:c>
      <x:c r="AM295"/>
      <x:c r="AN295" t="n">
        <x:f>IF(('Quantification_Results'!AK295&lt;&gt;1),"",IF(('Quantification_Results'!AM295=""),IF(ISNUMBER('Quantification_Results'!AL295),IF(('Quantification_Results'!AL295&lt;'Quantification_Config'!$S$15),"",IF(('Quantification_Results'!AL295&gt;'Quantification_Config'!$T$15),"",'Quantification_Results'!AL295)),""),IF(ISNUMBER('Quantification_Results'!AM295),IF(('Quantification_Results'!AM295&lt;'Quantification_Config'!$S$15),"",IF(('Quantification_Results'!AM295&gt;'Quantification_Config'!$T$15),"",'Quantification_Results'!AM295)),"")))</x:f>
        <x:v>5</x:v>
      </x:c>
      <x:c r="AO295" t="n">
        <x:f>IF(ISNUMBER('Quantification_Results'!AN295),IFERROR(ROUND(((('Quantification_Results'!AN295-'Quantification_Config'!$S$15)/('Quantification_Config'!$T$15-'Quantification_Config'!$S$15))*100),'Quantification_Config'!$U$2),""),"")</x:f>
        <x:v>50</x:v>
      </x:c>
      <x:c r="AP295" t="inlineStr">
        <x:is>
          <x:t xml:space="preserve">SYSTEM-TEST-ONLY-NO-NETWORK-NOT-AN-EDUCATIONAL-EVALUATION</x:t>
        </x:is>
      </x:c>
      <x:c r="AQ295" t="inlineStr">
        <x:is>
          <x:t xml:space="preserve"/>
        </x:is>
      </x:c>
      <x:c r="AR295" t="inlineStr">
        <x:is>
          <x:t xml:space="preserve">NONE</x:t>
        </x:is>
      </x:c>
      <x:c r="AS295" t="inlineStr">
        <x:is>
          <x:t xml:space="preserve"/>
        </x:is>
      </x:c>
      <x:c r="AT295" t="inlineStr">
        <x:is>
          <x:t xml:space="preserve">SUCCESS</x:t>
        </x:is>
      </x:c>
      <x:c r="AU295" t="n">
        <x:f>IF((COUNT('Quantification_Results'!AO295)=1),IFERROR(ROUND((SUM(('Quantification_Results'!AO295*'Quantification_Config'!$R$15))/SUM('Quantification_Config'!$R$15)),'Quantification_Config'!$U$2),""),"")</x:f>
        <x:v>50</x:v>
      </x:c>
      <x:c r="AV295" t="n">
        <x:f>IF((COUNT('Quantification_Results'!AU295)=1),IFERROR(ROUND((SUM(('Quantification_Results'!AU295*'Quantification_Config'!$R$14))/SUM('Quantification_Config'!$R$14)),'Quantification_Config'!$U$2),""),"")</x:f>
        <x:v>50</x:v>
      </x:c>
      <x:c r="AW295" t="n">
        <x:v>1</x:v>
      </x:c>
      <x:c r="AX295" t="n">
        <x:v>5</x:v>
      </x:c>
      <x:c r="AY295"/>
      <x:c r="AZ295" t="n">
        <x:f>IF(('Quantification_Results'!AW295&lt;&gt;1),"",IF(('Quantification_Results'!AY295=""),IF(ISNUMBER('Quantification_Results'!AX295),IF(('Quantification_Results'!AX295&lt;'Quantification_Config'!$S$19),"",IF(('Quantification_Results'!AX295&gt;'Quantification_Config'!$T$19),"",'Quantification_Results'!AX295)),""),IF(ISNUMBER('Quantification_Results'!AY295),IF(('Quantification_Results'!AY295&lt;'Quantification_Config'!$S$19),"",IF(('Quantification_Results'!AY295&gt;'Quantification_Config'!$T$19),"",'Quantification_Results'!AY295)),"")))</x:f>
        <x:v>5</x:v>
      </x:c>
      <x:c r="BA295" t="n">
        <x:f>IF(ISNUMBER('Quantification_Results'!AZ295),IFERROR(ROUND(((('Quantification_Results'!AZ295-'Quantification_Config'!$S$19)/('Quantification_Config'!$T$19-'Quantification_Config'!$S$19))*100),'Quantification_Config'!$U$2),""),"")</x:f>
        <x:v>50</x:v>
      </x:c>
      <x:c r="BB295" t="inlineStr">
        <x:is>
          <x:t xml:space="preserve">SYSTEM-TEST-ONLY-NO-NETWORK-NOT-AN-EDUCATIONAL-EVALUATION</x:t>
        </x:is>
      </x:c>
      <x:c r="BC295" t="inlineStr">
        <x:is>
          <x:t xml:space="preserve"/>
        </x:is>
      </x:c>
      <x:c r="BD295" t="inlineStr">
        <x:is>
          <x:t xml:space="preserve">NONE</x:t>
        </x:is>
      </x:c>
      <x:c r="BE295" t="inlineStr">
        <x:is>
          <x:t xml:space="preserve"/>
        </x:is>
      </x:c>
      <x:c r="BF295" t="inlineStr">
        <x:is>
          <x:t xml:space="preserve">SUCCESS</x:t>
        </x:is>
      </x:c>
      <x:c r="BG295" t="n">
        <x:f>IF((COUNT('Quantification_Results'!BA295)=1),IFERROR(ROUND((SUM(('Quantification_Results'!BA295*'Quantification_Config'!$R$19))/SUM('Quantification_Config'!$R$19)),'Quantification_Config'!$U$2),""),"")</x:f>
        <x:v>50</x:v>
      </x:c>
      <x:c r="BH295" t="n">
        <x:f>IF((COUNT('Quantification_Results'!BG295)=1),IFERROR(ROUND((SUM(('Quantification_Results'!BG295*'Quantification_Config'!$R$18))/SUM('Quantification_Config'!$R$18)),'Quantification_Config'!$U$2),""),"")</x:f>
        <x:v>50</x:v>
      </x:c>
      <x:c r="BI295">
        <x:f>IF((COUNT('Quantification_Results'!L295,'Quantification_Results'!X295,'Quantification_Results'!AJ295,'Quantification_Results'!AV295,'Quantification_Results'!BH295)=5),IFERROR(ROUND((SUM(('Quantification_Results'!L295*'Quantification_Config'!$R$4),('Quantification_Results'!X295*'Quantification_Config'!$R$7),('Quantification_Results'!AJ295*'Quantification_Config'!$R$10),('Quantification_Results'!AV295*'Quantification_Config'!$R$13),('Quantification_Results'!BH295*'Quantification_Config'!$R$16))/SUM('Quantification_Config'!$R$4,'Quantification_Config'!$R$7,'Quantification_Config'!$R$10,'Quantification_Config'!$R$13,'Quantification_Config'!$R$16)),'Quantification_Config'!$U$2),""),"")</x:f>
      </x:c>
    </x:row>
    <x:row r="296">
      <x:c r="A296" t="n">
        <x:v>1</x:v>
      </x:c>
      <x:c r="B296" t="n">
        <x:v>5</x:v>
      </x:c>
      <x:c r="C296"/>
      <x:c r="D296" t="n">
        <x:f>IF(('Quantification_Results'!A296&lt;&gt;1),"",IF(('Quantification_Results'!C296=""),IF(ISNUMBER('Quantification_Results'!B296),IF(('Quantification_Results'!B296&lt;'Quantification_Config'!$S$6),"",IF(('Quantification_Results'!B296&gt;'Quantification_Config'!$T$6),"",'Quantification_Results'!B296)),""),IF(ISNUMBER('Quantification_Results'!C296),IF(('Quantification_Results'!C296&lt;'Quantification_Config'!$S$6),"",IF(('Quantification_Results'!C296&gt;'Quantification_Config'!$T$6),"",'Quantification_Results'!C296)),"")))</x:f>
        <x:v>5</x:v>
      </x:c>
      <x:c r="E296" t="n">
        <x:f>IF(ISNUMBER('Quantification_Results'!D296),IFERROR(ROUND(((('Quantification_Results'!D296-'Quantification_Config'!$S$6)/('Quantification_Config'!$T$6-'Quantification_Config'!$S$6))*100),'Quantification_Config'!$U$2),""),"")</x:f>
        <x:v>50</x:v>
      </x:c>
      <x:c r="F296" t="inlineStr">
        <x:is>
          <x:t xml:space="preserve">SYSTEM-TEST-ONLY-NO-NETWORK-NOT-AN-EDUCATIONAL-EVALUATION</x:t>
        </x:is>
      </x:c>
      <x:c r="G296" t="inlineStr">
        <x:is>
          <x:t xml:space="preserve"/>
        </x:is>
      </x:c>
      <x:c r="H296" t="inlineStr">
        <x:is>
          <x:t xml:space="preserve">NONE</x:t>
        </x:is>
      </x:c>
      <x:c r="I296" t="inlineStr">
        <x:is>
          <x:t xml:space="preserve"/>
        </x:is>
      </x:c>
      <x:c r="J296" t="inlineStr">
        <x:is>
          <x:t xml:space="preserve">SUCCESS</x:t>
        </x:is>
      </x:c>
      <x:c r="K296" t="n">
        <x:f>IF((COUNT('Quantification_Results'!E296)=1),IFERROR(ROUND((SUM(('Quantification_Results'!E296*'Quantification_Config'!$R$6))/SUM('Quantification_Config'!$R$6)),'Quantification_Config'!$U$2),""),"")</x:f>
        <x:v>50</x:v>
      </x:c>
      <x:c r="L296" t="n">
        <x:f>IF((COUNT('Quantification_Results'!K296)=1),IFERROR(ROUND((SUM(('Quantification_Results'!K296*'Quantification_Config'!$R$5))/SUM('Quantification_Config'!$R$5)),'Quantification_Config'!$U$2),""),"")</x:f>
        <x:v>50</x:v>
      </x:c>
      <x:c r="M296" t="n">
        <x:v>1</x:v>
      </x:c>
      <x:c r="N296" t="n">
        <x:v>5</x:v>
      </x:c>
      <x:c r="O296"/>
      <x:c r="P296" t="n">
        <x:f>IF(('Quantification_Results'!M296&lt;&gt;1),"",IF(('Quantification_Results'!O296=""),IF(ISNUMBER('Quantification_Results'!N296),IF(('Quantification_Results'!N296&lt;'Quantification_Config'!$S$9),"",IF(('Quantification_Results'!N296&gt;'Quantification_Config'!$T$9),"",'Quantification_Results'!N296)),""),IF(ISNUMBER('Quantification_Results'!O296),IF(('Quantification_Results'!O296&lt;'Quantification_Config'!$S$9),"",IF(('Quantification_Results'!O296&gt;'Quantification_Config'!$T$9),"",'Quantification_Results'!O296)),"")))</x:f>
        <x:v>5</x:v>
      </x:c>
      <x:c r="Q296" t="n">
        <x:f>IF(ISNUMBER('Quantification_Results'!P296),IFERROR(ROUND(((('Quantification_Results'!P296-'Quantification_Config'!$S$9)/('Quantification_Config'!$T$9-'Quantification_Config'!$S$9))*100),'Quantification_Config'!$U$2),""),"")</x:f>
        <x:v>50</x:v>
      </x:c>
      <x:c r="R296" t="inlineStr">
        <x:is>
          <x:t xml:space="preserve">SYSTEM-TEST-ONLY-NO-NETWORK-NOT-AN-EDUCATIONAL-EVALUATION</x:t>
        </x:is>
      </x:c>
      <x:c r="S296" t="inlineStr">
        <x:is>
          <x:t xml:space="preserve"/>
        </x:is>
      </x:c>
      <x:c r="T296" t="inlineStr">
        <x:is>
          <x:t xml:space="preserve">NONE</x:t>
        </x:is>
      </x:c>
      <x:c r="U296" t="inlineStr">
        <x:is>
          <x:t xml:space="preserve"/>
        </x:is>
      </x:c>
      <x:c r="V296" t="inlineStr">
        <x:is>
          <x:t xml:space="preserve">SUCCESS</x:t>
        </x:is>
      </x:c>
      <x:c r="W296" t="n">
        <x:f>IF((COUNT('Quantification_Results'!Q296)=1),IFERROR(ROUND((SUM(('Quantification_Results'!Q296*'Quantification_Config'!$R$9))/SUM('Quantification_Config'!$R$9)),'Quantification_Config'!$U$2),""),"")</x:f>
        <x:v>50</x:v>
      </x:c>
      <x:c r="X296" t="n">
        <x:f>IF((COUNT('Quantification_Results'!W296)=1),IFERROR(ROUND((SUM(('Quantification_Results'!W296*'Quantification_Config'!$R$8))/SUM('Quantification_Config'!$R$8)),'Quantification_Config'!$U$2),""),"")</x:f>
        <x:v>50</x:v>
      </x:c>
      <x:c r="Y296" t="n">
        <x:v>0</x:v>
      </x:c>
      <x:c r="Z296"/>
      <x:c r="AA296"/>
      <x:c r="AB296">
        <x:f>IF(('Quantification_Results'!Y296&lt;&gt;1),"",IF(('Quantification_Results'!AA296=""),IF(ISNUMBER('Quantification_Results'!Z296),IF(('Quantification_Results'!Z296&lt;'Quantification_Config'!$S$12),"",IF(('Quantification_Results'!Z296&gt;'Quantification_Config'!$T$12),"",'Quantification_Results'!Z296)),""),IF(ISNUMBER('Quantification_Results'!AA296),IF(('Quantification_Results'!AA296&lt;'Quantification_Config'!$S$12),"",IF(('Quantification_Results'!AA296&gt;'Quantification_Config'!$T$12),"",'Quantification_Results'!AA296)),"")))</x:f>
      </x:c>
      <x:c r="AC296">
        <x:f>IF(ISNUMBER('Quantification_Results'!AB296),IFERROR(ROUND(((('Quantification_Results'!AB296-'Quantification_Config'!$S$12)/('Quantification_Config'!$T$12-'Quantification_Config'!$S$12))*100),'Quantification_Config'!$U$2),""),"")</x:f>
      </x:c>
      <x:c r="AD296" t="inlineStr">
        <x:is>
          <x:t xml:space="preserve"/>
        </x:is>
      </x:c>
      <x:c r="AE296" t="inlineStr">
        <x:is>
          <x:t xml:space="preserve"/>
        </x:is>
      </x:c>
      <x:c r="AF296" t="inlineStr">
        <x:is>
          <x:t xml:space="preserve"/>
        </x:is>
      </x:c>
      <x:c r="AG296" t="inlineStr">
        <x:is>
          <x:t xml:space="preserve"/>
        </x:is>
      </x:c>
      <x:c r="AH296" t="inlineStr">
        <x:is>
          <x:t xml:space="preserve">EMPTY</x:t>
        </x:is>
      </x:c>
      <x:c r="AI296">
        <x:f>IF((COUNT('Quantification_Results'!AC296)=1),IFERROR(ROUND((SUM(('Quantification_Results'!AC296*'Quantification_Config'!$R$12))/SUM('Quantification_Config'!$R$12)),'Quantification_Config'!$U$2),""),"")</x:f>
      </x:c>
      <x:c r="AJ296">
        <x:f>IF((COUNT('Quantification_Results'!AI296)=1),IFERROR(ROUND((SUM(('Quantification_Results'!AI296*'Quantification_Config'!$R$11))/SUM('Quantification_Config'!$R$11)),'Quantification_Config'!$U$2),""),"")</x:f>
      </x:c>
      <x:c r="AK296" t="n">
        <x:v>1</x:v>
      </x:c>
      <x:c r="AL296" t="n">
        <x:v>5</x:v>
      </x:c>
      <x:c r="AM296"/>
      <x:c r="AN296" t="n">
        <x:f>IF(('Quantification_Results'!AK296&lt;&gt;1),"",IF(('Quantification_Results'!AM296=""),IF(ISNUMBER('Quantification_Results'!AL296),IF(('Quantification_Results'!AL296&lt;'Quantification_Config'!$S$15),"",IF(('Quantification_Results'!AL296&gt;'Quantification_Config'!$T$15),"",'Quantification_Results'!AL296)),""),IF(ISNUMBER('Quantification_Results'!AM296),IF(('Quantification_Results'!AM296&lt;'Quantification_Config'!$S$15),"",IF(('Quantification_Results'!AM296&gt;'Quantification_Config'!$T$15),"",'Quantification_Results'!AM296)),"")))</x:f>
        <x:v>5</x:v>
      </x:c>
      <x:c r="AO296" t="n">
        <x:f>IF(ISNUMBER('Quantification_Results'!AN296),IFERROR(ROUND(((('Quantification_Results'!AN296-'Quantification_Config'!$S$15)/('Quantification_Config'!$T$15-'Quantification_Config'!$S$15))*100),'Quantification_Config'!$U$2),""),"")</x:f>
        <x:v>50</x:v>
      </x:c>
      <x:c r="AP296" t="inlineStr">
        <x:is>
          <x:t xml:space="preserve">SYSTEM-TEST-ONLY-NO-NETWORK-NOT-AN-EDUCATIONAL-EVALUATION</x:t>
        </x:is>
      </x:c>
      <x:c r="AQ296" t="inlineStr">
        <x:is>
          <x:t xml:space="preserve"/>
        </x:is>
      </x:c>
      <x:c r="AR296" t="inlineStr">
        <x:is>
          <x:t xml:space="preserve">NONE</x:t>
        </x:is>
      </x:c>
      <x:c r="AS296" t="inlineStr">
        <x:is>
          <x:t xml:space="preserve"/>
        </x:is>
      </x:c>
      <x:c r="AT296" t="inlineStr">
        <x:is>
          <x:t xml:space="preserve">SUCCESS</x:t>
        </x:is>
      </x:c>
      <x:c r="AU296" t="n">
        <x:f>IF((COUNT('Quantification_Results'!AO296)=1),IFERROR(ROUND((SUM(('Quantification_Results'!AO296*'Quantification_Config'!$R$15))/SUM('Quantification_Config'!$R$15)),'Quantification_Config'!$U$2),""),"")</x:f>
        <x:v>50</x:v>
      </x:c>
      <x:c r="AV296" t="n">
        <x:f>IF((COUNT('Quantification_Results'!AU296)=1),IFERROR(ROUND((SUM(('Quantification_Results'!AU296*'Quantification_Config'!$R$14))/SUM('Quantification_Config'!$R$14)),'Quantification_Config'!$U$2),""),"")</x:f>
        <x:v>50</x:v>
      </x:c>
      <x:c r="AW296" t="n">
        <x:v>1</x:v>
      </x:c>
      <x:c r="AX296" t="n">
        <x:v>5</x:v>
      </x:c>
      <x:c r="AY296"/>
      <x:c r="AZ296" t="n">
        <x:f>IF(('Quantification_Results'!AW296&lt;&gt;1),"",IF(('Quantification_Results'!AY296=""),IF(ISNUMBER('Quantification_Results'!AX296),IF(('Quantification_Results'!AX296&lt;'Quantification_Config'!$S$19),"",IF(('Quantification_Results'!AX296&gt;'Quantification_Config'!$T$19),"",'Quantification_Results'!AX296)),""),IF(ISNUMBER('Quantification_Results'!AY296),IF(('Quantification_Results'!AY296&lt;'Quantification_Config'!$S$19),"",IF(('Quantification_Results'!AY296&gt;'Quantification_Config'!$T$19),"",'Quantification_Results'!AY296)),"")))</x:f>
        <x:v>5</x:v>
      </x:c>
      <x:c r="BA296" t="n">
        <x:f>IF(ISNUMBER('Quantification_Results'!AZ296),IFERROR(ROUND(((('Quantification_Results'!AZ296-'Quantification_Config'!$S$19)/('Quantification_Config'!$T$19-'Quantification_Config'!$S$19))*100),'Quantification_Config'!$U$2),""),"")</x:f>
        <x:v>50</x:v>
      </x:c>
      <x:c r="BB296" t="inlineStr">
        <x:is>
          <x:t xml:space="preserve">SYSTEM-TEST-ONLY-NO-NETWORK-NOT-AN-EDUCATIONAL-EVALUATION</x:t>
        </x:is>
      </x:c>
      <x:c r="BC296" t="inlineStr">
        <x:is>
          <x:t xml:space="preserve"/>
        </x:is>
      </x:c>
      <x:c r="BD296" t="inlineStr">
        <x:is>
          <x:t xml:space="preserve">NONE</x:t>
        </x:is>
      </x:c>
      <x:c r="BE296" t="inlineStr">
        <x:is>
          <x:t xml:space="preserve"/>
        </x:is>
      </x:c>
      <x:c r="BF296" t="inlineStr">
        <x:is>
          <x:t xml:space="preserve">SUCCESS</x:t>
        </x:is>
      </x:c>
      <x:c r="BG296" t="n">
        <x:f>IF((COUNT('Quantification_Results'!BA296)=1),IFERROR(ROUND((SUM(('Quantification_Results'!BA296*'Quantification_Config'!$R$19))/SUM('Quantification_Config'!$R$19)),'Quantification_Config'!$U$2),""),"")</x:f>
        <x:v>50</x:v>
      </x:c>
      <x:c r="BH296" t="n">
        <x:f>IF((COUNT('Quantification_Results'!BG296)=1),IFERROR(ROUND((SUM(('Quantification_Results'!BG296*'Quantification_Config'!$R$18))/SUM('Quantification_Config'!$R$18)),'Quantification_Config'!$U$2),""),"")</x:f>
        <x:v>50</x:v>
      </x:c>
      <x:c r="BI296">
        <x:f>IF((COUNT('Quantification_Results'!L296,'Quantification_Results'!X296,'Quantification_Results'!AJ296,'Quantification_Results'!AV296,'Quantification_Results'!BH296)=5),IFERROR(ROUND((SUM(('Quantification_Results'!L296*'Quantification_Config'!$R$4),('Quantification_Results'!X296*'Quantification_Config'!$R$7),('Quantification_Results'!AJ296*'Quantification_Config'!$R$10),('Quantification_Results'!AV296*'Quantification_Config'!$R$13),('Quantification_Results'!BH296*'Quantification_Config'!$R$16))/SUM('Quantification_Config'!$R$4,'Quantification_Config'!$R$7,'Quantification_Config'!$R$10,'Quantification_Config'!$R$13,'Quantification_Config'!$R$16)),'Quantification_Config'!$U$2),""),"")</x:f>
      </x:c>
    </x:row>
    <x:row r="297">
      <x:c r="A297" t="n">
        <x:v>1</x:v>
      </x:c>
      <x:c r="B297" t="n">
        <x:v>5</x:v>
      </x:c>
      <x:c r="C297"/>
      <x:c r="D297" t="n">
        <x:f>IF(('Quantification_Results'!A297&lt;&gt;1),"",IF(('Quantification_Results'!C297=""),IF(ISNUMBER('Quantification_Results'!B297),IF(('Quantification_Results'!B297&lt;'Quantification_Config'!$S$6),"",IF(('Quantification_Results'!B297&gt;'Quantification_Config'!$T$6),"",'Quantification_Results'!B297)),""),IF(ISNUMBER('Quantification_Results'!C297),IF(('Quantification_Results'!C297&lt;'Quantification_Config'!$S$6),"",IF(('Quantification_Results'!C297&gt;'Quantification_Config'!$T$6),"",'Quantification_Results'!C297)),"")))</x:f>
        <x:v>5</x:v>
      </x:c>
      <x:c r="E297" t="n">
        <x:f>IF(ISNUMBER('Quantification_Results'!D297),IFERROR(ROUND(((('Quantification_Results'!D297-'Quantification_Config'!$S$6)/('Quantification_Config'!$T$6-'Quantification_Config'!$S$6))*100),'Quantification_Config'!$U$2),""),"")</x:f>
        <x:v>50</x:v>
      </x:c>
      <x:c r="F297" t="inlineStr">
        <x:is>
          <x:t xml:space="preserve">SYSTEM-TEST-ONLY-NO-NETWORK-NOT-AN-EDUCATIONAL-EVALUATION</x:t>
        </x:is>
      </x:c>
      <x:c r="G297" t="inlineStr">
        <x:is>
          <x:t xml:space="preserve"/>
        </x:is>
      </x:c>
      <x:c r="H297" t="inlineStr">
        <x:is>
          <x:t xml:space="preserve">NONE</x:t>
        </x:is>
      </x:c>
      <x:c r="I297" t="inlineStr">
        <x:is>
          <x:t xml:space="preserve"/>
        </x:is>
      </x:c>
      <x:c r="J297" t="inlineStr">
        <x:is>
          <x:t xml:space="preserve">SUCCESS</x:t>
        </x:is>
      </x:c>
      <x:c r="K297" t="n">
        <x:f>IF((COUNT('Quantification_Results'!E297)=1),IFERROR(ROUND((SUM(('Quantification_Results'!E297*'Quantification_Config'!$R$6))/SUM('Quantification_Config'!$R$6)),'Quantification_Config'!$U$2),""),"")</x:f>
        <x:v>50</x:v>
      </x:c>
      <x:c r="L297" t="n">
        <x:f>IF((COUNT('Quantification_Results'!K297)=1),IFERROR(ROUND((SUM(('Quantification_Results'!K297*'Quantification_Config'!$R$5))/SUM('Quantification_Config'!$R$5)),'Quantification_Config'!$U$2),""),"")</x:f>
        <x:v>50</x:v>
      </x:c>
      <x:c r="M297" t="n">
        <x:v>1</x:v>
      </x:c>
      <x:c r="N297" t="n">
        <x:v>5</x:v>
      </x:c>
      <x:c r="O297"/>
      <x:c r="P297" t="n">
        <x:f>IF(('Quantification_Results'!M297&lt;&gt;1),"",IF(('Quantification_Results'!O297=""),IF(ISNUMBER('Quantification_Results'!N297),IF(('Quantification_Results'!N297&lt;'Quantification_Config'!$S$9),"",IF(('Quantification_Results'!N297&gt;'Quantification_Config'!$T$9),"",'Quantification_Results'!N297)),""),IF(ISNUMBER('Quantification_Results'!O297),IF(('Quantification_Results'!O297&lt;'Quantification_Config'!$S$9),"",IF(('Quantification_Results'!O297&gt;'Quantification_Config'!$T$9),"",'Quantification_Results'!O297)),"")))</x:f>
        <x:v>5</x:v>
      </x:c>
      <x:c r="Q297" t="n">
        <x:f>IF(ISNUMBER('Quantification_Results'!P297),IFERROR(ROUND(((('Quantification_Results'!P297-'Quantification_Config'!$S$9)/('Quantification_Config'!$T$9-'Quantification_Config'!$S$9))*100),'Quantification_Config'!$U$2),""),"")</x:f>
        <x:v>50</x:v>
      </x:c>
      <x:c r="R297" t="inlineStr">
        <x:is>
          <x:t xml:space="preserve">SYSTEM-TEST-ONLY-NO-NETWORK-NOT-AN-EDUCATIONAL-EVALUATION</x:t>
        </x:is>
      </x:c>
      <x:c r="S297" t="inlineStr">
        <x:is>
          <x:t xml:space="preserve"/>
        </x:is>
      </x:c>
      <x:c r="T297" t="inlineStr">
        <x:is>
          <x:t xml:space="preserve">NONE</x:t>
        </x:is>
      </x:c>
      <x:c r="U297" t="inlineStr">
        <x:is>
          <x:t xml:space="preserve"/>
        </x:is>
      </x:c>
      <x:c r="V297" t="inlineStr">
        <x:is>
          <x:t xml:space="preserve">SUCCESS</x:t>
        </x:is>
      </x:c>
      <x:c r="W297" t="n">
        <x:f>IF((COUNT('Quantification_Results'!Q297)=1),IFERROR(ROUND((SUM(('Quantification_Results'!Q297*'Quantification_Config'!$R$9))/SUM('Quantification_Config'!$R$9)),'Quantification_Config'!$U$2),""),"")</x:f>
        <x:v>50</x:v>
      </x:c>
      <x:c r="X297" t="n">
        <x:f>IF((COUNT('Quantification_Results'!W297)=1),IFERROR(ROUND((SUM(('Quantification_Results'!W297*'Quantification_Config'!$R$8))/SUM('Quantification_Config'!$R$8)),'Quantification_Config'!$U$2),""),"")</x:f>
        <x:v>50</x:v>
      </x:c>
      <x:c r="Y297" t="n">
        <x:v>1</x:v>
      </x:c>
      <x:c r="Z297" t="n">
        <x:v>5</x:v>
      </x:c>
      <x:c r="AA297"/>
      <x:c r="AB297" t="n">
        <x:f>IF(('Quantification_Results'!Y297&lt;&gt;1),"",IF(('Quantification_Results'!AA297=""),IF(ISNUMBER('Quantification_Results'!Z297),IF(('Quantification_Results'!Z297&lt;'Quantification_Config'!$S$12),"",IF(('Quantification_Results'!Z297&gt;'Quantification_Config'!$T$12),"",'Quantification_Results'!Z297)),""),IF(ISNUMBER('Quantification_Results'!AA297),IF(('Quantification_Results'!AA297&lt;'Quantification_Config'!$S$12),"",IF(('Quantification_Results'!AA297&gt;'Quantification_Config'!$T$12),"",'Quantification_Results'!AA297)),"")))</x:f>
        <x:v>5</x:v>
      </x:c>
      <x:c r="AC297" t="n">
        <x:f>IF(ISNUMBER('Quantification_Results'!AB297),IFERROR(ROUND(((('Quantification_Results'!AB297-'Quantification_Config'!$S$12)/('Quantification_Config'!$T$12-'Quantification_Config'!$S$12))*100),'Quantification_Config'!$U$2),""),"")</x:f>
        <x:v>50</x:v>
      </x:c>
      <x:c r="AD297" t="inlineStr">
        <x:is>
          <x:t xml:space="preserve">SYSTEM-TEST-ONLY-NO-NETWORK-NOT-AN-EDUCATIONAL-EVALUATION</x:t>
        </x:is>
      </x:c>
      <x:c r="AE297" t="inlineStr">
        <x:is>
          <x:t xml:space="preserve"/>
        </x:is>
      </x:c>
      <x:c r="AF297" t="inlineStr">
        <x:is>
          <x:t xml:space="preserve">NONE</x:t>
        </x:is>
      </x:c>
      <x:c r="AG297" t="inlineStr">
        <x:is>
          <x:t xml:space="preserve"/>
        </x:is>
      </x:c>
      <x:c r="AH297" t="inlineStr">
        <x:is>
          <x:t xml:space="preserve">SUCCESS</x:t>
        </x:is>
      </x:c>
      <x:c r="AI297" t="n">
        <x:f>IF((COUNT('Quantification_Results'!AC297)=1),IFERROR(ROUND((SUM(('Quantification_Results'!AC297*'Quantification_Config'!$R$12))/SUM('Quantification_Config'!$R$12)),'Quantification_Config'!$U$2),""),"")</x:f>
        <x:v>50</x:v>
      </x:c>
      <x:c r="AJ297" t="n">
        <x:f>IF((COUNT('Quantification_Results'!AI297)=1),IFERROR(ROUND((SUM(('Quantification_Results'!AI297*'Quantification_Config'!$R$11))/SUM('Quantification_Config'!$R$11)),'Quantification_Config'!$U$2),""),"")</x:f>
        <x:v>50</x:v>
      </x:c>
      <x:c r="AK297" t="n">
        <x:v>1</x:v>
      </x:c>
      <x:c r="AL297" t="n">
        <x:v>5</x:v>
      </x:c>
      <x:c r="AM297"/>
      <x:c r="AN297" t="n">
        <x:f>IF(('Quantification_Results'!AK297&lt;&gt;1),"",IF(('Quantification_Results'!AM297=""),IF(ISNUMBER('Quantification_Results'!AL297),IF(('Quantification_Results'!AL297&lt;'Quantification_Config'!$S$15),"",IF(('Quantification_Results'!AL297&gt;'Quantification_Config'!$T$15),"",'Quantification_Results'!AL297)),""),IF(ISNUMBER('Quantification_Results'!AM297),IF(('Quantification_Results'!AM297&lt;'Quantification_Config'!$S$15),"",IF(('Quantification_Results'!AM297&gt;'Quantification_Config'!$T$15),"",'Quantification_Results'!AM297)),"")))</x:f>
        <x:v>5</x:v>
      </x:c>
      <x:c r="AO297" t="n">
        <x:f>IF(ISNUMBER('Quantification_Results'!AN297),IFERROR(ROUND(((('Quantification_Results'!AN297-'Quantification_Config'!$S$15)/('Quantification_Config'!$T$15-'Quantification_Config'!$S$15))*100),'Quantification_Config'!$U$2),""),"")</x:f>
        <x:v>50</x:v>
      </x:c>
      <x:c r="AP297" t="inlineStr">
        <x:is>
          <x:t xml:space="preserve">SYSTEM-TEST-ONLY-NO-NETWORK-NOT-AN-EDUCATIONAL-EVALUATION</x:t>
        </x:is>
      </x:c>
      <x:c r="AQ297" t="inlineStr">
        <x:is>
          <x:t xml:space="preserve"/>
        </x:is>
      </x:c>
      <x:c r="AR297" t="inlineStr">
        <x:is>
          <x:t xml:space="preserve">NONE</x:t>
        </x:is>
      </x:c>
      <x:c r="AS297" t="inlineStr">
        <x:is>
          <x:t xml:space="preserve"/>
        </x:is>
      </x:c>
      <x:c r="AT297" t="inlineStr">
        <x:is>
          <x:t xml:space="preserve">SUCCESS</x:t>
        </x:is>
      </x:c>
      <x:c r="AU297" t="n">
        <x:f>IF((COUNT('Quantification_Results'!AO297)=1),IFERROR(ROUND((SUM(('Quantification_Results'!AO297*'Quantification_Config'!$R$15))/SUM('Quantification_Config'!$R$15)),'Quantification_Config'!$U$2),""),"")</x:f>
        <x:v>50</x:v>
      </x:c>
      <x:c r="AV297" t="n">
        <x:f>IF((COUNT('Quantification_Results'!AU297)=1),IFERROR(ROUND((SUM(('Quantification_Results'!AU297*'Quantification_Config'!$R$14))/SUM('Quantification_Config'!$R$14)),'Quantification_Config'!$U$2),""),"")</x:f>
        <x:v>50</x:v>
      </x:c>
      <x:c r="AW297" t="n">
        <x:v>1</x:v>
      </x:c>
      <x:c r="AX297" t="n">
        <x:v>5</x:v>
      </x:c>
      <x:c r="AY297"/>
      <x:c r="AZ297" t="n">
        <x:f>IF(('Quantification_Results'!AW297&lt;&gt;1),"",IF(('Quantification_Results'!AY297=""),IF(ISNUMBER('Quantification_Results'!AX297),IF(('Quantification_Results'!AX297&lt;'Quantification_Config'!$S$19),"",IF(('Quantification_Results'!AX297&gt;'Quantification_Config'!$T$19),"",'Quantification_Results'!AX297)),""),IF(ISNUMBER('Quantification_Results'!AY297),IF(('Quantification_Results'!AY297&lt;'Quantification_Config'!$S$19),"",IF(('Quantification_Results'!AY297&gt;'Quantification_Config'!$T$19),"",'Quantification_Results'!AY297)),"")))</x:f>
        <x:v>5</x:v>
      </x:c>
      <x:c r="BA297" t="n">
        <x:f>IF(ISNUMBER('Quantification_Results'!AZ297),IFERROR(ROUND(((('Quantification_Results'!AZ297-'Quantification_Config'!$S$19)/('Quantification_Config'!$T$19-'Quantification_Config'!$S$19))*100),'Quantification_Config'!$U$2),""),"")</x:f>
        <x:v>50</x:v>
      </x:c>
      <x:c r="BB297" t="inlineStr">
        <x:is>
          <x:t xml:space="preserve">SYSTEM-TEST-ONLY-NO-NETWORK-NOT-AN-EDUCATIONAL-EVALUATION</x:t>
        </x:is>
      </x:c>
      <x:c r="BC297" t="inlineStr">
        <x:is>
          <x:t xml:space="preserve"/>
        </x:is>
      </x:c>
      <x:c r="BD297" t="inlineStr">
        <x:is>
          <x:t xml:space="preserve">NONE</x:t>
        </x:is>
      </x:c>
      <x:c r="BE297" t="inlineStr">
        <x:is>
          <x:t xml:space="preserve"/>
        </x:is>
      </x:c>
      <x:c r="BF297" t="inlineStr">
        <x:is>
          <x:t xml:space="preserve">SUCCESS</x:t>
        </x:is>
      </x:c>
      <x:c r="BG297" t="n">
        <x:f>IF((COUNT('Quantification_Results'!BA297)=1),IFERROR(ROUND((SUM(('Quantification_Results'!BA297*'Quantification_Config'!$R$19))/SUM('Quantification_Config'!$R$19)),'Quantification_Config'!$U$2),""),"")</x:f>
        <x:v>50</x:v>
      </x:c>
      <x:c r="BH297" t="n">
        <x:f>IF((COUNT('Quantification_Results'!BG297)=1),IFERROR(ROUND((SUM(('Quantification_Results'!BG297*'Quantification_Config'!$R$18))/SUM('Quantification_Config'!$R$18)),'Quantification_Config'!$U$2),""),"")</x:f>
        <x:v>50</x:v>
      </x:c>
      <x:c r="BI297" t="n">
        <x:f>IF((COUNT('Quantification_Results'!L297,'Quantification_Results'!X297,'Quantification_Results'!AJ297,'Quantification_Results'!AV297,'Quantification_Results'!BH297)=5),IFERROR(ROUND((SUM(('Quantification_Results'!L297*'Quantification_Config'!$R$4),('Quantification_Results'!X297*'Quantification_Config'!$R$7),('Quantification_Results'!AJ297*'Quantification_Config'!$R$10),('Quantification_Results'!AV297*'Quantification_Config'!$R$13),('Quantification_Results'!BH297*'Quantification_Config'!$R$16))/SUM('Quantification_Config'!$R$4,'Quantification_Config'!$R$7,'Quantification_Config'!$R$10,'Quantification_Config'!$R$13,'Quantification_Config'!$R$16)),'Quantification_Config'!$U$2),""),"")</x:f>
        <x:v>50</x:v>
      </x:c>
    </x:row>
    <x:row r="298">
      <x:c r="A298" t="n">
        <x:v>1</x:v>
      </x:c>
      <x:c r="B298" t="n">
        <x:v>5</x:v>
      </x:c>
      <x:c r="C298"/>
      <x:c r="D298" t="n">
        <x:f>IF(('Quantification_Results'!A298&lt;&gt;1),"",IF(('Quantification_Results'!C298=""),IF(ISNUMBER('Quantification_Results'!B298),IF(('Quantification_Results'!B298&lt;'Quantification_Config'!$S$6),"",IF(('Quantification_Results'!B298&gt;'Quantification_Config'!$T$6),"",'Quantification_Results'!B298)),""),IF(ISNUMBER('Quantification_Results'!C298),IF(('Quantification_Results'!C298&lt;'Quantification_Config'!$S$6),"",IF(('Quantification_Results'!C298&gt;'Quantification_Config'!$T$6),"",'Quantification_Results'!C298)),"")))</x:f>
        <x:v>5</x:v>
      </x:c>
      <x:c r="E298" t="n">
        <x:f>IF(ISNUMBER('Quantification_Results'!D298),IFERROR(ROUND(((('Quantification_Results'!D298-'Quantification_Config'!$S$6)/('Quantification_Config'!$T$6-'Quantification_Config'!$S$6))*100),'Quantification_Config'!$U$2),""),"")</x:f>
        <x:v>50</x:v>
      </x:c>
      <x:c r="F298" t="inlineStr">
        <x:is>
          <x:t xml:space="preserve">SYSTEM-TEST-ONLY-NO-NETWORK-NOT-AN-EDUCATIONAL-EVALUATION</x:t>
        </x:is>
      </x:c>
      <x:c r="G298" t="inlineStr">
        <x:is>
          <x:t xml:space="preserve"/>
        </x:is>
      </x:c>
      <x:c r="H298" t="inlineStr">
        <x:is>
          <x:t xml:space="preserve">NONE</x:t>
        </x:is>
      </x:c>
      <x:c r="I298" t="inlineStr">
        <x:is>
          <x:t xml:space="preserve"/>
        </x:is>
      </x:c>
      <x:c r="J298" t="inlineStr">
        <x:is>
          <x:t xml:space="preserve">SUCCESS</x:t>
        </x:is>
      </x:c>
      <x:c r="K298" t="n">
        <x:f>IF((COUNT('Quantification_Results'!E298)=1),IFERROR(ROUND((SUM(('Quantification_Results'!E298*'Quantification_Config'!$R$6))/SUM('Quantification_Config'!$R$6)),'Quantification_Config'!$U$2),""),"")</x:f>
        <x:v>50</x:v>
      </x:c>
      <x:c r="L298" t="n">
        <x:f>IF((COUNT('Quantification_Results'!K298)=1),IFERROR(ROUND((SUM(('Quantification_Results'!K298*'Quantification_Config'!$R$5))/SUM('Quantification_Config'!$R$5)),'Quantification_Config'!$U$2),""),"")</x:f>
        <x:v>50</x:v>
      </x:c>
      <x:c r="M298" t="n">
        <x:v>1</x:v>
      </x:c>
      <x:c r="N298" t="n">
        <x:v>5</x:v>
      </x:c>
      <x:c r="O298"/>
      <x:c r="P298" t="n">
        <x:f>IF(('Quantification_Results'!M298&lt;&gt;1),"",IF(('Quantification_Results'!O298=""),IF(ISNUMBER('Quantification_Results'!N298),IF(('Quantification_Results'!N298&lt;'Quantification_Config'!$S$9),"",IF(('Quantification_Results'!N298&gt;'Quantification_Config'!$T$9),"",'Quantification_Results'!N298)),""),IF(ISNUMBER('Quantification_Results'!O298),IF(('Quantification_Results'!O298&lt;'Quantification_Config'!$S$9),"",IF(('Quantification_Results'!O298&gt;'Quantification_Config'!$T$9),"",'Quantification_Results'!O298)),"")))</x:f>
        <x:v>5</x:v>
      </x:c>
      <x:c r="Q298" t="n">
        <x:f>IF(ISNUMBER('Quantification_Results'!P298),IFERROR(ROUND(((('Quantification_Results'!P298-'Quantification_Config'!$S$9)/('Quantification_Config'!$T$9-'Quantification_Config'!$S$9))*100),'Quantification_Config'!$U$2),""),"")</x:f>
        <x:v>50</x:v>
      </x:c>
      <x:c r="R298" t="inlineStr">
        <x:is>
          <x:t xml:space="preserve">SYSTEM-TEST-ONLY-NO-NETWORK-NOT-AN-EDUCATIONAL-EVALUATION</x:t>
        </x:is>
      </x:c>
      <x:c r="S298" t="inlineStr">
        <x:is>
          <x:t xml:space="preserve"/>
        </x:is>
      </x:c>
      <x:c r="T298" t="inlineStr">
        <x:is>
          <x:t xml:space="preserve">NONE</x:t>
        </x:is>
      </x:c>
      <x:c r="U298" t="inlineStr">
        <x:is>
          <x:t xml:space="preserve"/>
        </x:is>
      </x:c>
      <x:c r="V298" t="inlineStr">
        <x:is>
          <x:t xml:space="preserve">SUCCESS</x:t>
        </x:is>
      </x:c>
      <x:c r="W298" t="n">
        <x:f>IF((COUNT('Quantification_Results'!Q298)=1),IFERROR(ROUND((SUM(('Quantification_Results'!Q298*'Quantification_Config'!$R$9))/SUM('Quantification_Config'!$R$9)),'Quantification_Config'!$U$2),""),"")</x:f>
        <x:v>50</x:v>
      </x:c>
      <x:c r="X298" t="n">
        <x:f>IF((COUNT('Quantification_Results'!W298)=1),IFERROR(ROUND((SUM(('Quantification_Results'!W298*'Quantification_Config'!$R$8))/SUM('Quantification_Config'!$R$8)),'Quantification_Config'!$U$2),""),"")</x:f>
        <x:v>50</x:v>
      </x:c>
      <x:c r="Y298" t="n">
        <x:v>1</x:v>
      </x:c>
      <x:c r="Z298" t="n">
        <x:v>5</x:v>
      </x:c>
      <x:c r="AA298"/>
      <x:c r="AB298" t="n">
        <x:f>IF(('Quantification_Results'!Y298&lt;&gt;1),"",IF(('Quantification_Results'!AA298=""),IF(ISNUMBER('Quantification_Results'!Z298),IF(('Quantification_Results'!Z298&lt;'Quantification_Config'!$S$12),"",IF(('Quantification_Results'!Z298&gt;'Quantification_Config'!$T$12),"",'Quantification_Results'!Z298)),""),IF(ISNUMBER('Quantification_Results'!AA298),IF(('Quantification_Results'!AA298&lt;'Quantification_Config'!$S$12),"",IF(('Quantification_Results'!AA298&gt;'Quantification_Config'!$T$12),"",'Quantification_Results'!AA298)),"")))</x:f>
        <x:v>5</x:v>
      </x:c>
      <x:c r="AC298" t="n">
        <x:f>IF(ISNUMBER('Quantification_Results'!AB298),IFERROR(ROUND(((('Quantification_Results'!AB298-'Quantification_Config'!$S$12)/('Quantification_Config'!$T$12-'Quantification_Config'!$S$12))*100),'Quantification_Config'!$U$2),""),"")</x:f>
        <x:v>50</x:v>
      </x:c>
      <x:c r="AD298" t="inlineStr">
        <x:is>
          <x:t xml:space="preserve">SYSTEM-TEST-ONLY-NO-NETWORK-NOT-AN-EDUCATIONAL-EVALUATION</x:t>
        </x:is>
      </x:c>
      <x:c r="AE298" t="inlineStr">
        <x:is>
          <x:t xml:space="preserve"/>
        </x:is>
      </x:c>
      <x:c r="AF298" t="inlineStr">
        <x:is>
          <x:t xml:space="preserve">NONE</x:t>
        </x:is>
      </x:c>
      <x:c r="AG298" t="inlineStr">
        <x:is>
          <x:t xml:space="preserve"/>
        </x:is>
      </x:c>
      <x:c r="AH298" t="inlineStr">
        <x:is>
          <x:t xml:space="preserve">SUCCESS</x:t>
        </x:is>
      </x:c>
      <x:c r="AI298" t="n">
        <x:f>IF((COUNT('Quantification_Results'!AC298)=1),IFERROR(ROUND((SUM(('Quantification_Results'!AC298*'Quantification_Config'!$R$12))/SUM('Quantification_Config'!$R$12)),'Quantification_Config'!$U$2),""),"")</x:f>
        <x:v>50</x:v>
      </x:c>
      <x:c r="AJ298" t="n">
        <x:f>IF((COUNT('Quantification_Results'!AI298)=1),IFERROR(ROUND((SUM(('Quantification_Results'!AI298*'Quantification_Config'!$R$11))/SUM('Quantification_Config'!$R$11)),'Quantification_Config'!$U$2),""),"")</x:f>
        <x:v>50</x:v>
      </x:c>
      <x:c r="AK298" t="n">
        <x:v>1</x:v>
      </x:c>
      <x:c r="AL298" t="n">
        <x:v>5</x:v>
      </x:c>
      <x:c r="AM298"/>
      <x:c r="AN298" t="n">
        <x:f>IF(('Quantification_Results'!AK298&lt;&gt;1),"",IF(('Quantification_Results'!AM298=""),IF(ISNUMBER('Quantification_Results'!AL298),IF(('Quantification_Results'!AL298&lt;'Quantification_Config'!$S$15),"",IF(('Quantification_Results'!AL298&gt;'Quantification_Config'!$T$15),"",'Quantification_Results'!AL298)),""),IF(ISNUMBER('Quantification_Results'!AM298),IF(('Quantification_Results'!AM298&lt;'Quantification_Config'!$S$15),"",IF(('Quantification_Results'!AM298&gt;'Quantification_Config'!$T$15),"",'Quantification_Results'!AM298)),"")))</x:f>
        <x:v>5</x:v>
      </x:c>
      <x:c r="AO298" t="n">
        <x:f>IF(ISNUMBER('Quantification_Results'!AN298),IFERROR(ROUND(((('Quantification_Results'!AN298-'Quantification_Config'!$S$15)/('Quantification_Config'!$T$15-'Quantification_Config'!$S$15))*100),'Quantification_Config'!$U$2),""),"")</x:f>
        <x:v>50</x:v>
      </x:c>
      <x:c r="AP298" t="inlineStr">
        <x:is>
          <x:t xml:space="preserve">SYSTEM-TEST-ONLY-NO-NETWORK-NOT-AN-EDUCATIONAL-EVALUATION</x:t>
        </x:is>
      </x:c>
      <x:c r="AQ298" t="inlineStr">
        <x:is>
          <x:t xml:space="preserve"/>
        </x:is>
      </x:c>
      <x:c r="AR298" t="inlineStr">
        <x:is>
          <x:t xml:space="preserve">NONE</x:t>
        </x:is>
      </x:c>
      <x:c r="AS298" t="inlineStr">
        <x:is>
          <x:t xml:space="preserve"/>
        </x:is>
      </x:c>
      <x:c r="AT298" t="inlineStr">
        <x:is>
          <x:t xml:space="preserve">SUCCESS</x:t>
        </x:is>
      </x:c>
      <x:c r="AU298" t="n">
        <x:f>IF((COUNT('Quantification_Results'!AO298)=1),IFERROR(ROUND((SUM(('Quantification_Results'!AO298*'Quantification_Config'!$R$15))/SUM('Quantification_Config'!$R$15)),'Quantification_Config'!$U$2),""),"")</x:f>
        <x:v>50</x:v>
      </x:c>
      <x:c r="AV298" t="n">
        <x:f>IF((COUNT('Quantification_Results'!AU298)=1),IFERROR(ROUND((SUM(('Quantification_Results'!AU298*'Quantification_Config'!$R$14))/SUM('Quantification_Config'!$R$14)),'Quantification_Config'!$U$2),""),"")</x:f>
        <x:v>50</x:v>
      </x:c>
      <x:c r="AW298" t="n">
        <x:v>1</x:v>
      </x:c>
      <x:c r="AX298" t="n">
        <x:v>5</x:v>
      </x:c>
      <x:c r="AY298"/>
      <x:c r="AZ298" t="n">
        <x:f>IF(('Quantification_Results'!AW298&lt;&gt;1),"",IF(('Quantification_Results'!AY298=""),IF(ISNUMBER('Quantification_Results'!AX298),IF(('Quantification_Results'!AX298&lt;'Quantification_Config'!$S$19),"",IF(('Quantification_Results'!AX298&gt;'Quantification_Config'!$T$19),"",'Quantification_Results'!AX298)),""),IF(ISNUMBER('Quantification_Results'!AY298),IF(('Quantification_Results'!AY298&lt;'Quantification_Config'!$S$19),"",IF(('Quantification_Results'!AY298&gt;'Quantification_Config'!$T$19),"",'Quantification_Results'!AY298)),"")))</x:f>
        <x:v>5</x:v>
      </x:c>
      <x:c r="BA298" t="n">
        <x:f>IF(ISNUMBER('Quantification_Results'!AZ298),IFERROR(ROUND(((('Quantification_Results'!AZ298-'Quantification_Config'!$S$19)/('Quantification_Config'!$T$19-'Quantification_Config'!$S$19))*100),'Quantification_Config'!$U$2),""),"")</x:f>
        <x:v>50</x:v>
      </x:c>
      <x:c r="BB298" t="inlineStr">
        <x:is>
          <x:t xml:space="preserve">SYSTEM-TEST-ONLY-NO-NETWORK-NOT-AN-EDUCATIONAL-EVALUATION</x:t>
        </x:is>
      </x:c>
      <x:c r="BC298" t="inlineStr">
        <x:is>
          <x:t xml:space="preserve"/>
        </x:is>
      </x:c>
      <x:c r="BD298" t="inlineStr">
        <x:is>
          <x:t xml:space="preserve">NONE</x:t>
        </x:is>
      </x:c>
      <x:c r="BE298" t="inlineStr">
        <x:is>
          <x:t xml:space="preserve"/>
        </x:is>
      </x:c>
      <x:c r="BF298" t="inlineStr">
        <x:is>
          <x:t xml:space="preserve">SUCCESS</x:t>
        </x:is>
      </x:c>
      <x:c r="BG298" t="n">
        <x:f>IF((COUNT('Quantification_Results'!BA298)=1),IFERROR(ROUND((SUM(('Quantification_Results'!BA298*'Quantification_Config'!$R$19))/SUM('Quantification_Config'!$R$19)),'Quantification_Config'!$U$2),""),"")</x:f>
        <x:v>50</x:v>
      </x:c>
      <x:c r="BH298" t="n">
        <x:f>IF((COUNT('Quantification_Results'!BG298)=1),IFERROR(ROUND((SUM(('Quantification_Results'!BG298*'Quantification_Config'!$R$18))/SUM('Quantification_Config'!$R$18)),'Quantification_Config'!$U$2),""),"")</x:f>
        <x:v>50</x:v>
      </x:c>
      <x:c r="BI298" t="n">
        <x:f>IF((COUNT('Quantification_Results'!L298,'Quantification_Results'!X298,'Quantification_Results'!AJ298,'Quantification_Results'!AV298,'Quantification_Results'!BH298)=5),IFERROR(ROUND((SUM(('Quantification_Results'!L298*'Quantification_Config'!$R$4),('Quantification_Results'!X298*'Quantification_Config'!$R$7),('Quantification_Results'!AJ298*'Quantification_Config'!$R$10),('Quantification_Results'!AV298*'Quantification_Config'!$R$13),('Quantification_Results'!BH298*'Quantification_Config'!$R$16))/SUM('Quantification_Config'!$R$4,'Quantification_Config'!$R$7,'Quantification_Config'!$R$10,'Quantification_Config'!$R$13,'Quantification_Config'!$R$16)),'Quantification_Config'!$U$2),""),"")</x:f>
        <x:v>50</x:v>
      </x:c>
    </x:row>
    <x:row r="299">
      <x:c r="A299" t="n">
        <x:v>1</x:v>
      </x:c>
      <x:c r="B299" t="n">
        <x:v>5</x:v>
      </x:c>
      <x:c r="C299"/>
      <x:c r="D299" t="n">
        <x:f>IF(('Quantification_Results'!A299&lt;&gt;1),"",IF(('Quantification_Results'!C299=""),IF(ISNUMBER('Quantification_Results'!B299),IF(('Quantification_Results'!B299&lt;'Quantification_Config'!$S$6),"",IF(('Quantification_Results'!B299&gt;'Quantification_Config'!$T$6),"",'Quantification_Results'!B299)),""),IF(ISNUMBER('Quantification_Results'!C299),IF(('Quantification_Results'!C299&lt;'Quantification_Config'!$S$6),"",IF(('Quantification_Results'!C299&gt;'Quantification_Config'!$T$6),"",'Quantification_Results'!C299)),"")))</x:f>
        <x:v>5</x:v>
      </x:c>
      <x:c r="E299" t="n">
        <x:f>IF(ISNUMBER('Quantification_Results'!D299),IFERROR(ROUND(((('Quantification_Results'!D299-'Quantification_Config'!$S$6)/('Quantification_Config'!$T$6-'Quantification_Config'!$S$6))*100),'Quantification_Config'!$U$2),""),"")</x:f>
        <x:v>50</x:v>
      </x:c>
      <x:c r="F299" t="inlineStr">
        <x:is>
          <x:t xml:space="preserve">SYSTEM-TEST-ONLY-NO-NETWORK-NOT-AN-EDUCATIONAL-EVALUATION</x:t>
        </x:is>
      </x:c>
      <x:c r="G299" t="inlineStr">
        <x:is>
          <x:t xml:space="preserve"/>
        </x:is>
      </x:c>
      <x:c r="H299" t="inlineStr">
        <x:is>
          <x:t xml:space="preserve">NONE</x:t>
        </x:is>
      </x:c>
      <x:c r="I299" t="inlineStr">
        <x:is>
          <x:t xml:space="preserve"/>
        </x:is>
      </x:c>
      <x:c r="J299" t="inlineStr">
        <x:is>
          <x:t xml:space="preserve">SUCCESS</x:t>
        </x:is>
      </x:c>
      <x:c r="K299" t="n">
        <x:f>IF((COUNT('Quantification_Results'!E299)=1),IFERROR(ROUND((SUM(('Quantification_Results'!E299*'Quantification_Config'!$R$6))/SUM('Quantification_Config'!$R$6)),'Quantification_Config'!$U$2),""),"")</x:f>
        <x:v>50</x:v>
      </x:c>
      <x:c r="L299" t="n">
        <x:f>IF((COUNT('Quantification_Results'!K299)=1),IFERROR(ROUND((SUM(('Quantification_Results'!K299*'Quantification_Config'!$R$5))/SUM('Quantification_Config'!$R$5)),'Quantification_Config'!$U$2),""),"")</x:f>
        <x:v>50</x:v>
      </x:c>
      <x:c r="M299" t="n">
        <x:v>1</x:v>
      </x:c>
      <x:c r="N299" t="n">
        <x:v>5</x:v>
      </x:c>
      <x:c r="O299"/>
      <x:c r="P299" t="n">
        <x:f>IF(('Quantification_Results'!M299&lt;&gt;1),"",IF(('Quantification_Results'!O299=""),IF(ISNUMBER('Quantification_Results'!N299),IF(('Quantification_Results'!N299&lt;'Quantification_Config'!$S$9),"",IF(('Quantification_Results'!N299&gt;'Quantification_Config'!$T$9),"",'Quantification_Results'!N299)),""),IF(ISNUMBER('Quantification_Results'!O299),IF(('Quantification_Results'!O299&lt;'Quantification_Config'!$S$9),"",IF(('Quantification_Results'!O299&gt;'Quantification_Config'!$T$9),"",'Quantification_Results'!O299)),"")))</x:f>
        <x:v>5</x:v>
      </x:c>
      <x:c r="Q299" t="n">
        <x:f>IF(ISNUMBER('Quantification_Results'!P299),IFERROR(ROUND(((('Quantification_Results'!P299-'Quantification_Config'!$S$9)/('Quantification_Config'!$T$9-'Quantification_Config'!$S$9))*100),'Quantification_Config'!$U$2),""),"")</x:f>
        <x:v>50</x:v>
      </x:c>
      <x:c r="R299" t="inlineStr">
        <x:is>
          <x:t xml:space="preserve">SYSTEM-TEST-ONLY-NO-NETWORK-NOT-AN-EDUCATIONAL-EVALUATION</x:t>
        </x:is>
      </x:c>
      <x:c r="S299" t="inlineStr">
        <x:is>
          <x:t xml:space="preserve"/>
        </x:is>
      </x:c>
      <x:c r="T299" t="inlineStr">
        <x:is>
          <x:t xml:space="preserve">NONE</x:t>
        </x:is>
      </x:c>
      <x:c r="U299" t="inlineStr">
        <x:is>
          <x:t xml:space="preserve"/>
        </x:is>
      </x:c>
      <x:c r="V299" t="inlineStr">
        <x:is>
          <x:t xml:space="preserve">SUCCESS</x:t>
        </x:is>
      </x:c>
      <x:c r="W299" t="n">
        <x:f>IF((COUNT('Quantification_Results'!Q299)=1),IFERROR(ROUND((SUM(('Quantification_Results'!Q299*'Quantification_Config'!$R$9))/SUM('Quantification_Config'!$R$9)),'Quantification_Config'!$U$2),""),"")</x:f>
        <x:v>50</x:v>
      </x:c>
      <x:c r="X299" t="n">
        <x:f>IF((COUNT('Quantification_Results'!W299)=1),IFERROR(ROUND((SUM(('Quantification_Results'!W299*'Quantification_Config'!$R$8))/SUM('Quantification_Config'!$R$8)),'Quantification_Config'!$U$2),""),"")</x:f>
        <x:v>50</x:v>
      </x:c>
      <x:c r="Y299" t="n">
        <x:v>0</x:v>
      </x:c>
      <x:c r="Z299"/>
      <x:c r="AA299"/>
      <x:c r="AB299">
        <x:f>IF(('Quantification_Results'!Y299&lt;&gt;1),"",IF(('Quantification_Results'!AA299=""),IF(ISNUMBER('Quantification_Results'!Z299),IF(('Quantification_Results'!Z299&lt;'Quantification_Config'!$S$12),"",IF(('Quantification_Results'!Z299&gt;'Quantification_Config'!$T$12),"",'Quantification_Results'!Z299)),""),IF(ISNUMBER('Quantification_Results'!AA299),IF(('Quantification_Results'!AA299&lt;'Quantification_Config'!$S$12),"",IF(('Quantification_Results'!AA299&gt;'Quantification_Config'!$T$12),"",'Quantification_Results'!AA299)),"")))</x:f>
      </x:c>
      <x:c r="AC299">
        <x:f>IF(ISNUMBER('Quantification_Results'!AB299),IFERROR(ROUND(((('Quantification_Results'!AB299-'Quantification_Config'!$S$12)/('Quantification_Config'!$T$12-'Quantification_Config'!$S$12))*100),'Quantification_Config'!$U$2),""),"")</x:f>
      </x:c>
      <x:c r="AD299" t="inlineStr">
        <x:is>
          <x:t xml:space="preserve"/>
        </x:is>
      </x:c>
      <x:c r="AE299" t="inlineStr">
        <x:is>
          <x:t xml:space="preserve"/>
        </x:is>
      </x:c>
      <x:c r="AF299" t="inlineStr">
        <x:is>
          <x:t xml:space="preserve"/>
        </x:is>
      </x:c>
      <x:c r="AG299" t="inlineStr">
        <x:is>
          <x:t xml:space="preserve"/>
        </x:is>
      </x:c>
      <x:c r="AH299" t="inlineStr">
        <x:is>
          <x:t xml:space="preserve">EMPTY</x:t>
        </x:is>
      </x:c>
      <x:c r="AI299">
        <x:f>IF((COUNT('Quantification_Results'!AC299)=1),IFERROR(ROUND((SUM(('Quantification_Results'!AC299*'Quantification_Config'!$R$12))/SUM('Quantification_Config'!$R$12)),'Quantification_Config'!$U$2),""),"")</x:f>
      </x:c>
      <x:c r="AJ299">
        <x:f>IF((COUNT('Quantification_Results'!AI299)=1),IFERROR(ROUND((SUM(('Quantification_Results'!AI299*'Quantification_Config'!$R$11))/SUM('Quantification_Config'!$R$11)),'Quantification_Config'!$U$2),""),"")</x:f>
      </x:c>
      <x:c r="AK299" t="n">
        <x:v>1</x:v>
      </x:c>
      <x:c r="AL299" t="n">
        <x:v>5</x:v>
      </x:c>
      <x:c r="AM299"/>
      <x:c r="AN299" t="n">
        <x:f>IF(('Quantification_Results'!AK299&lt;&gt;1),"",IF(('Quantification_Results'!AM299=""),IF(ISNUMBER('Quantification_Results'!AL299),IF(('Quantification_Results'!AL299&lt;'Quantification_Config'!$S$15),"",IF(('Quantification_Results'!AL299&gt;'Quantification_Config'!$T$15),"",'Quantification_Results'!AL299)),""),IF(ISNUMBER('Quantification_Results'!AM299),IF(('Quantification_Results'!AM299&lt;'Quantification_Config'!$S$15),"",IF(('Quantification_Results'!AM299&gt;'Quantification_Config'!$T$15),"",'Quantification_Results'!AM299)),"")))</x:f>
        <x:v>5</x:v>
      </x:c>
      <x:c r="AO299" t="n">
        <x:f>IF(ISNUMBER('Quantification_Results'!AN299),IFERROR(ROUND(((('Quantification_Results'!AN299-'Quantification_Config'!$S$15)/('Quantification_Config'!$T$15-'Quantification_Config'!$S$15))*100),'Quantification_Config'!$U$2),""),"")</x:f>
        <x:v>50</x:v>
      </x:c>
      <x:c r="AP299" t="inlineStr">
        <x:is>
          <x:t xml:space="preserve">SYSTEM-TEST-ONLY-NO-NETWORK-NOT-AN-EDUCATIONAL-EVALUATION</x:t>
        </x:is>
      </x:c>
      <x:c r="AQ299" t="inlineStr">
        <x:is>
          <x:t xml:space="preserve"/>
        </x:is>
      </x:c>
      <x:c r="AR299" t="inlineStr">
        <x:is>
          <x:t xml:space="preserve">NONE</x:t>
        </x:is>
      </x:c>
      <x:c r="AS299" t="inlineStr">
        <x:is>
          <x:t xml:space="preserve"/>
        </x:is>
      </x:c>
      <x:c r="AT299" t="inlineStr">
        <x:is>
          <x:t xml:space="preserve">SUCCESS</x:t>
        </x:is>
      </x:c>
      <x:c r="AU299" t="n">
        <x:f>IF((COUNT('Quantification_Results'!AO299)=1),IFERROR(ROUND((SUM(('Quantification_Results'!AO299*'Quantification_Config'!$R$15))/SUM('Quantification_Config'!$R$15)),'Quantification_Config'!$U$2),""),"")</x:f>
        <x:v>50</x:v>
      </x:c>
      <x:c r="AV299" t="n">
        <x:f>IF((COUNT('Quantification_Results'!AU299)=1),IFERROR(ROUND((SUM(('Quantification_Results'!AU299*'Quantification_Config'!$R$14))/SUM('Quantification_Config'!$R$14)),'Quantification_Config'!$U$2),""),"")</x:f>
        <x:v>50</x:v>
      </x:c>
      <x:c r="AW299" t="n">
        <x:v>1</x:v>
      </x:c>
      <x:c r="AX299" t="n">
        <x:v>5</x:v>
      </x:c>
      <x:c r="AY299"/>
      <x:c r="AZ299" t="n">
        <x:f>IF(('Quantification_Results'!AW299&lt;&gt;1),"",IF(('Quantification_Results'!AY299=""),IF(ISNUMBER('Quantification_Results'!AX299),IF(('Quantification_Results'!AX299&lt;'Quantification_Config'!$S$19),"",IF(('Quantification_Results'!AX299&gt;'Quantification_Config'!$T$19),"",'Quantification_Results'!AX299)),""),IF(ISNUMBER('Quantification_Results'!AY299),IF(('Quantification_Results'!AY299&lt;'Quantification_Config'!$S$19),"",IF(('Quantification_Results'!AY299&gt;'Quantification_Config'!$T$19),"",'Quantification_Results'!AY299)),"")))</x:f>
        <x:v>5</x:v>
      </x:c>
      <x:c r="BA299" t="n">
        <x:f>IF(ISNUMBER('Quantification_Results'!AZ299),IFERROR(ROUND(((('Quantification_Results'!AZ299-'Quantification_Config'!$S$19)/('Quantification_Config'!$T$19-'Quantification_Config'!$S$19))*100),'Quantification_Config'!$U$2),""),"")</x:f>
        <x:v>50</x:v>
      </x:c>
      <x:c r="BB299" t="inlineStr">
        <x:is>
          <x:t xml:space="preserve">SYSTEM-TEST-ONLY-NO-NETWORK-NOT-AN-EDUCATIONAL-EVALUATION</x:t>
        </x:is>
      </x:c>
      <x:c r="BC299" t="inlineStr">
        <x:is>
          <x:t xml:space="preserve"/>
        </x:is>
      </x:c>
      <x:c r="BD299" t="inlineStr">
        <x:is>
          <x:t xml:space="preserve">NONE</x:t>
        </x:is>
      </x:c>
      <x:c r="BE299" t="inlineStr">
        <x:is>
          <x:t xml:space="preserve"/>
        </x:is>
      </x:c>
      <x:c r="BF299" t="inlineStr">
        <x:is>
          <x:t xml:space="preserve">SUCCESS</x:t>
        </x:is>
      </x:c>
      <x:c r="BG299" t="n">
        <x:f>IF((COUNT('Quantification_Results'!BA299)=1),IFERROR(ROUND((SUM(('Quantification_Results'!BA299*'Quantification_Config'!$R$19))/SUM('Quantification_Config'!$R$19)),'Quantification_Config'!$U$2),""),"")</x:f>
        <x:v>50</x:v>
      </x:c>
      <x:c r="BH299" t="n">
        <x:f>IF((COUNT('Quantification_Results'!BG299)=1),IFERROR(ROUND((SUM(('Quantification_Results'!BG299*'Quantification_Config'!$R$18))/SUM('Quantification_Config'!$R$18)),'Quantification_Config'!$U$2),""),"")</x:f>
        <x:v>50</x:v>
      </x:c>
      <x:c r="BI299">
        <x:f>IF((COUNT('Quantification_Results'!L299,'Quantification_Results'!X299,'Quantification_Results'!AJ299,'Quantification_Results'!AV299,'Quantification_Results'!BH299)=5),IFERROR(ROUND((SUM(('Quantification_Results'!L299*'Quantification_Config'!$R$4),('Quantification_Results'!X299*'Quantification_Config'!$R$7),('Quantification_Results'!AJ299*'Quantification_Config'!$R$10),('Quantification_Results'!AV299*'Quantification_Config'!$R$13),('Quantification_Results'!BH299*'Quantification_Config'!$R$16))/SUM('Quantification_Config'!$R$4,'Quantification_Config'!$R$7,'Quantification_Config'!$R$10,'Quantification_Config'!$R$13,'Quantification_Config'!$R$16)),'Quantification_Config'!$U$2),""),"")</x:f>
      </x:c>
    </x:row>
    <x:row r="300">
      <x:c r="A300" t="n">
        <x:v>1</x:v>
      </x:c>
      <x:c r="B300" t="n">
        <x:v>5</x:v>
      </x:c>
      <x:c r="C300"/>
      <x:c r="D300" t="n">
        <x:f>IF(('Quantification_Results'!A300&lt;&gt;1),"",IF(('Quantification_Results'!C300=""),IF(ISNUMBER('Quantification_Results'!B300),IF(('Quantification_Results'!B300&lt;'Quantification_Config'!$S$6),"",IF(('Quantification_Results'!B300&gt;'Quantification_Config'!$T$6),"",'Quantification_Results'!B300)),""),IF(ISNUMBER('Quantification_Results'!C300),IF(('Quantification_Results'!C300&lt;'Quantification_Config'!$S$6),"",IF(('Quantification_Results'!C300&gt;'Quantification_Config'!$T$6),"",'Quantification_Results'!C300)),"")))</x:f>
        <x:v>5</x:v>
      </x:c>
      <x:c r="E300" t="n">
        <x:f>IF(ISNUMBER('Quantification_Results'!D300),IFERROR(ROUND(((('Quantification_Results'!D300-'Quantification_Config'!$S$6)/('Quantification_Config'!$T$6-'Quantification_Config'!$S$6))*100),'Quantification_Config'!$U$2),""),"")</x:f>
        <x:v>50</x:v>
      </x:c>
      <x:c r="F300" t="inlineStr">
        <x:is>
          <x:t xml:space="preserve">SYSTEM-TEST-ONLY-NO-NETWORK-NOT-AN-EDUCATIONAL-EVALUATION</x:t>
        </x:is>
      </x:c>
      <x:c r="G300" t="inlineStr">
        <x:is>
          <x:t xml:space="preserve"/>
        </x:is>
      </x:c>
      <x:c r="H300" t="inlineStr">
        <x:is>
          <x:t xml:space="preserve">NONE</x:t>
        </x:is>
      </x:c>
      <x:c r="I300" t="inlineStr">
        <x:is>
          <x:t xml:space="preserve"/>
        </x:is>
      </x:c>
      <x:c r="J300" t="inlineStr">
        <x:is>
          <x:t xml:space="preserve">SUCCESS</x:t>
        </x:is>
      </x:c>
      <x:c r="K300" t="n">
        <x:f>IF((COUNT('Quantification_Results'!E300)=1),IFERROR(ROUND((SUM(('Quantification_Results'!E300*'Quantification_Config'!$R$6))/SUM('Quantification_Config'!$R$6)),'Quantification_Config'!$U$2),""),"")</x:f>
        <x:v>50</x:v>
      </x:c>
      <x:c r="L300" t="n">
        <x:f>IF((COUNT('Quantification_Results'!K300)=1),IFERROR(ROUND((SUM(('Quantification_Results'!K300*'Quantification_Config'!$R$5))/SUM('Quantification_Config'!$R$5)),'Quantification_Config'!$U$2),""),"")</x:f>
        <x:v>50</x:v>
      </x:c>
      <x:c r="M300" t="n">
        <x:v>1</x:v>
      </x:c>
      <x:c r="N300" t="n">
        <x:v>5</x:v>
      </x:c>
      <x:c r="O300"/>
      <x:c r="P300" t="n">
        <x:f>IF(('Quantification_Results'!M300&lt;&gt;1),"",IF(('Quantification_Results'!O300=""),IF(ISNUMBER('Quantification_Results'!N300),IF(('Quantification_Results'!N300&lt;'Quantification_Config'!$S$9),"",IF(('Quantification_Results'!N300&gt;'Quantification_Config'!$T$9),"",'Quantification_Results'!N300)),""),IF(ISNUMBER('Quantification_Results'!O300),IF(('Quantification_Results'!O300&lt;'Quantification_Config'!$S$9),"",IF(('Quantification_Results'!O300&gt;'Quantification_Config'!$T$9),"",'Quantification_Results'!O300)),"")))</x:f>
        <x:v>5</x:v>
      </x:c>
      <x:c r="Q300" t="n">
        <x:f>IF(ISNUMBER('Quantification_Results'!P300),IFERROR(ROUND(((('Quantification_Results'!P300-'Quantification_Config'!$S$9)/('Quantification_Config'!$T$9-'Quantification_Config'!$S$9))*100),'Quantification_Config'!$U$2),""),"")</x:f>
        <x:v>50</x:v>
      </x:c>
      <x:c r="R300" t="inlineStr">
        <x:is>
          <x:t xml:space="preserve">SYSTEM-TEST-ONLY-NO-NETWORK-NOT-AN-EDUCATIONAL-EVALUATION</x:t>
        </x:is>
      </x:c>
      <x:c r="S300" t="inlineStr">
        <x:is>
          <x:t xml:space="preserve"/>
        </x:is>
      </x:c>
      <x:c r="T300" t="inlineStr">
        <x:is>
          <x:t xml:space="preserve">NONE</x:t>
        </x:is>
      </x:c>
      <x:c r="U300" t="inlineStr">
        <x:is>
          <x:t xml:space="preserve"/>
        </x:is>
      </x:c>
      <x:c r="V300" t="inlineStr">
        <x:is>
          <x:t xml:space="preserve">SUCCESS</x:t>
        </x:is>
      </x:c>
      <x:c r="W300" t="n">
        <x:f>IF((COUNT('Quantification_Results'!Q300)=1),IFERROR(ROUND((SUM(('Quantification_Results'!Q300*'Quantification_Config'!$R$9))/SUM('Quantification_Config'!$R$9)),'Quantification_Config'!$U$2),""),"")</x:f>
        <x:v>50</x:v>
      </x:c>
      <x:c r="X300" t="n">
        <x:f>IF((COUNT('Quantification_Results'!W300)=1),IFERROR(ROUND((SUM(('Quantification_Results'!W300*'Quantification_Config'!$R$8))/SUM('Quantification_Config'!$R$8)),'Quantification_Config'!$U$2),""),"")</x:f>
        <x:v>50</x:v>
      </x:c>
      <x:c r="Y300" t="n">
        <x:v>0</x:v>
      </x:c>
      <x:c r="Z300"/>
      <x:c r="AA300"/>
      <x:c r="AB300">
        <x:f>IF(('Quantification_Results'!Y300&lt;&gt;1),"",IF(('Quantification_Results'!AA300=""),IF(ISNUMBER('Quantification_Results'!Z300),IF(('Quantification_Results'!Z300&lt;'Quantification_Config'!$S$12),"",IF(('Quantification_Results'!Z300&gt;'Quantification_Config'!$T$12),"",'Quantification_Results'!Z300)),""),IF(ISNUMBER('Quantification_Results'!AA300),IF(('Quantification_Results'!AA300&lt;'Quantification_Config'!$S$12),"",IF(('Quantification_Results'!AA300&gt;'Quantification_Config'!$T$12),"",'Quantification_Results'!AA300)),"")))</x:f>
      </x:c>
      <x:c r="AC300">
        <x:f>IF(ISNUMBER('Quantification_Results'!AB300),IFERROR(ROUND(((('Quantification_Results'!AB300-'Quantification_Config'!$S$12)/('Quantification_Config'!$T$12-'Quantification_Config'!$S$12))*100),'Quantification_Config'!$U$2),""),"")</x:f>
      </x:c>
      <x:c r="AD300" t="inlineStr">
        <x:is>
          <x:t xml:space="preserve"/>
        </x:is>
      </x:c>
      <x:c r="AE300" t="inlineStr">
        <x:is>
          <x:t xml:space="preserve"/>
        </x:is>
      </x:c>
      <x:c r="AF300" t="inlineStr">
        <x:is>
          <x:t xml:space="preserve"/>
        </x:is>
      </x:c>
      <x:c r="AG300" t="inlineStr">
        <x:is>
          <x:t xml:space="preserve"/>
        </x:is>
      </x:c>
      <x:c r="AH300" t="inlineStr">
        <x:is>
          <x:t xml:space="preserve">EMPTY</x:t>
        </x:is>
      </x:c>
      <x:c r="AI300">
        <x:f>IF((COUNT('Quantification_Results'!AC300)=1),IFERROR(ROUND((SUM(('Quantification_Results'!AC300*'Quantification_Config'!$R$12))/SUM('Quantification_Config'!$R$12)),'Quantification_Config'!$U$2),""),"")</x:f>
      </x:c>
      <x:c r="AJ300">
        <x:f>IF((COUNT('Quantification_Results'!AI300)=1),IFERROR(ROUND((SUM(('Quantification_Results'!AI300*'Quantification_Config'!$R$11))/SUM('Quantification_Config'!$R$11)),'Quantification_Config'!$U$2),""),"")</x:f>
      </x:c>
      <x:c r="AK300" t="n">
        <x:v>1</x:v>
      </x:c>
      <x:c r="AL300" t="n">
        <x:v>5</x:v>
      </x:c>
      <x:c r="AM300"/>
      <x:c r="AN300" t="n">
        <x:f>IF(('Quantification_Results'!AK300&lt;&gt;1),"",IF(('Quantification_Results'!AM300=""),IF(ISNUMBER('Quantification_Results'!AL300),IF(('Quantification_Results'!AL300&lt;'Quantification_Config'!$S$15),"",IF(('Quantification_Results'!AL300&gt;'Quantification_Config'!$T$15),"",'Quantification_Results'!AL300)),""),IF(ISNUMBER('Quantification_Results'!AM300),IF(('Quantification_Results'!AM300&lt;'Quantification_Config'!$S$15),"",IF(('Quantification_Results'!AM300&gt;'Quantification_Config'!$T$15),"",'Quantification_Results'!AM300)),"")))</x:f>
        <x:v>5</x:v>
      </x:c>
      <x:c r="AO300" t="n">
        <x:f>IF(ISNUMBER('Quantification_Results'!AN300),IFERROR(ROUND(((('Quantification_Results'!AN300-'Quantification_Config'!$S$15)/('Quantification_Config'!$T$15-'Quantification_Config'!$S$15))*100),'Quantification_Config'!$U$2),""),"")</x:f>
        <x:v>50</x:v>
      </x:c>
      <x:c r="AP300" t="inlineStr">
        <x:is>
          <x:t xml:space="preserve">SYSTEM-TEST-ONLY-NO-NETWORK-NOT-AN-EDUCATIONAL-EVALUATION</x:t>
        </x:is>
      </x:c>
      <x:c r="AQ300" t="inlineStr">
        <x:is>
          <x:t xml:space="preserve"/>
        </x:is>
      </x:c>
      <x:c r="AR300" t="inlineStr">
        <x:is>
          <x:t xml:space="preserve">NONE</x:t>
        </x:is>
      </x:c>
      <x:c r="AS300" t="inlineStr">
        <x:is>
          <x:t xml:space="preserve"/>
        </x:is>
      </x:c>
      <x:c r="AT300" t="inlineStr">
        <x:is>
          <x:t xml:space="preserve">SUCCESS</x:t>
        </x:is>
      </x:c>
      <x:c r="AU300" t="n">
        <x:f>IF((COUNT('Quantification_Results'!AO300)=1),IFERROR(ROUND((SUM(('Quantification_Results'!AO300*'Quantification_Config'!$R$15))/SUM('Quantification_Config'!$R$15)),'Quantification_Config'!$U$2),""),"")</x:f>
        <x:v>50</x:v>
      </x:c>
      <x:c r="AV300" t="n">
        <x:f>IF((COUNT('Quantification_Results'!AU300)=1),IFERROR(ROUND((SUM(('Quantification_Results'!AU300*'Quantification_Config'!$R$14))/SUM('Quantification_Config'!$R$14)),'Quantification_Config'!$U$2),""),"")</x:f>
        <x:v>50</x:v>
      </x:c>
      <x:c r="AW300" t="n">
        <x:v>1</x:v>
      </x:c>
      <x:c r="AX300" t="n">
        <x:v>5</x:v>
      </x:c>
      <x:c r="AY300"/>
      <x:c r="AZ300" t="n">
        <x:f>IF(('Quantification_Results'!AW300&lt;&gt;1),"",IF(('Quantification_Results'!AY300=""),IF(ISNUMBER('Quantification_Results'!AX300),IF(('Quantification_Results'!AX300&lt;'Quantification_Config'!$S$19),"",IF(('Quantification_Results'!AX300&gt;'Quantification_Config'!$T$19),"",'Quantification_Results'!AX300)),""),IF(ISNUMBER('Quantification_Results'!AY300),IF(('Quantification_Results'!AY300&lt;'Quantification_Config'!$S$19),"",IF(('Quantification_Results'!AY300&gt;'Quantification_Config'!$T$19),"",'Quantification_Results'!AY300)),"")))</x:f>
        <x:v>5</x:v>
      </x:c>
      <x:c r="BA300" t="n">
        <x:f>IF(ISNUMBER('Quantification_Results'!AZ300),IFERROR(ROUND(((('Quantification_Results'!AZ300-'Quantification_Config'!$S$19)/('Quantification_Config'!$T$19-'Quantification_Config'!$S$19))*100),'Quantification_Config'!$U$2),""),"")</x:f>
        <x:v>50</x:v>
      </x:c>
      <x:c r="BB300" t="inlineStr">
        <x:is>
          <x:t xml:space="preserve">SYSTEM-TEST-ONLY-NO-NETWORK-NOT-AN-EDUCATIONAL-EVALUATION</x:t>
        </x:is>
      </x:c>
      <x:c r="BC300" t="inlineStr">
        <x:is>
          <x:t xml:space="preserve"/>
        </x:is>
      </x:c>
      <x:c r="BD300" t="inlineStr">
        <x:is>
          <x:t xml:space="preserve">NONE</x:t>
        </x:is>
      </x:c>
      <x:c r="BE300" t="inlineStr">
        <x:is>
          <x:t xml:space="preserve"/>
        </x:is>
      </x:c>
      <x:c r="BF300" t="inlineStr">
        <x:is>
          <x:t xml:space="preserve">SUCCESS</x:t>
        </x:is>
      </x:c>
      <x:c r="BG300" t="n">
        <x:f>IF((COUNT('Quantification_Results'!BA300)=1),IFERROR(ROUND((SUM(('Quantification_Results'!BA300*'Quantification_Config'!$R$19))/SUM('Quantification_Config'!$R$19)),'Quantification_Config'!$U$2),""),"")</x:f>
        <x:v>50</x:v>
      </x:c>
      <x:c r="BH300" t="n">
        <x:f>IF((COUNT('Quantification_Results'!BG300)=1),IFERROR(ROUND((SUM(('Quantification_Results'!BG300*'Quantification_Config'!$R$18))/SUM('Quantification_Config'!$R$18)),'Quantification_Config'!$U$2),""),"")</x:f>
        <x:v>50</x:v>
      </x:c>
      <x:c r="BI300">
        <x:f>IF((COUNT('Quantification_Results'!L300,'Quantification_Results'!X300,'Quantification_Results'!AJ300,'Quantification_Results'!AV300,'Quantification_Results'!BH300)=5),IFERROR(ROUND((SUM(('Quantification_Results'!L300*'Quantification_Config'!$R$4),('Quantification_Results'!X300*'Quantification_Config'!$R$7),('Quantification_Results'!AJ300*'Quantification_Config'!$R$10),('Quantification_Results'!AV300*'Quantification_Config'!$R$13),('Quantification_Results'!BH300*'Quantification_Config'!$R$16))/SUM('Quantification_Config'!$R$4,'Quantification_Config'!$R$7,'Quantification_Config'!$R$10,'Quantification_Config'!$R$13,'Quantification_Config'!$R$16)),'Quantification_Config'!$U$2),""),"")</x:f>
      </x:c>
    </x:row>
    <x:row r="301">
      <x:c r="A301" t="n">
        <x:v>1</x:v>
      </x:c>
      <x:c r="B301" t="n">
        <x:v>5</x:v>
      </x:c>
      <x:c r="C301"/>
      <x:c r="D301" t="n">
        <x:f>IF(('Quantification_Results'!A301&lt;&gt;1),"",IF(('Quantification_Results'!C301=""),IF(ISNUMBER('Quantification_Results'!B301),IF(('Quantification_Results'!B301&lt;'Quantification_Config'!$S$6),"",IF(('Quantification_Results'!B301&gt;'Quantification_Config'!$T$6),"",'Quantification_Results'!B301)),""),IF(ISNUMBER('Quantification_Results'!C301),IF(('Quantification_Results'!C301&lt;'Quantification_Config'!$S$6),"",IF(('Quantification_Results'!C301&gt;'Quantification_Config'!$T$6),"",'Quantification_Results'!C301)),"")))</x:f>
        <x:v>5</x:v>
      </x:c>
      <x:c r="E301" t="n">
        <x:f>IF(ISNUMBER('Quantification_Results'!D301),IFERROR(ROUND(((('Quantification_Results'!D301-'Quantification_Config'!$S$6)/('Quantification_Config'!$T$6-'Quantification_Config'!$S$6))*100),'Quantification_Config'!$U$2),""),"")</x:f>
        <x:v>50</x:v>
      </x:c>
      <x:c r="F301" t="inlineStr">
        <x:is>
          <x:t xml:space="preserve">SYSTEM-TEST-ONLY-NO-NETWORK-NOT-AN-EDUCATIONAL-EVALUATION</x:t>
        </x:is>
      </x:c>
      <x:c r="G301" t="inlineStr">
        <x:is>
          <x:t xml:space="preserve"/>
        </x:is>
      </x:c>
      <x:c r="H301" t="inlineStr">
        <x:is>
          <x:t xml:space="preserve">NONE</x:t>
        </x:is>
      </x:c>
      <x:c r="I301" t="inlineStr">
        <x:is>
          <x:t xml:space="preserve"/>
        </x:is>
      </x:c>
      <x:c r="J301" t="inlineStr">
        <x:is>
          <x:t xml:space="preserve">SUCCESS</x:t>
        </x:is>
      </x:c>
      <x:c r="K301" t="n">
        <x:f>IF((COUNT('Quantification_Results'!E301)=1),IFERROR(ROUND((SUM(('Quantification_Results'!E301*'Quantification_Config'!$R$6))/SUM('Quantification_Config'!$R$6)),'Quantification_Config'!$U$2),""),"")</x:f>
        <x:v>50</x:v>
      </x:c>
      <x:c r="L301" t="n">
        <x:f>IF((COUNT('Quantification_Results'!K301)=1),IFERROR(ROUND((SUM(('Quantification_Results'!K301*'Quantification_Config'!$R$5))/SUM('Quantification_Config'!$R$5)),'Quantification_Config'!$U$2),""),"")</x:f>
        <x:v>50</x:v>
      </x:c>
      <x:c r="M301" t="n">
        <x:v>1</x:v>
      </x:c>
      <x:c r="N301" t="n">
        <x:v>5</x:v>
      </x:c>
      <x:c r="O301"/>
      <x:c r="P301" t="n">
        <x:f>IF(('Quantification_Results'!M301&lt;&gt;1),"",IF(('Quantification_Results'!O301=""),IF(ISNUMBER('Quantification_Results'!N301),IF(('Quantification_Results'!N301&lt;'Quantification_Config'!$S$9),"",IF(('Quantification_Results'!N301&gt;'Quantification_Config'!$T$9),"",'Quantification_Results'!N301)),""),IF(ISNUMBER('Quantification_Results'!O301),IF(('Quantification_Results'!O301&lt;'Quantification_Config'!$S$9),"",IF(('Quantification_Results'!O301&gt;'Quantification_Config'!$T$9),"",'Quantification_Results'!O301)),"")))</x:f>
        <x:v>5</x:v>
      </x:c>
      <x:c r="Q301" t="n">
        <x:f>IF(ISNUMBER('Quantification_Results'!P301),IFERROR(ROUND(((('Quantification_Results'!P301-'Quantification_Config'!$S$9)/('Quantification_Config'!$T$9-'Quantification_Config'!$S$9))*100),'Quantification_Config'!$U$2),""),"")</x:f>
        <x:v>50</x:v>
      </x:c>
      <x:c r="R301" t="inlineStr">
        <x:is>
          <x:t xml:space="preserve">SYSTEM-TEST-ONLY-NO-NETWORK-NOT-AN-EDUCATIONAL-EVALUATION</x:t>
        </x:is>
      </x:c>
      <x:c r="S301" t="inlineStr">
        <x:is>
          <x:t xml:space="preserve"/>
        </x:is>
      </x:c>
      <x:c r="T301" t="inlineStr">
        <x:is>
          <x:t xml:space="preserve">NONE</x:t>
        </x:is>
      </x:c>
      <x:c r="U301" t="inlineStr">
        <x:is>
          <x:t xml:space="preserve"/>
        </x:is>
      </x:c>
      <x:c r="V301" t="inlineStr">
        <x:is>
          <x:t xml:space="preserve">SUCCESS</x:t>
        </x:is>
      </x:c>
      <x:c r="W301" t="n">
        <x:f>IF((COUNT('Quantification_Results'!Q301)=1),IFERROR(ROUND((SUM(('Quantification_Results'!Q301*'Quantification_Config'!$R$9))/SUM('Quantification_Config'!$R$9)),'Quantification_Config'!$U$2),""),"")</x:f>
        <x:v>50</x:v>
      </x:c>
      <x:c r="X301" t="n">
        <x:f>IF((COUNT('Quantification_Results'!W301)=1),IFERROR(ROUND((SUM(('Quantification_Results'!W301*'Quantification_Config'!$R$8))/SUM('Quantification_Config'!$R$8)),'Quantification_Config'!$U$2),""),"")</x:f>
        <x:v>50</x:v>
      </x:c>
      <x:c r="Y301" t="n">
        <x:v>0</x:v>
      </x:c>
      <x:c r="Z301"/>
      <x:c r="AA301"/>
      <x:c r="AB301">
        <x:f>IF(('Quantification_Results'!Y301&lt;&gt;1),"",IF(('Quantification_Results'!AA301=""),IF(ISNUMBER('Quantification_Results'!Z301),IF(('Quantification_Results'!Z301&lt;'Quantification_Config'!$S$12),"",IF(('Quantification_Results'!Z301&gt;'Quantification_Config'!$T$12),"",'Quantification_Results'!Z301)),""),IF(ISNUMBER('Quantification_Results'!AA301),IF(('Quantification_Results'!AA301&lt;'Quantification_Config'!$S$12),"",IF(('Quantification_Results'!AA301&gt;'Quantification_Config'!$T$12),"",'Quantification_Results'!AA301)),"")))</x:f>
      </x:c>
      <x:c r="AC301">
        <x:f>IF(ISNUMBER('Quantification_Results'!AB301),IFERROR(ROUND(((('Quantification_Results'!AB301-'Quantification_Config'!$S$12)/('Quantification_Config'!$T$12-'Quantification_Config'!$S$12))*100),'Quantification_Config'!$U$2),""),"")</x:f>
      </x:c>
      <x:c r="AD301" t="inlineStr">
        <x:is>
          <x:t xml:space="preserve"/>
        </x:is>
      </x:c>
      <x:c r="AE301" t="inlineStr">
        <x:is>
          <x:t xml:space="preserve"/>
        </x:is>
      </x:c>
      <x:c r="AF301" t="inlineStr">
        <x:is>
          <x:t xml:space="preserve"/>
        </x:is>
      </x:c>
      <x:c r="AG301" t="inlineStr">
        <x:is>
          <x:t xml:space="preserve"/>
        </x:is>
      </x:c>
      <x:c r="AH301" t="inlineStr">
        <x:is>
          <x:t xml:space="preserve">EMPTY</x:t>
        </x:is>
      </x:c>
      <x:c r="AI301">
        <x:f>IF((COUNT('Quantification_Results'!AC301)=1),IFERROR(ROUND((SUM(('Quantification_Results'!AC301*'Quantification_Config'!$R$12))/SUM('Quantification_Config'!$R$12)),'Quantification_Config'!$U$2),""),"")</x:f>
      </x:c>
      <x:c r="AJ301">
        <x:f>IF((COUNT('Quantification_Results'!AI301)=1),IFERROR(ROUND((SUM(('Quantification_Results'!AI301*'Quantification_Config'!$R$11))/SUM('Quantification_Config'!$R$11)),'Quantification_Config'!$U$2),""),"")</x:f>
      </x:c>
      <x:c r="AK301" t="n">
        <x:v>1</x:v>
      </x:c>
      <x:c r="AL301" t="n">
        <x:v>5</x:v>
      </x:c>
      <x:c r="AM301"/>
      <x:c r="AN301" t="n">
        <x:f>IF(('Quantification_Results'!AK301&lt;&gt;1),"",IF(('Quantification_Results'!AM301=""),IF(ISNUMBER('Quantification_Results'!AL301),IF(('Quantification_Results'!AL301&lt;'Quantification_Config'!$S$15),"",IF(('Quantification_Results'!AL301&gt;'Quantification_Config'!$T$15),"",'Quantification_Results'!AL301)),""),IF(ISNUMBER('Quantification_Results'!AM301),IF(('Quantification_Results'!AM301&lt;'Quantification_Config'!$S$15),"",IF(('Quantification_Results'!AM301&gt;'Quantification_Config'!$T$15),"",'Quantification_Results'!AM301)),"")))</x:f>
        <x:v>5</x:v>
      </x:c>
      <x:c r="AO301" t="n">
        <x:f>IF(ISNUMBER('Quantification_Results'!AN301),IFERROR(ROUND(((('Quantification_Results'!AN301-'Quantification_Config'!$S$15)/('Quantification_Config'!$T$15-'Quantification_Config'!$S$15))*100),'Quantification_Config'!$U$2),""),"")</x:f>
        <x:v>50</x:v>
      </x:c>
      <x:c r="AP301" t="inlineStr">
        <x:is>
          <x:t xml:space="preserve">SYSTEM-TEST-ONLY-NO-NETWORK-NOT-AN-EDUCATIONAL-EVALUATION</x:t>
        </x:is>
      </x:c>
      <x:c r="AQ301" t="inlineStr">
        <x:is>
          <x:t xml:space="preserve"/>
        </x:is>
      </x:c>
      <x:c r="AR301" t="inlineStr">
        <x:is>
          <x:t xml:space="preserve">NONE</x:t>
        </x:is>
      </x:c>
      <x:c r="AS301" t="inlineStr">
        <x:is>
          <x:t xml:space="preserve"/>
        </x:is>
      </x:c>
      <x:c r="AT301" t="inlineStr">
        <x:is>
          <x:t xml:space="preserve">SUCCESS</x:t>
        </x:is>
      </x:c>
      <x:c r="AU301" t="n">
        <x:f>IF((COUNT('Quantification_Results'!AO301)=1),IFERROR(ROUND((SUM(('Quantification_Results'!AO301*'Quantification_Config'!$R$15))/SUM('Quantification_Config'!$R$15)),'Quantification_Config'!$U$2),""),"")</x:f>
        <x:v>50</x:v>
      </x:c>
      <x:c r="AV301" t="n">
        <x:f>IF((COUNT('Quantification_Results'!AU301)=1),IFERROR(ROUND((SUM(('Quantification_Results'!AU301*'Quantification_Config'!$R$14))/SUM('Quantification_Config'!$R$14)),'Quantification_Config'!$U$2),""),"")</x:f>
        <x:v>50</x:v>
      </x:c>
      <x:c r="AW301" t="n">
        <x:v>1</x:v>
      </x:c>
      <x:c r="AX301" t="n">
        <x:v>5</x:v>
      </x:c>
      <x:c r="AY301"/>
      <x:c r="AZ301" t="n">
        <x:f>IF(('Quantification_Results'!AW301&lt;&gt;1),"",IF(('Quantification_Results'!AY301=""),IF(ISNUMBER('Quantification_Results'!AX301),IF(('Quantification_Results'!AX301&lt;'Quantification_Config'!$S$19),"",IF(('Quantification_Results'!AX301&gt;'Quantification_Config'!$T$19),"",'Quantification_Results'!AX301)),""),IF(ISNUMBER('Quantification_Results'!AY301),IF(('Quantification_Results'!AY301&lt;'Quantification_Config'!$S$19),"",IF(('Quantification_Results'!AY301&gt;'Quantification_Config'!$T$19),"",'Quantification_Results'!AY301)),"")))</x:f>
        <x:v>5</x:v>
      </x:c>
      <x:c r="BA301" t="n">
        <x:f>IF(ISNUMBER('Quantification_Results'!AZ301),IFERROR(ROUND(((('Quantification_Results'!AZ301-'Quantification_Config'!$S$19)/('Quantification_Config'!$T$19-'Quantification_Config'!$S$19))*100),'Quantification_Config'!$U$2),""),"")</x:f>
        <x:v>50</x:v>
      </x:c>
      <x:c r="BB301" t="inlineStr">
        <x:is>
          <x:t xml:space="preserve">SYSTEM-TEST-ONLY-NO-NETWORK-NOT-AN-EDUCATIONAL-EVALUATION</x:t>
        </x:is>
      </x:c>
      <x:c r="BC301" t="inlineStr">
        <x:is>
          <x:t xml:space="preserve"/>
        </x:is>
      </x:c>
      <x:c r="BD301" t="inlineStr">
        <x:is>
          <x:t xml:space="preserve">NONE</x:t>
        </x:is>
      </x:c>
      <x:c r="BE301" t="inlineStr">
        <x:is>
          <x:t xml:space="preserve"/>
        </x:is>
      </x:c>
      <x:c r="BF301" t="inlineStr">
        <x:is>
          <x:t xml:space="preserve">SUCCESS</x:t>
        </x:is>
      </x:c>
      <x:c r="BG301" t="n">
        <x:f>IF((COUNT('Quantification_Results'!BA301)=1),IFERROR(ROUND((SUM(('Quantification_Results'!BA301*'Quantification_Config'!$R$19))/SUM('Quantification_Config'!$R$19)),'Quantification_Config'!$U$2),""),"")</x:f>
        <x:v>50</x:v>
      </x:c>
      <x:c r="BH301" t="n">
        <x:f>IF((COUNT('Quantification_Results'!BG301)=1),IFERROR(ROUND((SUM(('Quantification_Results'!BG301*'Quantification_Config'!$R$18))/SUM('Quantification_Config'!$R$18)),'Quantification_Config'!$U$2),""),"")</x:f>
        <x:v>50</x:v>
      </x:c>
      <x:c r="BI301">
        <x:f>IF((COUNT('Quantification_Results'!L301,'Quantification_Results'!X301,'Quantification_Results'!AJ301,'Quantification_Results'!AV301,'Quantification_Results'!BH301)=5),IFERROR(ROUND((SUM(('Quantification_Results'!L301*'Quantification_Config'!$R$4),('Quantification_Results'!X301*'Quantification_Config'!$R$7),('Quantification_Results'!AJ301*'Quantification_Config'!$R$10),('Quantification_Results'!AV301*'Quantification_Config'!$R$13),('Quantification_Results'!BH301*'Quantification_Config'!$R$16))/SUM('Quantification_Config'!$R$4,'Quantification_Config'!$R$7,'Quantification_Config'!$R$10,'Quantification_Config'!$R$13,'Quantification_Config'!$R$16)),'Quantification_Config'!$U$2),""),"")</x:f>
      </x:c>
    </x:row>
    <x:row r="302">
      <x:c r="A302" t="n">
        <x:v>1</x:v>
      </x:c>
      <x:c r="B302" t="n">
        <x:v>5</x:v>
      </x:c>
      <x:c r="C302"/>
      <x:c r="D302" t="n">
        <x:f>IF(('Quantification_Results'!A302&lt;&gt;1),"",IF(('Quantification_Results'!C302=""),IF(ISNUMBER('Quantification_Results'!B302),IF(('Quantification_Results'!B302&lt;'Quantification_Config'!$S$6),"",IF(('Quantification_Results'!B302&gt;'Quantification_Config'!$T$6),"",'Quantification_Results'!B302)),""),IF(ISNUMBER('Quantification_Results'!C302),IF(('Quantification_Results'!C302&lt;'Quantification_Config'!$S$6),"",IF(('Quantification_Results'!C302&gt;'Quantification_Config'!$T$6),"",'Quantification_Results'!C302)),"")))</x:f>
        <x:v>5</x:v>
      </x:c>
      <x:c r="E302" t="n">
        <x:f>IF(ISNUMBER('Quantification_Results'!D302),IFERROR(ROUND(((('Quantification_Results'!D302-'Quantification_Config'!$S$6)/('Quantification_Config'!$T$6-'Quantification_Config'!$S$6))*100),'Quantification_Config'!$U$2),""),"")</x:f>
        <x:v>50</x:v>
      </x:c>
      <x:c r="F302" t="inlineStr">
        <x:is>
          <x:t xml:space="preserve">SYSTEM-TEST-ONLY-NO-NETWORK-NOT-AN-EDUCATIONAL-EVALUATION</x:t>
        </x:is>
      </x:c>
      <x:c r="G302" t="inlineStr">
        <x:is>
          <x:t xml:space="preserve"/>
        </x:is>
      </x:c>
      <x:c r="H302" t="inlineStr">
        <x:is>
          <x:t xml:space="preserve">NONE</x:t>
        </x:is>
      </x:c>
      <x:c r="I302" t="inlineStr">
        <x:is>
          <x:t xml:space="preserve"/>
        </x:is>
      </x:c>
      <x:c r="J302" t="inlineStr">
        <x:is>
          <x:t xml:space="preserve">SUCCESS</x:t>
        </x:is>
      </x:c>
      <x:c r="K302" t="n">
        <x:f>IF((COUNT('Quantification_Results'!E302)=1),IFERROR(ROUND((SUM(('Quantification_Results'!E302*'Quantification_Config'!$R$6))/SUM('Quantification_Config'!$R$6)),'Quantification_Config'!$U$2),""),"")</x:f>
        <x:v>50</x:v>
      </x:c>
      <x:c r="L302" t="n">
        <x:f>IF((COUNT('Quantification_Results'!K302)=1),IFERROR(ROUND((SUM(('Quantification_Results'!K302*'Quantification_Config'!$R$5))/SUM('Quantification_Config'!$R$5)),'Quantification_Config'!$U$2),""),"")</x:f>
        <x:v>50</x:v>
      </x:c>
      <x:c r="M302" t="n">
        <x:v>1</x:v>
      </x:c>
      <x:c r="N302" t="n">
        <x:v>5</x:v>
      </x:c>
      <x:c r="O302"/>
      <x:c r="P302" t="n">
        <x:f>IF(('Quantification_Results'!M302&lt;&gt;1),"",IF(('Quantification_Results'!O302=""),IF(ISNUMBER('Quantification_Results'!N302),IF(('Quantification_Results'!N302&lt;'Quantification_Config'!$S$9),"",IF(('Quantification_Results'!N302&gt;'Quantification_Config'!$T$9),"",'Quantification_Results'!N302)),""),IF(ISNUMBER('Quantification_Results'!O302),IF(('Quantification_Results'!O302&lt;'Quantification_Config'!$S$9),"",IF(('Quantification_Results'!O302&gt;'Quantification_Config'!$T$9),"",'Quantification_Results'!O302)),"")))</x:f>
        <x:v>5</x:v>
      </x:c>
      <x:c r="Q302" t="n">
        <x:f>IF(ISNUMBER('Quantification_Results'!P302),IFERROR(ROUND(((('Quantification_Results'!P302-'Quantification_Config'!$S$9)/('Quantification_Config'!$T$9-'Quantification_Config'!$S$9))*100),'Quantification_Config'!$U$2),""),"")</x:f>
        <x:v>50</x:v>
      </x:c>
      <x:c r="R302" t="inlineStr">
        <x:is>
          <x:t xml:space="preserve">SYSTEM-TEST-ONLY-NO-NETWORK-NOT-AN-EDUCATIONAL-EVALUATION</x:t>
        </x:is>
      </x:c>
      <x:c r="S302" t="inlineStr">
        <x:is>
          <x:t xml:space="preserve"/>
        </x:is>
      </x:c>
      <x:c r="T302" t="inlineStr">
        <x:is>
          <x:t xml:space="preserve">NONE</x:t>
        </x:is>
      </x:c>
      <x:c r="U302" t="inlineStr">
        <x:is>
          <x:t xml:space="preserve"/>
        </x:is>
      </x:c>
      <x:c r="V302" t="inlineStr">
        <x:is>
          <x:t xml:space="preserve">SUCCESS</x:t>
        </x:is>
      </x:c>
      <x:c r="W302" t="n">
        <x:f>IF((COUNT('Quantification_Results'!Q302)=1),IFERROR(ROUND((SUM(('Quantification_Results'!Q302*'Quantification_Config'!$R$9))/SUM('Quantification_Config'!$R$9)),'Quantification_Config'!$U$2),""),"")</x:f>
        <x:v>50</x:v>
      </x:c>
      <x:c r="X302" t="n">
        <x:f>IF((COUNT('Quantification_Results'!W302)=1),IFERROR(ROUND((SUM(('Quantification_Results'!W302*'Quantification_Config'!$R$8))/SUM('Quantification_Config'!$R$8)),'Quantification_Config'!$U$2),""),"")</x:f>
        <x:v>50</x:v>
      </x:c>
      <x:c r="Y302" t="n">
        <x:v>1</x:v>
      </x:c>
      <x:c r="Z302" t="n">
        <x:v>5</x:v>
      </x:c>
      <x:c r="AA302"/>
      <x:c r="AB302" t="n">
        <x:f>IF(('Quantification_Results'!Y302&lt;&gt;1),"",IF(('Quantification_Results'!AA302=""),IF(ISNUMBER('Quantification_Results'!Z302),IF(('Quantification_Results'!Z302&lt;'Quantification_Config'!$S$12),"",IF(('Quantification_Results'!Z302&gt;'Quantification_Config'!$T$12),"",'Quantification_Results'!Z302)),""),IF(ISNUMBER('Quantification_Results'!AA302),IF(('Quantification_Results'!AA302&lt;'Quantification_Config'!$S$12),"",IF(('Quantification_Results'!AA302&gt;'Quantification_Config'!$T$12),"",'Quantification_Results'!AA302)),"")))</x:f>
        <x:v>5</x:v>
      </x:c>
      <x:c r="AC302" t="n">
        <x:f>IF(ISNUMBER('Quantification_Results'!AB302),IFERROR(ROUND(((('Quantification_Results'!AB302-'Quantification_Config'!$S$12)/('Quantification_Config'!$T$12-'Quantification_Config'!$S$12))*100),'Quantification_Config'!$U$2),""),"")</x:f>
        <x:v>50</x:v>
      </x:c>
      <x:c r="AD302" t="inlineStr">
        <x:is>
          <x:t xml:space="preserve">SYSTEM-TEST-ONLY-NO-NETWORK-NOT-AN-EDUCATIONAL-EVALUATION</x:t>
        </x:is>
      </x:c>
      <x:c r="AE302" t="inlineStr">
        <x:is>
          <x:t xml:space="preserve"/>
        </x:is>
      </x:c>
      <x:c r="AF302" t="inlineStr">
        <x:is>
          <x:t xml:space="preserve">NONE</x:t>
        </x:is>
      </x:c>
      <x:c r="AG302" t="inlineStr">
        <x:is>
          <x:t xml:space="preserve"/>
        </x:is>
      </x:c>
      <x:c r="AH302" t="inlineStr">
        <x:is>
          <x:t xml:space="preserve">SUCCESS</x:t>
        </x:is>
      </x:c>
      <x:c r="AI302" t="n">
        <x:f>IF((COUNT('Quantification_Results'!AC302)=1),IFERROR(ROUND((SUM(('Quantification_Results'!AC302*'Quantification_Config'!$R$12))/SUM('Quantification_Config'!$R$12)),'Quantification_Config'!$U$2),""),"")</x:f>
        <x:v>50</x:v>
      </x:c>
      <x:c r="AJ302" t="n">
        <x:f>IF((COUNT('Quantification_Results'!AI302)=1),IFERROR(ROUND((SUM(('Quantification_Results'!AI302*'Quantification_Config'!$R$11))/SUM('Quantification_Config'!$R$11)),'Quantification_Config'!$U$2),""),"")</x:f>
        <x:v>50</x:v>
      </x:c>
      <x:c r="AK302" t="n">
        <x:v>1</x:v>
      </x:c>
      <x:c r="AL302" t="n">
        <x:v>5</x:v>
      </x:c>
      <x:c r="AM302"/>
      <x:c r="AN302" t="n">
        <x:f>IF(('Quantification_Results'!AK302&lt;&gt;1),"",IF(('Quantification_Results'!AM302=""),IF(ISNUMBER('Quantification_Results'!AL302),IF(('Quantification_Results'!AL302&lt;'Quantification_Config'!$S$15),"",IF(('Quantification_Results'!AL302&gt;'Quantification_Config'!$T$15),"",'Quantification_Results'!AL302)),""),IF(ISNUMBER('Quantification_Results'!AM302),IF(('Quantification_Results'!AM302&lt;'Quantification_Config'!$S$15),"",IF(('Quantification_Results'!AM302&gt;'Quantification_Config'!$T$15),"",'Quantification_Results'!AM302)),"")))</x:f>
        <x:v>5</x:v>
      </x:c>
      <x:c r="AO302" t="n">
        <x:f>IF(ISNUMBER('Quantification_Results'!AN302),IFERROR(ROUND(((('Quantification_Results'!AN302-'Quantification_Config'!$S$15)/('Quantification_Config'!$T$15-'Quantification_Config'!$S$15))*100),'Quantification_Config'!$U$2),""),"")</x:f>
        <x:v>50</x:v>
      </x:c>
      <x:c r="AP302" t="inlineStr">
        <x:is>
          <x:t xml:space="preserve">SYSTEM-TEST-ONLY-NO-NETWORK-NOT-AN-EDUCATIONAL-EVALUATION</x:t>
        </x:is>
      </x:c>
      <x:c r="AQ302" t="inlineStr">
        <x:is>
          <x:t xml:space="preserve"/>
        </x:is>
      </x:c>
      <x:c r="AR302" t="inlineStr">
        <x:is>
          <x:t xml:space="preserve">NONE</x:t>
        </x:is>
      </x:c>
      <x:c r="AS302" t="inlineStr">
        <x:is>
          <x:t xml:space="preserve"/>
        </x:is>
      </x:c>
      <x:c r="AT302" t="inlineStr">
        <x:is>
          <x:t xml:space="preserve">SUCCESS</x:t>
        </x:is>
      </x:c>
      <x:c r="AU302" t="n">
        <x:f>IF((COUNT('Quantification_Results'!AO302)=1),IFERROR(ROUND((SUM(('Quantification_Results'!AO302*'Quantification_Config'!$R$15))/SUM('Quantification_Config'!$R$15)),'Quantification_Config'!$U$2),""),"")</x:f>
        <x:v>50</x:v>
      </x:c>
      <x:c r="AV302" t="n">
        <x:f>IF((COUNT('Quantification_Results'!AU302)=1),IFERROR(ROUND((SUM(('Quantification_Results'!AU302*'Quantification_Config'!$R$14))/SUM('Quantification_Config'!$R$14)),'Quantification_Config'!$U$2),""),"")</x:f>
        <x:v>50</x:v>
      </x:c>
      <x:c r="AW302" t="n">
        <x:v>1</x:v>
      </x:c>
      <x:c r="AX302" t="n">
        <x:v>5</x:v>
      </x:c>
      <x:c r="AY302"/>
      <x:c r="AZ302" t="n">
        <x:f>IF(('Quantification_Results'!AW302&lt;&gt;1),"",IF(('Quantification_Results'!AY302=""),IF(ISNUMBER('Quantification_Results'!AX302),IF(('Quantification_Results'!AX302&lt;'Quantification_Config'!$S$19),"",IF(('Quantification_Results'!AX302&gt;'Quantification_Config'!$T$19),"",'Quantification_Results'!AX302)),""),IF(ISNUMBER('Quantification_Results'!AY302),IF(('Quantification_Results'!AY302&lt;'Quantification_Config'!$S$19),"",IF(('Quantification_Results'!AY302&gt;'Quantification_Config'!$T$19),"",'Quantification_Results'!AY302)),"")))</x:f>
        <x:v>5</x:v>
      </x:c>
      <x:c r="BA302" t="n">
        <x:f>IF(ISNUMBER('Quantification_Results'!AZ302),IFERROR(ROUND(((('Quantification_Results'!AZ302-'Quantification_Config'!$S$19)/('Quantification_Config'!$T$19-'Quantification_Config'!$S$19))*100),'Quantification_Config'!$U$2),""),"")</x:f>
        <x:v>50</x:v>
      </x:c>
      <x:c r="BB302" t="inlineStr">
        <x:is>
          <x:t xml:space="preserve">SYSTEM-TEST-ONLY-NO-NETWORK-NOT-AN-EDUCATIONAL-EVALUATION</x:t>
        </x:is>
      </x:c>
      <x:c r="BC302" t="inlineStr">
        <x:is>
          <x:t xml:space="preserve"/>
        </x:is>
      </x:c>
      <x:c r="BD302" t="inlineStr">
        <x:is>
          <x:t xml:space="preserve">NONE</x:t>
        </x:is>
      </x:c>
      <x:c r="BE302" t="inlineStr">
        <x:is>
          <x:t xml:space="preserve"/>
        </x:is>
      </x:c>
      <x:c r="BF302" t="inlineStr">
        <x:is>
          <x:t xml:space="preserve">SUCCESS</x:t>
        </x:is>
      </x:c>
      <x:c r="BG302" t="n">
        <x:f>IF((COUNT('Quantification_Results'!BA302)=1),IFERROR(ROUND((SUM(('Quantification_Results'!BA302*'Quantification_Config'!$R$19))/SUM('Quantification_Config'!$R$19)),'Quantification_Config'!$U$2),""),"")</x:f>
        <x:v>50</x:v>
      </x:c>
      <x:c r="BH302" t="n">
        <x:f>IF((COUNT('Quantification_Results'!BG302)=1),IFERROR(ROUND((SUM(('Quantification_Results'!BG302*'Quantification_Config'!$R$18))/SUM('Quantification_Config'!$R$18)),'Quantification_Config'!$U$2),""),"")</x:f>
        <x:v>50</x:v>
      </x:c>
      <x:c r="BI302" t="n">
        <x:f>IF((COUNT('Quantification_Results'!L302,'Quantification_Results'!X302,'Quantification_Results'!AJ302,'Quantification_Results'!AV302,'Quantification_Results'!BH302)=5),IFERROR(ROUND((SUM(('Quantification_Results'!L302*'Quantification_Config'!$R$4),('Quantification_Results'!X302*'Quantification_Config'!$R$7),('Quantification_Results'!AJ302*'Quantification_Config'!$R$10),('Quantification_Results'!AV302*'Quantification_Config'!$R$13),('Quantification_Results'!BH302*'Quantification_Config'!$R$16))/SUM('Quantification_Config'!$R$4,'Quantification_Config'!$R$7,'Quantification_Config'!$R$10,'Quantification_Config'!$R$13,'Quantification_Config'!$R$16)),'Quantification_Config'!$U$2),""),"")</x:f>
        <x:v>50</x:v>
      </x:c>
    </x:row>
    <x:row r="303">
      <x:c r="A303" t="n">
        <x:v>1</x:v>
      </x:c>
      <x:c r="B303" t="n">
        <x:v>5</x:v>
      </x:c>
      <x:c r="C303"/>
      <x:c r="D303" t="n">
        <x:f>IF(('Quantification_Results'!A303&lt;&gt;1),"",IF(('Quantification_Results'!C303=""),IF(ISNUMBER('Quantification_Results'!B303),IF(('Quantification_Results'!B303&lt;'Quantification_Config'!$S$6),"",IF(('Quantification_Results'!B303&gt;'Quantification_Config'!$T$6),"",'Quantification_Results'!B303)),""),IF(ISNUMBER('Quantification_Results'!C303),IF(('Quantification_Results'!C303&lt;'Quantification_Config'!$S$6),"",IF(('Quantification_Results'!C303&gt;'Quantification_Config'!$T$6),"",'Quantification_Results'!C303)),"")))</x:f>
        <x:v>5</x:v>
      </x:c>
      <x:c r="E303" t="n">
        <x:f>IF(ISNUMBER('Quantification_Results'!D303),IFERROR(ROUND(((('Quantification_Results'!D303-'Quantification_Config'!$S$6)/('Quantification_Config'!$T$6-'Quantification_Config'!$S$6))*100),'Quantification_Config'!$U$2),""),"")</x:f>
        <x:v>50</x:v>
      </x:c>
      <x:c r="F303" t="inlineStr">
        <x:is>
          <x:t xml:space="preserve">SYSTEM-TEST-ONLY-NO-NETWORK-NOT-AN-EDUCATIONAL-EVALUATION</x:t>
        </x:is>
      </x:c>
      <x:c r="G303" t="inlineStr">
        <x:is>
          <x:t xml:space="preserve"/>
        </x:is>
      </x:c>
      <x:c r="H303" t="inlineStr">
        <x:is>
          <x:t xml:space="preserve">NONE</x:t>
        </x:is>
      </x:c>
      <x:c r="I303" t="inlineStr">
        <x:is>
          <x:t xml:space="preserve"/>
        </x:is>
      </x:c>
      <x:c r="J303" t="inlineStr">
        <x:is>
          <x:t xml:space="preserve">SUCCESS</x:t>
        </x:is>
      </x:c>
      <x:c r="K303" t="n">
        <x:f>IF((COUNT('Quantification_Results'!E303)=1),IFERROR(ROUND((SUM(('Quantification_Results'!E303*'Quantification_Config'!$R$6))/SUM('Quantification_Config'!$R$6)),'Quantification_Config'!$U$2),""),"")</x:f>
        <x:v>50</x:v>
      </x:c>
      <x:c r="L303" t="n">
        <x:f>IF((COUNT('Quantification_Results'!K303)=1),IFERROR(ROUND((SUM(('Quantification_Results'!K303*'Quantification_Config'!$R$5))/SUM('Quantification_Config'!$R$5)),'Quantification_Config'!$U$2),""),"")</x:f>
        <x:v>50</x:v>
      </x:c>
      <x:c r="M303" t="n">
        <x:v>0</x:v>
      </x:c>
      <x:c r="N303"/>
      <x:c r="O303"/>
      <x:c r="P303">
        <x:f>IF(('Quantification_Results'!M303&lt;&gt;1),"",IF(('Quantification_Results'!O303=""),IF(ISNUMBER('Quantification_Results'!N303),IF(('Quantification_Results'!N303&lt;'Quantification_Config'!$S$9),"",IF(('Quantification_Results'!N303&gt;'Quantification_Config'!$T$9),"",'Quantification_Results'!N303)),""),IF(ISNUMBER('Quantification_Results'!O303),IF(('Quantification_Results'!O303&lt;'Quantification_Config'!$S$9),"",IF(('Quantification_Results'!O303&gt;'Quantification_Config'!$T$9),"",'Quantification_Results'!O303)),"")))</x:f>
      </x:c>
      <x:c r="Q303">
        <x:f>IF(ISNUMBER('Quantification_Results'!P303),IFERROR(ROUND(((('Quantification_Results'!P303-'Quantification_Config'!$S$9)/('Quantification_Config'!$T$9-'Quantification_Config'!$S$9))*100),'Quantification_Config'!$U$2),""),"")</x:f>
      </x:c>
      <x:c r="R303" t="inlineStr">
        <x:is>
          <x:t xml:space="preserve"/>
        </x:is>
      </x:c>
      <x:c r="S303" t="inlineStr">
        <x:is>
          <x:t xml:space="preserve"/>
        </x:is>
      </x:c>
      <x:c r="T303" t="inlineStr">
        <x:is>
          <x:t xml:space="preserve"/>
        </x:is>
      </x:c>
      <x:c r="U303" t="inlineStr">
        <x:is>
          <x:t xml:space="preserve"/>
        </x:is>
      </x:c>
      <x:c r="V303" t="inlineStr">
        <x:is>
          <x:t xml:space="preserve">EMPTY</x:t>
        </x:is>
      </x:c>
      <x:c r="W303">
        <x:f>IF((COUNT('Quantification_Results'!Q303)=1),IFERROR(ROUND((SUM(('Quantification_Results'!Q303*'Quantification_Config'!$R$9))/SUM('Quantification_Config'!$R$9)),'Quantification_Config'!$U$2),""),"")</x:f>
      </x:c>
      <x:c r="X303">
        <x:f>IF((COUNT('Quantification_Results'!W303)=1),IFERROR(ROUND((SUM(('Quantification_Results'!W303*'Quantification_Config'!$R$8))/SUM('Quantification_Config'!$R$8)),'Quantification_Config'!$U$2),""),"")</x:f>
      </x:c>
      <x:c r="Y303" t="n">
        <x:v>0</x:v>
      </x:c>
      <x:c r="Z303"/>
      <x:c r="AA303"/>
      <x:c r="AB303">
        <x:f>IF(('Quantification_Results'!Y303&lt;&gt;1),"",IF(('Quantification_Results'!AA303=""),IF(ISNUMBER('Quantification_Results'!Z303),IF(('Quantification_Results'!Z303&lt;'Quantification_Config'!$S$12),"",IF(('Quantification_Results'!Z303&gt;'Quantification_Config'!$T$12),"",'Quantification_Results'!Z303)),""),IF(ISNUMBER('Quantification_Results'!AA303),IF(('Quantification_Results'!AA303&lt;'Quantification_Config'!$S$12),"",IF(('Quantification_Results'!AA303&gt;'Quantification_Config'!$T$12),"",'Quantification_Results'!AA303)),"")))</x:f>
      </x:c>
      <x:c r="AC303">
        <x:f>IF(ISNUMBER('Quantification_Results'!AB303),IFERROR(ROUND(((('Quantification_Results'!AB303-'Quantification_Config'!$S$12)/('Quantification_Config'!$T$12-'Quantification_Config'!$S$12))*100),'Quantification_Config'!$U$2),""),"")</x:f>
      </x:c>
      <x:c r="AD303" t="inlineStr">
        <x:is>
          <x:t xml:space="preserve"/>
        </x:is>
      </x:c>
      <x:c r="AE303" t="inlineStr">
        <x:is>
          <x:t xml:space="preserve"/>
        </x:is>
      </x:c>
      <x:c r="AF303" t="inlineStr">
        <x:is>
          <x:t xml:space="preserve"/>
        </x:is>
      </x:c>
      <x:c r="AG303" t="inlineStr">
        <x:is>
          <x:t xml:space="preserve"/>
        </x:is>
      </x:c>
      <x:c r="AH303" t="inlineStr">
        <x:is>
          <x:t xml:space="preserve">EMPTY</x:t>
        </x:is>
      </x:c>
      <x:c r="AI303">
        <x:f>IF((COUNT('Quantification_Results'!AC303)=1),IFERROR(ROUND((SUM(('Quantification_Results'!AC303*'Quantification_Config'!$R$12))/SUM('Quantification_Config'!$R$12)),'Quantification_Config'!$U$2),""),"")</x:f>
      </x:c>
      <x:c r="AJ303">
        <x:f>IF((COUNT('Quantification_Results'!AI303)=1),IFERROR(ROUND((SUM(('Quantification_Results'!AI303*'Quantification_Config'!$R$11))/SUM('Quantification_Config'!$R$11)),'Quantification_Config'!$U$2),""),"")</x:f>
      </x:c>
      <x:c r="AK303" t="n">
        <x:v>1</x:v>
      </x:c>
      <x:c r="AL303" t="n">
        <x:v>5</x:v>
      </x:c>
      <x:c r="AM303"/>
      <x:c r="AN303" t="n">
        <x:f>IF(('Quantification_Results'!AK303&lt;&gt;1),"",IF(('Quantification_Results'!AM303=""),IF(ISNUMBER('Quantification_Results'!AL303),IF(('Quantification_Results'!AL303&lt;'Quantification_Config'!$S$15),"",IF(('Quantification_Results'!AL303&gt;'Quantification_Config'!$T$15),"",'Quantification_Results'!AL303)),""),IF(ISNUMBER('Quantification_Results'!AM303),IF(('Quantification_Results'!AM303&lt;'Quantification_Config'!$S$15),"",IF(('Quantification_Results'!AM303&gt;'Quantification_Config'!$T$15),"",'Quantification_Results'!AM303)),"")))</x:f>
        <x:v>5</x:v>
      </x:c>
      <x:c r="AO303" t="n">
        <x:f>IF(ISNUMBER('Quantification_Results'!AN303),IFERROR(ROUND(((('Quantification_Results'!AN303-'Quantification_Config'!$S$15)/('Quantification_Config'!$T$15-'Quantification_Config'!$S$15))*100),'Quantification_Config'!$U$2),""),"")</x:f>
        <x:v>50</x:v>
      </x:c>
      <x:c r="AP303" t="inlineStr">
        <x:is>
          <x:t xml:space="preserve">SYSTEM-TEST-ONLY-NO-NETWORK-NOT-AN-EDUCATIONAL-EVALUATION</x:t>
        </x:is>
      </x:c>
      <x:c r="AQ303" t="inlineStr">
        <x:is>
          <x:t xml:space="preserve"/>
        </x:is>
      </x:c>
      <x:c r="AR303" t="inlineStr">
        <x:is>
          <x:t xml:space="preserve">NONE</x:t>
        </x:is>
      </x:c>
      <x:c r="AS303" t="inlineStr">
        <x:is>
          <x:t xml:space="preserve"/>
        </x:is>
      </x:c>
      <x:c r="AT303" t="inlineStr">
        <x:is>
          <x:t xml:space="preserve">SUCCESS</x:t>
        </x:is>
      </x:c>
      <x:c r="AU303" t="n">
        <x:f>IF((COUNT('Quantification_Results'!AO303)=1),IFERROR(ROUND((SUM(('Quantification_Results'!AO303*'Quantification_Config'!$R$15))/SUM('Quantification_Config'!$R$15)),'Quantification_Config'!$U$2),""),"")</x:f>
        <x:v>50</x:v>
      </x:c>
      <x:c r="AV303" t="n">
        <x:f>IF((COUNT('Quantification_Results'!AU303)=1),IFERROR(ROUND((SUM(('Quantification_Results'!AU303*'Quantification_Config'!$R$14))/SUM('Quantification_Config'!$R$14)),'Quantification_Config'!$U$2),""),"")</x:f>
        <x:v>50</x:v>
      </x:c>
      <x:c r="AW303" t="n">
        <x:v>0</x:v>
      </x:c>
      <x:c r="AX303"/>
      <x:c r="AY303"/>
      <x:c r="AZ303">
        <x:f>IF(('Quantification_Results'!AW303&lt;&gt;1),"",IF(('Quantification_Results'!AY303=""),IF(ISNUMBER('Quantification_Results'!AX303),IF(('Quantification_Results'!AX303&lt;'Quantification_Config'!$S$19),"",IF(('Quantification_Results'!AX303&gt;'Quantification_Config'!$T$19),"",'Quantification_Results'!AX303)),""),IF(ISNUMBER('Quantification_Results'!AY303),IF(('Quantification_Results'!AY303&lt;'Quantification_Config'!$S$19),"",IF(('Quantification_Results'!AY303&gt;'Quantification_Config'!$T$19),"",'Quantification_Results'!AY303)),"")))</x:f>
      </x:c>
      <x:c r="BA303">
        <x:f>IF(ISNUMBER('Quantification_Results'!AZ303),IFERROR(ROUND(((('Quantification_Results'!AZ303-'Quantification_Config'!$S$19)/('Quantification_Config'!$T$19-'Quantification_Config'!$S$19))*100),'Quantification_Config'!$U$2),""),"")</x:f>
      </x:c>
      <x:c r="BB303" t="inlineStr">
        <x:is>
          <x:t xml:space="preserve"/>
        </x:is>
      </x:c>
      <x:c r="BC303" t="inlineStr">
        <x:is>
          <x:t xml:space="preserve"/>
        </x:is>
      </x:c>
      <x:c r="BD303" t="inlineStr">
        <x:is>
          <x:t xml:space="preserve"/>
        </x:is>
      </x:c>
      <x:c r="BE303" t="inlineStr">
        <x:is>
          <x:t xml:space="preserve"/>
        </x:is>
      </x:c>
      <x:c r="BF303" t="inlineStr">
        <x:is>
          <x:t xml:space="preserve">EMPTY</x:t>
        </x:is>
      </x:c>
      <x:c r="BG303">
        <x:f>IF((COUNT('Quantification_Results'!BA303)=1),IFERROR(ROUND((SUM(('Quantification_Results'!BA303*'Quantification_Config'!$R$19))/SUM('Quantification_Config'!$R$19)),'Quantification_Config'!$U$2),""),"")</x:f>
      </x:c>
      <x:c r="BH303">
        <x:f>IF((COUNT('Quantification_Results'!BG303)=1),IFERROR(ROUND((SUM(('Quantification_Results'!BG303*'Quantification_Config'!$R$18))/SUM('Quantification_Config'!$R$18)),'Quantification_Config'!$U$2),""),"")</x:f>
      </x:c>
      <x:c r="BI303">
        <x:f>IF((COUNT('Quantification_Results'!L303,'Quantification_Results'!X303,'Quantification_Results'!AJ303,'Quantification_Results'!AV303,'Quantification_Results'!BH303)=5),IFERROR(ROUND((SUM(('Quantification_Results'!L303*'Quantification_Config'!$R$4),('Quantification_Results'!X303*'Quantification_Config'!$R$7),('Quantification_Results'!AJ303*'Quantification_Config'!$R$10),('Quantification_Results'!AV303*'Quantification_Config'!$R$13),('Quantification_Results'!BH303*'Quantification_Config'!$R$16))/SUM('Quantification_Config'!$R$4,'Quantification_Config'!$R$7,'Quantification_Config'!$R$10,'Quantification_Config'!$R$13,'Quantification_Config'!$R$16)),'Quantification_Config'!$U$2),""),"")</x:f>
      </x:c>
    </x:row>
    <x:row r="304">
      <x:c r="A304" t="n">
        <x:v>1</x:v>
      </x:c>
      <x:c r="B304" t="n">
        <x:v>5</x:v>
      </x:c>
      <x:c r="C304"/>
      <x:c r="D304" t="n">
        <x:f>IF(('Quantification_Results'!A304&lt;&gt;1),"",IF(('Quantification_Results'!C304=""),IF(ISNUMBER('Quantification_Results'!B304),IF(('Quantification_Results'!B304&lt;'Quantification_Config'!$S$6),"",IF(('Quantification_Results'!B304&gt;'Quantification_Config'!$T$6),"",'Quantification_Results'!B304)),""),IF(ISNUMBER('Quantification_Results'!C304),IF(('Quantification_Results'!C304&lt;'Quantification_Config'!$S$6),"",IF(('Quantification_Results'!C304&gt;'Quantification_Config'!$T$6),"",'Quantification_Results'!C304)),"")))</x:f>
        <x:v>5</x:v>
      </x:c>
      <x:c r="E304" t="n">
        <x:f>IF(ISNUMBER('Quantification_Results'!D304),IFERROR(ROUND(((('Quantification_Results'!D304-'Quantification_Config'!$S$6)/('Quantification_Config'!$T$6-'Quantification_Config'!$S$6))*100),'Quantification_Config'!$U$2),""),"")</x:f>
        <x:v>50</x:v>
      </x:c>
      <x:c r="F304" t="inlineStr">
        <x:is>
          <x:t xml:space="preserve">SYSTEM-TEST-ONLY-NO-NETWORK-NOT-AN-EDUCATIONAL-EVALUATION</x:t>
        </x:is>
      </x:c>
      <x:c r="G304" t="inlineStr">
        <x:is>
          <x:t xml:space="preserve"/>
        </x:is>
      </x:c>
      <x:c r="H304" t="inlineStr">
        <x:is>
          <x:t xml:space="preserve">NONE</x:t>
        </x:is>
      </x:c>
      <x:c r="I304" t="inlineStr">
        <x:is>
          <x:t xml:space="preserve"/>
        </x:is>
      </x:c>
      <x:c r="J304" t="inlineStr">
        <x:is>
          <x:t xml:space="preserve">SUCCESS</x:t>
        </x:is>
      </x:c>
      <x:c r="K304" t="n">
        <x:f>IF((COUNT('Quantification_Results'!E304)=1),IFERROR(ROUND((SUM(('Quantification_Results'!E304*'Quantification_Config'!$R$6))/SUM('Quantification_Config'!$R$6)),'Quantification_Config'!$U$2),""),"")</x:f>
        <x:v>50</x:v>
      </x:c>
      <x:c r="L304" t="n">
        <x:f>IF((COUNT('Quantification_Results'!K304)=1),IFERROR(ROUND((SUM(('Quantification_Results'!K304*'Quantification_Config'!$R$5))/SUM('Quantification_Config'!$R$5)),'Quantification_Config'!$U$2),""),"")</x:f>
        <x:v>50</x:v>
      </x:c>
      <x:c r="M304" t="n">
        <x:v>1</x:v>
      </x:c>
      <x:c r="N304" t="n">
        <x:v>5</x:v>
      </x:c>
      <x:c r="O304"/>
      <x:c r="P304" t="n">
        <x:f>IF(('Quantification_Results'!M304&lt;&gt;1),"",IF(('Quantification_Results'!O304=""),IF(ISNUMBER('Quantification_Results'!N304),IF(('Quantification_Results'!N304&lt;'Quantification_Config'!$S$9),"",IF(('Quantification_Results'!N304&gt;'Quantification_Config'!$T$9),"",'Quantification_Results'!N304)),""),IF(ISNUMBER('Quantification_Results'!O304),IF(('Quantification_Results'!O304&lt;'Quantification_Config'!$S$9),"",IF(('Quantification_Results'!O304&gt;'Quantification_Config'!$T$9),"",'Quantification_Results'!O304)),"")))</x:f>
        <x:v>5</x:v>
      </x:c>
      <x:c r="Q304" t="n">
        <x:f>IF(ISNUMBER('Quantification_Results'!P304),IFERROR(ROUND(((('Quantification_Results'!P304-'Quantification_Config'!$S$9)/('Quantification_Config'!$T$9-'Quantification_Config'!$S$9))*100),'Quantification_Config'!$U$2),""),"")</x:f>
        <x:v>50</x:v>
      </x:c>
      <x:c r="R304" t="inlineStr">
        <x:is>
          <x:t xml:space="preserve">SYSTEM-TEST-ONLY-NO-NETWORK-NOT-AN-EDUCATIONAL-EVALUATION</x:t>
        </x:is>
      </x:c>
      <x:c r="S304" t="inlineStr">
        <x:is>
          <x:t xml:space="preserve"/>
        </x:is>
      </x:c>
      <x:c r="T304" t="inlineStr">
        <x:is>
          <x:t xml:space="preserve">NONE</x:t>
        </x:is>
      </x:c>
      <x:c r="U304" t="inlineStr">
        <x:is>
          <x:t xml:space="preserve"/>
        </x:is>
      </x:c>
      <x:c r="V304" t="inlineStr">
        <x:is>
          <x:t xml:space="preserve">SUCCESS</x:t>
        </x:is>
      </x:c>
      <x:c r="W304" t="n">
        <x:f>IF((COUNT('Quantification_Results'!Q304)=1),IFERROR(ROUND((SUM(('Quantification_Results'!Q304*'Quantification_Config'!$R$9))/SUM('Quantification_Config'!$R$9)),'Quantification_Config'!$U$2),""),"")</x:f>
        <x:v>50</x:v>
      </x:c>
      <x:c r="X304" t="n">
        <x:f>IF((COUNT('Quantification_Results'!W304)=1),IFERROR(ROUND((SUM(('Quantification_Results'!W304*'Quantification_Config'!$R$8))/SUM('Quantification_Config'!$R$8)),'Quantification_Config'!$U$2),""),"")</x:f>
        <x:v>50</x:v>
      </x:c>
      <x:c r="Y304" t="n">
        <x:v>1</x:v>
      </x:c>
      <x:c r="Z304" t="n">
        <x:v>5</x:v>
      </x:c>
      <x:c r="AA304"/>
      <x:c r="AB304" t="n">
        <x:f>IF(('Quantification_Results'!Y304&lt;&gt;1),"",IF(('Quantification_Results'!AA304=""),IF(ISNUMBER('Quantification_Results'!Z304),IF(('Quantification_Results'!Z304&lt;'Quantification_Config'!$S$12),"",IF(('Quantification_Results'!Z304&gt;'Quantification_Config'!$T$12),"",'Quantification_Results'!Z304)),""),IF(ISNUMBER('Quantification_Results'!AA304),IF(('Quantification_Results'!AA304&lt;'Quantification_Config'!$S$12),"",IF(('Quantification_Results'!AA304&gt;'Quantification_Config'!$T$12),"",'Quantification_Results'!AA304)),"")))</x:f>
        <x:v>5</x:v>
      </x:c>
      <x:c r="AC304" t="n">
        <x:f>IF(ISNUMBER('Quantification_Results'!AB304),IFERROR(ROUND(((('Quantification_Results'!AB304-'Quantification_Config'!$S$12)/('Quantification_Config'!$T$12-'Quantification_Config'!$S$12))*100),'Quantification_Config'!$U$2),""),"")</x:f>
        <x:v>50</x:v>
      </x:c>
      <x:c r="AD304" t="inlineStr">
        <x:is>
          <x:t xml:space="preserve">SYSTEM-TEST-ONLY-NO-NETWORK-NOT-AN-EDUCATIONAL-EVALUATION</x:t>
        </x:is>
      </x:c>
      <x:c r="AE304" t="inlineStr">
        <x:is>
          <x:t xml:space="preserve"/>
        </x:is>
      </x:c>
      <x:c r="AF304" t="inlineStr">
        <x:is>
          <x:t xml:space="preserve">NONE</x:t>
        </x:is>
      </x:c>
      <x:c r="AG304" t="inlineStr">
        <x:is>
          <x:t xml:space="preserve"/>
        </x:is>
      </x:c>
      <x:c r="AH304" t="inlineStr">
        <x:is>
          <x:t xml:space="preserve">SUCCESS</x:t>
        </x:is>
      </x:c>
      <x:c r="AI304" t="n">
        <x:f>IF((COUNT('Quantification_Results'!AC304)=1),IFERROR(ROUND((SUM(('Quantification_Results'!AC304*'Quantification_Config'!$R$12))/SUM('Quantification_Config'!$R$12)),'Quantification_Config'!$U$2),""),"")</x:f>
        <x:v>50</x:v>
      </x:c>
      <x:c r="AJ304" t="n">
        <x:f>IF((COUNT('Quantification_Results'!AI304)=1),IFERROR(ROUND((SUM(('Quantification_Results'!AI304*'Quantification_Config'!$R$11))/SUM('Quantification_Config'!$R$11)),'Quantification_Config'!$U$2),""),"")</x:f>
        <x:v>50</x:v>
      </x:c>
      <x:c r="AK304" t="n">
        <x:v>1</x:v>
      </x:c>
      <x:c r="AL304" t="n">
        <x:v>5</x:v>
      </x:c>
      <x:c r="AM304"/>
      <x:c r="AN304" t="n">
        <x:f>IF(('Quantification_Results'!AK304&lt;&gt;1),"",IF(('Quantification_Results'!AM304=""),IF(ISNUMBER('Quantification_Results'!AL304),IF(('Quantification_Results'!AL304&lt;'Quantification_Config'!$S$15),"",IF(('Quantification_Results'!AL304&gt;'Quantification_Config'!$T$15),"",'Quantification_Results'!AL304)),""),IF(ISNUMBER('Quantification_Results'!AM304),IF(('Quantification_Results'!AM304&lt;'Quantification_Config'!$S$15),"",IF(('Quantification_Results'!AM304&gt;'Quantification_Config'!$T$15),"",'Quantification_Results'!AM304)),"")))</x:f>
        <x:v>5</x:v>
      </x:c>
      <x:c r="AO304" t="n">
        <x:f>IF(ISNUMBER('Quantification_Results'!AN304),IFERROR(ROUND(((('Quantification_Results'!AN304-'Quantification_Config'!$S$15)/('Quantification_Config'!$T$15-'Quantification_Config'!$S$15))*100),'Quantification_Config'!$U$2),""),"")</x:f>
        <x:v>50</x:v>
      </x:c>
      <x:c r="AP304" t="inlineStr">
        <x:is>
          <x:t xml:space="preserve">SYSTEM-TEST-ONLY-NO-NETWORK-NOT-AN-EDUCATIONAL-EVALUATION</x:t>
        </x:is>
      </x:c>
      <x:c r="AQ304" t="inlineStr">
        <x:is>
          <x:t xml:space="preserve"/>
        </x:is>
      </x:c>
      <x:c r="AR304" t="inlineStr">
        <x:is>
          <x:t xml:space="preserve">NONE</x:t>
        </x:is>
      </x:c>
      <x:c r="AS304" t="inlineStr">
        <x:is>
          <x:t xml:space="preserve"/>
        </x:is>
      </x:c>
      <x:c r="AT304" t="inlineStr">
        <x:is>
          <x:t xml:space="preserve">SUCCESS</x:t>
        </x:is>
      </x:c>
      <x:c r="AU304" t="n">
        <x:f>IF((COUNT('Quantification_Results'!AO304)=1),IFERROR(ROUND((SUM(('Quantification_Results'!AO304*'Quantification_Config'!$R$15))/SUM('Quantification_Config'!$R$15)),'Quantification_Config'!$U$2),""),"")</x:f>
        <x:v>50</x:v>
      </x:c>
      <x:c r="AV304" t="n">
        <x:f>IF((COUNT('Quantification_Results'!AU304)=1),IFERROR(ROUND((SUM(('Quantification_Results'!AU304*'Quantification_Config'!$R$14))/SUM('Quantification_Config'!$R$14)),'Quantification_Config'!$U$2),""),"")</x:f>
        <x:v>50</x:v>
      </x:c>
      <x:c r="AW304" t="n">
        <x:v>1</x:v>
      </x:c>
      <x:c r="AX304" t="n">
        <x:v>5</x:v>
      </x:c>
      <x:c r="AY304"/>
      <x:c r="AZ304" t="n">
        <x:f>IF(('Quantification_Results'!AW304&lt;&gt;1),"",IF(('Quantification_Results'!AY304=""),IF(ISNUMBER('Quantification_Results'!AX304),IF(('Quantification_Results'!AX304&lt;'Quantification_Config'!$S$19),"",IF(('Quantification_Results'!AX304&gt;'Quantification_Config'!$T$19),"",'Quantification_Results'!AX304)),""),IF(ISNUMBER('Quantification_Results'!AY304),IF(('Quantification_Results'!AY304&lt;'Quantification_Config'!$S$19),"",IF(('Quantification_Results'!AY304&gt;'Quantification_Config'!$T$19),"",'Quantification_Results'!AY304)),"")))</x:f>
        <x:v>5</x:v>
      </x:c>
      <x:c r="BA304" t="n">
        <x:f>IF(ISNUMBER('Quantification_Results'!AZ304),IFERROR(ROUND(((('Quantification_Results'!AZ304-'Quantification_Config'!$S$19)/('Quantification_Config'!$T$19-'Quantification_Config'!$S$19))*100),'Quantification_Config'!$U$2),""),"")</x:f>
        <x:v>50</x:v>
      </x:c>
      <x:c r="BB304" t="inlineStr">
        <x:is>
          <x:t xml:space="preserve">SYSTEM-TEST-ONLY-NO-NETWORK-NOT-AN-EDUCATIONAL-EVALUATION</x:t>
        </x:is>
      </x:c>
      <x:c r="BC304" t="inlineStr">
        <x:is>
          <x:t xml:space="preserve"/>
        </x:is>
      </x:c>
      <x:c r="BD304" t="inlineStr">
        <x:is>
          <x:t xml:space="preserve">NONE</x:t>
        </x:is>
      </x:c>
      <x:c r="BE304" t="inlineStr">
        <x:is>
          <x:t xml:space="preserve"/>
        </x:is>
      </x:c>
      <x:c r="BF304" t="inlineStr">
        <x:is>
          <x:t xml:space="preserve">SUCCESS</x:t>
        </x:is>
      </x:c>
      <x:c r="BG304" t="n">
        <x:f>IF((COUNT('Quantification_Results'!BA304)=1),IFERROR(ROUND((SUM(('Quantification_Results'!BA304*'Quantification_Config'!$R$19))/SUM('Quantification_Config'!$R$19)),'Quantification_Config'!$U$2),""),"")</x:f>
        <x:v>50</x:v>
      </x:c>
      <x:c r="BH304" t="n">
        <x:f>IF((COUNT('Quantification_Results'!BG304)=1),IFERROR(ROUND((SUM(('Quantification_Results'!BG304*'Quantification_Config'!$R$18))/SUM('Quantification_Config'!$R$18)),'Quantification_Config'!$U$2),""),"")</x:f>
        <x:v>50</x:v>
      </x:c>
      <x:c r="BI304" t="n">
        <x:f>IF((COUNT('Quantification_Results'!L304,'Quantification_Results'!X304,'Quantification_Results'!AJ304,'Quantification_Results'!AV304,'Quantification_Results'!BH304)=5),IFERROR(ROUND((SUM(('Quantification_Results'!L304*'Quantification_Config'!$R$4),('Quantification_Results'!X304*'Quantification_Config'!$R$7),('Quantification_Results'!AJ304*'Quantification_Config'!$R$10),('Quantification_Results'!AV304*'Quantification_Config'!$R$13),('Quantification_Results'!BH304*'Quantification_Config'!$R$16))/SUM('Quantification_Config'!$R$4,'Quantification_Config'!$R$7,'Quantification_Config'!$R$10,'Quantification_Config'!$R$13,'Quantification_Config'!$R$16)),'Quantification_Config'!$U$2),""),"")</x:f>
        <x:v>50</x:v>
      </x:c>
    </x:row>
    <x:row r="305">
      <x:c r="A305" t="n">
        <x:v>1</x:v>
      </x:c>
      <x:c r="B305" t="n">
        <x:v>5</x:v>
      </x:c>
      <x:c r="C305"/>
      <x:c r="D305" t="n">
        <x:f>IF(('Quantification_Results'!A305&lt;&gt;1),"",IF(('Quantification_Results'!C305=""),IF(ISNUMBER('Quantification_Results'!B305),IF(('Quantification_Results'!B305&lt;'Quantification_Config'!$S$6),"",IF(('Quantification_Results'!B305&gt;'Quantification_Config'!$T$6),"",'Quantification_Results'!B305)),""),IF(ISNUMBER('Quantification_Results'!C305),IF(('Quantification_Results'!C305&lt;'Quantification_Config'!$S$6),"",IF(('Quantification_Results'!C305&gt;'Quantification_Config'!$T$6),"",'Quantification_Results'!C305)),"")))</x:f>
        <x:v>5</x:v>
      </x:c>
      <x:c r="E305" t="n">
        <x:f>IF(ISNUMBER('Quantification_Results'!D305),IFERROR(ROUND(((('Quantification_Results'!D305-'Quantification_Config'!$S$6)/('Quantification_Config'!$T$6-'Quantification_Config'!$S$6))*100),'Quantification_Config'!$U$2),""),"")</x:f>
        <x:v>50</x:v>
      </x:c>
      <x:c r="F305" t="inlineStr">
        <x:is>
          <x:t xml:space="preserve">SYSTEM-TEST-ONLY-NO-NETWORK-NOT-AN-EDUCATIONAL-EVALUATION</x:t>
        </x:is>
      </x:c>
      <x:c r="G305" t="inlineStr">
        <x:is>
          <x:t xml:space="preserve"/>
        </x:is>
      </x:c>
      <x:c r="H305" t="inlineStr">
        <x:is>
          <x:t xml:space="preserve">NONE</x:t>
        </x:is>
      </x:c>
      <x:c r="I305" t="inlineStr">
        <x:is>
          <x:t xml:space="preserve"/>
        </x:is>
      </x:c>
      <x:c r="J305" t="inlineStr">
        <x:is>
          <x:t xml:space="preserve">SUCCESS</x:t>
        </x:is>
      </x:c>
      <x:c r="K305" t="n">
        <x:f>IF((COUNT('Quantification_Results'!E305)=1),IFERROR(ROUND((SUM(('Quantification_Results'!E305*'Quantification_Config'!$R$6))/SUM('Quantification_Config'!$R$6)),'Quantification_Config'!$U$2),""),"")</x:f>
        <x:v>50</x:v>
      </x:c>
      <x:c r="L305" t="n">
        <x:f>IF((COUNT('Quantification_Results'!K305)=1),IFERROR(ROUND((SUM(('Quantification_Results'!K305*'Quantification_Config'!$R$5))/SUM('Quantification_Config'!$R$5)),'Quantification_Config'!$U$2),""),"")</x:f>
        <x:v>50</x:v>
      </x:c>
      <x:c r="M305" t="n">
        <x:v>1</x:v>
      </x:c>
      <x:c r="N305" t="n">
        <x:v>5</x:v>
      </x:c>
      <x:c r="O305"/>
      <x:c r="P305" t="n">
        <x:f>IF(('Quantification_Results'!M305&lt;&gt;1),"",IF(('Quantification_Results'!O305=""),IF(ISNUMBER('Quantification_Results'!N305),IF(('Quantification_Results'!N305&lt;'Quantification_Config'!$S$9),"",IF(('Quantification_Results'!N305&gt;'Quantification_Config'!$T$9),"",'Quantification_Results'!N305)),""),IF(ISNUMBER('Quantification_Results'!O305),IF(('Quantification_Results'!O305&lt;'Quantification_Config'!$S$9),"",IF(('Quantification_Results'!O305&gt;'Quantification_Config'!$T$9),"",'Quantification_Results'!O305)),"")))</x:f>
        <x:v>5</x:v>
      </x:c>
      <x:c r="Q305" t="n">
        <x:f>IF(ISNUMBER('Quantification_Results'!P305),IFERROR(ROUND(((('Quantification_Results'!P305-'Quantification_Config'!$S$9)/('Quantification_Config'!$T$9-'Quantification_Config'!$S$9))*100),'Quantification_Config'!$U$2),""),"")</x:f>
        <x:v>50</x:v>
      </x:c>
      <x:c r="R305" t="inlineStr">
        <x:is>
          <x:t xml:space="preserve">SYSTEM-TEST-ONLY-NO-NETWORK-NOT-AN-EDUCATIONAL-EVALUATION</x:t>
        </x:is>
      </x:c>
      <x:c r="S305" t="inlineStr">
        <x:is>
          <x:t xml:space="preserve"/>
        </x:is>
      </x:c>
      <x:c r="T305" t="inlineStr">
        <x:is>
          <x:t xml:space="preserve">NONE</x:t>
        </x:is>
      </x:c>
      <x:c r="U305" t="inlineStr">
        <x:is>
          <x:t xml:space="preserve"/>
        </x:is>
      </x:c>
      <x:c r="V305" t="inlineStr">
        <x:is>
          <x:t xml:space="preserve">SUCCESS</x:t>
        </x:is>
      </x:c>
      <x:c r="W305" t="n">
        <x:f>IF((COUNT('Quantification_Results'!Q305)=1),IFERROR(ROUND((SUM(('Quantification_Results'!Q305*'Quantification_Config'!$R$9))/SUM('Quantification_Config'!$R$9)),'Quantification_Config'!$U$2),""),"")</x:f>
        <x:v>50</x:v>
      </x:c>
      <x:c r="X305" t="n">
        <x:f>IF((COUNT('Quantification_Results'!W305)=1),IFERROR(ROUND((SUM(('Quantification_Results'!W305*'Quantification_Config'!$R$8))/SUM('Quantification_Config'!$R$8)),'Quantification_Config'!$U$2),""),"")</x:f>
        <x:v>50</x:v>
      </x:c>
      <x:c r="Y305" t="n">
        <x:v>0</x:v>
      </x:c>
      <x:c r="Z305"/>
      <x:c r="AA305"/>
      <x:c r="AB305">
        <x:f>IF(('Quantification_Results'!Y305&lt;&gt;1),"",IF(('Quantification_Results'!AA305=""),IF(ISNUMBER('Quantification_Results'!Z305),IF(('Quantification_Results'!Z305&lt;'Quantification_Config'!$S$12),"",IF(('Quantification_Results'!Z305&gt;'Quantification_Config'!$T$12),"",'Quantification_Results'!Z305)),""),IF(ISNUMBER('Quantification_Results'!AA305),IF(('Quantification_Results'!AA305&lt;'Quantification_Config'!$S$12),"",IF(('Quantification_Results'!AA305&gt;'Quantification_Config'!$T$12),"",'Quantification_Results'!AA305)),"")))</x:f>
      </x:c>
      <x:c r="AC305">
        <x:f>IF(ISNUMBER('Quantification_Results'!AB305),IFERROR(ROUND(((('Quantification_Results'!AB305-'Quantification_Config'!$S$12)/('Quantification_Config'!$T$12-'Quantification_Config'!$S$12))*100),'Quantification_Config'!$U$2),""),"")</x:f>
      </x:c>
      <x:c r="AD305" t="inlineStr">
        <x:is>
          <x:t xml:space="preserve"/>
        </x:is>
      </x:c>
      <x:c r="AE305" t="inlineStr">
        <x:is>
          <x:t xml:space="preserve"/>
        </x:is>
      </x:c>
      <x:c r="AF305" t="inlineStr">
        <x:is>
          <x:t xml:space="preserve"/>
        </x:is>
      </x:c>
      <x:c r="AG305" t="inlineStr">
        <x:is>
          <x:t xml:space="preserve"/>
        </x:is>
      </x:c>
      <x:c r="AH305" t="inlineStr">
        <x:is>
          <x:t xml:space="preserve">EMPTY</x:t>
        </x:is>
      </x:c>
      <x:c r="AI305">
        <x:f>IF((COUNT('Quantification_Results'!AC305)=1),IFERROR(ROUND((SUM(('Quantification_Results'!AC305*'Quantification_Config'!$R$12))/SUM('Quantification_Config'!$R$12)),'Quantification_Config'!$U$2),""),"")</x:f>
      </x:c>
      <x:c r="AJ305">
        <x:f>IF((COUNT('Quantification_Results'!AI305)=1),IFERROR(ROUND((SUM(('Quantification_Results'!AI305*'Quantification_Config'!$R$11))/SUM('Quantification_Config'!$R$11)),'Quantification_Config'!$U$2),""),"")</x:f>
      </x:c>
      <x:c r="AK305" t="n">
        <x:v>1</x:v>
      </x:c>
      <x:c r="AL305" t="n">
        <x:v>5</x:v>
      </x:c>
      <x:c r="AM305"/>
      <x:c r="AN305" t="n">
        <x:f>IF(('Quantification_Results'!AK305&lt;&gt;1),"",IF(('Quantification_Results'!AM305=""),IF(ISNUMBER('Quantification_Results'!AL305),IF(('Quantification_Results'!AL305&lt;'Quantification_Config'!$S$15),"",IF(('Quantification_Results'!AL305&gt;'Quantification_Config'!$T$15),"",'Quantification_Results'!AL305)),""),IF(ISNUMBER('Quantification_Results'!AM305),IF(('Quantification_Results'!AM305&lt;'Quantification_Config'!$S$15),"",IF(('Quantification_Results'!AM305&gt;'Quantification_Config'!$T$15),"",'Quantification_Results'!AM305)),"")))</x:f>
        <x:v>5</x:v>
      </x:c>
      <x:c r="AO305" t="n">
        <x:f>IF(ISNUMBER('Quantification_Results'!AN305),IFERROR(ROUND(((('Quantification_Results'!AN305-'Quantification_Config'!$S$15)/('Quantification_Config'!$T$15-'Quantification_Config'!$S$15))*100),'Quantification_Config'!$U$2),""),"")</x:f>
        <x:v>50</x:v>
      </x:c>
      <x:c r="AP305" t="inlineStr">
        <x:is>
          <x:t xml:space="preserve">SYSTEM-TEST-ONLY-NO-NETWORK-NOT-AN-EDUCATIONAL-EVALUATION</x:t>
        </x:is>
      </x:c>
      <x:c r="AQ305" t="inlineStr">
        <x:is>
          <x:t xml:space="preserve"/>
        </x:is>
      </x:c>
      <x:c r="AR305" t="inlineStr">
        <x:is>
          <x:t xml:space="preserve">NONE</x:t>
        </x:is>
      </x:c>
      <x:c r="AS305" t="inlineStr">
        <x:is>
          <x:t xml:space="preserve"/>
        </x:is>
      </x:c>
      <x:c r="AT305" t="inlineStr">
        <x:is>
          <x:t xml:space="preserve">SUCCESS</x:t>
        </x:is>
      </x:c>
      <x:c r="AU305" t="n">
        <x:f>IF((COUNT('Quantification_Results'!AO305)=1),IFERROR(ROUND((SUM(('Quantification_Results'!AO305*'Quantification_Config'!$R$15))/SUM('Quantification_Config'!$R$15)),'Quantification_Config'!$U$2),""),"")</x:f>
        <x:v>50</x:v>
      </x:c>
      <x:c r="AV305" t="n">
        <x:f>IF((COUNT('Quantification_Results'!AU305)=1),IFERROR(ROUND((SUM(('Quantification_Results'!AU305*'Quantification_Config'!$R$14))/SUM('Quantification_Config'!$R$14)),'Quantification_Config'!$U$2),""),"")</x:f>
        <x:v>50</x:v>
      </x:c>
      <x:c r="AW305" t="n">
        <x:v>1</x:v>
      </x:c>
      <x:c r="AX305" t="n">
        <x:v>5</x:v>
      </x:c>
      <x:c r="AY305"/>
      <x:c r="AZ305" t="n">
        <x:f>IF(('Quantification_Results'!AW305&lt;&gt;1),"",IF(('Quantification_Results'!AY305=""),IF(ISNUMBER('Quantification_Results'!AX305),IF(('Quantification_Results'!AX305&lt;'Quantification_Config'!$S$19),"",IF(('Quantification_Results'!AX305&gt;'Quantification_Config'!$T$19),"",'Quantification_Results'!AX305)),""),IF(ISNUMBER('Quantification_Results'!AY305),IF(('Quantification_Results'!AY305&lt;'Quantification_Config'!$S$19),"",IF(('Quantification_Results'!AY305&gt;'Quantification_Config'!$T$19),"",'Quantification_Results'!AY305)),"")))</x:f>
        <x:v>5</x:v>
      </x:c>
      <x:c r="BA305" t="n">
        <x:f>IF(ISNUMBER('Quantification_Results'!AZ305),IFERROR(ROUND(((('Quantification_Results'!AZ305-'Quantification_Config'!$S$19)/('Quantification_Config'!$T$19-'Quantification_Config'!$S$19))*100),'Quantification_Config'!$U$2),""),"")</x:f>
        <x:v>50</x:v>
      </x:c>
      <x:c r="BB305" t="inlineStr">
        <x:is>
          <x:t xml:space="preserve">SYSTEM-TEST-ONLY-NO-NETWORK-NOT-AN-EDUCATIONAL-EVALUATION</x:t>
        </x:is>
      </x:c>
      <x:c r="BC305" t="inlineStr">
        <x:is>
          <x:t xml:space="preserve"/>
        </x:is>
      </x:c>
      <x:c r="BD305" t="inlineStr">
        <x:is>
          <x:t xml:space="preserve">NONE</x:t>
        </x:is>
      </x:c>
      <x:c r="BE305" t="inlineStr">
        <x:is>
          <x:t xml:space="preserve"/>
        </x:is>
      </x:c>
      <x:c r="BF305" t="inlineStr">
        <x:is>
          <x:t xml:space="preserve">SUCCESS</x:t>
        </x:is>
      </x:c>
      <x:c r="BG305" t="n">
        <x:f>IF((COUNT('Quantification_Results'!BA305)=1),IFERROR(ROUND((SUM(('Quantification_Results'!BA305*'Quantification_Config'!$R$19))/SUM('Quantification_Config'!$R$19)),'Quantification_Config'!$U$2),""),"")</x:f>
        <x:v>50</x:v>
      </x:c>
      <x:c r="BH305" t="n">
        <x:f>IF((COUNT('Quantification_Results'!BG305)=1),IFERROR(ROUND((SUM(('Quantification_Results'!BG305*'Quantification_Config'!$R$18))/SUM('Quantification_Config'!$R$18)),'Quantification_Config'!$U$2),""),"")</x:f>
        <x:v>50</x:v>
      </x:c>
      <x:c r="BI305">
        <x:f>IF((COUNT('Quantification_Results'!L305,'Quantification_Results'!X305,'Quantification_Results'!AJ305,'Quantification_Results'!AV305,'Quantification_Results'!BH305)=5),IFERROR(ROUND((SUM(('Quantification_Results'!L305*'Quantification_Config'!$R$4),('Quantification_Results'!X305*'Quantification_Config'!$R$7),('Quantification_Results'!AJ305*'Quantification_Config'!$R$10),('Quantification_Results'!AV305*'Quantification_Config'!$R$13),('Quantification_Results'!BH305*'Quantification_Config'!$R$16))/SUM('Quantification_Config'!$R$4,'Quantification_Config'!$R$7,'Quantification_Config'!$R$10,'Quantification_Config'!$R$13,'Quantification_Config'!$R$16)),'Quantification_Config'!$U$2),""),"")</x:f>
      </x:c>
    </x:row>
    <x:row r="306">
      <x:c r="A306" t="n">
        <x:v>1</x:v>
      </x:c>
      <x:c r="B306" t="n">
        <x:v>5</x:v>
      </x:c>
      <x:c r="C306"/>
      <x:c r="D306" t="n">
        <x:f>IF(('Quantification_Results'!A306&lt;&gt;1),"",IF(('Quantification_Results'!C306=""),IF(ISNUMBER('Quantification_Results'!B306),IF(('Quantification_Results'!B306&lt;'Quantification_Config'!$S$6),"",IF(('Quantification_Results'!B306&gt;'Quantification_Config'!$T$6),"",'Quantification_Results'!B306)),""),IF(ISNUMBER('Quantification_Results'!C306),IF(('Quantification_Results'!C306&lt;'Quantification_Config'!$S$6),"",IF(('Quantification_Results'!C306&gt;'Quantification_Config'!$T$6),"",'Quantification_Results'!C306)),"")))</x:f>
        <x:v>5</x:v>
      </x:c>
      <x:c r="E306" t="n">
        <x:f>IF(ISNUMBER('Quantification_Results'!D306),IFERROR(ROUND(((('Quantification_Results'!D306-'Quantification_Config'!$S$6)/('Quantification_Config'!$T$6-'Quantification_Config'!$S$6))*100),'Quantification_Config'!$U$2),""),"")</x:f>
        <x:v>50</x:v>
      </x:c>
      <x:c r="F306" t="inlineStr">
        <x:is>
          <x:t xml:space="preserve">SYSTEM-TEST-ONLY-NO-NETWORK-NOT-AN-EDUCATIONAL-EVALUATION</x:t>
        </x:is>
      </x:c>
      <x:c r="G306" t="inlineStr">
        <x:is>
          <x:t xml:space="preserve"/>
        </x:is>
      </x:c>
      <x:c r="H306" t="inlineStr">
        <x:is>
          <x:t xml:space="preserve">NONE</x:t>
        </x:is>
      </x:c>
      <x:c r="I306" t="inlineStr">
        <x:is>
          <x:t xml:space="preserve"/>
        </x:is>
      </x:c>
      <x:c r="J306" t="inlineStr">
        <x:is>
          <x:t xml:space="preserve">SUCCESS</x:t>
        </x:is>
      </x:c>
      <x:c r="K306" t="n">
        <x:f>IF((COUNT('Quantification_Results'!E306)=1),IFERROR(ROUND((SUM(('Quantification_Results'!E306*'Quantification_Config'!$R$6))/SUM('Quantification_Config'!$R$6)),'Quantification_Config'!$U$2),""),"")</x:f>
        <x:v>50</x:v>
      </x:c>
      <x:c r="L306" t="n">
        <x:f>IF((COUNT('Quantification_Results'!K306)=1),IFERROR(ROUND((SUM(('Quantification_Results'!K306*'Quantification_Config'!$R$5))/SUM('Quantification_Config'!$R$5)),'Quantification_Config'!$U$2),""),"")</x:f>
        <x:v>50</x:v>
      </x:c>
      <x:c r="M306" t="n">
        <x:v>1</x:v>
      </x:c>
      <x:c r="N306" t="n">
        <x:v>5</x:v>
      </x:c>
      <x:c r="O306"/>
      <x:c r="P306" t="n">
        <x:f>IF(('Quantification_Results'!M306&lt;&gt;1),"",IF(('Quantification_Results'!O306=""),IF(ISNUMBER('Quantification_Results'!N306),IF(('Quantification_Results'!N306&lt;'Quantification_Config'!$S$9),"",IF(('Quantification_Results'!N306&gt;'Quantification_Config'!$T$9),"",'Quantification_Results'!N306)),""),IF(ISNUMBER('Quantification_Results'!O306),IF(('Quantification_Results'!O306&lt;'Quantification_Config'!$S$9),"",IF(('Quantification_Results'!O306&gt;'Quantification_Config'!$T$9),"",'Quantification_Results'!O306)),"")))</x:f>
        <x:v>5</x:v>
      </x:c>
      <x:c r="Q306" t="n">
        <x:f>IF(ISNUMBER('Quantification_Results'!P306),IFERROR(ROUND(((('Quantification_Results'!P306-'Quantification_Config'!$S$9)/('Quantification_Config'!$T$9-'Quantification_Config'!$S$9))*100),'Quantification_Config'!$U$2),""),"")</x:f>
        <x:v>50</x:v>
      </x:c>
      <x:c r="R306" t="inlineStr">
        <x:is>
          <x:t xml:space="preserve">SYSTEM-TEST-ONLY-NO-NETWORK-NOT-AN-EDUCATIONAL-EVALUATION</x:t>
        </x:is>
      </x:c>
      <x:c r="S306" t="inlineStr">
        <x:is>
          <x:t xml:space="preserve"/>
        </x:is>
      </x:c>
      <x:c r="T306" t="inlineStr">
        <x:is>
          <x:t xml:space="preserve">NONE</x:t>
        </x:is>
      </x:c>
      <x:c r="U306" t="inlineStr">
        <x:is>
          <x:t xml:space="preserve"/>
        </x:is>
      </x:c>
      <x:c r="V306" t="inlineStr">
        <x:is>
          <x:t xml:space="preserve">SUCCESS</x:t>
        </x:is>
      </x:c>
      <x:c r="W306" t="n">
        <x:f>IF((COUNT('Quantification_Results'!Q306)=1),IFERROR(ROUND((SUM(('Quantification_Results'!Q306*'Quantification_Config'!$R$9))/SUM('Quantification_Config'!$R$9)),'Quantification_Config'!$U$2),""),"")</x:f>
        <x:v>50</x:v>
      </x:c>
      <x:c r="X306" t="n">
        <x:f>IF((COUNT('Quantification_Results'!W306)=1),IFERROR(ROUND((SUM(('Quantification_Results'!W306*'Quantification_Config'!$R$8))/SUM('Quantification_Config'!$R$8)),'Quantification_Config'!$U$2),""),"")</x:f>
        <x:v>50</x:v>
      </x:c>
      <x:c r="Y306" t="n">
        <x:v>0</x:v>
      </x:c>
      <x:c r="Z306"/>
      <x:c r="AA306"/>
      <x:c r="AB306">
        <x:f>IF(('Quantification_Results'!Y306&lt;&gt;1),"",IF(('Quantification_Results'!AA306=""),IF(ISNUMBER('Quantification_Results'!Z306),IF(('Quantification_Results'!Z306&lt;'Quantification_Config'!$S$12),"",IF(('Quantification_Results'!Z306&gt;'Quantification_Config'!$T$12),"",'Quantification_Results'!Z306)),""),IF(ISNUMBER('Quantification_Results'!AA306),IF(('Quantification_Results'!AA306&lt;'Quantification_Config'!$S$12),"",IF(('Quantification_Results'!AA306&gt;'Quantification_Config'!$T$12),"",'Quantification_Results'!AA306)),"")))</x:f>
      </x:c>
      <x:c r="AC306">
        <x:f>IF(ISNUMBER('Quantification_Results'!AB306),IFERROR(ROUND(((('Quantification_Results'!AB306-'Quantification_Config'!$S$12)/('Quantification_Config'!$T$12-'Quantification_Config'!$S$12))*100),'Quantification_Config'!$U$2),""),"")</x:f>
      </x:c>
      <x:c r="AD306" t="inlineStr">
        <x:is>
          <x:t xml:space="preserve"/>
        </x:is>
      </x:c>
      <x:c r="AE306" t="inlineStr">
        <x:is>
          <x:t xml:space="preserve"/>
        </x:is>
      </x:c>
      <x:c r="AF306" t="inlineStr">
        <x:is>
          <x:t xml:space="preserve"/>
        </x:is>
      </x:c>
      <x:c r="AG306" t="inlineStr">
        <x:is>
          <x:t xml:space="preserve"/>
        </x:is>
      </x:c>
      <x:c r="AH306" t="inlineStr">
        <x:is>
          <x:t xml:space="preserve">EMPTY</x:t>
        </x:is>
      </x:c>
      <x:c r="AI306">
        <x:f>IF((COUNT('Quantification_Results'!AC306)=1),IFERROR(ROUND((SUM(('Quantification_Results'!AC306*'Quantification_Config'!$R$12))/SUM('Quantification_Config'!$R$12)),'Quantification_Config'!$U$2),""),"")</x:f>
      </x:c>
      <x:c r="AJ306">
        <x:f>IF((COUNT('Quantification_Results'!AI306)=1),IFERROR(ROUND((SUM(('Quantification_Results'!AI306*'Quantification_Config'!$R$11))/SUM('Quantification_Config'!$R$11)),'Quantification_Config'!$U$2),""),"")</x:f>
      </x:c>
      <x:c r="AK306" t="n">
        <x:v>1</x:v>
      </x:c>
      <x:c r="AL306" t="n">
        <x:v>5</x:v>
      </x:c>
      <x:c r="AM306"/>
      <x:c r="AN306" t="n">
        <x:f>IF(('Quantification_Results'!AK306&lt;&gt;1),"",IF(('Quantification_Results'!AM306=""),IF(ISNUMBER('Quantification_Results'!AL306),IF(('Quantification_Results'!AL306&lt;'Quantification_Config'!$S$15),"",IF(('Quantification_Results'!AL306&gt;'Quantification_Config'!$T$15),"",'Quantification_Results'!AL306)),""),IF(ISNUMBER('Quantification_Results'!AM306),IF(('Quantification_Results'!AM306&lt;'Quantification_Config'!$S$15),"",IF(('Quantification_Results'!AM306&gt;'Quantification_Config'!$T$15),"",'Quantification_Results'!AM306)),"")))</x:f>
        <x:v>5</x:v>
      </x:c>
      <x:c r="AO306" t="n">
        <x:f>IF(ISNUMBER('Quantification_Results'!AN306),IFERROR(ROUND(((('Quantification_Results'!AN306-'Quantification_Config'!$S$15)/('Quantification_Config'!$T$15-'Quantification_Config'!$S$15))*100),'Quantification_Config'!$U$2),""),"")</x:f>
        <x:v>50</x:v>
      </x:c>
      <x:c r="AP306" t="inlineStr">
        <x:is>
          <x:t xml:space="preserve">SYSTEM-TEST-ONLY-NO-NETWORK-NOT-AN-EDUCATIONAL-EVALUATION</x:t>
        </x:is>
      </x:c>
      <x:c r="AQ306" t="inlineStr">
        <x:is>
          <x:t xml:space="preserve"/>
        </x:is>
      </x:c>
      <x:c r="AR306" t="inlineStr">
        <x:is>
          <x:t xml:space="preserve">NONE</x:t>
        </x:is>
      </x:c>
      <x:c r="AS306" t="inlineStr">
        <x:is>
          <x:t xml:space="preserve"/>
        </x:is>
      </x:c>
      <x:c r="AT306" t="inlineStr">
        <x:is>
          <x:t xml:space="preserve">SUCCESS</x:t>
        </x:is>
      </x:c>
      <x:c r="AU306" t="n">
        <x:f>IF((COUNT('Quantification_Results'!AO306)=1),IFERROR(ROUND((SUM(('Quantification_Results'!AO306*'Quantification_Config'!$R$15))/SUM('Quantification_Config'!$R$15)),'Quantification_Config'!$U$2),""),"")</x:f>
        <x:v>50</x:v>
      </x:c>
      <x:c r="AV306" t="n">
        <x:f>IF((COUNT('Quantification_Results'!AU306)=1),IFERROR(ROUND((SUM(('Quantification_Results'!AU306*'Quantification_Config'!$R$14))/SUM('Quantification_Config'!$R$14)),'Quantification_Config'!$U$2),""),"")</x:f>
        <x:v>50</x:v>
      </x:c>
      <x:c r="AW306" t="n">
        <x:v>1</x:v>
      </x:c>
      <x:c r="AX306" t="n">
        <x:v>5</x:v>
      </x:c>
      <x:c r="AY306"/>
      <x:c r="AZ306" t="n">
        <x:f>IF(('Quantification_Results'!AW306&lt;&gt;1),"",IF(('Quantification_Results'!AY306=""),IF(ISNUMBER('Quantification_Results'!AX306),IF(('Quantification_Results'!AX306&lt;'Quantification_Config'!$S$19),"",IF(('Quantification_Results'!AX306&gt;'Quantification_Config'!$T$19),"",'Quantification_Results'!AX306)),""),IF(ISNUMBER('Quantification_Results'!AY306),IF(('Quantification_Results'!AY306&lt;'Quantification_Config'!$S$19),"",IF(('Quantification_Results'!AY306&gt;'Quantification_Config'!$T$19),"",'Quantification_Results'!AY306)),"")))</x:f>
        <x:v>5</x:v>
      </x:c>
      <x:c r="BA306" t="n">
        <x:f>IF(ISNUMBER('Quantification_Results'!AZ306),IFERROR(ROUND(((('Quantification_Results'!AZ306-'Quantification_Config'!$S$19)/('Quantification_Config'!$T$19-'Quantification_Config'!$S$19))*100),'Quantification_Config'!$U$2),""),"")</x:f>
        <x:v>50</x:v>
      </x:c>
      <x:c r="BB306" t="inlineStr">
        <x:is>
          <x:t xml:space="preserve">SYSTEM-TEST-ONLY-NO-NETWORK-NOT-AN-EDUCATIONAL-EVALUATION</x:t>
        </x:is>
      </x:c>
      <x:c r="BC306" t="inlineStr">
        <x:is>
          <x:t xml:space="preserve"/>
        </x:is>
      </x:c>
      <x:c r="BD306" t="inlineStr">
        <x:is>
          <x:t xml:space="preserve">NONE</x:t>
        </x:is>
      </x:c>
      <x:c r="BE306" t="inlineStr">
        <x:is>
          <x:t xml:space="preserve"/>
        </x:is>
      </x:c>
      <x:c r="BF306" t="inlineStr">
        <x:is>
          <x:t xml:space="preserve">SUCCESS</x:t>
        </x:is>
      </x:c>
      <x:c r="BG306" t="n">
        <x:f>IF((COUNT('Quantification_Results'!BA306)=1),IFERROR(ROUND((SUM(('Quantification_Results'!BA306*'Quantification_Config'!$R$19))/SUM('Quantification_Config'!$R$19)),'Quantification_Config'!$U$2),""),"")</x:f>
        <x:v>50</x:v>
      </x:c>
      <x:c r="BH306" t="n">
        <x:f>IF((COUNT('Quantification_Results'!BG306)=1),IFERROR(ROUND((SUM(('Quantification_Results'!BG306*'Quantification_Config'!$R$18))/SUM('Quantification_Config'!$R$18)),'Quantification_Config'!$U$2),""),"")</x:f>
        <x:v>50</x:v>
      </x:c>
      <x:c r="BI306">
        <x:f>IF((COUNT('Quantification_Results'!L306,'Quantification_Results'!X306,'Quantification_Results'!AJ306,'Quantification_Results'!AV306,'Quantification_Results'!BH306)=5),IFERROR(ROUND((SUM(('Quantification_Results'!L306*'Quantification_Config'!$R$4),('Quantification_Results'!X306*'Quantification_Config'!$R$7),('Quantification_Results'!AJ306*'Quantification_Config'!$R$10),('Quantification_Results'!AV306*'Quantification_Config'!$R$13),('Quantification_Results'!BH306*'Quantification_Config'!$R$16))/SUM('Quantification_Config'!$R$4,'Quantification_Config'!$R$7,'Quantification_Config'!$R$10,'Quantification_Config'!$R$13,'Quantification_Config'!$R$16)),'Quantification_Config'!$U$2),""),"")</x:f>
      </x:c>
    </x:row>
    <x:row r="307">
      <x:c r="A307" t="n">
        <x:v>1</x:v>
      </x:c>
      <x:c r="B307" t="n">
        <x:v>5</x:v>
      </x:c>
      <x:c r="C307"/>
      <x:c r="D307" t="n">
        <x:f>IF(('Quantification_Results'!A307&lt;&gt;1),"",IF(('Quantification_Results'!C307=""),IF(ISNUMBER('Quantification_Results'!B307),IF(('Quantification_Results'!B307&lt;'Quantification_Config'!$S$6),"",IF(('Quantification_Results'!B307&gt;'Quantification_Config'!$T$6),"",'Quantification_Results'!B307)),""),IF(ISNUMBER('Quantification_Results'!C307),IF(('Quantification_Results'!C307&lt;'Quantification_Config'!$S$6),"",IF(('Quantification_Results'!C307&gt;'Quantification_Config'!$T$6),"",'Quantification_Results'!C307)),"")))</x:f>
        <x:v>5</x:v>
      </x:c>
      <x:c r="E307" t="n">
        <x:f>IF(ISNUMBER('Quantification_Results'!D307),IFERROR(ROUND(((('Quantification_Results'!D307-'Quantification_Config'!$S$6)/('Quantification_Config'!$T$6-'Quantification_Config'!$S$6))*100),'Quantification_Config'!$U$2),""),"")</x:f>
        <x:v>50</x:v>
      </x:c>
      <x:c r="F307" t="inlineStr">
        <x:is>
          <x:t xml:space="preserve">SYSTEM-TEST-ONLY-NO-NETWORK-NOT-AN-EDUCATIONAL-EVALUATION</x:t>
        </x:is>
      </x:c>
      <x:c r="G307" t="inlineStr">
        <x:is>
          <x:t xml:space="preserve"/>
        </x:is>
      </x:c>
      <x:c r="H307" t="inlineStr">
        <x:is>
          <x:t xml:space="preserve">NONE</x:t>
        </x:is>
      </x:c>
      <x:c r="I307" t="inlineStr">
        <x:is>
          <x:t xml:space="preserve"/>
        </x:is>
      </x:c>
      <x:c r="J307" t="inlineStr">
        <x:is>
          <x:t xml:space="preserve">SUCCESS</x:t>
        </x:is>
      </x:c>
      <x:c r="K307" t="n">
        <x:f>IF((COUNT('Quantification_Results'!E307)=1),IFERROR(ROUND((SUM(('Quantification_Results'!E307*'Quantification_Config'!$R$6))/SUM('Quantification_Config'!$R$6)),'Quantification_Config'!$U$2),""),"")</x:f>
        <x:v>50</x:v>
      </x:c>
      <x:c r="L307" t="n">
        <x:f>IF((COUNT('Quantification_Results'!K307)=1),IFERROR(ROUND((SUM(('Quantification_Results'!K307*'Quantification_Config'!$R$5))/SUM('Quantification_Config'!$R$5)),'Quantification_Config'!$U$2),""),"")</x:f>
        <x:v>50</x:v>
      </x:c>
      <x:c r="M307" t="n">
        <x:v>1</x:v>
      </x:c>
      <x:c r="N307" t="n">
        <x:v>5</x:v>
      </x:c>
      <x:c r="O307"/>
      <x:c r="P307" t="n">
        <x:f>IF(('Quantification_Results'!M307&lt;&gt;1),"",IF(('Quantification_Results'!O307=""),IF(ISNUMBER('Quantification_Results'!N307),IF(('Quantification_Results'!N307&lt;'Quantification_Config'!$S$9),"",IF(('Quantification_Results'!N307&gt;'Quantification_Config'!$T$9),"",'Quantification_Results'!N307)),""),IF(ISNUMBER('Quantification_Results'!O307),IF(('Quantification_Results'!O307&lt;'Quantification_Config'!$S$9),"",IF(('Quantification_Results'!O307&gt;'Quantification_Config'!$T$9),"",'Quantification_Results'!O307)),"")))</x:f>
        <x:v>5</x:v>
      </x:c>
      <x:c r="Q307" t="n">
        <x:f>IF(ISNUMBER('Quantification_Results'!P307),IFERROR(ROUND(((('Quantification_Results'!P307-'Quantification_Config'!$S$9)/('Quantification_Config'!$T$9-'Quantification_Config'!$S$9))*100),'Quantification_Config'!$U$2),""),"")</x:f>
        <x:v>50</x:v>
      </x:c>
      <x:c r="R307" t="inlineStr">
        <x:is>
          <x:t xml:space="preserve">SYSTEM-TEST-ONLY-NO-NETWORK-NOT-AN-EDUCATIONAL-EVALUATION</x:t>
        </x:is>
      </x:c>
      <x:c r="S307" t="inlineStr">
        <x:is>
          <x:t xml:space="preserve"/>
        </x:is>
      </x:c>
      <x:c r="T307" t="inlineStr">
        <x:is>
          <x:t xml:space="preserve">NONE</x:t>
        </x:is>
      </x:c>
      <x:c r="U307" t="inlineStr">
        <x:is>
          <x:t xml:space="preserve"/>
        </x:is>
      </x:c>
      <x:c r="V307" t="inlineStr">
        <x:is>
          <x:t xml:space="preserve">SUCCESS</x:t>
        </x:is>
      </x:c>
      <x:c r="W307" t="n">
        <x:f>IF((COUNT('Quantification_Results'!Q307)=1),IFERROR(ROUND((SUM(('Quantification_Results'!Q307*'Quantification_Config'!$R$9))/SUM('Quantification_Config'!$R$9)),'Quantification_Config'!$U$2),""),"")</x:f>
        <x:v>50</x:v>
      </x:c>
      <x:c r="X307" t="n">
        <x:f>IF((COUNT('Quantification_Results'!W307)=1),IFERROR(ROUND((SUM(('Quantification_Results'!W307*'Quantification_Config'!$R$8))/SUM('Quantification_Config'!$R$8)),'Quantification_Config'!$U$2),""),"")</x:f>
        <x:v>50</x:v>
      </x:c>
      <x:c r="Y307" t="n">
        <x:v>0</x:v>
      </x:c>
      <x:c r="Z307"/>
      <x:c r="AA307"/>
      <x:c r="AB307">
        <x:f>IF(('Quantification_Results'!Y307&lt;&gt;1),"",IF(('Quantification_Results'!AA307=""),IF(ISNUMBER('Quantification_Results'!Z307),IF(('Quantification_Results'!Z307&lt;'Quantification_Config'!$S$12),"",IF(('Quantification_Results'!Z307&gt;'Quantification_Config'!$T$12),"",'Quantification_Results'!Z307)),""),IF(ISNUMBER('Quantification_Results'!AA307),IF(('Quantification_Results'!AA307&lt;'Quantification_Config'!$S$12),"",IF(('Quantification_Results'!AA307&gt;'Quantification_Config'!$T$12),"",'Quantification_Results'!AA307)),"")))</x:f>
      </x:c>
      <x:c r="AC307">
        <x:f>IF(ISNUMBER('Quantification_Results'!AB307),IFERROR(ROUND(((('Quantification_Results'!AB307-'Quantification_Config'!$S$12)/('Quantification_Config'!$T$12-'Quantification_Config'!$S$12))*100),'Quantification_Config'!$U$2),""),"")</x:f>
      </x:c>
      <x:c r="AD307" t="inlineStr">
        <x:is>
          <x:t xml:space="preserve"/>
        </x:is>
      </x:c>
      <x:c r="AE307" t="inlineStr">
        <x:is>
          <x:t xml:space="preserve"/>
        </x:is>
      </x:c>
      <x:c r="AF307" t="inlineStr">
        <x:is>
          <x:t xml:space="preserve"/>
        </x:is>
      </x:c>
      <x:c r="AG307" t="inlineStr">
        <x:is>
          <x:t xml:space="preserve"/>
        </x:is>
      </x:c>
      <x:c r="AH307" t="inlineStr">
        <x:is>
          <x:t xml:space="preserve">EMPTY</x:t>
        </x:is>
      </x:c>
      <x:c r="AI307">
        <x:f>IF((COUNT('Quantification_Results'!AC307)=1),IFERROR(ROUND((SUM(('Quantification_Results'!AC307*'Quantification_Config'!$R$12))/SUM('Quantification_Config'!$R$12)),'Quantification_Config'!$U$2),""),"")</x:f>
      </x:c>
      <x:c r="AJ307">
        <x:f>IF((COUNT('Quantification_Results'!AI307)=1),IFERROR(ROUND((SUM(('Quantification_Results'!AI307*'Quantification_Config'!$R$11))/SUM('Quantification_Config'!$R$11)),'Quantification_Config'!$U$2),""),"")</x:f>
      </x:c>
      <x:c r="AK307" t="n">
        <x:v>1</x:v>
      </x:c>
      <x:c r="AL307" t="n">
        <x:v>5</x:v>
      </x:c>
      <x:c r="AM307"/>
      <x:c r="AN307" t="n">
        <x:f>IF(('Quantification_Results'!AK307&lt;&gt;1),"",IF(('Quantification_Results'!AM307=""),IF(ISNUMBER('Quantification_Results'!AL307),IF(('Quantification_Results'!AL307&lt;'Quantification_Config'!$S$15),"",IF(('Quantification_Results'!AL307&gt;'Quantification_Config'!$T$15),"",'Quantification_Results'!AL307)),""),IF(ISNUMBER('Quantification_Results'!AM307),IF(('Quantification_Results'!AM307&lt;'Quantification_Config'!$S$15),"",IF(('Quantification_Results'!AM307&gt;'Quantification_Config'!$T$15),"",'Quantification_Results'!AM307)),"")))</x:f>
        <x:v>5</x:v>
      </x:c>
      <x:c r="AO307" t="n">
        <x:f>IF(ISNUMBER('Quantification_Results'!AN307),IFERROR(ROUND(((('Quantification_Results'!AN307-'Quantification_Config'!$S$15)/('Quantification_Config'!$T$15-'Quantification_Config'!$S$15))*100),'Quantification_Config'!$U$2),""),"")</x:f>
        <x:v>50</x:v>
      </x:c>
      <x:c r="AP307" t="inlineStr">
        <x:is>
          <x:t xml:space="preserve">SYSTEM-TEST-ONLY-NO-NETWORK-NOT-AN-EDUCATIONAL-EVALUATION</x:t>
        </x:is>
      </x:c>
      <x:c r="AQ307" t="inlineStr">
        <x:is>
          <x:t xml:space="preserve"/>
        </x:is>
      </x:c>
      <x:c r="AR307" t="inlineStr">
        <x:is>
          <x:t xml:space="preserve">NONE</x:t>
        </x:is>
      </x:c>
      <x:c r="AS307" t="inlineStr">
        <x:is>
          <x:t xml:space="preserve"/>
        </x:is>
      </x:c>
      <x:c r="AT307" t="inlineStr">
        <x:is>
          <x:t xml:space="preserve">SUCCESS</x:t>
        </x:is>
      </x:c>
      <x:c r="AU307" t="n">
        <x:f>IF((COUNT('Quantification_Results'!AO307)=1),IFERROR(ROUND((SUM(('Quantification_Results'!AO307*'Quantification_Config'!$R$15))/SUM('Quantification_Config'!$R$15)),'Quantification_Config'!$U$2),""),"")</x:f>
        <x:v>50</x:v>
      </x:c>
      <x:c r="AV307" t="n">
        <x:f>IF((COUNT('Quantification_Results'!AU307)=1),IFERROR(ROUND((SUM(('Quantification_Results'!AU307*'Quantification_Config'!$R$14))/SUM('Quantification_Config'!$R$14)),'Quantification_Config'!$U$2),""),"")</x:f>
        <x:v>50</x:v>
      </x:c>
      <x:c r="AW307" t="n">
        <x:v>1</x:v>
      </x:c>
      <x:c r="AX307" t="n">
        <x:v>5</x:v>
      </x:c>
      <x:c r="AY307"/>
      <x:c r="AZ307" t="n">
        <x:f>IF(('Quantification_Results'!AW307&lt;&gt;1),"",IF(('Quantification_Results'!AY307=""),IF(ISNUMBER('Quantification_Results'!AX307),IF(('Quantification_Results'!AX307&lt;'Quantification_Config'!$S$19),"",IF(('Quantification_Results'!AX307&gt;'Quantification_Config'!$T$19),"",'Quantification_Results'!AX307)),""),IF(ISNUMBER('Quantification_Results'!AY307),IF(('Quantification_Results'!AY307&lt;'Quantification_Config'!$S$19),"",IF(('Quantification_Results'!AY307&gt;'Quantification_Config'!$T$19),"",'Quantification_Results'!AY307)),"")))</x:f>
        <x:v>5</x:v>
      </x:c>
      <x:c r="BA307" t="n">
        <x:f>IF(ISNUMBER('Quantification_Results'!AZ307),IFERROR(ROUND(((('Quantification_Results'!AZ307-'Quantification_Config'!$S$19)/('Quantification_Config'!$T$19-'Quantification_Config'!$S$19))*100),'Quantification_Config'!$U$2),""),"")</x:f>
        <x:v>50</x:v>
      </x:c>
      <x:c r="BB307" t="inlineStr">
        <x:is>
          <x:t xml:space="preserve">SYSTEM-TEST-ONLY-NO-NETWORK-NOT-AN-EDUCATIONAL-EVALUATION</x:t>
        </x:is>
      </x:c>
      <x:c r="BC307" t="inlineStr">
        <x:is>
          <x:t xml:space="preserve"/>
        </x:is>
      </x:c>
      <x:c r="BD307" t="inlineStr">
        <x:is>
          <x:t xml:space="preserve">NONE</x:t>
        </x:is>
      </x:c>
      <x:c r="BE307" t="inlineStr">
        <x:is>
          <x:t xml:space="preserve"/>
        </x:is>
      </x:c>
      <x:c r="BF307" t="inlineStr">
        <x:is>
          <x:t xml:space="preserve">SUCCESS</x:t>
        </x:is>
      </x:c>
      <x:c r="BG307" t="n">
        <x:f>IF((COUNT('Quantification_Results'!BA307)=1),IFERROR(ROUND((SUM(('Quantification_Results'!BA307*'Quantification_Config'!$R$19))/SUM('Quantification_Config'!$R$19)),'Quantification_Config'!$U$2),""),"")</x:f>
        <x:v>50</x:v>
      </x:c>
      <x:c r="BH307" t="n">
        <x:f>IF((COUNT('Quantification_Results'!BG307)=1),IFERROR(ROUND((SUM(('Quantification_Results'!BG307*'Quantification_Config'!$R$18))/SUM('Quantification_Config'!$R$18)),'Quantification_Config'!$U$2),""),"")</x:f>
        <x:v>50</x:v>
      </x:c>
      <x:c r="BI307">
        <x:f>IF((COUNT('Quantification_Results'!L307,'Quantification_Results'!X307,'Quantification_Results'!AJ307,'Quantification_Results'!AV307,'Quantification_Results'!BH307)=5),IFERROR(ROUND((SUM(('Quantification_Results'!L307*'Quantification_Config'!$R$4),('Quantification_Results'!X307*'Quantification_Config'!$R$7),('Quantification_Results'!AJ307*'Quantification_Config'!$R$10),('Quantification_Results'!AV307*'Quantification_Config'!$R$13),('Quantification_Results'!BH307*'Quantification_Config'!$R$16))/SUM('Quantification_Config'!$R$4,'Quantification_Config'!$R$7,'Quantification_Config'!$R$10,'Quantification_Config'!$R$13,'Quantification_Config'!$R$16)),'Quantification_Config'!$U$2),""),"")</x:f>
      </x:c>
    </x:row>
    <x:row r="308">
      <x:c r="A308" t="n">
        <x:v>1</x:v>
      </x:c>
      <x:c r="B308" t="n">
        <x:v>5</x:v>
      </x:c>
      <x:c r="C308"/>
      <x:c r="D308" t="n">
        <x:f>IF(('Quantification_Results'!A308&lt;&gt;1),"",IF(('Quantification_Results'!C308=""),IF(ISNUMBER('Quantification_Results'!B308),IF(('Quantification_Results'!B308&lt;'Quantification_Config'!$S$6),"",IF(('Quantification_Results'!B308&gt;'Quantification_Config'!$T$6),"",'Quantification_Results'!B308)),""),IF(ISNUMBER('Quantification_Results'!C308),IF(('Quantification_Results'!C308&lt;'Quantification_Config'!$S$6),"",IF(('Quantification_Results'!C308&gt;'Quantification_Config'!$T$6),"",'Quantification_Results'!C308)),"")))</x:f>
        <x:v>5</x:v>
      </x:c>
      <x:c r="E308" t="n">
        <x:f>IF(ISNUMBER('Quantification_Results'!D308),IFERROR(ROUND(((('Quantification_Results'!D308-'Quantification_Config'!$S$6)/('Quantification_Config'!$T$6-'Quantification_Config'!$S$6))*100),'Quantification_Config'!$U$2),""),"")</x:f>
        <x:v>50</x:v>
      </x:c>
      <x:c r="F308" t="inlineStr">
        <x:is>
          <x:t xml:space="preserve">SYSTEM-TEST-ONLY-NO-NETWORK-NOT-AN-EDUCATIONAL-EVALUATION</x:t>
        </x:is>
      </x:c>
      <x:c r="G308" t="inlineStr">
        <x:is>
          <x:t xml:space="preserve"/>
        </x:is>
      </x:c>
      <x:c r="H308" t="inlineStr">
        <x:is>
          <x:t xml:space="preserve">NONE</x:t>
        </x:is>
      </x:c>
      <x:c r="I308" t="inlineStr">
        <x:is>
          <x:t xml:space="preserve"/>
        </x:is>
      </x:c>
      <x:c r="J308" t="inlineStr">
        <x:is>
          <x:t xml:space="preserve">SUCCESS</x:t>
        </x:is>
      </x:c>
      <x:c r="K308" t="n">
        <x:f>IF((COUNT('Quantification_Results'!E308)=1),IFERROR(ROUND((SUM(('Quantification_Results'!E308*'Quantification_Config'!$R$6))/SUM('Quantification_Config'!$R$6)),'Quantification_Config'!$U$2),""),"")</x:f>
        <x:v>50</x:v>
      </x:c>
      <x:c r="L308" t="n">
        <x:f>IF((COUNT('Quantification_Results'!K308)=1),IFERROR(ROUND((SUM(('Quantification_Results'!K308*'Quantification_Config'!$R$5))/SUM('Quantification_Config'!$R$5)),'Quantification_Config'!$U$2),""),"")</x:f>
        <x:v>50</x:v>
      </x:c>
      <x:c r="M308" t="n">
        <x:v>1</x:v>
      </x:c>
      <x:c r="N308" t="n">
        <x:v>5</x:v>
      </x:c>
      <x:c r="O308"/>
      <x:c r="P308" t="n">
        <x:f>IF(('Quantification_Results'!M308&lt;&gt;1),"",IF(('Quantification_Results'!O308=""),IF(ISNUMBER('Quantification_Results'!N308),IF(('Quantification_Results'!N308&lt;'Quantification_Config'!$S$9),"",IF(('Quantification_Results'!N308&gt;'Quantification_Config'!$T$9),"",'Quantification_Results'!N308)),""),IF(ISNUMBER('Quantification_Results'!O308),IF(('Quantification_Results'!O308&lt;'Quantification_Config'!$S$9),"",IF(('Quantification_Results'!O308&gt;'Quantification_Config'!$T$9),"",'Quantification_Results'!O308)),"")))</x:f>
        <x:v>5</x:v>
      </x:c>
      <x:c r="Q308" t="n">
        <x:f>IF(ISNUMBER('Quantification_Results'!P308),IFERROR(ROUND(((('Quantification_Results'!P308-'Quantification_Config'!$S$9)/('Quantification_Config'!$T$9-'Quantification_Config'!$S$9))*100),'Quantification_Config'!$U$2),""),"")</x:f>
        <x:v>50</x:v>
      </x:c>
      <x:c r="R308" t="inlineStr">
        <x:is>
          <x:t xml:space="preserve">SYSTEM-TEST-ONLY-NO-NETWORK-NOT-AN-EDUCATIONAL-EVALUATION</x:t>
        </x:is>
      </x:c>
      <x:c r="S308" t="inlineStr">
        <x:is>
          <x:t xml:space="preserve"/>
        </x:is>
      </x:c>
      <x:c r="T308" t="inlineStr">
        <x:is>
          <x:t xml:space="preserve">NONE</x:t>
        </x:is>
      </x:c>
      <x:c r="U308" t="inlineStr">
        <x:is>
          <x:t xml:space="preserve"/>
        </x:is>
      </x:c>
      <x:c r="V308" t="inlineStr">
        <x:is>
          <x:t xml:space="preserve">SUCCESS</x:t>
        </x:is>
      </x:c>
      <x:c r="W308" t="n">
        <x:f>IF((COUNT('Quantification_Results'!Q308)=1),IFERROR(ROUND((SUM(('Quantification_Results'!Q308*'Quantification_Config'!$R$9))/SUM('Quantification_Config'!$R$9)),'Quantification_Config'!$U$2),""),"")</x:f>
        <x:v>50</x:v>
      </x:c>
      <x:c r="X308" t="n">
        <x:f>IF((COUNT('Quantification_Results'!W308)=1),IFERROR(ROUND((SUM(('Quantification_Results'!W308*'Quantification_Config'!$R$8))/SUM('Quantification_Config'!$R$8)),'Quantification_Config'!$U$2),""),"")</x:f>
        <x:v>50</x:v>
      </x:c>
      <x:c r="Y308" t="n">
        <x:v>0</x:v>
      </x:c>
      <x:c r="Z308"/>
      <x:c r="AA308"/>
      <x:c r="AB308">
        <x:f>IF(('Quantification_Results'!Y308&lt;&gt;1),"",IF(('Quantification_Results'!AA308=""),IF(ISNUMBER('Quantification_Results'!Z308),IF(('Quantification_Results'!Z308&lt;'Quantification_Config'!$S$12),"",IF(('Quantification_Results'!Z308&gt;'Quantification_Config'!$T$12),"",'Quantification_Results'!Z308)),""),IF(ISNUMBER('Quantification_Results'!AA308),IF(('Quantification_Results'!AA308&lt;'Quantification_Config'!$S$12),"",IF(('Quantification_Results'!AA308&gt;'Quantification_Config'!$T$12),"",'Quantification_Results'!AA308)),"")))</x:f>
      </x:c>
      <x:c r="AC308">
        <x:f>IF(ISNUMBER('Quantification_Results'!AB308),IFERROR(ROUND(((('Quantification_Results'!AB308-'Quantification_Config'!$S$12)/('Quantification_Config'!$T$12-'Quantification_Config'!$S$12))*100),'Quantification_Config'!$U$2),""),"")</x:f>
      </x:c>
      <x:c r="AD308" t="inlineStr">
        <x:is>
          <x:t xml:space="preserve"/>
        </x:is>
      </x:c>
      <x:c r="AE308" t="inlineStr">
        <x:is>
          <x:t xml:space="preserve"/>
        </x:is>
      </x:c>
      <x:c r="AF308" t="inlineStr">
        <x:is>
          <x:t xml:space="preserve"/>
        </x:is>
      </x:c>
      <x:c r="AG308" t="inlineStr">
        <x:is>
          <x:t xml:space="preserve"/>
        </x:is>
      </x:c>
      <x:c r="AH308" t="inlineStr">
        <x:is>
          <x:t xml:space="preserve">EMPTY</x:t>
        </x:is>
      </x:c>
      <x:c r="AI308">
        <x:f>IF((COUNT('Quantification_Results'!AC308)=1),IFERROR(ROUND((SUM(('Quantification_Results'!AC308*'Quantification_Config'!$R$12))/SUM('Quantification_Config'!$R$12)),'Quantification_Config'!$U$2),""),"")</x:f>
      </x:c>
      <x:c r="AJ308">
        <x:f>IF((COUNT('Quantification_Results'!AI308)=1),IFERROR(ROUND((SUM(('Quantification_Results'!AI308*'Quantification_Config'!$R$11))/SUM('Quantification_Config'!$R$11)),'Quantification_Config'!$U$2),""),"")</x:f>
      </x:c>
      <x:c r="AK308" t="n">
        <x:v>1</x:v>
      </x:c>
      <x:c r="AL308" t="n">
        <x:v>5</x:v>
      </x:c>
      <x:c r="AM308"/>
      <x:c r="AN308" t="n">
        <x:f>IF(('Quantification_Results'!AK308&lt;&gt;1),"",IF(('Quantification_Results'!AM308=""),IF(ISNUMBER('Quantification_Results'!AL308),IF(('Quantification_Results'!AL308&lt;'Quantification_Config'!$S$15),"",IF(('Quantification_Results'!AL308&gt;'Quantification_Config'!$T$15),"",'Quantification_Results'!AL308)),""),IF(ISNUMBER('Quantification_Results'!AM308),IF(('Quantification_Results'!AM308&lt;'Quantification_Config'!$S$15),"",IF(('Quantification_Results'!AM308&gt;'Quantification_Config'!$T$15),"",'Quantification_Results'!AM308)),"")))</x:f>
        <x:v>5</x:v>
      </x:c>
      <x:c r="AO308" t="n">
        <x:f>IF(ISNUMBER('Quantification_Results'!AN308),IFERROR(ROUND(((('Quantification_Results'!AN308-'Quantification_Config'!$S$15)/('Quantification_Config'!$T$15-'Quantification_Config'!$S$15))*100),'Quantification_Config'!$U$2),""),"")</x:f>
        <x:v>50</x:v>
      </x:c>
      <x:c r="AP308" t="inlineStr">
        <x:is>
          <x:t xml:space="preserve">SYSTEM-TEST-ONLY-NO-NETWORK-NOT-AN-EDUCATIONAL-EVALUATION</x:t>
        </x:is>
      </x:c>
      <x:c r="AQ308" t="inlineStr">
        <x:is>
          <x:t xml:space="preserve"/>
        </x:is>
      </x:c>
      <x:c r="AR308" t="inlineStr">
        <x:is>
          <x:t xml:space="preserve">NONE</x:t>
        </x:is>
      </x:c>
      <x:c r="AS308" t="inlineStr">
        <x:is>
          <x:t xml:space="preserve"/>
        </x:is>
      </x:c>
      <x:c r="AT308" t="inlineStr">
        <x:is>
          <x:t xml:space="preserve">SUCCESS</x:t>
        </x:is>
      </x:c>
      <x:c r="AU308" t="n">
        <x:f>IF((COUNT('Quantification_Results'!AO308)=1),IFERROR(ROUND((SUM(('Quantification_Results'!AO308*'Quantification_Config'!$R$15))/SUM('Quantification_Config'!$R$15)),'Quantification_Config'!$U$2),""),"")</x:f>
        <x:v>50</x:v>
      </x:c>
      <x:c r="AV308" t="n">
        <x:f>IF((COUNT('Quantification_Results'!AU308)=1),IFERROR(ROUND((SUM(('Quantification_Results'!AU308*'Quantification_Config'!$R$14))/SUM('Quantification_Config'!$R$14)),'Quantification_Config'!$U$2),""),"")</x:f>
        <x:v>50</x:v>
      </x:c>
      <x:c r="AW308" t="n">
        <x:v>0</x:v>
      </x:c>
      <x:c r="AX308"/>
      <x:c r="AY308"/>
      <x:c r="AZ308">
        <x:f>IF(('Quantification_Results'!AW308&lt;&gt;1),"",IF(('Quantification_Results'!AY308=""),IF(ISNUMBER('Quantification_Results'!AX308),IF(('Quantification_Results'!AX308&lt;'Quantification_Config'!$S$19),"",IF(('Quantification_Results'!AX308&gt;'Quantification_Config'!$T$19),"",'Quantification_Results'!AX308)),""),IF(ISNUMBER('Quantification_Results'!AY308),IF(('Quantification_Results'!AY308&lt;'Quantification_Config'!$S$19),"",IF(('Quantification_Results'!AY308&gt;'Quantification_Config'!$T$19),"",'Quantification_Results'!AY308)),"")))</x:f>
      </x:c>
      <x:c r="BA308">
        <x:f>IF(ISNUMBER('Quantification_Results'!AZ308),IFERROR(ROUND(((('Quantification_Results'!AZ308-'Quantification_Config'!$S$19)/('Quantification_Config'!$T$19-'Quantification_Config'!$S$19))*100),'Quantification_Config'!$U$2),""),"")</x:f>
      </x:c>
      <x:c r="BB308" t="inlineStr">
        <x:is>
          <x:t xml:space="preserve"/>
        </x:is>
      </x:c>
      <x:c r="BC308" t="inlineStr">
        <x:is>
          <x:t xml:space="preserve"/>
        </x:is>
      </x:c>
      <x:c r="BD308" t="inlineStr">
        <x:is>
          <x:t xml:space="preserve"/>
        </x:is>
      </x:c>
      <x:c r="BE308" t="inlineStr">
        <x:is>
          <x:t xml:space="preserve"/>
        </x:is>
      </x:c>
      <x:c r="BF308" t="inlineStr">
        <x:is>
          <x:t xml:space="preserve">EMPTY</x:t>
        </x:is>
      </x:c>
      <x:c r="BG308">
        <x:f>IF((COUNT('Quantification_Results'!BA308)=1),IFERROR(ROUND((SUM(('Quantification_Results'!BA308*'Quantification_Config'!$R$19))/SUM('Quantification_Config'!$R$19)),'Quantification_Config'!$U$2),""),"")</x:f>
      </x:c>
      <x:c r="BH308">
        <x:f>IF((COUNT('Quantification_Results'!BG308)=1),IFERROR(ROUND((SUM(('Quantification_Results'!BG308*'Quantification_Config'!$R$18))/SUM('Quantification_Config'!$R$18)),'Quantification_Config'!$U$2),""),"")</x:f>
      </x:c>
      <x:c r="BI308">
        <x:f>IF((COUNT('Quantification_Results'!L308,'Quantification_Results'!X308,'Quantification_Results'!AJ308,'Quantification_Results'!AV308,'Quantification_Results'!BH308)=5),IFERROR(ROUND((SUM(('Quantification_Results'!L308*'Quantification_Config'!$R$4),('Quantification_Results'!X308*'Quantification_Config'!$R$7),('Quantification_Results'!AJ308*'Quantification_Config'!$R$10),('Quantification_Results'!AV308*'Quantification_Config'!$R$13),('Quantification_Results'!BH308*'Quantification_Config'!$R$16))/SUM('Quantification_Config'!$R$4,'Quantification_Config'!$R$7,'Quantification_Config'!$R$10,'Quantification_Config'!$R$13,'Quantification_Config'!$R$16)),'Quantification_Config'!$U$2),""),"")</x:f>
      </x:c>
    </x:row>
    <x:row r="309">
      <x:c r="A309" t="n">
        <x:v>1</x:v>
      </x:c>
      <x:c r="B309" t="n">
        <x:v>5</x:v>
      </x:c>
      <x:c r="C309"/>
      <x:c r="D309" t="n">
        <x:f>IF(('Quantification_Results'!A309&lt;&gt;1),"",IF(('Quantification_Results'!C309=""),IF(ISNUMBER('Quantification_Results'!B309),IF(('Quantification_Results'!B309&lt;'Quantification_Config'!$S$6),"",IF(('Quantification_Results'!B309&gt;'Quantification_Config'!$T$6),"",'Quantification_Results'!B309)),""),IF(ISNUMBER('Quantification_Results'!C309),IF(('Quantification_Results'!C309&lt;'Quantification_Config'!$S$6),"",IF(('Quantification_Results'!C309&gt;'Quantification_Config'!$T$6),"",'Quantification_Results'!C309)),"")))</x:f>
        <x:v>5</x:v>
      </x:c>
      <x:c r="E309" t="n">
        <x:f>IF(ISNUMBER('Quantification_Results'!D309),IFERROR(ROUND(((('Quantification_Results'!D309-'Quantification_Config'!$S$6)/('Quantification_Config'!$T$6-'Quantification_Config'!$S$6))*100),'Quantification_Config'!$U$2),""),"")</x:f>
        <x:v>50</x:v>
      </x:c>
      <x:c r="F309" t="inlineStr">
        <x:is>
          <x:t xml:space="preserve">SYSTEM-TEST-ONLY-NO-NETWORK-NOT-AN-EDUCATIONAL-EVALUATION</x:t>
        </x:is>
      </x:c>
      <x:c r="G309" t="inlineStr">
        <x:is>
          <x:t xml:space="preserve"/>
        </x:is>
      </x:c>
      <x:c r="H309" t="inlineStr">
        <x:is>
          <x:t xml:space="preserve">NONE</x:t>
        </x:is>
      </x:c>
      <x:c r="I309" t="inlineStr">
        <x:is>
          <x:t xml:space="preserve"/>
        </x:is>
      </x:c>
      <x:c r="J309" t="inlineStr">
        <x:is>
          <x:t xml:space="preserve">SUCCESS</x:t>
        </x:is>
      </x:c>
      <x:c r="K309" t="n">
        <x:f>IF((COUNT('Quantification_Results'!E309)=1),IFERROR(ROUND((SUM(('Quantification_Results'!E309*'Quantification_Config'!$R$6))/SUM('Quantification_Config'!$R$6)),'Quantification_Config'!$U$2),""),"")</x:f>
        <x:v>50</x:v>
      </x:c>
      <x:c r="L309" t="n">
        <x:f>IF((COUNT('Quantification_Results'!K309)=1),IFERROR(ROUND((SUM(('Quantification_Results'!K309*'Quantification_Config'!$R$5))/SUM('Quantification_Config'!$R$5)),'Quantification_Config'!$U$2),""),"")</x:f>
        <x:v>50</x:v>
      </x:c>
      <x:c r="M309" t="n">
        <x:v>1</x:v>
      </x:c>
      <x:c r="N309" t="n">
        <x:v>5</x:v>
      </x:c>
      <x:c r="O309"/>
      <x:c r="P309" t="n">
        <x:f>IF(('Quantification_Results'!M309&lt;&gt;1),"",IF(('Quantification_Results'!O309=""),IF(ISNUMBER('Quantification_Results'!N309),IF(('Quantification_Results'!N309&lt;'Quantification_Config'!$S$9),"",IF(('Quantification_Results'!N309&gt;'Quantification_Config'!$T$9),"",'Quantification_Results'!N309)),""),IF(ISNUMBER('Quantification_Results'!O309),IF(('Quantification_Results'!O309&lt;'Quantification_Config'!$S$9),"",IF(('Quantification_Results'!O309&gt;'Quantification_Config'!$T$9),"",'Quantification_Results'!O309)),"")))</x:f>
        <x:v>5</x:v>
      </x:c>
      <x:c r="Q309" t="n">
        <x:f>IF(ISNUMBER('Quantification_Results'!P309),IFERROR(ROUND(((('Quantification_Results'!P309-'Quantification_Config'!$S$9)/('Quantification_Config'!$T$9-'Quantification_Config'!$S$9))*100),'Quantification_Config'!$U$2),""),"")</x:f>
        <x:v>50</x:v>
      </x:c>
      <x:c r="R309" t="inlineStr">
        <x:is>
          <x:t xml:space="preserve">SYSTEM-TEST-ONLY-NO-NETWORK-NOT-AN-EDUCATIONAL-EVALUATION</x:t>
        </x:is>
      </x:c>
      <x:c r="S309" t="inlineStr">
        <x:is>
          <x:t xml:space="preserve"/>
        </x:is>
      </x:c>
      <x:c r="T309" t="inlineStr">
        <x:is>
          <x:t xml:space="preserve">NONE</x:t>
        </x:is>
      </x:c>
      <x:c r="U309" t="inlineStr">
        <x:is>
          <x:t xml:space="preserve"/>
        </x:is>
      </x:c>
      <x:c r="V309" t="inlineStr">
        <x:is>
          <x:t xml:space="preserve">SUCCESS</x:t>
        </x:is>
      </x:c>
      <x:c r="W309" t="n">
        <x:f>IF((COUNT('Quantification_Results'!Q309)=1),IFERROR(ROUND((SUM(('Quantification_Results'!Q309*'Quantification_Config'!$R$9))/SUM('Quantification_Config'!$R$9)),'Quantification_Config'!$U$2),""),"")</x:f>
        <x:v>50</x:v>
      </x:c>
      <x:c r="X309" t="n">
        <x:f>IF((COUNT('Quantification_Results'!W309)=1),IFERROR(ROUND((SUM(('Quantification_Results'!W309*'Quantification_Config'!$R$8))/SUM('Quantification_Config'!$R$8)),'Quantification_Config'!$U$2),""),"")</x:f>
        <x:v>50</x:v>
      </x:c>
      <x:c r="Y309" t="n">
        <x:v>1</x:v>
      </x:c>
      <x:c r="Z309" t="n">
        <x:v>5</x:v>
      </x:c>
      <x:c r="AA309"/>
      <x:c r="AB309" t="n">
        <x:f>IF(('Quantification_Results'!Y309&lt;&gt;1),"",IF(('Quantification_Results'!AA309=""),IF(ISNUMBER('Quantification_Results'!Z309),IF(('Quantification_Results'!Z309&lt;'Quantification_Config'!$S$12),"",IF(('Quantification_Results'!Z309&gt;'Quantification_Config'!$T$12),"",'Quantification_Results'!Z309)),""),IF(ISNUMBER('Quantification_Results'!AA309),IF(('Quantification_Results'!AA309&lt;'Quantification_Config'!$S$12),"",IF(('Quantification_Results'!AA309&gt;'Quantification_Config'!$T$12),"",'Quantification_Results'!AA309)),"")))</x:f>
        <x:v>5</x:v>
      </x:c>
      <x:c r="AC309" t="n">
        <x:f>IF(ISNUMBER('Quantification_Results'!AB309),IFERROR(ROUND(((('Quantification_Results'!AB309-'Quantification_Config'!$S$12)/('Quantification_Config'!$T$12-'Quantification_Config'!$S$12))*100),'Quantification_Config'!$U$2),""),"")</x:f>
        <x:v>50</x:v>
      </x:c>
      <x:c r="AD309" t="inlineStr">
        <x:is>
          <x:t xml:space="preserve">SYSTEM-TEST-ONLY-NO-NETWORK-NOT-AN-EDUCATIONAL-EVALUATION</x:t>
        </x:is>
      </x:c>
      <x:c r="AE309" t="inlineStr">
        <x:is>
          <x:t xml:space="preserve"/>
        </x:is>
      </x:c>
      <x:c r="AF309" t="inlineStr">
        <x:is>
          <x:t xml:space="preserve">NONE</x:t>
        </x:is>
      </x:c>
      <x:c r="AG309" t="inlineStr">
        <x:is>
          <x:t xml:space="preserve"/>
        </x:is>
      </x:c>
      <x:c r="AH309" t="inlineStr">
        <x:is>
          <x:t xml:space="preserve">SUCCESS</x:t>
        </x:is>
      </x:c>
      <x:c r="AI309" t="n">
        <x:f>IF((COUNT('Quantification_Results'!AC309)=1),IFERROR(ROUND((SUM(('Quantification_Results'!AC309*'Quantification_Config'!$R$12))/SUM('Quantification_Config'!$R$12)),'Quantification_Config'!$U$2),""),"")</x:f>
        <x:v>50</x:v>
      </x:c>
      <x:c r="AJ309" t="n">
        <x:f>IF((COUNT('Quantification_Results'!AI309)=1),IFERROR(ROUND((SUM(('Quantification_Results'!AI309*'Quantification_Config'!$R$11))/SUM('Quantification_Config'!$R$11)),'Quantification_Config'!$U$2),""),"")</x:f>
        <x:v>50</x:v>
      </x:c>
      <x:c r="AK309" t="n">
        <x:v>1</x:v>
      </x:c>
      <x:c r="AL309" t="n">
        <x:v>5</x:v>
      </x:c>
      <x:c r="AM309"/>
      <x:c r="AN309" t="n">
        <x:f>IF(('Quantification_Results'!AK309&lt;&gt;1),"",IF(('Quantification_Results'!AM309=""),IF(ISNUMBER('Quantification_Results'!AL309),IF(('Quantification_Results'!AL309&lt;'Quantification_Config'!$S$15),"",IF(('Quantification_Results'!AL309&gt;'Quantification_Config'!$T$15),"",'Quantification_Results'!AL309)),""),IF(ISNUMBER('Quantification_Results'!AM309),IF(('Quantification_Results'!AM309&lt;'Quantification_Config'!$S$15),"",IF(('Quantification_Results'!AM309&gt;'Quantification_Config'!$T$15),"",'Quantification_Results'!AM309)),"")))</x:f>
        <x:v>5</x:v>
      </x:c>
      <x:c r="AO309" t="n">
        <x:f>IF(ISNUMBER('Quantification_Results'!AN309),IFERROR(ROUND(((('Quantification_Results'!AN309-'Quantification_Config'!$S$15)/('Quantification_Config'!$T$15-'Quantification_Config'!$S$15))*100),'Quantification_Config'!$U$2),""),"")</x:f>
        <x:v>50</x:v>
      </x:c>
      <x:c r="AP309" t="inlineStr">
        <x:is>
          <x:t xml:space="preserve">SYSTEM-TEST-ONLY-NO-NETWORK-NOT-AN-EDUCATIONAL-EVALUATION</x:t>
        </x:is>
      </x:c>
      <x:c r="AQ309" t="inlineStr">
        <x:is>
          <x:t xml:space="preserve"/>
        </x:is>
      </x:c>
      <x:c r="AR309" t="inlineStr">
        <x:is>
          <x:t xml:space="preserve">NONE</x:t>
        </x:is>
      </x:c>
      <x:c r="AS309" t="inlineStr">
        <x:is>
          <x:t xml:space="preserve"/>
        </x:is>
      </x:c>
      <x:c r="AT309" t="inlineStr">
        <x:is>
          <x:t xml:space="preserve">SUCCESS</x:t>
        </x:is>
      </x:c>
      <x:c r="AU309" t="n">
        <x:f>IF((COUNT('Quantification_Results'!AO309)=1),IFERROR(ROUND((SUM(('Quantification_Results'!AO309*'Quantification_Config'!$R$15))/SUM('Quantification_Config'!$R$15)),'Quantification_Config'!$U$2),""),"")</x:f>
        <x:v>50</x:v>
      </x:c>
      <x:c r="AV309" t="n">
        <x:f>IF((COUNT('Quantification_Results'!AU309)=1),IFERROR(ROUND((SUM(('Quantification_Results'!AU309*'Quantification_Config'!$R$14))/SUM('Quantification_Config'!$R$14)),'Quantification_Config'!$U$2),""),"")</x:f>
        <x:v>50</x:v>
      </x:c>
      <x:c r="AW309" t="n">
        <x:v>0</x:v>
      </x:c>
      <x:c r="AX309"/>
      <x:c r="AY309"/>
      <x:c r="AZ309">
        <x:f>IF(('Quantification_Results'!AW309&lt;&gt;1),"",IF(('Quantification_Results'!AY309=""),IF(ISNUMBER('Quantification_Results'!AX309),IF(('Quantification_Results'!AX309&lt;'Quantification_Config'!$S$19),"",IF(('Quantification_Results'!AX309&gt;'Quantification_Config'!$T$19),"",'Quantification_Results'!AX309)),""),IF(ISNUMBER('Quantification_Results'!AY309),IF(('Quantification_Results'!AY309&lt;'Quantification_Config'!$S$19),"",IF(('Quantification_Results'!AY309&gt;'Quantification_Config'!$T$19),"",'Quantification_Results'!AY309)),"")))</x:f>
      </x:c>
      <x:c r="BA309">
        <x:f>IF(ISNUMBER('Quantification_Results'!AZ309),IFERROR(ROUND(((('Quantification_Results'!AZ309-'Quantification_Config'!$S$19)/('Quantification_Config'!$T$19-'Quantification_Config'!$S$19))*100),'Quantification_Config'!$U$2),""),"")</x:f>
      </x:c>
      <x:c r="BB309" t="inlineStr">
        <x:is>
          <x:t xml:space="preserve"/>
        </x:is>
      </x:c>
      <x:c r="BC309" t="inlineStr">
        <x:is>
          <x:t xml:space="preserve"/>
        </x:is>
      </x:c>
      <x:c r="BD309" t="inlineStr">
        <x:is>
          <x:t xml:space="preserve"/>
        </x:is>
      </x:c>
      <x:c r="BE309" t="inlineStr">
        <x:is>
          <x:t xml:space="preserve"/>
        </x:is>
      </x:c>
      <x:c r="BF309" t="inlineStr">
        <x:is>
          <x:t xml:space="preserve">EMPTY</x:t>
        </x:is>
      </x:c>
      <x:c r="BG309">
        <x:f>IF((COUNT('Quantification_Results'!BA309)=1),IFERROR(ROUND((SUM(('Quantification_Results'!BA309*'Quantification_Config'!$R$19))/SUM('Quantification_Config'!$R$19)),'Quantification_Config'!$U$2),""),"")</x:f>
      </x:c>
      <x:c r="BH309">
        <x:f>IF((COUNT('Quantification_Results'!BG309)=1),IFERROR(ROUND((SUM(('Quantification_Results'!BG309*'Quantification_Config'!$R$18))/SUM('Quantification_Config'!$R$18)),'Quantification_Config'!$U$2),""),"")</x:f>
      </x:c>
      <x:c r="BI309">
        <x:f>IF((COUNT('Quantification_Results'!L309,'Quantification_Results'!X309,'Quantification_Results'!AJ309,'Quantification_Results'!AV309,'Quantification_Results'!BH309)=5),IFERROR(ROUND((SUM(('Quantification_Results'!L309*'Quantification_Config'!$R$4),('Quantification_Results'!X309*'Quantification_Config'!$R$7),('Quantification_Results'!AJ309*'Quantification_Config'!$R$10),('Quantification_Results'!AV309*'Quantification_Config'!$R$13),('Quantification_Results'!BH309*'Quantification_Config'!$R$16))/SUM('Quantification_Config'!$R$4,'Quantification_Config'!$R$7,'Quantification_Config'!$R$10,'Quantification_Config'!$R$13,'Quantification_Config'!$R$16)),'Quantification_Config'!$U$2),""),"")</x:f>
      </x:c>
    </x:row>
    <x:row r="310">
      <x:c r="A310" t="n">
        <x:v>1</x:v>
      </x:c>
      <x:c r="B310" t="n">
        <x:v>5</x:v>
      </x:c>
      <x:c r="C310"/>
      <x:c r="D310" t="n">
        <x:f>IF(('Quantification_Results'!A310&lt;&gt;1),"",IF(('Quantification_Results'!C310=""),IF(ISNUMBER('Quantification_Results'!B310),IF(('Quantification_Results'!B310&lt;'Quantification_Config'!$S$6),"",IF(('Quantification_Results'!B310&gt;'Quantification_Config'!$T$6),"",'Quantification_Results'!B310)),""),IF(ISNUMBER('Quantification_Results'!C310),IF(('Quantification_Results'!C310&lt;'Quantification_Config'!$S$6),"",IF(('Quantification_Results'!C310&gt;'Quantification_Config'!$T$6),"",'Quantification_Results'!C310)),"")))</x:f>
        <x:v>5</x:v>
      </x:c>
      <x:c r="E310" t="n">
        <x:f>IF(ISNUMBER('Quantification_Results'!D310),IFERROR(ROUND(((('Quantification_Results'!D310-'Quantification_Config'!$S$6)/('Quantification_Config'!$T$6-'Quantification_Config'!$S$6))*100),'Quantification_Config'!$U$2),""),"")</x:f>
        <x:v>50</x:v>
      </x:c>
      <x:c r="F310" t="inlineStr">
        <x:is>
          <x:t xml:space="preserve">SYSTEM-TEST-ONLY-NO-NETWORK-NOT-AN-EDUCATIONAL-EVALUATION</x:t>
        </x:is>
      </x:c>
      <x:c r="G310" t="inlineStr">
        <x:is>
          <x:t xml:space="preserve"/>
        </x:is>
      </x:c>
      <x:c r="H310" t="inlineStr">
        <x:is>
          <x:t xml:space="preserve">NONE</x:t>
        </x:is>
      </x:c>
      <x:c r="I310" t="inlineStr">
        <x:is>
          <x:t xml:space="preserve"/>
        </x:is>
      </x:c>
      <x:c r="J310" t="inlineStr">
        <x:is>
          <x:t xml:space="preserve">SUCCESS</x:t>
        </x:is>
      </x:c>
      <x:c r="K310" t="n">
        <x:f>IF((COUNT('Quantification_Results'!E310)=1),IFERROR(ROUND((SUM(('Quantification_Results'!E310*'Quantification_Config'!$R$6))/SUM('Quantification_Config'!$R$6)),'Quantification_Config'!$U$2),""),"")</x:f>
        <x:v>50</x:v>
      </x:c>
      <x:c r="L310" t="n">
        <x:f>IF((COUNT('Quantification_Results'!K310)=1),IFERROR(ROUND((SUM(('Quantification_Results'!K310*'Quantification_Config'!$R$5))/SUM('Quantification_Config'!$R$5)),'Quantification_Config'!$U$2),""),"")</x:f>
        <x:v>50</x:v>
      </x:c>
      <x:c r="M310" t="n">
        <x:v>1</x:v>
      </x:c>
      <x:c r="N310" t="n">
        <x:v>5</x:v>
      </x:c>
      <x:c r="O310"/>
      <x:c r="P310" t="n">
        <x:f>IF(('Quantification_Results'!M310&lt;&gt;1),"",IF(('Quantification_Results'!O310=""),IF(ISNUMBER('Quantification_Results'!N310),IF(('Quantification_Results'!N310&lt;'Quantification_Config'!$S$9),"",IF(('Quantification_Results'!N310&gt;'Quantification_Config'!$T$9),"",'Quantification_Results'!N310)),""),IF(ISNUMBER('Quantification_Results'!O310),IF(('Quantification_Results'!O310&lt;'Quantification_Config'!$S$9),"",IF(('Quantification_Results'!O310&gt;'Quantification_Config'!$T$9),"",'Quantification_Results'!O310)),"")))</x:f>
        <x:v>5</x:v>
      </x:c>
      <x:c r="Q310" t="n">
        <x:f>IF(ISNUMBER('Quantification_Results'!P310),IFERROR(ROUND(((('Quantification_Results'!P310-'Quantification_Config'!$S$9)/('Quantification_Config'!$T$9-'Quantification_Config'!$S$9))*100),'Quantification_Config'!$U$2),""),"")</x:f>
        <x:v>50</x:v>
      </x:c>
      <x:c r="R310" t="inlineStr">
        <x:is>
          <x:t xml:space="preserve">SYSTEM-TEST-ONLY-NO-NETWORK-NOT-AN-EDUCATIONAL-EVALUATION</x:t>
        </x:is>
      </x:c>
      <x:c r="S310" t="inlineStr">
        <x:is>
          <x:t xml:space="preserve"/>
        </x:is>
      </x:c>
      <x:c r="T310" t="inlineStr">
        <x:is>
          <x:t xml:space="preserve">NONE</x:t>
        </x:is>
      </x:c>
      <x:c r="U310" t="inlineStr">
        <x:is>
          <x:t xml:space="preserve"/>
        </x:is>
      </x:c>
      <x:c r="V310" t="inlineStr">
        <x:is>
          <x:t xml:space="preserve">SUCCESS</x:t>
        </x:is>
      </x:c>
      <x:c r="W310" t="n">
        <x:f>IF((COUNT('Quantification_Results'!Q310)=1),IFERROR(ROUND((SUM(('Quantification_Results'!Q310*'Quantification_Config'!$R$9))/SUM('Quantification_Config'!$R$9)),'Quantification_Config'!$U$2),""),"")</x:f>
        <x:v>50</x:v>
      </x:c>
      <x:c r="X310" t="n">
        <x:f>IF((COUNT('Quantification_Results'!W310)=1),IFERROR(ROUND((SUM(('Quantification_Results'!W310*'Quantification_Config'!$R$8))/SUM('Quantification_Config'!$R$8)),'Quantification_Config'!$U$2),""),"")</x:f>
        <x:v>50</x:v>
      </x:c>
      <x:c r="Y310" t="n">
        <x:v>0</x:v>
      </x:c>
      <x:c r="Z310"/>
      <x:c r="AA310"/>
      <x:c r="AB310">
        <x:f>IF(('Quantification_Results'!Y310&lt;&gt;1),"",IF(('Quantification_Results'!AA310=""),IF(ISNUMBER('Quantification_Results'!Z310),IF(('Quantification_Results'!Z310&lt;'Quantification_Config'!$S$12),"",IF(('Quantification_Results'!Z310&gt;'Quantification_Config'!$T$12),"",'Quantification_Results'!Z310)),""),IF(ISNUMBER('Quantification_Results'!AA310),IF(('Quantification_Results'!AA310&lt;'Quantification_Config'!$S$12),"",IF(('Quantification_Results'!AA310&gt;'Quantification_Config'!$T$12),"",'Quantification_Results'!AA310)),"")))</x:f>
      </x:c>
      <x:c r="AC310">
        <x:f>IF(ISNUMBER('Quantification_Results'!AB310),IFERROR(ROUND(((('Quantification_Results'!AB310-'Quantification_Config'!$S$12)/('Quantification_Config'!$T$12-'Quantification_Config'!$S$12))*100),'Quantification_Config'!$U$2),""),"")</x:f>
      </x:c>
      <x:c r="AD310" t="inlineStr">
        <x:is>
          <x:t xml:space="preserve"/>
        </x:is>
      </x:c>
      <x:c r="AE310" t="inlineStr">
        <x:is>
          <x:t xml:space="preserve"/>
        </x:is>
      </x:c>
      <x:c r="AF310" t="inlineStr">
        <x:is>
          <x:t xml:space="preserve"/>
        </x:is>
      </x:c>
      <x:c r="AG310" t="inlineStr">
        <x:is>
          <x:t xml:space="preserve"/>
        </x:is>
      </x:c>
      <x:c r="AH310" t="inlineStr">
        <x:is>
          <x:t xml:space="preserve">EMPTY</x:t>
        </x:is>
      </x:c>
      <x:c r="AI310">
        <x:f>IF((COUNT('Quantification_Results'!AC310)=1),IFERROR(ROUND((SUM(('Quantification_Results'!AC310*'Quantification_Config'!$R$12))/SUM('Quantification_Config'!$R$12)),'Quantification_Config'!$U$2),""),"")</x:f>
      </x:c>
      <x:c r="AJ310">
        <x:f>IF((COUNT('Quantification_Results'!AI310)=1),IFERROR(ROUND((SUM(('Quantification_Results'!AI310*'Quantification_Config'!$R$11))/SUM('Quantification_Config'!$R$11)),'Quantification_Config'!$U$2),""),"")</x:f>
      </x:c>
      <x:c r="AK310" t="n">
        <x:v>1</x:v>
      </x:c>
      <x:c r="AL310" t="n">
        <x:v>5</x:v>
      </x:c>
      <x:c r="AM310"/>
      <x:c r="AN310" t="n">
        <x:f>IF(('Quantification_Results'!AK310&lt;&gt;1),"",IF(('Quantification_Results'!AM310=""),IF(ISNUMBER('Quantification_Results'!AL310),IF(('Quantification_Results'!AL310&lt;'Quantification_Config'!$S$15),"",IF(('Quantification_Results'!AL310&gt;'Quantification_Config'!$T$15),"",'Quantification_Results'!AL310)),""),IF(ISNUMBER('Quantification_Results'!AM310),IF(('Quantification_Results'!AM310&lt;'Quantification_Config'!$S$15),"",IF(('Quantification_Results'!AM310&gt;'Quantification_Config'!$T$15),"",'Quantification_Results'!AM310)),"")))</x:f>
        <x:v>5</x:v>
      </x:c>
      <x:c r="AO310" t="n">
        <x:f>IF(ISNUMBER('Quantification_Results'!AN310),IFERROR(ROUND(((('Quantification_Results'!AN310-'Quantification_Config'!$S$15)/('Quantification_Config'!$T$15-'Quantification_Config'!$S$15))*100),'Quantification_Config'!$U$2),""),"")</x:f>
        <x:v>50</x:v>
      </x:c>
      <x:c r="AP310" t="inlineStr">
        <x:is>
          <x:t xml:space="preserve">SYSTEM-TEST-ONLY-NO-NETWORK-NOT-AN-EDUCATIONAL-EVALUATION</x:t>
        </x:is>
      </x:c>
      <x:c r="AQ310" t="inlineStr">
        <x:is>
          <x:t xml:space="preserve"/>
        </x:is>
      </x:c>
      <x:c r="AR310" t="inlineStr">
        <x:is>
          <x:t xml:space="preserve">NONE</x:t>
        </x:is>
      </x:c>
      <x:c r="AS310" t="inlineStr">
        <x:is>
          <x:t xml:space="preserve"/>
        </x:is>
      </x:c>
      <x:c r="AT310" t="inlineStr">
        <x:is>
          <x:t xml:space="preserve">SUCCESS</x:t>
        </x:is>
      </x:c>
      <x:c r="AU310" t="n">
        <x:f>IF((COUNT('Quantification_Results'!AO310)=1),IFERROR(ROUND((SUM(('Quantification_Results'!AO310*'Quantification_Config'!$R$15))/SUM('Quantification_Config'!$R$15)),'Quantification_Config'!$U$2),""),"")</x:f>
        <x:v>50</x:v>
      </x:c>
      <x:c r="AV310" t="n">
        <x:f>IF((COUNT('Quantification_Results'!AU310)=1),IFERROR(ROUND((SUM(('Quantification_Results'!AU310*'Quantification_Config'!$R$14))/SUM('Quantification_Config'!$R$14)),'Quantification_Config'!$U$2),""),"")</x:f>
        <x:v>50</x:v>
      </x:c>
      <x:c r="AW310" t="n">
        <x:v>1</x:v>
      </x:c>
      <x:c r="AX310" t="n">
        <x:v>5</x:v>
      </x:c>
      <x:c r="AY310"/>
      <x:c r="AZ310" t="n">
        <x:f>IF(('Quantification_Results'!AW310&lt;&gt;1),"",IF(('Quantification_Results'!AY310=""),IF(ISNUMBER('Quantification_Results'!AX310),IF(('Quantification_Results'!AX310&lt;'Quantification_Config'!$S$19),"",IF(('Quantification_Results'!AX310&gt;'Quantification_Config'!$T$19),"",'Quantification_Results'!AX310)),""),IF(ISNUMBER('Quantification_Results'!AY310),IF(('Quantification_Results'!AY310&lt;'Quantification_Config'!$S$19),"",IF(('Quantification_Results'!AY310&gt;'Quantification_Config'!$T$19),"",'Quantification_Results'!AY310)),"")))</x:f>
        <x:v>5</x:v>
      </x:c>
      <x:c r="BA310" t="n">
        <x:f>IF(ISNUMBER('Quantification_Results'!AZ310),IFERROR(ROUND(((('Quantification_Results'!AZ310-'Quantification_Config'!$S$19)/('Quantification_Config'!$T$19-'Quantification_Config'!$S$19))*100),'Quantification_Config'!$U$2),""),"")</x:f>
        <x:v>50</x:v>
      </x:c>
      <x:c r="BB310" t="inlineStr">
        <x:is>
          <x:t xml:space="preserve">SYSTEM-TEST-ONLY-NO-NETWORK-NOT-AN-EDUCATIONAL-EVALUATION</x:t>
        </x:is>
      </x:c>
      <x:c r="BC310" t="inlineStr">
        <x:is>
          <x:t xml:space="preserve"/>
        </x:is>
      </x:c>
      <x:c r="BD310" t="inlineStr">
        <x:is>
          <x:t xml:space="preserve">NONE</x:t>
        </x:is>
      </x:c>
      <x:c r="BE310" t="inlineStr">
        <x:is>
          <x:t xml:space="preserve"/>
        </x:is>
      </x:c>
      <x:c r="BF310" t="inlineStr">
        <x:is>
          <x:t xml:space="preserve">SUCCESS</x:t>
        </x:is>
      </x:c>
      <x:c r="BG310" t="n">
        <x:f>IF((COUNT('Quantification_Results'!BA310)=1),IFERROR(ROUND((SUM(('Quantification_Results'!BA310*'Quantification_Config'!$R$19))/SUM('Quantification_Config'!$R$19)),'Quantification_Config'!$U$2),""),"")</x:f>
        <x:v>50</x:v>
      </x:c>
      <x:c r="BH310" t="n">
        <x:f>IF((COUNT('Quantification_Results'!BG310)=1),IFERROR(ROUND((SUM(('Quantification_Results'!BG310*'Quantification_Config'!$R$18))/SUM('Quantification_Config'!$R$18)),'Quantification_Config'!$U$2),""),"")</x:f>
        <x:v>50</x:v>
      </x:c>
      <x:c r="BI310">
        <x:f>IF((COUNT('Quantification_Results'!L310,'Quantification_Results'!X310,'Quantification_Results'!AJ310,'Quantification_Results'!AV310,'Quantification_Results'!BH310)=5),IFERROR(ROUND((SUM(('Quantification_Results'!L310*'Quantification_Config'!$R$4),('Quantification_Results'!X310*'Quantification_Config'!$R$7),('Quantification_Results'!AJ310*'Quantification_Config'!$R$10),('Quantification_Results'!AV310*'Quantification_Config'!$R$13),('Quantification_Results'!BH310*'Quantification_Config'!$R$16))/SUM('Quantification_Config'!$R$4,'Quantification_Config'!$R$7,'Quantification_Config'!$R$10,'Quantification_Config'!$R$13,'Quantification_Config'!$R$16)),'Quantification_Config'!$U$2),""),"")</x:f>
      </x:c>
    </x:row>
    <x:row r="311">
      <x:c r="A311" t="n">
        <x:v>1</x:v>
      </x:c>
      <x:c r="B311" t="n">
        <x:v>5</x:v>
      </x:c>
      <x:c r="C311"/>
      <x:c r="D311" t="n">
        <x:f>IF(('Quantification_Results'!A311&lt;&gt;1),"",IF(('Quantification_Results'!C311=""),IF(ISNUMBER('Quantification_Results'!B311),IF(('Quantification_Results'!B311&lt;'Quantification_Config'!$S$6),"",IF(('Quantification_Results'!B311&gt;'Quantification_Config'!$T$6),"",'Quantification_Results'!B311)),""),IF(ISNUMBER('Quantification_Results'!C311),IF(('Quantification_Results'!C311&lt;'Quantification_Config'!$S$6),"",IF(('Quantification_Results'!C311&gt;'Quantification_Config'!$T$6),"",'Quantification_Results'!C311)),"")))</x:f>
        <x:v>5</x:v>
      </x:c>
      <x:c r="E311" t="n">
        <x:f>IF(ISNUMBER('Quantification_Results'!D311),IFERROR(ROUND(((('Quantification_Results'!D311-'Quantification_Config'!$S$6)/('Quantification_Config'!$T$6-'Quantification_Config'!$S$6))*100),'Quantification_Config'!$U$2),""),"")</x:f>
        <x:v>50</x:v>
      </x:c>
      <x:c r="F311" t="inlineStr">
        <x:is>
          <x:t xml:space="preserve">SYSTEM-TEST-ONLY-NO-NETWORK-NOT-AN-EDUCATIONAL-EVALUATION</x:t>
        </x:is>
      </x:c>
      <x:c r="G311" t="inlineStr">
        <x:is>
          <x:t xml:space="preserve"/>
        </x:is>
      </x:c>
      <x:c r="H311" t="inlineStr">
        <x:is>
          <x:t xml:space="preserve">NONE</x:t>
        </x:is>
      </x:c>
      <x:c r="I311" t="inlineStr">
        <x:is>
          <x:t xml:space="preserve"/>
        </x:is>
      </x:c>
      <x:c r="J311" t="inlineStr">
        <x:is>
          <x:t xml:space="preserve">SUCCESS</x:t>
        </x:is>
      </x:c>
      <x:c r="K311" t="n">
        <x:f>IF((COUNT('Quantification_Results'!E311)=1),IFERROR(ROUND((SUM(('Quantification_Results'!E311*'Quantification_Config'!$R$6))/SUM('Quantification_Config'!$R$6)),'Quantification_Config'!$U$2),""),"")</x:f>
        <x:v>50</x:v>
      </x:c>
      <x:c r="L311" t="n">
        <x:f>IF((COUNT('Quantification_Results'!K311)=1),IFERROR(ROUND((SUM(('Quantification_Results'!K311*'Quantification_Config'!$R$5))/SUM('Quantification_Config'!$R$5)),'Quantification_Config'!$U$2),""),"")</x:f>
        <x:v>50</x:v>
      </x:c>
      <x:c r="M311" t="n">
        <x:v>1</x:v>
      </x:c>
      <x:c r="N311" t="n">
        <x:v>5</x:v>
      </x:c>
      <x:c r="O311"/>
      <x:c r="P311" t="n">
        <x:f>IF(('Quantification_Results'!M311&lt;&gt;1),"",IF(('Quantification_Results'!O311=""),IF(ISNUMBER('Quantification_Results'!N311),IF(('Quantification_Results'!N311&lt;'Quantification_Config'!$S$9),"",IF(('Quantification_Results'!N311&gt;'Quantification_Config'!$T$9),"",'Quantification_Results'!N311)),""),IF(ISNUMBER('Quantification_Results'!O311),IF(('Quantification_Results'!O311&lt;'Quantification_Config'!$S$9),"",IF(('Quantification_Results'!O311&gt;'Quantification_Config'!$T$9),"",'Quantification_Results'!O311)),"")))</x:f>
        <x:v>5</x:v>
      </x:c>
      <x:c r="Q311" t="n">
        <x:f>IF(ISNUMBER('Quantification_Results'!P311),IFERROR(ROUND(((('Quantification_Results'!P311-'Quantification_Config'!$S$9)/('Quantification_Config'!$T$9-'Quantification_Config'!$S$9))*100),'Quantification_Config'!$U$2),""),"")</x:f>
        <x:v>50</x:v>
      </x:c>
      <x:c r="R311" t="inlineStr">
        <x:is>
          <x:t xml:space="preserve">SYSTEM-TEST-ONLY-NO-NETWORK-NOT-AN-EDUCATIONAL-EVALUATION</x:t>
        </x:is>
      </x:c>
      <x:c r="S311" t="inlineStr">
        <x:is>
          <x:t xml:space="preserve"/>
        </x:is>
      </x:c>
      <x:c r="T311" t="inlineStr">
        <x:is>
          <x:t xml:space="preserve">NONE</x:t>
        </x:is>
      </x:c>
      <x:c r="U311" t="inlineStr">
        <x:is>
          <x:t xml:space="preserve"/>
        </x:is>
      </x:c>
      <x:c r="V311" t="inlineStr">
        <x:is>
          <x:t xml:space="preserve">SUCCESS</x:t>
        </x:is>
      </x:c>
      <x:c r="W311" t="n">
        <x:f>IF((COUNT('Quantification_Results'!Q311)=1),IFERROR(ROUND((SUM(('Quantification_Results'!Q311*'Quantification_Config'!$R$9))/SUM('Quantification_Config'!$R$9)),'Quantification_Config'!$U$2),""),"")</x:f>
        <x:v>50</x:v>
      </x:c>
      <x:c r="X311" t="n">
        <x:f>IF((COUNT('Quantification_Results'!W311)=1),IFERROR(ROUND((SUM(('Quantification_Results'!W311*'Quantification_Config'!$R$8))/SUM('Quantification_Config'!$R$8)),'Quantification_Config'!$U$2),""),"")</x:f>
        <x:v>50</x:v>
      </x:c>
      <x:c r="Y311" t="n">
        <x:v>1</x:v>
      </x:c>
      <x:c r="Z311" t="n">
        <x:v>5</x:v>
      </x:c>
      <x:c r="AA311"/>
      <x:c r="AB311" t="n">
        <x:f>IF(('Quantification_Results'!Y311&lt;&gt;1),"",IF(('Quantification_Results'!AA311=""),IF(ISNUMBER('Quantification_Results'!Z311),IF(('Quantification_Results'!Z311&lt;'Quantification_Config'!$S$12),"",IF(('Quantification_Results'!Z311&gt;'Quantification_Config'!$T$12),"",'Quantification_Results'!Z311)),""),IF(ISNUMBER('Quantification_Results'!AA311),IF(('Quantification_Results'!AA311&lt;'Quantification_Config'!$S$12),"",IF(('Quantification_Results'!AA311&gt;'Quantification_Config'!$T$12),"",'Quantification_Results'!AA311)),"")))</x:f>
        <x:v>5</x:v>
      </x:c>
      <x:c r="AC311" t="n">
        <x:f>IF(ISNUMBER('Quantification_Results'!AB311),IFERROR(ROUND(((('Quantification_Results'!AB311-'Quantification_Config'!$S$12)/('Quantification_Config'!$T$12-'Quantification_Config'!$S$12))*100),'Quantification_Config'!$U$2),""),"")</x:f>
        <x:v>50</x:v>
      </x:c>
      <x:c r="AD311" t="inlineStr">
        <x:is>
          <x:t xml:space="preserve">SYSTEM-TEST-ONLY-NO-NETWORK-NOT-AN-EDUCATIONAL-EVALUATION</x:t>
        </x:is>
      </x:c>
      <x:c r="AE311" t="inlineStr">
        <x:is>
          <x:t xml:space="preserve"/>
        </x:is>
      </x:c>
      <x:c r="AF311" t="inlineStr">
        <x:is>
          <x:t xml:space="preserve">NONE</x:t>
        </x:is>
      </x:c>
      <x:c r="AG311" t="inlineStr">
        <x:is>
          <x:t xml:space="preserve"/>
        </x:is>
      </x:c>
      <x:c r="AH311" t="inlineStr">
        <x:is>
          <x:t xml:space="preserve">SUCCESS</x:t>
        </x:is>
      </x:c>
      <x:c r="AI311" t="n">
        <x:f>IF((COUNT('Quantification_Results'!AC311)=1),IFERROR(ROUND((SUM(('Quantification_Results'!AC311*'Quantification_Config'!$R$12))/SUM('Quantification_Config'!$R$12)),'Quantification_Config'!$U$2),""),"")</x:f>
        <x:v>50</x:v>
      </x:c>
      <x:c r="AJ311" t="n">
        <x:f>IF((COUNT('Quantification_Results'!AI311)=1),IFERROR(ROUND((SUM(('Quantification_Results'!AI311*'Quantification_Config'!$R$11))/SUM('Quantification_Config'!$R$11)),'Quantification_Config'!$U$2),""),"")</x:f>
        <x:v>50</x:v>
      </x:c>
      <x:c r="AK311" t="n">
        <x:v>1</x:v>
      </x:c>
      <x:c r="AL311" t="n">
        <x:v>5</x:v>
      </x:c>
      <x:c r="AM311"/>
      <x:c r="AN311" t="n">
        <x:f>IF(('Quantification_Results'!AK311&lt;&gt;1),"",IF(('Quantification_Results'!AM311=""),IF(ISNUMBER('Quantification_Results'!AL311),IF(('Quantification_Results'!AL311&lt;'Quantification_Config'!$S$15),"",IF(('Quantification_Results'!AL311&gt;'Quantification_Config'!$T$15),"",'Quantification_Results'!AL311)),""),IF(ISNUMBER('Quantification_Results'!AM311),IF(('Quantification_Results'!AM311&lt;'Quantification_Config'!$S$15),"",IF(('Quantification_Results'!AM311&gt;'Quantification_Config'!$T$15),"",'Quantification_Results'!AM311)),"")))</x:f>
        <x:v>5</x:v>
      </x:c>
      <x:c r="AO311" t="n">
        <x:f>IF(ISNUMBER('Quantification_Results'!AN311),IFERROR(ROUND(((('Quantification_Results'!AN311-'Quantification_Config'!$S$15)/('Quantification_Config'!$T$15-'Quantification_Config'!$S$15))*100),'Quantification_Config'!$U$2),""),"")</x:f>
        <x:v>50</x:v>
      </x:c>
      <x:c r="AP311" t="inlineStr">
        <x:is>
          <x:t xml:space="preserve">SYSTEM-TEST-ONLY-NO-NETWORK-NOT-AN-EDUCATIONAL-EVALUATION</x:t>
        </x:is>
      </x:c>
      <x:c r="AQ311" t="inlineStr">
        <x:is>
          <x:t xml:space="preserve"/>
        </x:is>
      </x:c>
      <x:c r="AR311" t="inlineStr">
        <x:is>
          <x:t xml:space="preserve">NONE</x:t>
        </x:is>
      </x:c>
      <x:c r="AS311" t="inlineStr">
        <x:is>
          <x:t xml:space="preserve"/>
        </x:is>
      </x:c>
      <x:c r="AT311" t="inlineStr">
        <x:is>
          <x:t xml:space="preserve">SUCCESS</x:t>
        </x:is>
      </x:c>
      <x:c r="AU311" t="n">
        <x:f>IF((COUNT('Quantification_Results'!AO311)=1),IFERROR(ROUND((SUM(('Quantification_Results'!AO311*'Quantification_Config'!$R$15))/SUM('Quantification_Config'!$R$15)),'Quantification_Config'!$U$2),""),"")</x:f>
        <x:v>50</x:v>
      </x:c>
      <x:c r="AV311" t="n">
        <x:f>IF((COUNT('Quantification_Results'!AU311)=1),IFERROR(ROUND((SUM(('Quantification_Results'!AU311*'Quantification_Config'!$R$14))/SUM('Quantification_Config'!$R$14)),'Quantification_Config'!$U$2),""),"")</x:f>
        <x:v>50</x:v>
      </x:c>
      <x:c r="AW311" t="n">
        <x:v>1</x:v>
      </x:c>
      <x:c r="AX311" t="n">
        <x:v>5</x:v>
      </x:c>
      <x:c r="AY311"/>
      <x:c r="AZ311" t="n">
        <x:f>IF(('Quantification_Results'!AW311&lt;&gt;1),"",IF(('Quantification_Results'!AY311=""),IF(ISNUMBER('Quantification_Results'!AX311),IF(('Quantification_Results'!AX311&lt;'Quantification_Config'!$S$19),"",IF(('Quantification_Results'!AX311&gt;'Quantification_Config'!$T$19),"",'Quantification_Results'!AX311)),""),IF(ISNUMBER('Quantification_Results'!AY311),IF(('Quantification_Results'!AY311&lt;'Quantification_Config'!$S$19),"",IF(('Quantification_Results'!AY311&gt;'Quantification_Config'!$T$19),"",'Quantification_Results'!AY311)),"")))</x:f>
        <x:v>5</x:v>
      </x:c>
      <x:c r="BA311" t="n">
        <x:f>IF(ISNUMBER('Quantification_Results'!AZ311),IFERROR(ROUND(((('Quantification_Results'!AZ311-'Quantification_Config'!$S$19)/('Quantification_Config'!$T$19-'Quantification_Config'!$S$19))*100),'Quantification_Config'!$U$2),""),"")</x:f>
        <x:v>50</x:v>
      </x:c>
      <x:c r="BB311" t="inlineStr">
        <x:is>
          <x:t xml:space="preserve">SYSTEM-TEST-ONLY-NO-NETWORK-NOT-AN-EDUCATIONAL-EVALUATION</x:t>
        </x:is>
      </x:c>
      <x:c r="BC311" t="inlineStr">
        <x:is>
          <x:t xml:space="preserve"/>
        </x:is>
      </x:c>
      <x:c r="BD311" t="inlineStr">
        <x:is>
          <x:t xml:space="preserve">NONE</x:t>
        </x:is>
      </x:c>
      <x:c r="BE311" t="inlineStr">
        <x:is>
          <x:t xml:space="preserve"/>
        </x:is>
      </x:c>
      <x:c r="BF311" t="inlineStr">
        <x:is>
          <x:t xml:space="preserve">SUCCESS</x:t>
        </x:is>
      </x:c>
      <x:c r="BG311" t="n">
        <x:f>IF((COUNT('Quantification_Results'!BA311)=1),IFERROR(ROUND((SUM(('Quantification_Results'!BA311*'Quantification_Config'!$R$19))/SUM('Quantification_Config'!$R$19)),'Quantification_Config'!$U$2),""),"")</x:f>
        <x:v>50</x:v>
      </x:c>
      <x:c r="BH311" t="n">
        <x:f>IF((COUNT('Quantification_Results'!BG311)=1),IFERROR(ROUND((SUM(('Quantification_Results'!BG311*'Quantification_Config'!$R$18))/SUM('Quantification_Config'!$R$18)),'Quantification_Config'!$U$2),""),"")</x:f>
        <x:v>50</x:v>
      </x:c>
      <x:c r="BI311" t="n">
        <x:f>IF((COUNT('Quantification_Results'!L311,'Quantification_Results'!X311,'Quantification_Results'!AJ311,'Quantification_Results'!AV311,'Quantification_Results'!BH311)=5),IFERROR(ROUND((SUM(('Quantification_Results'!L311*'Quantification_Config'!$R$4),('Quantification_Results'!X311*'Quantification_Config'!$R$7),('Quantification_Results'!AJ311*'Quantification_Config'!$R$10),('Quantification_Results'!AV311*'Quantification_Config'!$R$13),('Quantification_Results'!BH311*'Quantification_Config'!$R$16))/SUM('Quantification_Config'!$R$4,'Quantification_Config'!$R$7,'Quantification_Config'!$R$10,'Quantification_Config'!$R$13,'Quantification_Config'!$R$16)),'Quantification_Config'!$U$2),""),"")</x:f>
        <x:v>50</x:v>
      </x:c>
    </x:row>
    <x:row r="312">
      <x:c r="A312" t="n">
        <x:v>1</x:v>
      </x:c>
      <x:c r="B312" t="n">
        <x:v>5</x:v>
      </x:c>
      <x:c r="C312"/>
      <x:c r="D312" t="n">
        <x:f>IF(('Quantification_Results'!A312&lt;&gt;1),"",IF(('Quantification_Results'!C312=""),IF(ISNUMBER('Quantification_Results'!B312),IF(('Quantification_Results'!B312&lt;'Quantification_Config'!$S$6),"",IF(('Quantification_Results'!B312&gt;'Quantification_Config'!$T$6),"",'Quantification_Results'!B312)),""),IF(ISNUMBER('Quantification_Results'!C312),IF(('Quantification_Results'!C312&lt;'Quantification_Config'!$S$6),"",IF(('Quantification_Results'!C312&gt;'Quantification_Config'!$T$6),"",'Quantification_Results'!C312)),"")))</x:f>
        <x:v>5</x:v>
      </x:c>
      <x:c r="E312" t="n">
        <x:f>IF(ISNUMBER('Quantification_Results'!D312),IFERROR(ROUND(((('Quantification_Results'!D312-'Quantification_Config'!$S$6)/('Quantification_Config'!$T$6-'Quantification_Config'!$S$6))*100),'Quantification_Config'!$U$2),""),"")</x:f>
        <x:v>50</x:v>
      </x:c>
      <x:c r="F312" t="inlineStr">
        <x:is>
          <x:t xml:space="preserve">SYSTEM-TEST-ONLY-NO-NETWORK-NOT-AN-EDUCATIONAL-EVALUATION</x:t>
        </x:is>
      </x:c>
      <x:c r="G312" t="inlineStr">
        <x:is>
          <x:t xml:space="preserve"/>
        </x:is>
      </x:c>
      <x:c r="H312" t="inlineStr">
        <x:is>
          <x:t xml:space="preserve">NONE</x:t>
        </x:is>
      </x:c>
      <x:c r="I312" t="inlineStr">
        <x:is>
          <x:t xml:space="preserve"/>
        </x:is>
      </x:c>
      <x:c r="J312" t="inlineStr">
        <x:is>
          <x:t xml:space="preserve">SUCCESS</x:t>
        </x:is>
      </x:c>
      <x:c r="K312" t="n">
        <x:f>IF((COUNT('Quantification_Results'!E312)=1),IFERROR(ROUND((SUM(('Quantification_Results'!E312*'Quantification_Config'!$R$6))/SUM('Quantification_Config'!$R$6)),'Quantification_Config'!$U$2),""),"")</x:f>
        <x:v>50</x:v>
      </x:c>
      <x:c r="L312" t="n">
        <x:f>IF((COUNT('Quantification_Results'!K312)=1),IFERROR(ROUND((SUM(('Quantification_Results'!K312*'Quantification_Config'!$R$5))/SUM('Quantification_Config'!$R$5)),'Quantification_Config'!$U$2),""),"")</x:f>
        <x:v>50</x:v>
      </x:c>
      <x:c r="M312" t="n">
        <x:v>1</x:v>
      </x:c>
      <x:c r="N312" t="n">
        <x:v>5</x:v>
      </x:c>
      <x:c r="O312"/>
      <x:c r="P312" t="n">
        <x:f>IF(('Quantification_Results'!M312&lt;&gt;1),"",IF(('Quantification_Results'!O312=""),IF(ISNUMBER('Quantification_Results'!N312),IF(('Quantification_Results'!N312&lt;'Quantification_Config'!$S$9),"",IF(('Quantification_Results'!N312&gt;'Quantification_Config'!$T$9),"",'Quantification_Results'!N312)),""),IF(ISNUMBER('Quantification_Results'!O312),IF(('Quantification_Results'!O312&lt;'Quantification_Config'!$S$9),"",IF(('Quantification_Results'!O312&gt;'Quantification_Config'!$T$9),"",'Quantification_Results'!O312)),"")))</x:f>
        <x:v>5</x:v>
      </x:c>
      <x:c r="Q312" t="n">
        <x:f>IF(ISNUMBER('Quantification_Results'!P312),IFERROR(ROUND(((('Quantification_Results'!P312-'Quantification_Config'!$S$9)/('Quantification_Config'!$T$9-'Quantification_Config'!$S$9))*100),'Quantification_Config'!$U$2),""),"")</x:f>
        <x:v>50</x:v>
      </x:c>
      <x:c r="R312" t="inlineStr">
        <x:is>
          <x:t xml:space="preserve">SYSTEM-TEST-ONLY-NO-NETWORK-NOT-AN-EDUCATIONAL-EVALUATION</x:t>
        </x:is>
      </x:c>
      <x:c r="S312" t="inlineStr">
        <x:is>
          <x:t xml:space="preserve"/>
        </x:is>
      </x:c>
      <x:c r="T312" t="inlineStr">
        <x:is>
          <x:t xml:space="preserve">NONE</x:t>
        </x:is>
      </x:c>
      <x:c r="U312" t="inlineStr">
        <x:is>
          <x:t xml:space="preserve"/>
        </x:is>
      </x:c>
      <x:c r="V312" t="inlineStr">
        <x:is>
          <x:t xml:space="preserve">SUCCESS</x:t>
        </x:is>
      </x:c>
      <x:c r="W312" t="n">
        <x:f>IF((COUNT('Quantification_Results'!Q312)=1),IFERROR(ROUND((SUM(('Quantification_Results'!Q312*'Quantification_Config'!$R$9))/SUM('Quantification_Config'!$R$9)),'Quantification_Config'!$U$2),""),"")</x:f>
        <x:v>50</x:v>
      </x:c>
      <x:c r="X312" t="n">
        <x:f>IF((COUNT('Quantification_Results'!W312)=1),IFERROR(ROUND((SUM(('Quantification_Results'!W312*'Quantification_Config'!$R$8))/SUM('Quantification_Config'!$R$8)),'Quantification_Config'!$U$2),""),"")</x:f>
        <x:v>50</x:v>
      </x:c>
      <x:c r="Y312" t="n">
        <x:v>0</x:v>
      </x:c>
      <x:c r="Z312"/>
      <x:c r="AA312"/>
      <x:c r="AB312">
        <x:f>IF(('Quantification_Results'!Y312&lt;&gt;1),"",IF(('Quantification_Results'!AA312=""),IF(ISNUMBER('Quantification_Results'!Z312),IF(('Quantification_Results'!Z312&lt;'Quantification_Config'!$S$12),"",IF(('Quantification_Results'!Z312&gt;'Quantification_Config'!$T$12),"",'Quantification_Results'!Z312)),""),IF(ISNUMBER('Quantification_Results'!AA312),IF(('Quantification_Results'!AA312&lt;'Quantification_Config'!$S$12),"",IF(('Quantification_Results'!AA312&gt;'Quantification_Config'!$T$12),"",'Quantification_Results'!AA312)),"")))</x:f>
      </x:c>
      <x:c r="AC312">
        <x:f>IF(ISNUMBER('Quantification_Results'!AB312),IFERROR(ROUND(((('Quantification_Results'!AB312-'Quantification_Config'!$S$12)/('Quantification_Config'!$T$12-'Quantification_Config'!$S$12))*100),'Quantification_Config'!$U$2),""),"")</x:f>
      </x:c>
      <x:c r="AD312" t="inlineStr">
        <x:is>
          <x:t xml:space="preserve"/>
        </x:is>
      </x:c>
      <x:c r="AE312" t="inlineStr">
        <x:is>
          <x:t xml:space="preserve"/>
        </x:is>
      </x:c>
      <x:c r="AF312" t="inlineStr">
        <x:is>
          <x:t xml:space="preserve"/>
        </x:is>
      </x:c>
      <x:c r="AG312" t="inlineStr">
        <x:is>
          <x:t xml:space="preserve"/>
        </x:is>
      </x:c>
      <x:c r="AH312" t="inlineStr">
        <x:is>
          <x:t xml:space="preserve">EMPTY</x:t>
        </x:is>
      </x:c>
      <x:c r="AI312">
        <x:f>IF((COUNT('Quantification_Results'!AC312)=1),IFERROR(ROUND((SUM(('Quantification_Results'!AC312*'Quantification_Config'!$R$12))/SUM('Quantification_Config'!$R$12)),'Quantification_Config'!$U$2),""),"")</x:f>
      </x:c>
      <x:c r="AJ312">
        <x:f>IF((COUNT('Quantification_Results'!AI312)=1),IFERROR(ROUND((SUM(('Quantification_Results'!AI312*'Quantification_Config'!$R$11))/SUM('Quantification_Config'!$R$11)),'Quantification_Config'!$U$2),""),"")</x:f>
      </x:c>
      <x:c r="AK312" t="n">
        <x:v>1</x:v>
      </x:c>
      <x:c r="AL312" t="n">
        <x:v>5</x:v>
      </x:c>
      <x:c r="AM312"/>
      <x:c r="AN312" t="n">
        <x:f>IF(('Quantification_Results'!AK312&lt;&gt;1),"",IF(('Quantification_Results'!AM312=""),IF(ISNUMBER('Quantification_Results'!AL312),IF(('Quantification_Results'!AL312&lt;'Quantification_Config'!$S$15),"",IF(('Quantification_Results'!AL312&gt;'Quantification_Config'!$T$15),"",'Quantification_Results'!AL312)),""),IF(ISNUMBER('Quantification_Results'!AM312),IF(('Quantification_Results'!AM312&lt;'Quantification_Config'!$S$15),"",IF(('Quantification_Results'!AM312&gt;'Quantification_Config'!$T$15),"",'Quantification_Results'!AM312)),"")))</x:f>
        <x:v>5</x:v>
      </x:c>
      <x:c r="AO312" t="n">
        <x:f>IF(ISNUMBER('Quantification_Results'!AN312),IFERROR(ROUND(((('Quantification_Results'!AN312-'Quantification_Config'!$S$15)/('Quantification_Config'!$T$15-'Quantification_Config'!$S$15))*100),'Quantification_Config'!$U$2),""),"")</x:f>
        <x:v>50</x:v>
      </x:c>
      <x:c r="AP312" t="inlineStr">
        <x:is>
          <x:t xml:space="preserve">SYSTEM-TEST-ONLY-NO-NETWORK-NOT-AN-EDUCATIONAL-EVALUATION</x:t>
        </x:is>
      </x:c>
      <x:c r="AQ312" t="inlineStr">
        <x:is>
          <x:t xml:space="preserve"/>
        </x:is>
      </x:c>
      <x:c r="AR312" t="inlineStr">
        <x:is>
          <x:t xml:space="preserve">NONE</x:t>
        </x:is>
      </x:c>
      <x:c r="AS312" t="inlineStr">
        <x:is>
          <x:t xml:space="preserve"/>
        </x:is>
      </x:c>
      <x:c r="AT312" t="inlineStr">
        <x:is>
          <x:t xml:space="preserve">SUCCESS</x:t>
        </x:is>
      </x:c>
      <x:c r="AU312" t="n">
        <x:f>IF((COUNT('Quantification_Results'!AO312)=1),IFERROR(ROUND((SUM(('Quantification_Results'!AO312*'Quantification_Config'!$R$15))/SUM('Quantification_Config'!$R$15)),'Quantification_Config'!$U$2),""),"")</x:f>
        <x:v>50</x:v>
      </x:c>
      <x:c r="AV312" t="n">
        <x:f>IF((COUNT('Quantification_Results'!AU312)=1),IFERROR(ROUND((SUM(('Quantification_Results'!AU312*'Quantification_Config'!$R$14))/SUM('Quantification_Config'!$R$14)),'Quantification_Config'!$U$2),""),"")</x:f>
        <x:v>50</x:v>
      </x:c>
      <x:c r="AW312" t="n">
        <x:v>1</x:v>
      </x:c>
      <x:c r="AX312" t="n">
        <x:v>5</x:v>
      </x:c>
      <x:c r="AY312"/>
      <x:c r="AZ312" t="n">
        <x:f>IF(('Quantification_Results'!AW312&lt;&gt;1),"",IF(('Quantification_Results'!AY312=""),IF(ISNUMBER('Quantification_Results'!AX312),IF(('Quantification_Results'!AX312&lt;'Quantification_Config'!$S$19),"",IF(('Quantification_Results'!AX312&gt;'Quantification_Config'!$T$19),"",'Quantification_Results'!AX312)),""),IF(ISNUMBER('Quantification_Results'!AY312),IF(('Quantification_Results'!AY312&lt;'Quantification_Config'!$S$19),"",IF(('Quantification_Results'!AY312&gt;'Quantification_Config'!$T$19),"",'Quantification_Results'!AY312)),"")))</x:f>
        <x:v>5</x:v>
      </x:c>
      <x:c r="BA312" t="n">
        <x:f>IF(ISNUMBER('Quantification_Results'!AZ312),IFERROR(ROUND(((('Quantification_Results'!AZ312-'Quantification_Config'!$S$19)/('Quantification_Config'!$T$19-'Quantification_Config'!$S$19))*100),'Quantification_Config'!$U$2),""),"")</x:f>
        <x:v>50</x:v>
      </x:c>
      <x:c r="BB312" t="inlineStr">
        <x:is>
          <x:t xml:space="preserve">SYSTEM-TEST-ONLY-NO-NETWORK-NOT-AN-EDUCATIONAL-EVALUATION</x:t>
        </x:is>
      </x:c>
      <x:c r="BC312" t="inlineStr">
        <x:is>
          <x:t xml:space="preserve"/>
        </x:is>
      </x:c>
      <x:c r="BD312" t="inlineStr">
        <x:is>
          <x:t xml:space="preserve">NONE</x:t>
        </x:is>
      </x:c>
      <x:c r="BE312" t="inlineStr">
        <x:is>
          <x:t xml:space="preserve"/>
        </x:is>
      </x:c>
      <x:c r="BF312" t="inlineStr">
        <x:is>
          <x:t xml:space="preserve">SUCCESS</x:t>
        </x:is>
      </x:c>
      <x:c r="BG312" t="n">
        <x:f>IF((COUNT('Quantification_Results'!BA312)=1),IFERROR(ROUND((SUM(('Quantification_Results'!BA312*'Quantification_Config'!$R$19))/SUM('Quantification_Config'!$R$19)),'Quantification_Config'!$U$2),""),"")</x:f>
        <x:v>50</x:v>
      </x:c>
      <x:c r="BH312" t="n">
        <x:f>IF((COUNT('Quantification_Results'!BG312)=1),IFERROR(ROUND((SUM(('Quantification_Results'!BG312*'Quantification_Config'!$R$18))/SUM('Quantification_Config'!$R$18)),'Quantification_Config'!$U$2),""),"")</x:f>
        <x:v>50</x:v>
      </x:c>
      <x:c r="BI312">
        <x:f>IF((COUNT('Quantification_Results'!L312,'Quantification_Results'!X312,'Quantification_Results'!AJ312,'Quantification_Results'!AV312,'Quantification_Results'!BH312)=5),IFERROR(ROUND((SUM(('Quantification_Results'!L312*'Quantification_Config'!$R$4),('Quantification_Results'!X312*'Quantification_Config'!$R$7),('Quantification_Results'!AJ312*'Quantification_Config'!$R$10),('Quantification_Results'!AV312*'Quantification_Config'!$R$13),('Quantification_Results'!BH312*'Quantification_Config'!$R$16))/SUM('Quantification_Config'!$R$4,'Quantification_Config'!$R$7,'Quantification_Config'!$R$10,'Quantification_Config'!$R$13,'Quantification_Config'!$R$16)),'Quantification_Config'!$U$2),""),"")</x:f>
      </x:c>
    </x:row>
    <x:row r="313">
      <x:c r="A313" t="n">
        <x:v>1</x:v>
      </x:c>
      <x:c r="B313" t="n">
        <x:v>5</x:v>
      </x:c>
      <x:c r="C313"/>
      <x:c r="D313" t="n">
        <x:f>IF(('Quantification_Results'!A313&lt;&gt;1),"",IF(('Quantification_Results'!C313=""),IF(ISNUMBER('Quantification_Results'!B313),IF(('Quantification_Results'!B313&lt;'Quantification_Config'!$S$6),"",IF(('Quantification_Results'!B313&gt;'Quantification_Config'!$T$6),"",'Quantification_Results'!B313)),""),IF(ISNUMBER('Quantification_Results'!C313),IF(('Quantification_Results'!C313&lt;'Quantification_Config'!$S$6),"",IF(('Quantification_Results'!C313&gt;'Quantification_Config'!$T$6),"",'Quantification_Results'!C313)),"")))</x:f>
        <x:v>5</x:v>
      </x:c>
      <x:c r="E313" t="n">
        <x:f>IF(ISNUMBER('Quantification_Results'!D313),IFERROR(ROUND(((('Quantification_Results'!D313-'Quantification_Config'!$S$6)/('Quantification_Config'!$T$6-'Quantification_Config'!$S$6))*100),'Quantification_Config'!$U$2),""),"")</x:f>
        <x:v>50</x:v>
      </x:c>
      <x:c r="F313" t="inlineStr">
        <x:is>
          <x:t xml:space="preserve">SYSTEM-TEST-ONLY-NO-NETWORK-NOT-AN-EDUCATIONAL-EVALUATION</x:t>
        </x:is>
      </x:c>
      <x:c r="G313" t="inlineStr">
        <x:is>
          <x:t xml:space="preserve"/>
        </x:is>
      </x:c>
      <x:c r="H313" t="inlineStr">
        <x:is>
          <x:t xml:space="preserve">NONE</x:t>
        </x:is>
      </x:c>
      <x:c r="I313" t="inlineStr">
        <x:is>
          <x:t xml:space="preserve"/>
        </x:is>
      </x:c>
      <x:c r="J313" t="inlineStr">
        <x:is>
          <x:t xml:space="preserve">SUCCESS</x:t>
        </x:is>
      </x:c>
      <x:c r="K313" t="n">
        <x:f>IF((COUNT('Quantification_Results'!E313)=1),IFERROR(ROUND((SUM(('Quantification_Results'!E313*'Quantification_Config'!$R$6))/SUM('Quantification_Config'!$R$6)),'Quantification_Config'!$U$2),""),"")</x:f>
        <x:v>50</x:v>
      </x:c>
      <x:c r="L313" t="n">
        <x:f>IF((COUNT('Quantification_Results'!K313)=1),IFERROR(ROUND((SUM(('Quantification_Results'!K313*'Quantification_Config'!$R$5))/SUM('Quantification_Config'!$R$5)),'Quantification_Config'!$U$2),""),"")</x:f>
        <x:v>50</x:v>
      </x:c>
      <x:c r="M313" t="n">
        <x:v>1</x:v>
      </x:c>
      <x:c r="N313" t="n">
        <x:v>5</x:v>
      </x:c>
      <x:c r="O313"/>
      <x:c r="P313" t="n">
        <x:f>IF(('Quantification_Results'!M313&lt;&gt;1),"",IF(('Quantification_Results'!O313=""),IF(ISNUMBER('Quantification_Results'!N313),IF(('Quantification_Results'!N313&lt;'Quantification_Config'!$S$9),"",IF(('Quantification_Results'!N313&gt;'Quantification_Config'!$T$9),"",'Quantification_Results'!N313)),""),IF(ISNUMBER('Quantification_Results'!O313),IF(('Quantification_Results'!O313&lt;'Quantification_Config'!$S$9),"",IF(('Quantification_Results'!O313&gt;'Quantification_Config'!$T$9),"",'Quantification_Results'!O313)),"")))</x:f>
        <x:v>5</x:v>
      </x:c>
      <x:c r="Q313" t="n">
        <x:f>IF(ISNUMBER('Quantification_Results'!P313),IFERROR(ROUND(((('Quantification_Results'!P313-'Quantification_Config'!$S$9)/('Quantification_Config'!$T$9-'Quantification_Config'!$S$9))*100),'Quantification_Config'!$U$2),""),"")</x:f>
        <x:v>50</x:v>
      </x:c>
      <x:c r="R313" t="inlineStr">
        <x:is>
          <x:t xml:space="preserve">SYSTEM-TEST-ONLY-NO-NETWORK-NOT-AN-EDUCATIONAL-EVALUATION</x:t>
        </x:is>
      </x:c>
      <x:c r="S313" t="inlineStr">
        <x:is>
          <x:t xml:space="preserve"/>
        </x:is>
      </x:c>
      <x:c r="T313" t="inlineStr">
        <x:is>
          <x:t xml:space="preserve">NONE</x:t>
        </x:is>
      </x:c>
      <x:c r="U313" t="inlineStr">
        <x:is>
          <x:t xml:space="preserve"/>
        </x:is>
      </x:c>
      <x:c r="V313" t="inlineStr">
        <x:is>
          <x:t xml:space="preserve">SUCCESS</x:t>
        </x:is>
      </x:c>
      <x:c r="W313" t="n">
        <x:f>IF((COUNT('Quantification_Results'!Q313)=1),IFERROR(ROUND((SUM(('Quantification_Results'!Q313*'Quantification_Config'!$R$9))/SUM('Quantification_Config'!$R$9)),'Quantification_Config'!$U$2),""),"")</x:f>
        <x:v>50</x:v>
      </x:c>
      <x:c r="X313" t="n">
        <x:f>IF((COUNT('Quantification_Results'!W313)=1),IFERROR(ROUND((SUM(('Quantification_Results'!W313*'Quantification_Config'!$R$8))/SUM('Quantification_Config'!$R$8)),'Quantification_Config'!$U$2),""),"")</x:f>
        <x:v>50</x:v>
      </x:c>
      <x:c r="Y313" t="n">
        <x:v>0</x:v>
      </x:c>
      <x:c r="Z313"/>
      <x:c r="AA313"/>
      <x:c r="AB313">
        <x:f>IF(('Quantification_Results'!Y313&lt;&gt;1),"",IF(('Quantification_Results'!AA313=""),IF(ISNUMBER('Quantification_Results'!Z313),IF(('Quantification_Results'!Z313&lt;'Quantification_Config'!$S$12),"",IF(('Quantification_Results'!Z313&gt;'Quantification_Config'!$T$12),"",'Quantification_Results'!Z313)),""),IF(ISNUMBER('Quantification_Results'!AA313),IF(('Quantification_Results'!AA313&lt;'Quantification_Config'!$S$12),"",IF(('Quantification_Results'!AA313&gt;'Quantification_Config'!$T$12),"",'Quantification_Results'!AA313)),"")))</x:f>
      </x:c>
      <x:c r="AC313">
        <x:f>IF(ISNUMBER('Quantification_Results'!AB313),IFERROR(ROUND(((('Quantification_Results'!AB313-'Quantification_Config'!$S$12)/('Quantification_Config'!$T$12-'Quantification_Config'!$S$12))*100),'Quantification_Config'!$U$2),""),"")</x:f>
      </x:c>
      <x:c r="AD313" t="inlineStr">
        <x:is>
          <x:t xml:space="preserve"/>
        </x:is>
      </x:c>
      <x:c r="AE313" t="inlineStr">
        <x:is>
          <x:t xml:space="preserve"/>
        </x:is>
      </x:c>
      <x:c r="AF313" t="inlineStr">
        <x:is>
          <x:t xml:space="preserve"/>
        </x:is>
      </x:c>
      <x:c r="AG313" t="inlineStr">
        <x:is>
          <x:t xml:space="preserve"/>
        </x:is>
      </x:c>
      <x:c r="AH313" t="inlineStr">
        <x:is>
          <x:t xml:space="preserve">EMPTY</x:t>
        </x:is>
      </x:c>
      <x:c r="AI313">
        <x:f>IF((COUNT('Quantification_Results'!AC313)=1),IFERROR(ROUND((SUM(('Quantification_Results'!AC313*'Quantification_Config'!$R$12))/SUM('Quantification_Config'!$R$12)),'Quantification_Config'!$U$2),""),"")</x:f>
      </x:c>
      <x:c r="AJ313">
        <x:f>IF((COUNT('Quantification_Results'!AI313)=1),IFERROR(ROUND((SUM(('Quantification_Results'!AI313*'Quantification_Config'!$R$11))/SUM('Quantification_Config'!$R$11)),'Quantification_Config'!$U$2),""),"")</x:f>
      </x:c>
      <x:c r="AK313" t="n">
        <x:v>1</x:v>
      </x:c>
      <x:c r="AL313" t="n">
        <x:v>5</x:v>
      </x:c>
      <x:c r="AM313"/>
      <x:c r="AN313" t="n">
        <x:f>IF(('Quantification_Results'!AK313&lt;&gt;1),"",IF(('Quantification_Results'!AM313=""),IF(ISNUMBER('Quantification_Results'!AL313),IF(('Quantification_Results'!AL313&lt;'Quantification_Config'!$S$15),"",IF(('Quantification_Results'!AL313&gt;'Quantification_Config'!$T$15),"",'Quantification_Results'!AL313)),""),IF(ISNUMBER('Quantification_Results'!AM313),IF(('Quantification_Results'!AM313&lt;'Quantification_Config'!$S$15),"",IF(('Quantification_Results'!AM313&gt;'Quantification_Config'!$T$15),"",'Quantification_Results'!AM313)),"")))</x:f>
        <x:v>5</x:v>
      </x:c>
      <x:c r="AO313" t="n">
        <x:f>IF(ISNUMBER('Quantification_Results'!AN313),IFERROR(ROUND(((('Quantification_Results'!AN313-'Quantification_Config'!$S$15)/('Quantification_Config'!$T$15-'Quantification_Config'!$S$15))*100),'Quantification_Config'!$U$2),""),"")</x:f>
        <x:v>50</x:v>
      </x:c>
      <x:c r="AP313" t="inlineStr">
        <x:is>
          <x:t xml:space="preserve">SYSTEM-TEST-ONLY-NO-NETWORK-NOT-AN-EDUCATIONAL-EVALUATION</x:t>
        </x:is>
      </x:c>
      <x:c r="AQ313" t="inlineStr">
        <x:is>
          <x:t xml:space="preserve"/>
        </x:is>
      </x:c>
      <x:c r="AR313" t="inlineStr">
        <x:is>
          <x:t xml:space="preserve">NONE</x:t>
        </x:is>
      </x:c>
      <x:c r="AS313" t="inlineStr">
        <x:is>
          <x:t xml:space="preserve"/>
        </x:is>
      </x:c>
      <x:c r="AT313" t="inlineStr">
        <x:is>
          <x:t xml:space="preserve">SUCCESS</x:t>
        </x:is>
      </x:c>
      <x:c r="AU313" t="n">
        <x:f>IF((COUNT('Quantification_Results'!AO313)=1),IFERROR(ROUND((SUM(('Quantification_Results'!AO313*'Quantification_Config'!$R$15))/SUM('Quantification_Config'!$R$15)),'Quantification_Config'!$U$2),""),"")</x:f>
        <x:v>50</x:v>
      </x:c>
      <x:c r="AV313" t="n">
        <x:f>IF((COUNT('Quantification_Results'!AU313)=1),IFERROR(ROUND((SUM(('Quantification_Results'!AU313*'Quantification_Config'!$R$14))/SUM('Quantification_Config'!$R$14)),'Quantification_Config'!$U$2),""),"")</x:f>
        <x:v>50</x:v>
      </x:c>
      <x:c r="AW313" t="n">
        <x:v>1</x:v>
      </x:c>
      <x:c r="AX313" t="n">
        <x:v>5</x:v>
      </x:c>
      <x:c r="AY313"/>
      <x:c r="AZ313" t="n">
        <x:f>IF(('Quantification_Results'!AW313&lt;&gt;1),"",IF(('Quantification_Results'!AY313=""),IF(ISNUMBER('Quantification_Results'!AX313),IF(('Quantification_Results'!AX313&lt;'Quantification_Config'!$S$19),"",IF(('Quantification_Results'!AX313&gt;'Quantification_Config'!$T$19),"",'Quantification_Results'!AX313)),""),IF(ISNUMBER('Quantification_Results'!AY313),IF(('Quantification_Results'!AY313&lt;'Quantification_Config'!$S$19),"",IF(('Quantification_Results'!AY313&gt;'Quantification_Config'!$T$19),"",'Quantification_Results'!AY313)),"")))</x:f>
        <x:v>5</x:v>
      </x:c>
      <x:c r="BA313" t="n">
        <x:f>IF(ISNUMBER('Quantification_Results'!AZ313),IFERROR(ROUND(((('Quantification_Results'!AZ313-'Quantification_Config'!$S$19)/('Quantification_Config'!$T$19-'Quantification_Config'!$S$19))*100),'Quantification_Config'!$U$2),""),"")</x:f>
        <x:v>50</x:v>
      </x:c>
      <x:c r="BB313" t="inlineStr">
        <x:is>
          <x:t xml:space="preserve">SYSTEM-TEST-ONLY-NO-NETWORK-NOT-AN-EDUCATIONAL-EVALUATION</x:t>
        </x:is>
      </x:c>
      <x:c r="BC313" t="inlineStr">
        <x:is>
          <x:t xml:space="preserve"/>
        </x:is>
      </x:c>
      <x:c r="BD313" t="inlineStr">
        <x:is>
          <x:t xml:space="preserve">NONE</x:t>
        </x:is>
      </x:c>
      <x:c r="BE313" t="inlineStr">
        <x:is>
          <x:t xml:space="preserve"/>
        </x:is>
      </x:c>
      <x:c r="BF313" t="inlineStr">
        <x:is>
          <x:t xml:space="preserve">SUCCESS</x:t>
        </x:is>
      </x:c>
      <x:c r="BG313" t="n">
        <x:f>IF((COUNT('Quantification_Results'!BA313)=1),IFERROR(ROUND((SUM(('Quantification_Results'!BA313*'Quantification_Config'!$R$19))/SUM('Quantification_Config'!$R$19)),'Quantification_Config'!$U$2),""),"")</x:f>
        <x:v>50</x:v>
      </x:c>
      <x:c r="BH313" t="n">
        <x:f>IF((COUNT('Quantification_Results'!BG313)=1),IFERROR(ROUND((SUM(('Quantification_Results'!BG313*'Quantification_Config'!$R$18))/SUM('Quantification_Config'!$R$18)),'Quantification_Config'!$U$2),""),"")</x:f>
        <x:v>50</x:v>
      </x:c>
      <x:c r="BI313">
        <x:f>IF((COUNT('Quantification_Results'!L313,'Quantification_Results'!X313,'Quantification_Results'!AJ313,'Quantification_Results'!AV313,'Quantification_Results'!BH313)=5),IFERROR(ROUND((SUM(('Quantification_Results'!L313*'Quantification_Config'!$R$4),('Quantification_Results'!X313*'Quantification_Config'!$R$7),('Quantification_Results'!AJ313*'Quantification_Config'!$R$10),('Quantification_Results'!AV313*'Quantification_Config'!$R$13),('Quantification_Results'!BH313*'Quantification_Config'!$R$16))/SUM('Quantification_Config'!$R$4,'Quantification_Config'!$R$7,'Quantification_Config'!$R$10,'Quantification_Config'!$R$13,'Quantification_Config'!$R$16)),'Quantification_Config'!$U$2),""),"")</x:f>
      </x:c>
    </x:row>
    <x:row r="314">
      <x:c r="A314" t="n">
        <x:v>1</x:v>
      </x:c>
      <x:c r="B314" t="n">
        <x:v>5</x:v>
      </x:c>
      <x:c r="C314"/>
      <x:c r="D314" t="n">
        <x:f>IF(('Quantification_Results'!A314&lt;&gt;1),"",IF(('Quantification_Results'!C314=""),IF(ISNUMBER('Quantification_Results'!B314),IF(('Quantification_Results'!B314&lt;'Quantification_Config'!$S$6),"",IF(('Quantification_Results'!B314&gt;'Quantification_Config'!$T$6),"",'Quantification_Results'!B314)),""),IF(ISNUMBER('Quantification_Results'!C314),IF(('Quantification_Results'!C314&lt;'Quantification_Config'!$S$6),"",IF(('Quantification_Results'!C314&gt;'Quantification_Config'!$T$6),"",'Quantification_Results'!C314)),"")))</x:f>
        <x:v>5</x:v>
      </x:c>
      <x:c r="E314" t="n">
        <x:f>IF(ISNUMBER('Quantification_Results'!D314),IFERROR(ROUND(((('Quantification_Results'!D314-'Quantification_Config'!$S$6)/('Quantification_Config'!$T$6-'Quantification_Config'!$S$6))*100),'Quantification_Config'!$U$2),""),"")</x:f>
        <x:v>50</x:v>
      </x:c>
      <x:c r="F314" t="inlineStr">
        <x:is>
          <x:t xml:space="preserve">SYSTEM-TEST-ONLY-NO-NETWORK-NOT-AN-EDUCATIONAL-EVALUATION</x:t>
        </x:is>
      </x:c>
      <x:c r="G314" t="inlineStr">
        <x:is>
          <x:t xml:space="preserve"/>
        </x:is>
      </x:c>
      <x:c r="H314" t="inlineStr">
        <x:is>
          <x:t xml:space="preserve">NONE</x:t>
        </x:is>
      </x:c>
      <x:c r="I314" t="inlineStr">
        <x:is>
          <x:t xml:space="preserve"/>
        </x:is>
      </x:c>
      <x:c r="J314" t="inlineStr">
        <x:is>
          <x:t xml:space="preserve">SUCCESS</x:t>
        </x:is>
      </x:c>
      <x:c r="K314" t="n">
        <x:f>IF((COUNT('Quantification_Results'!E314)=1),IFERROR(ROUND((SUM(('Quantification_Results'!E314*'Quantification_Config'!$R$6))/SUM('Quantification_Config'!$R$6)),'Quantification_Config'!$U$2),""),"")</x:f>
        <x:v>50</x:v>
      </x:c>
      <x:c r="L314" t="n">
        <x:f>IF((COUNT('Quantification_Results'!K314)=1),IFERROR(ROUND((SUM(('Quantification_Results'!K314*'Quantification_Config'!$R$5))/SUM('Quantification_Config'!$R$5)),'Quantification_Config'!$U$2),""),"")</x:f>
        <x:v>50</x:v>
      </x:c>
      <x:c r="M314" t="n">
        <x:v>1</x:v>
      </x:c>
      <x:c r="N314" t="n">
        <x:v>5</x:v>
      </x:c>
      <x:c r="O314"/>
      <x:c r="P314" t="n">
        <x:f>IF(('Quantification_Results'!M314&lt;&gt;1),"",IF(('Quantification_Results'!O314=""),IF(ISNUMBER('Quantification_Results'!N314),IF(('Quantification_Results'!N314&lt;'Quantification_Config'!$S$9),"",IF(('Quantification_Results'!N314&gt;'Quantification_Config'!$T$9),"",'Quantification_Results'!N314)),""),IF(ISNUMBER('Quantification_Results'!O314),IF(('Quantification_Results'!O314&lt;'Quantification_Config'!$S$9),"",IF(('Quantification_Results'!O314&gt;'Quantification_Config'!$T$9),"",'Quantification_Results'!O314)),"")))</x:f>
        <x:v>5</x:v>
      </x:c>
      <x:c r="Q314" t="n">
        <x:f>IF(ISNUMBER('Quantification_Results'!P314),IFERROR(ROUND(((('Quantification_Results'!P314-'Quantification_Config'!$S$9)/('Quantification_Config'!$T$9-'Quantification_Config'!$S$9))*100),'Quantification_Config'!$U$2),""),"")</x:f>
        <x:v>50</x:v>
      </x:c>
      <x:c r="R314" t="inlineStr">
        <x:is>
          <x:t xml:space="preserve">SYSTEM-TEST-ONLY-NO-NETWORK-NOT-AN-EDUCATIONAL-EVALUATION</x:t>
        </x:is>
      </x:c>
      <x:c r="S314" t="inlineStr">
        <x:is>
          <x:t xml:space="preserve"/>
        </x:is>
      </x:c>
      <x:c r="T314" t="inlineStr">
        <x:is>
          <x:t xml:space="preserve">NONE</x:t>
        </x:is>
      </x:c>
      <x:c r="U314" t="inlineStr">
        <x:is>
          <x:t xml:space="preserve"/>
        </x:is>
      </x:c>
      <x:c r="V314" t="inlineStr">
        <x:is>
          <x:t xml:space="preserve">SUCCESS</x:t>
        </x:is>
      </x:c>
      <x:c r="W314" t="n">
        <x:f>IF((COUNT('Quantification_Results'!Q314)=1),IFERROR(ROUND((SUM(('Quantification_Results'!Q314*'Quantification_Config'!$R$9))/SUM('Quantification_Config'!$R$9)),'Quantification_Config'!$U$2),""),"")</x:f>
        <x:v>50</x:v>
      </x:c>
      <x:c r="X314" t="n">
        <x:f>IF((COUNT('Quantification_Results'!W314)=1),IFERROR(ROUND((SUM(('Quantification_Results'!W314*'Quantification_Config'!$R$8))/SUM('Quantification_Config'!$R$8)),'Quantification_Config'!$U$2),""),"")</x:f>
        <x:v>50</x:v>
      </x:c>
      <x:c r="Y314" t="n">
        <x:v>0</x:v>
      </x:c>
      <x:c r="Z314"/>
      <x:c r="AA314"/>
      <x:c r="AB314">
        <x:f>IF(('Quantification_Results'!Y314&lt;&gt;1),"",IF(('Quantification_Results'!AA314=""),IF(ISNUMBER('Quantification_Results'!Z314),IF(('Quantification_Results'!Z314&lt;'Quantification_Config'!$S$12),"",IF(('Quantification_Results'!Z314&gt;'Quantification_Config'!$T$12),"",'Quantification_Results'!Z314)),""),IF(ISNUMBER('Quantification_Results'!AA314),IF(('Quantification_Results'!AA314&lt;'Quantification_Config'!$S$12),"",IF(('Quantification_Results'!AA314&gt;'Quantification_Config'!$T$12),"",'Quantification_Results'!AA314)),"")))</x:f>
      </x:c>
      <x:c r="AC314">
        <x:f>IF(ISNUMBER('Quantification_Results'!AB314),IFERROR(ROUND(((('Quantification_Results'!AB314-'Quantification_Config'!$S$12)/('Quantification_Config'!$T$12-'Quantification_Config'!$S$12))*100),'Quantification_Config'!$U$2),""),"")</x:f>
      </x:c>
      <x:c r="AD314" t="inlineStr">
        <x:is>
          <x:t xml:space="preserve"/>
        </x:is>
      </x:c>
      <x:c r="AE314" t="inlineStr">
        <x:is>
          <x:t xml:space="preserve"/>
        </x:is>
      </x:c>
      <x:c r="AF314" t="inlineStr">
        <x:is>
          <x:t xml:space="preserve"/>
        </x:is>
      </x:c>
      <x:c r="AG314" t="inlineStr">
        <x:is>
          <x:t xml:space="preserve"/>
        </x:is>
      </x:c>
      <x:c r="AH314" t="inlineStr">
        <x:is>
          <x:t xml:space="preserve">EMPTY</x:t>
        </x:is>
      </x:c>
      <x:c r="AI314">
        <x:f>IF((COUNT('Quantification_Results'!AC314)=1),IFERROR(ROUND((SUM(('Quantification_Results'!AC314*'Quantification_Config'!$R$12))/SUM('Quantification_Config'!$R$12)),'Quantification_Config'!$U$2),""),"")</x:f>
      </x:c>
      <x:c r="AJ314">
        <x:f>IF((COUNT('Quantification_Results'!AI314)=1),IFERROR(ROUND((SUM(('Quantification_Results'!AI314*'Quantification_Config'!$R$11))/SUM('Quantification_Config'!$R$11)),'Quantification_Config'!$U$2),""),"")</x:f>
      </x:c>
      <x:c r="AK314" t="n">
        <x:v>1</x:v>
      </x:c>
      <x:c r="AL314" t="n">
        <x:v>5</x:v>
      </x:c>
      <x:c r="AM314"/>
      <x:c r="AN314" t="n">
        <x:f>IF(('Quantification_Results'!AK314&lt;&gt;1),"",IF(('Quantification_Results'!AM314=""),IF(ISNUMBER('Quantification_Results'!AL314),IF(('Quantification_Results'!AL314&lt;'Quantification_Config'!$S$15),"",IF(('Quantification_Results'!AL314&gt;'Quantification_Config'!$T$15),"",'Quantification_Results'!AL314)),""),IF(ISNUMBER('Quantification_Results'!AM314),IF(('Quantification_Results'!AM314&lt;'Quantification_Config'!$S$15),"",IF(('Quantification_Results'!AM314&gt;'Quantification_Config'!$T$15),"",'Quantification_Results'!AM314)),"")))</x:f>
        <x:v>5</x:v>
      </x:c>
      <x:c r="AO314" t="n">
        <x:f>IF(ISNUMBER('Quantification_Results'!AN314),IFERROR(ROUND(((('Quantification_Results'!AN314-'Quantification_Config'!$S$15)/('Quantification_Config'!$T$15-'Quantification_Config'!$S$15))*100),'Quantification_Config'!$U$2),""),"")</x:f>
        <x:v>50</x:v>
      </x:c>
      <x:c r="AP314" t="inlineStr">
        <x:is>
          <x:t xml:space="preserve">SYSTEM-TEST-ONLY-NO-NETWORK-NOT-AN-EDUCATIONAL-EVALUATION</x:t>
        </x:is>
      </x:c>
      <x:c r="AQ314" t="inlineStr">
        <x:is>
          <x:t xml:space="preserve"/>
        </x:is>
      </x:c>
      <x:c r="AR314" t="inlineStr">
        <x:is>
          <x:t xml:space="preserve">NONE</x:t>
        </x:is>
      </x:c>
      <x:c r="AS314" t="inlineStr">
        <x:is>
          <x:t xml:space="preserve"/>
        </x:is>
      </x:c>
      <x:c r="AT314" t="inlineStr">
        <x:is>
          <x:t xml:space="preserve">SUCCESS</x:t>
        </x:is>
      </x:c>
      <x:c r="AU314" t="n">
        <x:f>IF((COUNT('Quantification_Results'!AO314)=1),IFERROR(ROUND((SUM(('Quantification_Results'!AO314*'Quantification_Config'!$R$15))/SUM('Quantification_Config'!$R$15)),'Quantification_Config'!$U$2),""),"")</x:f>
        <x:v>50</x:v>
      </x:c>
      <x:c r="AV314" t="n">
        <x:f>IF((COUNT('Quantification_Results'!AU314)=1),IFERROR(ROUND((SUM(('Quantification_Results'!AU314*'Quantification_Config'!$R$14))/SUM('Quantification_Config'!$R$14)),'Quantification_Config'!$U$2),""),"")</x:f>
        <x:v>50</x:v>
      </x:c>
      <x:c r="AW314" t="n">
        <x:v>0</x:v>
      </x:c>
      <x:c r="AX314"/>
      <x:c r="AY314"/>
      <x:c r="AZ314">
        <x:f>IF(('Quantification_Results'!AW314&lt;&gt;1),"",IF(('Quantification_Results'!AY314=""),IF(ISNUMBER('Quantification_Results'!AX314),IF(('Quantification_Results'!AX314&lt;'Quantification_Config'!$S$19),"",IF(('Quantification_Results'!AX314&gt;'Quantification_Config'!$T$19),"",'Quantification_Results'!AX314)),""),IF(ISNUMBER('Quantification_Results'!AY314),IF(('Quantification_Results'!AY314&lt;'Quantification_Config'!$S$19),"",IF(('Quantification_Results'!AY314&gt;'Quantification_Config'!$T$19),"",'Quantification_Results'!AY314)),"")))</x:f>
      </x:c>
      <x:c r="BA314">
        <x:f>IF(ISNUMBER('Quantification_Results'!AZ314),IFERROR(ROUND(((('Quantification_Results'!AZ314-'Quantification_Config'!$S$19)/('Quantification_Config'!$T$19-'Quantification_Config'!$S$19))*100),'Quantification_Config'!$U$2),""),"")</x:f>
      </x:c>
      <x:c r="BB314" t="inlineStr">
        <x:is>
          <x:t xml:space="preserve"/>
        </x:is>
      </x:c>
      <x:c r="BC314" t="inlineStr">
        <x:is>
          <x:t xml:space="preserve"/>
        </x:is>
      </x:c>
      <x:c r="BD314" t="inlineStr">
        <x:is>
          <x:t xml:space="preserve"/>
        </x:is>
      </x:c>
      <x:c r="BE314" t="inlineStr">
        <x:is>
          <x:t xml:space="preserve"/>
        </x:is>
      </x:c>
      <x:c r="BF314" t="inlineStr">
        <x:is>
          <x:t xml:space="preserve">EMPTY</x:t>
        </x:is>
      </x:c>
      <x:c r="BG314">
        <x:f>IF((COUNT('Quantification_Results'!BA314)=1),IFERROR(ROUND((SUM(('Quantification_Results'!BA314*'Quantification_Config'!$R$19))/SUM('Quantification_Config'!$R$19)),'Quantification_Config'!$U$2),""),"")</x:f>
      </x:c>
      <x:c r="BH314">
        <x:f>IF((COUNT('Quantification_Results'!BG314)=1),IFERROR(ROUND((SUM(('Quantification_Results'!BG314*'Quantification_Config'!$R$18))/SUM('Quantification_Config'!$R$18)),'Quantification_Config'!$U$2),""),"")</x:f>
      </x:c>
      <x:c r="BI314">
        <x:f>IF((COUNT('Quantification_Results'!L314,'Quantification_Results'!X314,'Quantification_Results'!AJ314,'Quantification_Results'!AV314,'Quantification_Results'!BH314)=5),IFERROR(ROUND((SUM(('Quantification_Results'!L314*'Quantification_Config'!$R$4),('Quantification_Results'!X314*'Quantification_Config'!$R$7),('Quantification_Results'!AJ314*'Quantification_Config'!$R$10),('Quantification_Results'!AV314*'Quantification_Config'!$R$13),('Quantification_Results'!BH314*'Quantification_Config'!$R$16))/SUM('Quantification_Config'!$R$4,'Quantification_Config'!$R$7,'Quantification_Config'!$R$10,'Quantification_Config'!$R$13,'Quantification_Config'!$R$16)),'Quantification_Config'!$U$2),""),"")</x:f>
      </x:c>
    </x:row>
    <x:row r="315">
      <x:c r="A315" t="n">
        <x:v>1</x:v>
      </x:c>
      <x:c r="B315" t="n">
        <x:v>5</x:v>
      </x:c>
      <x:c r="C315"/>
      <x:c r="D315" t="n">
        <x:f>IF(('Quantification_Results'!A315&lt;&gt;1),"",IF(('Quantification_Results'!C315=""),IF(ISNUMBER('Quantification_Results'!B315),IF(('Quantification_Results'!B315&lt;'Quantification_Config'!$S$6),"",IF(('Quantification_Results'!B315&gt;'Quantification_Config'!$T$6),"",'Quantification_Results'!B315)),""),IF(ISNUMBER('Quantification_Results'!C315),IF(('Quantification_Results'!C315&lt;'Quantification_Config'!$S$6),"",IF(('Quantification_Results'!C315&gt;'Quantification_Config'!$T$6),"",'Quantification_Results'!C315)),"")))</x:f>
        <x:v>5</x:v>
      </x:c>
      <x:c r="E315" t="n">
        <x:f>IF(ISNUMBER('Quantification_Results'!D315),IFERROR(ROUND(((('Quantification_Results'!D315-'Quantification_Config'!$S$6)/('Quantification_Config'!$T$6-'Quantification_Config'!$S$6))*100),'Quantification_Config'!$U$2),""),"")</x:f>
        <x:v>50</x:v>
      </x:c>
      <x:c r="F315" t="inlineStr">
        <x:is>
          <x:t xml:space="preserve">SYSTEM-TEST-ONLY-NO-NETWORK-NOT-AN-EDUCATIONAL-EVALUATION</x:t>
        </x:is>
      </x:c>
      <x:c r="G315" t="inlineStr">
        <x:is>
          <x:t xml:space="preserve"/>
        </x:is>
      </x:c>
      <x:c r="H315" t="inlineStr">
        <x:is>
          <x:t xml:space="preserve">NONE</x:t>
        </x:is>
      </x:c>
      <x:c r="I315" t="inlineStr">
        <x:is>
          <x:t xml:space="preserve"/>
        </x:is>
      </x:c>
      <x:c r="J315" t="inlineStr">
        <x:is>
          <x:t xml:space="preserve">SUCCESS</x:t>
        </x:is>
      </x:c>
      <x:c r="K315" t="n">
        <x:f>IF((COUNT('Quantification_Results'!E315)=1),IFERROR(ROUND((SUM(('Quantification_Results'!E315*'Quantification_Config'!$R$6))/SUM('Quantification_Config'!$R$6)),'Quantification_Config'!$U$2),""),"")</x:f>
        <x:v>50</x:v>
      </x:c>
      <x:c r="L315" t="n">
        <x:f>IF((COUNT('Quantification_Results'!K315)=1),IFERROR(ROUND((SUM(('Quantification_Results'!K315*'Quantification_Config'!$R$5))/SUM('Quantification_Config'!$R$5)),'Quantification_Config'!$U$2),""),"")</x:f>
        <x:v>50</x:v>
      </x:c>
      <x:c r="M315" t="n">
        <x:v>1</x:v>
      </x:c>
      <x:c r="N315" t="n">
        <x:v>5</x:v>
      </x:c>
      <x:c r="O315"/>
      <x:c r="P315" t="n">
        <x:f>IF(('Quantification_Results'!M315&lt;&gt;1),"",IF(('Quantification_Results'!O315=""),IF(ISNUMBER('Quantification_Results'!N315),IF(('Quantification_Results'!N315&lt;'Quantification_Config'!$S$9),"",IF(('Quantification_Results'!N315&gt;'Quantification_Config'!$T$9),"",'Quantification_Results'!N315)),""),IF(ISNUMBER('Quantification_Results'!O315),IF(('Quantification_Results'!O315&lt;'Quantification_Config'!$S$9),"",IF(('Quantification_Results'!O315&gt;'Quantification_Config'!$T$9),"",'Quantification_Results'!O315)),"")))</x:f>
        <x:v>5</x:v>
      </x:c>
      <x:c r="Q315" t="n">
        <x:f>IF(ISNUMBER('Quantification_Results'!P315),IFERROR(ROUND(((('Quantification_Results'!P315-'Quantification_Config'!$S$9)/('Quantification_Config'!$T$9-'Quantification_Config'!$S$9))*100),'Quantification_Config'!$U$2),""),"")</x:f>
        <x:v>50</x:v>
      </x:c>
      <x:c r="R315" t="inlineStr">
        <x:is>
          <x:t xml:space="preserve">SYSTEM-TEST-ONLY-NO-NETWORK-NOT-AN-EDUCATIONAL-EVALUATION</x:t>
        </x:is>
      </x:c>
      <x:c r="S315" t="inlineStr">
        <x:is>
          <x:t xml:space="preserve"/>
        </x:is>
      </x:c>
      <x:c r="T315" t="inlineStr">
        <x:is>
          <x:t xml:space="preserve">NONE</x:t>
        </x:is>
      </x:c>
      <x:c r="U315" t="inlineStr">
        <x:is>
          <x:t xml:space="preserve"/>
        </x:is>
      </x:c>
      <x:c r="V315" t="inlineStr">
        <x:is>
          <x:t xml:space="preserve">SUCCESS</x:t>
        </x:is>
      </x:c>
      <x:c r="W315" t="n">
        <x:f>IF((COUNT('Quantification_Results'!Q315)=1),IFERROR(ROUND((SUM(('Quantification_Results'!Q315*'Quantification_Config'!$R$9))/SUM('Quantification_Config'!$R$9)),'Quantification_Config'!$U$2),""),"")</x:f>
        <x:v>50</x:v>
      </x:c>
      <x:c r="X315" t="n">
        <x:f>IF((COUNT('Quantification_Results'!W315)=1),IFERROR(ROUND((SUM(('Quantification_Results'!W315*'Quantification_Config'!$R$8))/SUM('Quantification_Config'!$R$8)),'Quantification_Config'!$U$2),""),"")</x:f>
        <x:v>50</x:v>
      </x:c>
      <x:c r="Y315" t="n">
        <x:v>0</x:v>
      </x:c>
      <x:c r="Z315"/>
      <x:c r="AA315"/>
      <x:c r="AB315">
        <x:f>IF(('Quantification_Results'!Y315&lt;&gt;1),"",IF(('Quantification_Results'!AA315=""),IF(ISNUMBER('Quantification_Results'!Z315),IF(('Quantification_Results'!Z315&lt;'Quantification_Config'!$S$12),"",IF(('Quantification_Results'!Z315&gt;'Quantification_Config'!$T$12),"",'Quantification_Results'!Z315)),""),IF(ISNUMBER('Quantification_Results'!AA315),IF(('Quantification_Results'!AA315&lt;'Quantification_Config'!$S$12),"",IF(('Quantification_Results'!AA315&gt;'Quantification_Config'!$T$12),"",'Quantification_Results'!AA315)),"")))</x:f>
      </x:c>
      <x:c r="AC315">
        <x:f>IF(ISNUMBER('Quantification_Results'!AB315),IFERROR(ROUND(((('Quantification_Results'!AB315-'Quantification_Config'!$S$12)/('Quantification_Config'!$T$12-'Quantification_Config'!$S$12))*100),'Quantification_Config'!$U$2),""),"")</x:f>
      </x:c>
      <x:c r="AD315" t="inlineStr">
        <x:is>
          <x:t xml:space="preserve"/>
        </x:is>
      </x:c>
      <x:c r="AE315" t="inlineStr">
        <x:is>
          <x:t xml:space="preserve"/>
        </x:is>
      </x:c>
      <x:c r="AF315" t="inlineStr">
        <x:is>
          <x:t xml:space="preserve"/>
        </x:is>
      </x:c>
      <x:c r="AG315" t="inlineStr">
        <x:is>
          <x:t xml:space="preserve"/>
        </x:is>
      </x:c>
      <x:c r="AH315" t="inlineStr">
        <x:is>
          <x:t xml:space="preserve">EMPTY</x:t>
        </x:is>
      </x:c>
      <x:c r="AI315">
        <x:f>IF((COUNT('Quantification_Results'!AC315)=1),IFERROR(ROUND((SUM(('Quantification_Results'!AC315*'Quantification_Config'!$R$12))/SUM('Quantification_Config'!$R$12)),'Quantification_Config'!$U$2),""),"")</x:f>
      </x:c>
      <x:c r="AJ315">
        <x:f>IF((COUNT('Quantification_Results'!AI315)=1),IFERROR(ROUND((SUM(('Quantification_Results'!AI315*'Quantification_Config'!$R$11))/SUM('Quantification_Config'!$R$11)),'Quantification_Config'!$U$2),""),"")</x:f>
      </x:c>
      <x:c r="AK315" t="n">
        <x:v>1</x:v>
      </x:c>
      <x:c r="AL315" t="n">
        <x:v>5</x:v>
      </x:c>
      <x:c r="AM315"/>
      <x:c r="AN315" t="n">
        <x:f>IF(('Quantification_Results'!AK315&lt;&gt;1),"",IF(('Quantification_Results'!AM315=""),IF(ISNUMBER('Quantification_Results'!AL315),IF(('Quantification_Results'!AL315&lt;'Quantification_Config'!$S$15),"",IF(('Quantification_Results'!AL315&gt;'Quantification_Config'!$T$15),"",'Quantification_Results'!AL315)),""),IF(ISNUMBER('Quantification_Results'!AM315),IF(('Quantification_Results'!AM315&lt;'Quantification_Config'!$S$15),"",IF(('Quantification_Results'!AM315&gt;'Quantification_Config'!$T$15),"",'Quantification_Results'!AM315)),"")))</x:f>
        <x:v>5</x:v>
      </x:c>
      <x:c r="AO315" t="n">
        <x:f>IF(ISNUMBER('Quantification_Results'!AN315),IFERROR(ROUND(((('Quantification_Results'!AN315-'Quantification_Config'!$S$15)/('Quantification_Config'!$T$15-'Quantification_Config'!$S$15))*100),'Quantification_Config'!$U$2),""),"")</x:f>
        <x:v>50</x:v>
      </x:c>
      <x:c r="AP315" t="inlineStr">
        <x:is>
          <x:t xml:space="preserve">SYSTEM-TEST-ONLY-NO-NETWORK-NOT-AN-EDUCATIONAL-EVALUATION</x:t>
        </x:is>
      </x:c>
      <x:c r="AQ315" t="inlineStr">
        <x:is>
          <x:t xml:space="preserve"/>
        </x:is>
      </x:c>
      <x:c r="AR315" t="inlineStr">
        <x:is>
          <x:t xml:space="preserve">NONE</x:t>
        </x:is>
      </x:c>
      <x:c r="AS315" t="inlineStr">
        <x:is>
          <x:t xml:space="preserve"/>
        </x:is>
      </x:c>
      <x:c r="AT315" t="inlineStr">
        <x:is>
          <x:t xml:space="preserve">SUCCESS</x:t>
        </x:is>
      </x:c>
      <x:c r="AU315" t="n">
        <x:f>IF((COUNT('Quantification_Results'!AO315)=1),IFERROR(ROUND((SUM(('Quantification_Results'!AO315*'Quantification_Config'!$R$15))/SUM('Quantification_Config'!$R$15)),'Quantification_Config'!$U$2),""),"")</x:f>
        <x:v>50</x:v>
      </x:c>
      <x:c r="AV315" t="n">
        <x:f>IF((COUNT('Quantification_Results'!AU315)=1),IFERROR(ROUND((SUM(('Quantification_Results'!AU315*'Quantification_Config'!$R$14))/SUM('Quantification_Config'!$R$14)),'Quantification_Config'!$U$2),""),"")</x:f>
        <x:v>50</x:v>
      </x:c>
      <x:c r="AW315" t="n">
        <x:v>1</x:v>
      </x:c>
      <x:c r="AX315" t="n">
        <x:v>5</x:v>
      </x:c>
      <x:c r="AY315"/>
      <x:c r="AZ315" t="n">
        <x:f>IF(('Quantification_Results'!AW315&lt;&gt;1),"",IF(('Quantification_Results'!AY315=""),IF(ISNUMBER('Quantification_Results'!AX315),IF(('Quantification_Results'!AX315&lt;'Quantification_Config'!$S$19),"",IF(('Quantification_Results'!AX315&gt;'Quantification_Config'!$T$19),"",'Quantification_Results'!AX315)),""),IF(ISNUMBER('Quantification_Results'!AY315),IF(('Quantification_Results'!AY315&lt;'Quantification_Config'!$S$19),"",IF(('Quantification_Results'!AY315&gt;'Quantification_Config'!$T$19),"",'Quantification_Results'!AY315)),"")))</x:f>
        <x:v>5</x:v>
      </x:c>
      <x:c r="BA315" t="n">
        <x:f>IF(ISNUMBER('Quantification_Results'!AZ315),IFERROR(ROUND(((('Quantification_Results'!AZ315-'Quantification_Config'!$S$19)/('Quantification_Config'!$T$19-'Quantification_Config'!$S$19))*100),'Quantification_Config'!$U$2),""),"")</x:f>
        <x:v>50</x:v>
      </x:c>
      <x:c r="BB315" t="inlineStr">
        <x:is>
          <x:t xml:space="preserve">SYSTEM-TEST-ONLY-NO-NETWORK-NOT-AN-EDUCATIONAL-EVALUATION</x:t>
        </x:is>
      </x:c>
      <x:c r="BC315" t="inlineStr">
        <x:is>
          <x:t xml:space="preserve"/>
        </x:is>
      </x:c>
      <x:c r="BD315" t="inlineStr">
        <x:is>
          <x:t xml:space="preserve">NONE</x:t>
        </x:is>
      </x:c>
      <x:c r="BE315" t="inlineStr">
        <x:is>
          <x:t xml:space="preserve"/>
        </x:is>
      </x:c>
      <x:c r="BF315" t="inlineStr">
        <x:is>
          <x:t xml:space="preserve">SUCCESS</x:t>
        </x:is>
      </x:c>
      <x:c r="BG315" t="n">
        <x:f>IF((COUNT('Quantification_Results'!BA315)=1),IFERROR(ROUND((SUM(('Quantification_Results'!BA315*'Quantification_Config'!$R$19))/SUM('Quantification_Config'!$R$19)),'Quantification_Config'!$U$2),""),"")</x:f>
        <x:v>50</x:v>
      </x:c>
      <x:c r="BH315" t="n">
        <x:f>IF((COUNT('Quantification_Results'!BG315)=1),IFERROR(ROUND((SUM(('Quantification_Results'!BG315*'Quantification_Config'!$R$18))/SUM('Quantification_Config'!$R$18)),'Quantification_Config'!$U$2),""),"")</x:f>
        <x:v>50</x:v>
      </x:c>
      <x:c r="BI315">
        <x:f>IF((COUNT('Quantification_Results'!L315,'Quantification_Results'!X315,'Quantification_Results'!AJ315,'Quantification_Results'!AV315,'Quantification_Results'!BH315)=5),IFERROR(ROUND((SUM(('Quantification_Results'!L315*'Quantification_Config'!$R$4),('Quantification_Results'!X315*'Quantification_Config'!$R$7),('Quantification_Results'!AJ315*'Quantification_Config'!$R$10),('Quantification_Results'!AV315*'Quantification_Config'!$R$13),('Quantification_Results'!BH315*'Quantification_Config'!$R$16))/SUM('Quantification_Config'!$R$4,'Quantification_Config'!$R$7,'Quantification_Config'!$R$10,'Quantification_Config'!$R$13,'Quantification_Config'!$R$16)),'Quantification_Config'!$U$2),""),"")</x:f>
      </x:c>
    </x:row>
    <x:row r="316">
      <x:c r="A316" t="n">
        <x:v>1</x:v>
      </x:c>
      <x:c r="B316" t="n">
        <x:v>5</x:v>
      </x:c>
      <x:c r="C316"/>
      <x:c r="D316" t="n">
        <x:f>IF(('Quantification_Results'!A316&lt;&gt;1),"",IF(('Quantification_Results'!C316=""),IF(ISNUMBER('Quantification_Results'!B316),IF(('Quantification_Results'!B316&lt;'Quantification_Config'!$S$6),"",IF(('Quantification_Results'!B316&gt;'Quantification_Config'!$T$6),"",'Quantification_Results'!B316)),""),IF(ISNUMBER('Quantification_Results'!C316),IF(('Quantification_Results'!C316&lt;'Quantification_Config'!$S$6),"",IF(('Quantification_Results'!C316&gt;'Quantification_Config'!$T$6),"",'Quantification_Results'!C316)),"")))</x:f>
        <x:v>5</x:v>
      </x:c>
      <x:c r="E316" t="n">
        <x:f>IF(ISNUMBER('Quantification_Results'!D316),IFERROR(ROUND(((('Quantification_Results'!D316-'Quantification_Config'!$S$6)/('Quantification_Config'!$T$6-'Quantification_Config'!$S$6))*100),'Quantification_Config'!$U$2),""),"")</x:f>
        <x:v>50</x:v>
      </x:c>
      <x:c r="F316" t="inlineStr">
        <x:is>
          <x:t xml:space="preserve">SYSTEM-TEST-ONLY-NO-NETWORK-NOT-AN-EDUCATIONAL-EVALUATION</x:t>
        </x:is>
      </x:c>
      <x:c r="G316" t="inlineStr">
        <x:is>
          <x:t xml:space="preserve"/>
        </x:is>
      </x:c>
      <x:c r="H316" t="inlineStr">
        <x:is>
          <x:t xml:space="preserve">NONE</x:t>
        </x:is>
      </x:c>
      <x:c r="I316" t="inlineStr">
        <x:is>
          <x:t xml:space="preserve"/>
        </x:is>
      </x:c>
      <x:c r="J316" t="inlineStr">
        <x:is>
          <x:t xml:space="preserve">SUCCESS</x:t>
        </x:is>
      </x:c>
      <x:c r="K316" t="n">
        <x:f>IF((COUNT('Quantification_Results'!E316)=1),IFERROR(ROUND((SUM(('Quantification_Results'!E316*'Quantification_Config'!$R$6))/SUM('Quantification_Config'!$R$6)),'Quantification_Config'!$U$2),""),"")</x:f>
        <x:v>50</x:v>
      </x:c>
      <x:c r="L316" t="n">
        <x:f>IF((COUNT('Quantification_Results'!K316)=1),IFERROR(ROUND((SUM(('Quantification_Results'!K316*'Quantification_Config'!$R$5))/SUM('Quantification_Config'!$R$5)),'Quantification_Config'!$U$2),""),"")</x:f>
        <x:v>50</x:v>
      </x:c>
      <x:c r="M316" t="n">
        <x:v>1</x:v>
      </x:c>
      <x:c r="N316" t="n">
        <x:v>5</x:v>
      </x:c>
      <x:c r="O316"/>
      <x:c r="P316" t="n">
        <x:f>IF(('Quantification_Results'!M316&lt;&gt;1),"",IF(('Quantification_Results'!O316=""),IF(ISNUMBER('Quantification_Results'!N316),IF(('Quantification_Results'!N316&lt;'Quantification_Config'!$S$9),"",IF(('Quantification_Results'!N316&gt;'Quantification_Config'!$T$9),"",'Quantification_Results'!N316)),""),IF(ISNUMBER('Quantification_Results'!O316),IF(('Quantification_Results'!O316&lt;'Quantification_Config'!$S$9),"",IF(('Quantification_Results'!O316&gt;'Quantification_Config'!$T$9),"",'Quantification_Results'!O316)),"")))</x:f>
        <x:v>5</x:v>
      </x:c>
      <x:c r="Q316" t="n">
        <x:f>IF(ISNUMBER('Quantification_Results'!P316),IFERROR(ROUND(((('Quantification_Results'!P316-'Quantification_Config'!$S$9)/('Quantification_Config'!$T$9-'Quantification_Config'!$S$9))*100),'Quantification_Config'!$U$2),""),"")</x:f>
        <x:v>50</x:v>
      </x:c>
      <x:c r="R316" t="inlineStr">
        <x:is>
          <x:t xml:space="preserve">SYSTEM-TEST-ONLY-NO-NETWORK-NOT-AN-EDUCATIONAL-EVALUATION</x:t>
        </x:is>
      </x:c>
      <x:c r="S316" t="inlineStr">
        <x:is>
          <x:t xml:space="preserve"/>
        </x:is>
      </x:c>
      <x:c r="T316" t="inlineStr">
        <x:is>
          <x:t xml:space="preserve">NONE</x:t>
        </x:is>
      </x:c>
      <x:c r="U316" t="inlineStr">
        <x:is>
          <x:t xml:space="preserve"/>
        </x:is>
      </x:c>
      <x:c r="V316" t="inlineStr">
        <x:is>
          <x:t xml:space="preserve">SUCCESS</x:t>
        </x:is>
      </x:c>
      <x:c r="W316" t="n">
        <x:f>IF((COUNT('Quantification_Results'!Q316)=1),IFERROR(ROUND((SUM(('Quantification_Results'!Q316*'Quantification_Config'!$R$9))/SUM('Quantification_Config'!$R$9)),'Quantification_Config'!$U$2),""),"")</x:f>
        <x:v>50</x:v>
      </x:c>
      <x:c r="X316" t="n">
        <x:f>IF((COUNT('Quantification_Results'!W316)=1),IFERROR(ROUND((SUM(('Quantification_Results'!W316*'Quantification_Config'!$R$8))/SUM('Quantification_Config'!$R$8)),'Quantification_Config'!$U$2),""),"")</x:f>
        <x:v>50</x:v>
      </x:c>
      <x:c r="Y316" t="n">
        <x:v>0</x:v>
      </x:c>
      <x:c r="Z316"/>
      <x:c r="AA316"/>
      <x:c r="AB316">
        <x:f>IF(('Quantification_Results'!Y316&lt;&gt;1),"",IF(('Quantification_Results'!AA316=""),IF(ISNUMBER('Quantification_Results'!Z316),IF(('Quantification_Results'!Z316&lt;'Quantification_Config'!$S$12),"",IF(('Quantification_Results'!Z316&gt;'Quantification_Config'!$T$12),"",'Quantification_Results'!Z316)),""),IF(ISNUMBER('Quantification_Results'!AA316),IF(('Quantification_Results'!AA316&lt;'Quantification_Config'!$S$12),"",IF(('Quantification_Results'!AA316&gt;'Quantification_Config'!$T$12),"",'Quantification_Results'!AA316)),"")))</x:f>
      </x:c>
      <x:c r="AC316">
        <x:f>IF(ISNUMBER('Quantification_Results'!AB316),IFERROR(ROUND(((('Quantification_Results'!AB316-'Quantification_Config'!$S$12)/('Quantification_Config'!$T$12-'Quantification_Config'!$S$12))*100),'Quantification_Config'!$U$2),""),"")</x:f>
      </x:c>
      <x:c r="AD316" t="inlineStr">
        <x:is>
          <x:t xml:space="preserve"/>
        </x:is>
      </x:c>
      <x:c r="AE316" t="inlineStr">
        <x:is>
          <x:t xml:space="preserve"/>
        </x:is>
      </x:c>
      <x:c r="AF316" t="inlineStr">
        <x:is>
          <x:t xml:space="preserve"/>
        </x:is>
      </x:c>
      <x:c r="AG316" t="inlineStr">
        <x:is>
          <x:t xml:space="preserve"/>
        </x:is>
      </x:c>
      <x:c r="AH316" t="inlineStr">
        <x:is>
          <x:t xml:space="preserve">EMPTY</x:t>
        </x:is>
      </x:c>
      <x:c r="AI316">
        <x:f>IF((COUNT('Quantification_Results'!AC316)=1),IFERROR(ROUND((SUM(('Quantification_Results'!AC316*'Quantification_Config'!$R$12))/SUM('Quantification_Config'!$R$12)),'Quantification_Config'!$U$2),""),"")</x:f>
      </x:c>
      <x:c r="AJ316">
        <x:f>IF((COUNT('Quantification_Results'!AI316)=1),IFERROR(ROUND((SUM(('Quantification_Results'!AI316*'Quantification_Config'!$R$11))/SUM('Quantification_Config'!$R$11)),'Quantification_Config'!$U$2),""),"")</x:f>
      </x:c>
      <x:c r="AK316" t="n">
        <x:v>1</x:v>
      </x:c>
      <x:c r="AL316" t="n">
        <x:v>5</x:v>
      </x:c>
      <x:c r="AM316"/>
      <x:c r="AN316" t="n">
        <x:f>IF(('Quantification_Results'!AK316&lt;&gt;1),"",IF(('Quantification_Results'!AM316=""),IF(ISNUMBER('Quantification_Results'!AL316),IF(('Quantification_Results'!AL316&lt;'Quantification_Config'!$S$15),"",IF(('Quantification_Results'!AL316&gt;'Quantification_Config'!$T$15),"",'Quantification_Results'!AL316)),""),IF(ISNUMBER('Quantification_Results'!AM316),IF(('Quantification_Results'!AM316&lt;'Quantification_Config'!$S$15),"",IF(('Quantification_Results'!AM316&gt;'Quantification_Config'!$T$15),"",'Quantification_Results'!AM316)),"")))</x:f>
        <x:v>5</x:v>
      </x:c>
      <x:c r="AO316" t="n">
        <x:f>IF(ISNUMBER('Quantification_Results'!AN316),IFERROR(ROUND(((('Quantification_Results'!AN316-'Quantification_Config'!$S$15)/('Quantification_Config'!$T$15-'Quantification_Config'!$S$15))*100),'Quantification_Config'!$U$2),""),"")</x:f>
        <x:v>50</x:v>
      </x:c>
      <x:c r="AP316" t="inlineStr">
        <x:is>
          <x:t xml:space="preserve">SYSTEM-TEST-ONLY-NO-NETWORK-NOT-AN-EDUCATIONAL-EVALUATION</x:t>
        </x:is>
      </x:c>
      <x:c r="AQ316" t="inlineStr">
        <x:is>
          <x:t xml:space="preserve"/>
        </x:is>
      </x:c>
      <x:c r="AR316" t="inlineStr">
        <x:is>
          <x:t xml:space="preserve">NONE</x:t>
        </x:is>
      </x:c>
      <x:c r="AS316" t="inlineStr">
        <x:is>
          <x:t xml:space="preserve"/>
        </x:is>
      </x:c>
      <x:c r="AT316" t="inlineStr">
        <x:is>
          <x:t xml:space="preserve">SUCCESS</x:t>
        </x:is>
      </x:c>
      <x:c r="AU316" t="n">
        <x:f>IF((COUNT('Quantification_Results'!AO316)=1),IFERROR(ROUND((SUM(('Quantification_Results'!AO316*'Quantification_Config'!$R$15))/SUM('Quantification_Config'!$R$15)),'Quantification_Config'!$U$2),""),"")</x:f>
        <x:v>50</x:v>
      </x:c>
      <x:c r="AV316" t="n">
        <x:f>IF((COUNT('Quantification_Results'!AU316)=1),IFERROR(ROUND((SUM(('Quantification_Results'!AU316*'Quantification_Config'!$R$14))/SUM('Quantification_Config'!$R$14)),'Quantification_Config'!$U$2),""),"")</x:f>
        <x:v>50</x:v>
      </x:c>
      <x:c r="AW316" t="n">
        <x:v>1</x:v>
      </x:c>
      <x:c r="AX316" t="n">
        <x:v>5</x:v>
      </x:c>
      <x:c r="AY316"/>
      <x:c r="AZ316" t="n">
        <x:f>IF(('Quantification_Results'!AW316&lt;&gt;1),"",IF(('Quantification_Results'!AY316=""),IF(ISNUMBER('Quantification_Results'!AX316),IF(('Quantification_Results'!AX316&lt;'Quantification_Config'!$S$19),"",IF(('Quantification_Results'!AX316&gt;'Quantification_Config'!$T$19),"",'Quantification_Results'!AX316)),""),IF(ISNUMBER('Quantification_Results'!AY316),IF(('Quantification_Results'!AY316&lt;'Quantification_Config'!$S$19),"",IF(('Quantification_Results'!AY316&gt;'Quantification_Config'!$T$19),"",'Quantification_Results'!AY316)),"")))</x:f>
        <x:v>5</x:v>
      </x:c>
      <x:c r="BA316" t="n">
        <x:f>IF(ISNUMBER('Quantification_Results'!AZ316),IFERROR(ROUND(((('Quantification_Results'!AZ316-'Quantification_Config'!$S$19)/('Quantification_Config'!$T$19-'Quantification_Config'!$S$19))*100),'Quantification_Config'!$U$2),""),"")</x:f>
        <x:v>50</x:v>
      </x:c>
      <x:c r="BB316" t="inlineStr">
        <x:is>
          <x:t xml:space="preserve">SYSTEM-TEST-ONLY-NO-NETWORK-NOT-AN-EDUCATIONAL-EVALUATION</x:t>
        </x:is>
      </x:c>
      <x:c r="BC316" t="inlineStr">
        <x:is>
          <x:t xml:space="preserve"/>
        </x:is>
      </x:c>
      <x:c r="BD316" t="inlineStr">
        <x:is>
          <x:t xml:space="preserve">NONE</x:t>
        </x:is>
      </x:c>
      <x:c r="BE316" t="inlineStr">
        <x:is>
          <x:t xml:space="preserve"/>
        </x:is>
      </x:c>
      <x:c r="BF316" t="inlineStr">
        <x:is>
          <x:t xml:space="preserve">SUCCESS</x:t>
        </x:is>
      </x:c>
      <x:c r="BG316" t="n">
        <x:f>IF((COUNT('Quantification_Results'!BA316)=1),IFERROR(ROUND((SUM(('Quantification_Results'!BA316*'Quantification_Config'!$R$19))/SUM('Quantification_Config'!$R$19)),'Quantification_Config'!$U$2),""),"")</x:f>
        <x:v>50</x:v>
      </x:c>
      <x:c r="BH316" t="n">
        <x:f>IF((COUNT('Quantification_Results'!BG316)=1),IFERROR(ROUND((SUM(('Quantification_Results'!BG316*'Quantification_Config'!$R$18))/SUM('Quantification_Config'!$R$18)),'Quantification_Config'!$U$2),""),"")</x:f>
        <x:v>50</x:v>
      </x:c>
      <x:c r="BI316">
        <x:f>IF((COUNT('Quantification_Results'!L316,'Quantification_Results'!X316,'Quantification_Results'!AJ316,'Quantification_Results'!AV316,'Quantification_Results'!BH316)=5),IFERROR(ROUND((SUM(('Quantification_Results'!L316*'Quantification_Config'!$R$4),('Quantification_Results'!X316*'Quantification_Config'!$R$7),('Quantification_Results'!AJ316*'Quantification_Config'!$R$10),('Quantification_Results'!AV316*'Quantification_Config'!$R$13),('Quantification_Results'!BH316*'Quantification_Config'!$R$16))/SUM('Quantification_Config'!$R$4,'Quantification_Config'!$R$7,'Quantification_Config'!$R$10,'Quantification_Config'!$R$13,'Quantification_Config'!$R$16)),'Quantification_Config'!$U$2),""),"")</x:f>
      </x:c>
    </x:row>
    <x:row r="317">
      <x:c r="A317" t="n">
        <x:v>1</x:v>
      </x:c>
      <x:c r="B317" t="n">
        <x:v>5</x:v>
      </x:c>
      <x:c r="C317"/>
      <x:c r="D317" t="n">
        <x:f>IF(('Quantification_Results'!A317&lt;&gt;1),"",IF(('Quantification_Results'!C317=""),IF(ISNUMBER('Quantification_Results'!B317),IF(('Quantification_Results'!B317&lt;'Quantification_Config'!$S$6),"",IF(('Quantification_Results'!B317&gt;'Quantification_Config'!$T$6),"",'Quantification_Results'!B317)),""),IF(ISNUMBER('Quantification_Results'!C317),IF(('Quantification_Results'!C317&lt;'Quantification_Config'!$S$6),"",IF(('Quantification_Results'!C317&gt;'Quantification_Config'!$T$6),"",'Quantification_Results'!C317)),"")))</x:f>
        <x:v>5</x:v>
      </x:c>
      <x:c r="E317" t="n">
        <x:f>IF(ISNUMBER('Quantification_Results'!D317),IFERROR(ROUND(((('Quantification_Results'!D317-'Quantification_Config'!$S$6)/('Quantification_Config'!$T$6-'Quantification_Config'!$S$6))*100),'Quantification_Config'!$U$2),""),"")</x:f>
        <x:v>50</x:v>
      </x:c>
      <x:c r="F317" t="inlineStr">
        <x:is>
          <x:t xml:space="preserve">SYSTEM-TEST-ONLY-NO-NETWORK-NOT-AN-EDUCATIONAL-EVALUATION</x:t>
        </x:is>
      </x:c>
      <x:c r="G317" t="inlineStr">
        <x:is>
          <x:t xml:space="preserve"/>
        </x:is>
      </x:c>
      <x:c r="H317" t="inlineStr">
        <x:is>
          <x:t xml:space="preserve">NONE</x:t>
        </x:is>
      </x:c>
      <x:c r="I317" t="inlineStr">
        <x:is>
          <x:t xml:space="preserve"/>
        </x:is>
      </x:c>
      <x:c r="J317" t="inlineStr">
        <x:is>
          <x:t xml:space="preserve">SUCCESS</x:t>
        </x:is>
      </x:c>
      <x:c r="K317" t="n">
        <x:f>IF((COUNT('Quantification_Results'!E317)=1),IFERROR(ROUND((SUM(('Quantification_Results'!E317*'Quantification_Config'!$R$6))/SUM('Quantification_Config'!$R$6)),'Quantification_Config'!$U$2),""),"")</x:f>
        <x:v>50</x:v>
      </x:c>
      <x:c r="L317" t="n">
        <x:f>IF((COUNT('Quantification_Results'!K317)=1),IFERROR(ROUND((SUM(('Quantification_Results'!K317*'Quantification_Config'!$R$5))/SUM('Quantification_Config'!$R$5)),'Quantification_Config'!$U$2),""),"")</x:f>
        <x:v>50</x:v>
      </x:c>
      <x:c r="M317" t="n">
        <x:v>1</x:v>
      </x:c>
      <x:c r="N317" t="n">
        <x:v>5</x:v>
      </x:c>
      <x:c r="O317"/>
      <x:c r="P317" t="n">
        <x:f>IF(('Quantification_Results'!M317&lt;&gt;1),"",IF(('Quantification_Results'!O317=""),IF(ISNUMBER('Quantification_Results'!N317),IF(('Quantification_Results'!N317&lt;'Quantification_Config'!$S$9),"",IF(('Quantification_Results'!N317&gt;'Quantification_Config'!$T$9),"",'Quantification_Results'!N317)),""),IF(ISNUMBER('Quantification_Results'!O317),IF(('Quantification_Results'!O317&lt;'Quantification_Config'!$S$9),"",IF(('Quantification_Results'!O317&gt;'Quantification_Config'!$T$9),"",'Quantification_Results'!O317)),"")))</x:f>
        <x:v>5</x:v>
      </x:c>
      <x:c r="Q317" t="n">
        <x:f>IF(ISNUMBER('Quantification_Results'!P317),IFERROR(ROUND(((('Quantification_Results'!P317-'Quantification_Config'!$S$9)/('Quantification_Config'!$T$9-'Quantification_Config'!$S$9))*100),'Quantification_Config'!$U$2),""),"")</x:f>
        <x:v>50</x:v>
      </x:c>
      <x:c r="R317" t="inlineStr">
        <x:is>
          <x:t xml:space="preserve">SYSTEM-TEST-ONLY-NO-NETWORK-NOT-AN-EDUCATIONAL-EVALUATION</x:t>
        </x:is>
      </x:c>
      <x:c r="S317" t="inlineStr">
        <x:is>
          <x:t xml:space="preserve"/>
        </x:is>
      </x:c>
      <x:c r="T317" t="inlineStr">
        <x:is>
          <x:t xml:space="preserve">NONE</x:t>
        </x:is>
      </x:c>
      <x:c r="U317" t="inlineStr">
        <x:is>
          <x:t xml:space="preserve"/>
        </x:is>
      </x:c>
      <x:c r="V317" t="inlineStr">
        <x:is>
          <x:t xml:space="preserve">SUCCESS</x:t>
        </x:is>
      </x:c>
      <x:c r="W317" t="n">
        <x:f>IF((COUNT('Quantification_Results'!Q317)=1),IFERROR(ROUND((SUM(('Quantification_Results'!Q317*'Quantification_Config'!$R$9))/SUM('Quantification_Config'!$R$9)),'Quantification_Config'!$U$2),""),"")</x:f>
        <x:v>50</x:v>
      </x:c>
      <x:c r="X317" t="n">
        <x:f>IF((COUNT('Quantification_Results'!W317)=1),IFERROR(ROUND((SUM(('Quantification_Results'!W317*'Quantification_Config'!$R$8))/SUM('Quantification_Config'!$R$8)),'Quantification_Config'!$U$2),""),"")</x:f>
        <x:v>50</x:v>
      </x:c>
      <x:c r="Y317" t="n">
        <x:v>0</x:v>
      </x:c>
      <x:c r="Z317"/>
      <x:c r="AA317"/>
      <x:c r="AB317">
        <x:f>IF(('Quantification_Results'!Y317&lt;&gt;1),"",IF(('Quantification_Results'!AA317=""),IF(ISNUMBER('Quantification_Results'!Z317),IF(('Quantification_Results'!Z317&lt;'Quantification_Config'!$S$12),"",IF(('Quantification_Results'!Z317&gt;'Quantification_Config'!$T$12),"",'Quantification_Results'!Z317)),""),IF(ISNUMBER('Quantification_Results'!AA317),IF(('Quantification_Results'!AA317&lt;'Quantification_Config'!$S$12),"",IF(('Quantification_Results'!AA317&gt;'Quantification_Config'!$T$12),"",'Quantification_Results'!AA317)),"")))</x:f>
      </x:c>
      <x:c r="AC317">
        <x:f>IF(ISNUMBER('Quantification_Results'!AB317),IFERROR(ROUND(((('Quantification_Results'!AB317-'Quantification_Config'!$S$12)/('Quantification_Config'!$T$12-'Quantification_Config'!$S$12))*100),'Quantification_Config'!$U$2),""),"")</x:f>
      </x:c>
      <x:c r="AD317" t="inlineStr">
        <x:is>
          <x:t xml:space="preserve"/>
        </x:is>
      </x:c>
      <x:c r="AE317" t="inlineStr">
        <x:is>
          <x:t xml:space="preserve"/>
        </x:is>
      </x:c>
      <x:c r="AF317" t="inlineStr">
        <x:is>
          <x:t xml:space="preserve"/>
        </x:is>
      </x:c>
      <x:c r="AG317" t="inlineStr">
        <x:is>
          <x:t xml:space="preserve"/>
        </x:is>
      </x:c>
      <x:c r="AH317" t="inlineStr">
        <x:is>
          <x:t xml:space="preserve">EMPTY</x:t>
        </x:is>
      </x:c>
      <x:c r="AI317">
        <x:f>IF((COUNT('Quantification_Results'!AC317)=1),IFERROR(ROUND((SUM(('Quantification_Results'!AC317*'Quantification_Config'!$R$12))/SUM('Quantification_Config'!$R$12)),'Quantification_Config'!$U$2),""),"")</x:f>
      </x:c>
      <x:c r="AJ317">
        <x:f>IF((COUNT('Quantification_Results'!AI317)=1),IFERROR(ROUND((SUM(('Quantification_Results'!AI317*'Quantification_Config'!$R$11))/SUM('Quantification_Config'!$R$11)),'Quantification_Config'!$U$2),""),"")</x:f>
      </x:c>
      <x:c r="AK317" t="n">
        <x:v>1</x:v>
      </x:c>
      <x:c r="AL317" t="n">
        <x:v>5</x:v>
      </x:c>
      <x:c r="AM317"/>
      <x:c r="AN317" t="n">
        <x:f>IF(('Quantification_Results'!AK317&lt;&gt;1),"",IF(('Quantification_Results'!AM317=""),IF(ISNUMBER('Quantification_Results'!AL317),IF(('Quantification_Results'!AL317&lt;'Quantification_Config'!$S$15),"",IF(('Quantification_Results'!AL317&gt;'Quantification_Config'!$T$15),"",'Quantification_Results'!AL317)),""),IF(ISNUMBER('Quantification_Results'!AM317),IF(('Quantification_Results'!AM317&lt;'Quantification_Config'!$S$15),"",IF(('Quantification_Results'!AM317&gt;'Quantification_Config'!$T$15),"",'Quantification_Results'!AM317)),"")))</x:f>
        <x:v>5</x:v>
      </x:c>
      <x:c r="AO317" t="n">
        <x:f>IF(ISNUMBER('Quantification_Results'!AN317),IFERROR(ROUND(((('Quantification_Results'!AN317-'Quantification_Config'!$S$15)/('Quantification_Config'!$T$15-'Quantification_Config'!$S$15))*100),'Quantification_Config'!$U$2),""),"")</x:f>
        <x:v>50</x:v>
      </x:c>
      <x:c r="AP317" t="inlineStr">
        <x:is>
          <x:t xml:space="preserve">SYSTEM-TEST-ONLY-NO-NETWORK-NOT-AN-EDUCATIONAL-EVALUATION</x:t>
        </x:is>
      </x:c>
      <x:c r="AQ317" t="inlineStr">
        <x:is>
          <x:t xml:space="preserve"/>
        </x:is>
      </x:c>
      <x:c r="AR317" t="inlineStr">
        <x:is>
          <x:t xml:space="preserve">NONE</x:t>
        </x:is>
      </x:c>
      <x:c r="AS317" t="inlineStr">
        <x:is>
          <x:t xml:space="preserve"/>
        </x:is>
      </x:c>
      <x:c r="AT317" t="inlineStr">
        <x:is>
          <x:t xml:space="preserve">SUCCESS</x:t>
        </x:is>
      </x:c>
      <x:c r="AU317" t="n">
        <x:f>IF((COUNT('Quantification_Results'!AO317)=1),IFERROR(ROUND((SUM(('Quantification_Results'!AO317*'Quantification_Config'!$R$15))/SUM('Quantification_Config'!$R$15)),'Quantification_Config'!$U$2),""),"")</x:f>
        <x:v>50</x:v>
      </x:c>
      <x:c r="AV317" t="n">
        <x:f>IF((COUNT('Quantification_Results'!AU317)=1),IFERROR(ROUND((SUM(('Quantification_Results'!AU317*'Quantification_Config'!$R$14))/SUM('Quantification_Config'!$R$14)),'Quantification_Config'!$U$2),""),"")</x:f>
        <x:v>50</x:v>
      </x:c>
      <x:c r="AW317" t="n">
        <x:v>1</x:v>
      </x:c>
      <x:c r="AX317" t="n">
        <x:v>5</x:v>
      </x:c>
      <x:c r="AY317"/>
      <x:c r="AZ317" t="n">
        <x:f>IF(('Quantification_Results'!AW317&lt;&gt;1),"",IF(('Quantification_Results'!AY317=""),IF(ISNUMBER('Quantification_Results'!AX317),IF(('Quantification_Results'!AX317&lt;'Quantification_Config'!$S$19),"",IF(('Quantification_Results'!AX317&gt;'Quantification_Config'!$T$19),"",'Quantification_Results'!AX317)),""),IF(ISNUMBER('Quantification_Results'!AY317),IF(('Quantification_Results'!AY317&lt;'Quantification_Config'!$S$19),"",IF(('Quantification_Results'!AY317&gt;'Quantification_Config'!$T$19),"",'Quantification_Results'!AY317)),"")))</x:f>
        <x:v>5</x:v>
      </x:c>
      <x:c r="BA317" t="n">
        <x:f>IF(ISNUMBER('Quantification_Results'!AZ317),IFERROR(ROUND(((('Quantification_Results'!AZ317-'Quantification_Config'!$S$19)/('Quantification_Config'!$T$19-'Quantification_Config'!$S$19))*100),'Quantification_Config'!$U$2),""),"")</x:f>
        <x:v>50</x:v>
      </x:c>
      <x:c r="BB317" t="inlineStr">
        <x:is>
          <x:t xml:space="preserve">SYSTEM-TEST-ONLY-NO-NETWORK-NOT-AN-EDUCATIONAL-EVALUATION</x:t>
        </x:is>
      </x:c>
      <x:c r="BC317" t="inlineStr">
        <x:is>
          <x:t xml:space="preserve"/>
        </x:is>
      </x:c>
      <x:c r="BD317" t="inlineStr">
        <x:is>
          <x:t xml:space="preserve">NONE</x:t>
        </x:is>
      </x:c>
      <x:c r="BE317" t="inlineStr">
        <x:is>
          <x:t xml:space="preserve"/>
        </x:is>
      </x:c>
      <x:c r="BF317" t="inlineStr">
        <x:is>
          <x:t xml:space="preserve">SUCCESS</x:t>
        </x:is>
      </x:c>
      <x:c r="BG317" t="n">
        <x:f>IF((COUNT('Quantification_Results'!BA317)=1),IFERROR(ROUND((SUM(('Quantification_Results'!BA317*'Quantification_Config'!$R$19))/SUM('Quantification_Config'!$R$19)),'Quantification_Config'!$U$2),""),"")</x:f>
        <x:v>50</x:v>
      </x:c>
      <x:c r="BH317" t="n">
        <x:f>IF((COUNT('Quantification_Results'!BG317)=1),IFERROR(ROUND((SUM(('Quantification_Results'!BG317*'Quantification_Config'!$R$18))/SUM('Quantification_Config'!$R$18)),'Quantification_Config'!$U$2),""),"")</x:f>
        <x:v>50</x:v>
      </x:c>
      <x:c r="BI317">
        <x:f>IF((COUNT('Quantification_Results'!L317,'Quantification_Results'!X317,'Quantification_Results'!AJ317,'Quantification_Results'!AV317,'Quantification_Results'!BH317)=5),IFERROR(ROUND((SUM(('Quantification_Results'!L317*'Quantification_Config'!$R$4),('Quantification_Results'!X317*'Quantification_Config'!$R$7),('Quantification_Results'!AJ317*'Quantification_Config'!$R$10),('Quantification_Results'!AV317*'Quantification_Config'!$R$13),('Quantification_Results'!BH317*'Quantification_Config'!$R$16))/SUM('Quantification_Config'!$R$4,'Quantification_Config'!$R$7,'Quantification_Config'!$R$10,'Quantification_Config'!$R$13,'Quantification_Config'!$R$16)),'Quantification_Config'!$U$2),""),"")</x:f>
      </x:c>
    </x:row>
    <x:row r="318">
      <x:c r="A318" t="n">
        <x:v>1</x:v>
      </x:c>
      <x:c r="B318" t="n">
        <x:v>5</x:v>
      </x:c>
      <x:c r="C318"/>
      <x:c r="D318" t="n">
        <x:f>IF(('Quantification_Results'!A318&lt;&gt;1),"",IF(('Quantification_Results'!C318=""),IF(ISNUMBER('Quantification_Results'!B318),IF(('Quantification_Results'!B318&lt;'Quantification_Config'!$S$6),"",IF(('Quantification_Results'!B318&gt;'Quantification_Config'!$T$6),"",'Quantification_Results'!B318)),""),IF(ISNUMBER('Quantification_Results'!C318),IF(('Quantification_Results'!C318&lt;'Quantification_Config'!$S$6),"",IF(('Quantification_Results'!C318&gt;'Quantification_Config'!$T$6),"",'Quantification_Results'!C318)),"")))</x:f>
        <x:v>5</x:v>
      </x:c>
      <x:c r="E318" t="n">
        <x:f>IF(ISNUMBER('Quantification_Results'!D318),IFERROR(ROUND(((('Quantification_Results'!D318-'Quantification_Config'!$S$6)/('Quantification_Config'!$T$6-'Quantification_Config'!$S$6))*100),'Quantification_Config'!$U$2),""),"")</x:f>
        <x:v>50</x:v>
      </x:c>
      <x:c r="F318" t="inlineStr">
        <x:is>
          <x:t xml:space="preserve">SYSTEM-TEST-ONLY-NO-NETWORK-NOT-AN-EDUCATIONAL-EVALUATION</x:t>
        </x:is>
      </x:c>
      <x:c r="G318" t="inlineStr">
        <x:is>
          <x:t xml:space="preserve"/>
        </x:is>
      </x:c>
      <x:c r="H318" t="inlineStr">
        <x:is>
          <x:t xml:space="preserve">NONE</x:t>
        </x:is>
      </x:c>
      <x:c r="I318" t="inlineStr">
        <x:is>
          <x:t xml:space="preserve"/>
        </x:is>
      </x:c>
      <x:c r="J318" t="inlineStr">
        <x:is>
          <x:t xml:space="preserve">SUCCESS</x:t>
        </x:is>
      </x:c>
      <x:c r="K318" t="n">
        <x:f>IF((COUNT('Quantification_Results'!E318)=1),IFERROR(ROUND((SUM(('Quantification_Results'!E318*'Quantification_Config'!$R$6))/SUM('Quantification_Config'!$R$6)),'Quantification_Config'!$U$2),""),"")</x:f>
        <x:v>50</x:v>
      </x:c>
      <x:c r="L318" t="n">
        <x:f>IF((COUNT('Quantification_Results'!K318)=1),IFERROR(ROUND((SUM(('Quantification_Results'!K318*'Quantification_Config'!$R$5))/SUM('Quantification_Config'!$R$5)),'Quantification_Config'!$U$2),""),"")</x:f>
        <x:v>50</x:v>
      </x:c>
      <x:c r="M318" t="n">
        <x:v>1</x:v>
      </x:c>
      <x:c r="N318" t="n">
        <x:v>5</x:v>
      </x:c>
      <x:c r="O318"/>
      <x:c r="P318" t="n">
        <x:f>IF(('Quantification_Results'!M318&lt;&gt;1),"",IF(('Quantification_Results'!O318=""),IF(ISNUMBER('Quantification_Results'!N318),IF(('Quantification_Results'!N318&lt;'Quantification_Config'!$S$9),"",IF(('Quantification_Results'!N318&gt;'Quantification_Config'!$T$9),"",'Quantification_Results'!N318)),""),IF(ISNUMBER('Quantification_Results'!O318),IF(('Quantification_Results'!O318&lt;'Quantification_Config'!$S$9),"",IF(('Quantification_Results'!O318&gt;'Quantification_Config'!$T$9),"",'Quantification_Results'!O318)),"")))</x:f>
        <x:v>5</x:v>
      </x:c>
      <x:c r="Q318" t="n">
        <x:f>IF(ISNUMBER('Quantification_Results'!P318),IFERROR(ROUND(((('Quantification_Results'!P318-'Quantification_Config'!$S$9)/('Quantification_Config'!$T$9-'Quantification_Config'!$S$9))*100),'Quantification_Config'!$U$2),""),"")</x:f>
        <x:v>50</x:v>
      </x:c>
      <x:c r="R318" t="inlineStr">
        <x:is>
          <x:t xml:space="preserve">SYSTEM-TEST-ONLY-NO-NETWORK-NOT-AN-EDUCATIONAL-EVALUATION</x:t>
        </x:is>
      </x:c>
      <x:c r="S318" t="inlineStr">
        <x:is>
          <x:t xml:space="preserve"/>
        </x:is>
      </x:c>
      <x:c r="T318" t="inlineStr">
        <x:is>
          <x:t xml:space="preserve">NONE</x:t>
        </x:is>
      </x:c>
      <x:c r="U318" t="inlineStr">
        <x:is>
          <x:t xml:space="preserve"/>
        </x:is>
      </x:c>
      <x:c r="V318" t="inlineStr">
        <x:is>
          <x:t xml:space="preserve">SUCCESS</x:t>
        </x:is>
      </x:c>
      <x:c r="W318" t="n">
        <x:f>IF((COUNT('Quantification_Results'!Q318)=1),IFERROR(ROUND((SUM(('Quantification_Results'!Q318*'Quantification_Config'!$R$9))/SUM('Quantification_Config'!$R$9)),'Quantification_Config'!$U$2),""),"")</x:f>
        <x:v>50</x:v>
      </x:c>
      <x:c r="X318" t="n">
        <x:f>IF((COUNT('Quantification_Results'!W318)=1),IFERROR(ROUND((SUM(('Quantification_Results'!W318*'Quantification_Config'!$R$8))/SUM('Quantification_Config'!$R$8)),'Quantification_Config'!$U$2),""),"")</x:f>
        <x:v>50</x:v>
      </x:c>
      <x:c r="Y318" t="n">
        <x:v>0</x:v>
      </x:c>
      <x:c r="Z318"/>
      <x:c r="AA318"/>
      <x:c r="AB318">
        <x:f>IF(('Quantification_Results'!Y318&lt;&gt;1),"",IF(('Quantification_Results'!AA318=""),IF(ISNUMBER('Quantification_Results'!Z318),IF(('Quantification_Results'!Z318&lt;'Quantification_Config'!$S$12),"",IF(('Quantification_Results'!Z318&gt;'Quantification_Config'!$T$12),"",'Quantification_Results'!Z318)),""),IF(ISNUMBER('Quantification_Results'!AA318),IF(('Quantification_Results'!AA318&lt;'Quantification_Config'!$S$12),"",IF(('Quantification_Results'!AA318&gt;'Quantification_Config'!$T$12),"",'Quantification_Results'!AA318)),"")))</x:f>
      </x:c>
      <x:c r="AC318">
        <x:f>IF(ISNUMBER('Quantification_Results'!AB318),IFERROR(ROUND(((('Quantification_Results'!AB318-'Quantification_Config'!$S$12)/('Quantification_Config'!$T$12-'Quantification_Config'!$S$12))*100),'Quantification_Config'!$U$2),""),"")</x:f>
      </x:c>
      <x:c r="AD318" t="inlineStr">
        <x:is>
          <x:t xml:space="preserve"/>
        </x:is>
      </x:c>
      <x:c r="AE318" t="inlineStr">
        <x:is>
          <x:t xml:space="preserve"/>
        </x:is>
      </x:c>
      <x:c r="AF318" t="inlineStr">
        <x:is>
          <x:t xml:space="preserve"/>
        </x:is>
      </x:c>
      <x:c r="AG318" t="inlineStr">
        <x:is>
          <x:t xml:space="preserve"/>
        </x:is>
      </x:c>
      <x:c r="AH318" t="inlineStr">
        <x:is>
          <x:t xml:space="preserve">EMPTY</x:t>
        </x:is>
      </x:c>
      <x:c r="AI318">
        <x:f>IF((COUNT('Quantification_Results'!AC318)=1),IFERROR(ROUND((SUM(('Quantification_Results'!AC318*'Quantification_Config'!$R$12))/SUM('Quantification_Config'!$R$12)),'Quantification_Config'!$U$2),""),"")</x:f>
      </x:c>
      <x:c r="AJ318">
        <x:f>IF((COUNT('Quantification_Results'!AI318)=1),IFERROR(ROUND((SUM(('Quantification_Results'!AI318*'Quantification_Config'!$R$11))/SUM('Quantification_Config'!$R$11)),'Quantification_Config'!$U$2),""),"")</x:f>
      </x:c>
      <x:c r="AK318" t="n">
        <x:v>1</x:v>
      </x:c>
      <x:c r="AL318" t="n">
        <x:v>5</x:v>
      </x:c>
      <x:c r="AM318"/>
      <x:c r="AN318" t="n">
        <x:f>IF(('Quantification_Results'!AK318&lt;&gt;1),"",IF(('Quantification_Results'!AM318=""),IF(ISNUMBER('Quantification_Results'!AL318),IF(('Quantification_Results'!AL318&lt;'Quantification_Config'!$S$15),"",IF(('Quantification_Results'!AL318&gt;'Quantification_Config'!$T$15),"",'Quantification_Results'!AL318)),""),IF(ISNUMBER('Quantification_Results'!AM318),IF(('Quantification_Results'!AM318&lt;'Quantification_Config'!$S$15),"",IF(('Quantification_Results'!AM318&gt;'Quantification_Config'!$T$15),"",'Quantification_Results'!AM318)),"")))</x:f>
        <x:v>5</x:v>
      </x:c>
      <x:c r="AO318" t="n">
        <x:f>IF(ISNUMBER('Quantification_Results'!AN318),IFERROR(ROUND(((('Quantification_Results'!AN318-'Quantification_Config'!$S$15)/('Quantification_Config'!$T$15-'Quantification_Config'!$S$15))*100),'Quantification_Config'!$U$2),""),"")</x:f>
        <x:v>50</x:v>
      </x:c>
      <x:c r="AP318" t="inlineStr">
        <x:is>
          <x:t xml:space="preserve">SYSTEM-TEST-ONLY-NO-NETWORK-NOT-AN-EDUCATIONAL-EVALUATION</x:t>
        </x:is>
      </x:c>
      <x:c r="AQ318" t="inlineStr">
        <x:is>
          <x:t xml:space="preserve"/>
        </x:is>
      </x:c>
      <x:c r="AR318" t="inlineStr">
        <x:is>
          <x:t xml:space="preserve">NONE</x:t>
        </x:is>
      </x:c>
      <x:c r="AS318" t="inlineStr">
        <x:is>
          <x:t xml:space="preserve"/>
        </x:is>
      </x:c>
      <x:c r="AT318" t="inlineStr">
        <x:is>
          <x:t xml:space="preserve">SUCCESS</x:t>
        </x:is>
      </x:c>
      <x:c r="AU318" t="n">
        <x:f>IF((COUNT('Quantification_Results'!AO318)=1),IFERROR(ROUND((SUM(('Quantification_Results'!AO318*'Quantification_Config'!$R$15))/SUM('Quantification_Config'!$R$15)),'Quantification_Config'!$U$2),""),"")</x:f>
        <x:v>50</x:v>
      </x:c>
      <x:c r="AV318" t="n">
        <x:f>IF((COUNT('Quantification_Results'!AU318)=1),IFERROR(ROUND((SUM(('Quantification_Results'!AU318*'Quantification_Config'!$R$14))/SUM('Quantification_Config'!$R$14)),'Quantification_Config'!$U$2),""),"")</x:f>
        <x:v>50</x:v>
      </x:c>
      <x:c r="AW318" t="n">
        <x:v>1</x:v>
      </x:c>
      <x:c r="AX318" t="n">
        <x:v>5</x:v>
      </x:c>
      <x:c r="AY318"/>
      <x:c r="AZ318" t="n">
        <x:f>IF(('Quantification_Results'!AW318&lt;&gt;1),"",IF(('Quantification_Results'!AY318=""),IF(ISNUMBER('Quantification_Results'!AX318),IF(('Quantification_Results'!AX318&lt;'Quantification_Config'!$S$19),"",IF(('Quantification_Results'!AX318&gt;'Quantification_Config'!$T$19),"",'Quantification_Results'!AX318)),""),IF(ISNUMBER('Quantification_Results'!AY318),IF(('Quantification_Results'!AY318&lt;'Quantification_Config'!$S$19),"",IF(('Quantification_Results'!AY318&gt;'Quantification_Config'!$T$19),"",'Quantification_Results'!AY318)),"")))</x:f>
        <x:v>5</x:v>
      </x:c>
      <x:c r="BA318" t="n">
        <x:f>IF(ISNUMBER('Quantification_Results'!AZ318),IFERROR(ROUND(((('Quantification_Results'!AZ318-'Quantification_Config'!$S$19)/('Quantification_Config'!$T$19-'Quantification_Config'!$S$19))*100),'Quantification_Config'!$U$2),""),"")</x:f>
        <x:v>50</x:v>
      </x:c>
      <x:c r="BB318" t="inlineStr">
        <x:is>
          <x:t xml:space="preserve">SYSTEM-TEST-ONLY-NO-NETWORK-NOT-AN-EDUCATIONAL-EVALUATION</x:t>
        </x:is>
      </x:c>
      <x:c r="BC318" t="inlineStr">
        <x:is>
          <x:t xml:space="preserve"/>
        </x:is>
      </x:c>
      <x:c r="BD318" t="inlineStr">
        <x:is>
          <x:t xml:space="preserve">NONE</x:t>
        </x:is>
      </x:c>
      <x:c r="BE318" t="inlineStr">
        <x:is>
          <x:t xml:space="preserve"/>
        </x:is>
      </x:c>
      <x:c r="BF318" t="inlineStr">
        <x:is>
          <x:t xml:space="preserve">SUCCESS</x:t>
        </x:is>
      </x:c>
      <x:c r="BG318" t="n">
        <x:f>IF((COUNT('Quantification_Results'!BA318)=1),IFERROR(ROUND((SUM(('Quantification_Results'!BA318*'Quantification_Config'!$R$19))/SUM('Quantification_Config'!$R$19)),'Quantification_Config'!$U$2),""),"")</x:f>
        <x:v>50</x:v>
      </x:c>
      <x:c r="BH318" t="n">
        <x:f>IF((COUNT('Quantification_Results'!BG318)=1),IFERROR(ROUND((SUM(('Quantification_Results'!BG318*'Quantification_Config'!$R$18))/SUM('Quantification_Config'!$R$18)),'Quantification_Config'!$U$2),""),"")</x:f>
        <x:v>50</x:v>
      </x:c>
      <x:c r="BI318">
        <x:f>IF((COUNT('Quantification_Results'!L318,'Quantification_Results'!X318,'Quantification_Results'!AJ318,'Quantification_Results'!AV318,'Quantification_Results'!BH318)=5),IFERROR(ROUND((SUM(('Quantification_Results'!L318*'Quantification_Config'!$R$4),('Quantification_Results'!X318*'Quantification_Config'!$R$7),('Quantification_Results'!AJ318*'Quantification_Config'!$R$10),('Quantification_Results'!AV318*'Quantification_Config'!$R$13),('Quantification_Results'!BH318*'Quantification_Config'!$R$16))/SUM('Quantification_Config'!$R$4,'Quantification_Config'!$R$7,'Quantification_Config'!$R$10,'Quantification_Config'!$R$13,'Quantification_Config'!$R$16)),'Quantification_Config'!$U$2),""),"")</x:f>
      </x:c>
    </x:row>
    <x:row r="319">
      <x:c r="A319" t="n">
        <x:v>1</x:v>
      </x:c>
      <x:c r="B319" t="n">
        <x:v>5</x:v>
      </x:c>
      <x:c r="C319"/>
      <x:c r="D319" t="n">
        <x:f>IF(('Quantification_Results'!A319&lt;&gt;1),"",IF(('Quantification_Results'!C319=""),IF(ISNUMBER('Quantification_Results'!B319),IF(('Quantification_Results'!B319&lt;'Quantification_Config'!$S$6),"",IF(('Quantification_Results'!B319&gt;'Quantification_Config'!$T$6),"",'Quantification_Results'!B319)),""),IF(ISNUMBER('Quantification_Results'!C319),IF(('Quantification_Results'!C319&lt;'Quantification_Config'!$S$6),"",IF(('Quantification_Results'!C319&gt;'Quantification_Config'!$T$6),"",'Quantification_Results'!C319)),"")))</x:f>
        <x:v>5</x:v>
      </x:c>
      <x:c r="E319" t="n">
        <x:f>IF(ISNUMBER('Quantification_Results'!D319),IFERROR(ROUND(((('Quantification_Results'!D319-'Quantification_Config'!$S$6)/('Quantification_Config'!$T$6-'Quantification_Config'!$S$6))*100),'Quantification_Config'!$U$2),""),"")</x:f>
        <x:v>50</x:v>
      </x:c>
      <x:c r="F319" t="inlineStr">
        <x:is>
          <x:t xml:space="preserve">SYSTEM-TEST-ONLY-NO-NETWORK-NOT-AN-EDUCATIONAL-EVALUATION</x:t>
        </x:is>
      </x:c>
      <x:c r="G319" t="inlineStr">
        <x:is>
          <x:t xml:space="preserve"/>
        </x:is>
      </x:c>
      <x:c r="H319" t="inlineStr">
        <x:is>
          <x:t xml:space="preserve">NONE</x:t>
        </x:is>
      </x:c>
      <x:c r="I319" t="inlineStr">
        <x:is>
          <x:t xml:space="preserve"/>
        </x:is>
      </x:c>
      <x:c r="J319" t="inlineStr">
        <x:is>
          <x:t xml:space="preserve">SUCCESS</x:t>
        </x:is>
      </x:c>
      <x:c r="K319" t="n">
        <x:f>IF((COUNT('Quantification_Results'!E319)=1),IFERROR(ROUND((SUM(('Quantification_Results'!E319*'Quantification_Config'!$R$6))/SUM('Quantification_Config'!$R$6)),'Quantification_Config'!$U$2),""),"")</x:f>
        <x:v>50</x:v>
      </x:c>
      <x:c r="L319" t="n">
        <x:f>IF((COUNT('Quantification_Results'!K319)=1),IFERROR(ROUND((SUM(('Quantification_Results'!K319*'Quantification_Config'!$R$5))/SUM('Quantification_Config'!$R$5)),'Quantification_Config'!$U$2),""),"")</x:f>
        <x:v>50</x:v>
      </x:c>
      <x:c r="M319" t="n">
        <x:v>1</x:v>
      </x:c>
      <x:c r="N319" t="n">
        <x:v>5</x:v>
      </x:c>
      <x:c r="O319"/>
      <x:c r="P319" t="n">
        <x:f>IF(('Quantification_Results'!M319&lt;&gt;1),"",IF(('Quantification_Results'!O319=""),IF(ISNUMBER('Quantification_Results'!N319),IF(('Quantification_Results'!N319&lt;'Quantification_Config'!$S$9),"",IF(('Quantification_Results'!N319&gt;'Quantification_Config'!$T$9),"",'Quantification_Results'!N319)),""),IF(ISNUMBER('Quantification_Results'!O319),IF(('Quantification_Results'!O319&lt;'Quantification_Config'!$S$9),"",IF(('Quantification_Results'!O319&gt;'Quantification_Config'!$T$9),"",'Quantification_Results'!O319)),"")))</x:f>
        <x:v>5</x:v>
      </x:c>
      <x:c r="Q319" t="n">
        <x:f>IF(ISNUMBER('Quantification_Results'!P319),IFERROR(ROUND(((('Quantification_Results'!P319-'Quantification_Config'!$S$9)/('Quantification_Config'!$T$9-'Quantification_Config'!$S$9))*100),'Quantification_Config'!$U$2),""),"")</x:f>
        <x:v>50</x:v>
      </x:c>
      <x:c r="R319" t="inlineStr">
        <x:is>
          <x:t xml:space="preserve">SYSTEM-TEST-ONLY-NO-NETWORK-NOT-AN-EDUCATIONAL-EVALUATION</x:t>
        </x:is>
      </x:c>
      <x:c r="S319" t="inlineStr">
        <x:is>
          <x:t xml:space="preserve"/>
        </x:is>
      </x:c>
      <x:c r="T319" t="inlineStr">
        <x:is>
          <x:t xml:space="preserve">NONE</x:t>
        </x:is>
      </x:c>
      <x:c r="U319" t="inlineStr">
        <x:is>
          <x:t xml:space="preserve"/>
        </x:is>
      </x:c>
      <x:c r="V319" t="inlineStr">
        <x:is>
          <x:t xml:space="preserve">SUCCESS</x:t>
        </x:is>
      </x:c>
      <x:c r="W319" t="n">
        <x:f>IF((COUNT('Quantification_Results'!Q319)=1),IFERROR(ROUND((SUM(('Quantification_Results'!Q319*'Quantification_Config'!$R$9))/SUM('Quantification_Config'!$R$9)),'Quantification_Config'!$U$2),""),"")</x:f>
        <x:v>50</x:v>
      </x:c>
      <x:c r="X319" t="n">
        <x:f>IF((COUNT('Quantification_Results'!W319)=1),IFERROR(ROUND((SUM(('Quantification_Results'!W319*'Quantification_Config'!$R$8))/SUM('Quantification_Config'!$R$8)),'Quantification_Config'!$U$2),""),"")</x:f>
        <x:v>50</x:v>
      </x:c>
      <x:c r="Y319" t="n">
        <x:v>0</x:v>
      </x:c>
      <x:c r="Z319"/>
      <x:c r="AA319"/>
      <x:c r="AB319">
        <x:f>IF(('Quantification_Results'!Y319&lt;&gt;1),"",IF(('Quantification_Results'!AA319=""),IF(ISNUMBER('Quantification_Results'!Z319),IF(('Quantification_Results'!Z319&lt;'Quantification_Config'!$S$12),"",IF(('Quantification_Results'!Z319&gt;'Quantification_Config'!$T$12),"",'Quantification_Results'!Z319)),""),IF(ISNUMBER('Quantification_Results'!AA319),IF(('Quantification_Results'!AA319&lt;'Quantification_Config'!$S$12),"",IF(('Quantification_Results'!AA319&gt;'Quantification_Config'!$T$12),"",'Quantification_Results'!AA319)),"")))</x:f>
      </x:c>
      <x:c r="AC319">
        <x:f>IF(ISNUMBER('Quantification_Results'!AB319),IFERROR(ROUND(((('Quantification_Results'!AB319-'Quantification_Config'!$S$12)/('Quantification_Config'!$T$12-'Quantification_Config'!$S$12))*100),'Quantification_Config'!$U$2),""),"")</x:f>
      </x:c>
      <x:c r="AD319" t="inlineStr">
        <x:is>
          <x:t xml:space="preserve"/>
        </x:is>
      </x:c>
      <x:c r="AE319" t="inlineStr">
        <x:is>
          <x:t xml:space="preserve"/>
        </x:is>
      </x:c>
      <x:c r="AF319" t="inlineStr">
        <x:is>
          <x:t xml:space="preserve"/>
        </x:is>
      </x:c>
      <x:c r="AG319" t="inlineStr">
        <x:is>
          <x:t xml:space="preserve"/>
        </x:is>
      </x:c>
      <x:c r="AH319" t="inlineStr">
        <x:is>
          <x:t xml:space="preserve">EMPTY</x:t>
        </x:is>
      </x:c>
      <x:c r="AI319">
        <x:f>IF((COUNT('Quantification_Results'!AC319)=1),IFERROR(ROUND((SUM(('Quantification_Results'!AC319*'Quantification_Config'!$R$12))/SUM('Quantification_Config'!$R$12)),'Quantification_Config'!$U$2),""),"")</x:f>
      </x:c>
      <x:c r="AJ319">
        <x:f>IF((COUNT('Quantification_Results'!AI319)=1),IFERROR(ROUND((SUM(('Quantification_Results'!AI319*'Quantification_Config'!$R$11))/SUM('Quantification_Config'!$R$11)),'Quantification_Config'!$U$2),""),"")</x:f>
      </x:c>
      <x:c r="AK319" t="n">
        <x:v>1</x:v>
      </x:c>
      <x:c r="AL319" t="n">
        <x:v>5</x:v>
      </x:c>
      <x:c r="AM319"/>
      <x:c r="AN319" t="n">
        <x:f>IF(('Quantification_Results'!AK319&lt;&gt;1),"",IF(('Quantification_Results'!AM319=""),IF(ISNUMBER('Quantification_Results'!AL319),IF(('Quantification_Results'!AL319&lt;'Quantification_Config'!$S$15),"",IF(('Quantification_Results'!AL319&gt;'Quantification_Config'!$T$15),"",'Quantification_Results'!AL319)),""),IF(ISNUMBER('Quantification_Results'!AM319),IF(('Quantification_Results'!AM319&lt;'Quantification_Config'!$S$15),"",IF(('Quantification_Results'!AM319&gt;'Quantification_Config'!$T$15),"",'Quantification_Results'!AM319)),"")))</x:f>
        <x:v>5</x:v>
      </x:c>
      <x:c r="AO319" t="n">
        <x:f>IF(ISNUMBER('Quantification_Results'!AN319),IFERROR(ROUND(((('Quantification_Results'!AN319-'Quantification_Config'!$S$15)/('Quantification_Config'!$T$15-'Quantification_Config'!$S$15))*100),'Quantification_Config'!$U$2),""),"")</x:f>
        <x:v>50</x:v>
      </x:c>
      <x:c r="AP319" t="inlineStr">
        <x:is>
          <x:t xml:space="preserve">SYSTEM-TEST-ONLY-NO-NETWORK-NOT-AN-EDUCATIONAL-EVALUATION</x:t>
        </x:is>
      </x:c>
      <x:c r="AQ319" t="inlineStr">
        <x:is>
          <x:t xml:space="preserve"/>
        </x:is>
      </x:c>
      <x:c r="AR319" t="inlineStr">
        <x:is>
          <x:t xml:space="preserve">NONE</x:t>
        </x:is>
      </x:c>
      <x:c r="AS319" t="inlineStr">
        <x:is>
          <x:t xml:space="preserve"/>
        </x:is>
      </x:c>
      <x:c r="AT319" t="inlineStr">
        <x:is>
          <x:t xml:space="preserve">SUCCESS</x:t>
        </x:is>
      </x:c>
      <x:c r="AU319" t="n">
        <x:f>IF((COUNT('Quantification_Results'!AO319)=1),IFERROR(ROUND((SUM(('Quantification_Results'!AO319*'Quantification_Config'!$R$15))/SUM('Quantification_Config'!$R$15)),'Quantification_Config'!$U$2),""),"")</x:f>
        <x:v>50</x:v>
      </x:c>
      <x:c r="AV319" t="n">
        <x:f>IF((COUNT('Quantification_Results'!AU319)=1),IFERROR(ROUND((SUM(('Quantification_Results'!AU319*'Quantification_Config'!$R$14))/SUM('Quantification_Config'!$R$14)),'Quantification_Config'!$U$2),""),"")</x:f>
        <x:v>50</x:v>
      </x:c>
      <x:c r="AW319" t="n">
        <x:v>1</x:v>
      </x:c>
      <x:c r="AX319" t="n">
        <x:v>5</x:v>
      </x:c>
      <x:c r="AY319"/>
      <x:c r="AZ319" t="n">
        <x:f>IF(('Quantification_Results'!AW319&lt;&gt;1),"",IF(('Quantification_Results'!AY319=""),IF(ISNUMBER('Quantification_Results'!AX319),IF(('Quantification_Results'!AX319&lt;'Quantification_Config'!$S$19),"",IF(('Quantification_Results'!AX319&gt;'Quantification_Config'!$T$19),"",'Quantification_Results'!AX319)),""),IF(ISNUMBER('Quantification_Results'!AY319),IF(('Quantification_Results'!AY319&lt;'Quantification_Config'!$S$19),"",IF(('Quantification_Results'!AY319&gt;'Quantification_Config'!$T$19),"",'Quantification_Results'!AY319)),"")))</x:f>
        <x:v>5</x:v>
      </x:c>
      <x:c r="BA319" t="n">
        <x:f>IF(ISNUMBER('Quantification_Results'!AZ319),IFERROR(ROUND(((('Quantification_Results'!AZ319-'Quantification_Config'!$S$19)/('Quantification_Config'!$T$19-'Quantification_Config'!$S$19))*100),'Quantification_Config'!$U$2),""),"")</x:f>
        <x:v>50</x:v>
      </x:c>
      <x:c r="BB319" t="inlineStr">
        <x:is>
          <x:t xml:space="preserve">SYSTEM-TEST-ONLY-NO-NETWORK-NOT-AN-EDUCATIONAL-EVALUATION</x:t>
        </x:is>
      </x:c>
      <x:c r="BC319" t="inlineStr">
        <x:is>
          <x:t xml:space="preserve"/>
        </x:is>
      </x:c>
      <x:c r="BD319" t="inlineStr">
        <x:is>
          <x:t xml:space="preserve">NONE</x:t>
        </x:is>
      </x:c>
      <x:c r="BE319" t="inlineStr">
        <x:is>
          <x:t xml:space="preserve"/>
        </x:is>
      </x:c>
      <x:c r="BF319" t="inlineStr">
        <x:is>
          <x:t xml:space="preserve">SUCCESS</x:t>
        </x:is>
      </x:c>
      <x:c r="BG319" t="n">
        <x:f>IF((COUNT('Quantification_Results'!BA319)=1),IFERROR(ROUND((SUM(('Quantification_Results'!BA319*'Quantification_Config'!$R$19))/SUM('Quantification_Config'!$R$19)),'Quantification_Config'!$U$2),""),"")</x:f>
        <x:v>50</x:v>
      </x:c>
      <x:c r="BH319" t="n">
        <x:f>IF((COUNT('Quantification_Results'!BG319)=1),IFERROR(ROUND((SUM(('Quantification_Results'!BG319*'Quantification_Config'!$R$18))/SUM('Quantification_Config'!$R$18)),'Quantification_Config'!$U$2),""),"")</x:f>
        <x:v>50</x:v>
      </x:c>
      <x:c r="BI319">
        <x:f>IF((COUNT('Quantification_Results'!L319,'Quantification_Results'!X319,'Quantification_Results'!AJ319,'Quantification_Results'!AV319,'Quantification_Results'!BH319)=5),IFERROR(ROUND((SUM(('Quantification_Results'!L319*'Quantification_Config'!$R$4),('Quantification_Results'!X319*'Quantification_Config'!$R$7),('Quantification_Results'!AJ319*'Quantification_Config'!$R$10),('Quantification_Results'!AV319*'Quantification_Config'!$R$13),('Quantification_Results'!BH319*'Quantification_Config'!$R$16))/SUM('Quantification_Config'!$R$4,'Quantification_Config'!$R$7,'Quantification_Config'!$R$10,'Quantification_Config'!$R$13,'Quantification_Config'!$R$16)),'Quantification_Config'!$U$2),""),"")</x:f>
      </x:c>
    </x:row>
    <x:row r="320">
      <x:c r="A320" t="n">
        <x:v>1</x:v>
      </x:c>
      <x:c r="B320" t="n">
        <x:v>5</x:v>
      </x:c>
      <x:c r="C320"/>
      <x:c r="D320" t="n">
        <x:f>IF(('Quantification_Results'!A320&lt;&gt;1),"",IF(('Quantification_Results'!C320=""),IF(ISNUMBER('Quantification_Results'!B320),IF(('Quantification_Results'!B320&lt;'Quantification_Config'!$S$6),"",IF(('Quantification_Results'!B320&gt;'Quantification_Config'!$T$6),"",'Quantification_Results'!B320)),""),IF(ISNUMBER('Quantification_Results'!C320),IF(('Quantification_Results'!C320&lt;'Quantification_Config'!$S$6),"",IF(('Quantification_Results'!C320&gt;'Quantification_Config'!$T$6),"",'Quantification_Results'!C320)),"")))</x:f>
        <x:v>5</x:v>
      </x:c>
      <x:c r="E320" t="n">
        <x:f>IF(ISNUMBER('Quantification_Results'!D320),IFERROR(ROUND(((('Quantification_Results'!D320-'Quantification_Config'!$S$6)/('Quantification_Config'!$T$6-'Quantification_Config'!$S$6))*100),'Quantification_Config'!$U$2),""),"")</x:f>
        <x:v>50</x:v>
      </x:c>
      <x:c r="F320" t="inlineStr">
        <x:is>
          <x:t xml:space="preserve">SYSTEM-TEST-ONLY-NO-NETWORK-NOT-AN-EDUCATIONAL-EVALUATION</x:t>
        </x:is>
      </x:c>
      <x:c r="G320" t="inlineStr">
        <x:is>
          <x:t xml:space="preserve"/>
        </x:is>
      </x:c>
      <x:c r="H320" t="inlineStr">
        <x:is>
          <x:t xml:space="preserve">NONE</x:t>
        </x:is>
      </x:c>
      <x:c r="I320" t="inlineStr">
        <x:is>
          <x:t xml:space="preserve"/>
        </x:is>
      </x:c>
      <x:c r="J320" t="inlineStr">
        <x:is>
          <x:t xml:space="preserve">SUCCESS</x:t>
        </x:is>
      </x:c>
      <x:c r="K320" t="n">
        <x:f>IF((COUNT('Quantification_Results'!E320)=1),IFERROR(ROUND((SUM(('Quantification_Results'!E320*'Quantification_Config'!$R$6))/SUM('Quantification_Config'!$R$6)),'Quantification_Config'!$U$2),""),"")</x:f>
        <x:v>50</x:v>
      </x:c>
      <x:c r="L320" t="n">
        <x:f>IF((COUNT('Quantification_Results'!K320)=1),IFERROR(ROUND((SUM(('Quantification_Results'!K320*'Quantification_Config'!$R$5))/SUM('Quantification_Config'!$R$5)),'Quantification_Config'!$U$2),""),"")</x:f>
        <x:v>50</x:v>
      </x:c>
      <x:c r="M320" t="n">
        <x:v>0</x:v>
      </x:c>
      <x:c r="N320"/>
      <x:c r="O320"/>
      <x:c r="P320">
        <x:f>IF(('Quantification_Results'!M320&lt;&gt;1),"",IF(('Quantification_Results'!O320=""),IF(ISNUMBER('Quantification_Results'!N320),IF(('Quantification_Results'!N320&lt;'Quantification_Config'!$S$9),"",IF(('Quantification_Results'!N320&gt;'Quantification_Config'!$T$9),"",'Quantification_Results'!N320)),""),IF(ISNUMBER('Quantification_Results'!O320),IF(('Quantification_Results'!O320&lt;'Quantification_Config'!$S$9),"",IF(('Quantification_Results'!O320&gt;'Quantification_Config'!$T$9),"",'Quantification_Results'!O320)),"")))</x:f>
      </x:c>
      <x:c r="Q320">
        <x:f>IF(ISNUMBER('Quantification_Results'!P320),IFERROR(ROUND(((('Quantification_Results'!P320-'Quantification_Config'!$S$9)/('Quantification_Config'!$T$9-'Quantification_Config'!$S$9))*100),'Quantification_Config'!$U$2),""),"")</x:f>
      </x:c>
      <x:c r="R320" t="inlineStr">
        <x:is>
          <x:t xml:space="preserve"/>
        </x:is>
      </x:c>
      <x:c r="S320" t="inlineStr">
        <x:is>
          <x:t xml:space="preserve"/>
        </x:is>
      </x:c>
      <x:c r="T320" t="inlineStr">
        <x:is>
          <x:t xml:space="preserve"/>
        </x:is>
      </x:c>
      <x:c r="U320" t="inlineStr">
        <x:is>
          <x:t xml:space="preserve"/>
        </x:is>
      </x:c>
      <x:c r="V320" t="inlineStr">
        <x:is>
          <x:t xml:space="preserve">EMPTY</x:t>
        </x:is>
      </x:c>
      <x:c r="W320">
        <x:f>IF((COUNT('Quantification_Results'!Q320)=1),IFERROR(ROUND((SUM(('Quantification_Results'!Q320*'Quantification_Config'!$R$9))/SUM('Quantification_Config'!$R$9)),'Quantification_Config'!$U$2),""),"")</x:f>
      </x:c>
      <x:c r="X320">
        <x:f>IF((COUNT('Quantification_Results'!W320)=1),IFERROR(ROUND((SUM(('Quantification_Results'!W320*'Quantification_Config'!$R$8))/SUM('Quantification_Config'!$R$8)),'Quantification_Config'!$U$2),""),"")</x:f>
      </x:c>
      <x:c r="Y320" t="n">
        <x:v>0</x:v>
      </x:c>
      <x:c r="Z320"/>
      <x:c r="AA320"/>
      <x:c r="AB320">
        <x:f>IF(('Quantification_Results'!Y320&lt;&gt;1),"",IF(('Quantification_Results'!AA320=""),IF(ISNUMBER('Quantification_Results'!Z320),IF(('Quantification_Results'!Z320&lt;'Quantification_Config'!$S$12),"",IF(('Quantification_Results'!Z320&gt;'Quantification_Config'!$T$12),"",'Quantification_Results'!Z320)),""),IF(ISNUMBER('Quantification_Results'!AA320),IF(('Quantification_Results'!AA320&lt;'Quantification_Config'!$S$12),"",IF(('Quantification_Results'!AA320&gt;'Quantification_Config'!$T$12),"",'Quantification_Results'!AA320)),"")))</x:f>
      </x:c>
      <x:c r="AC320">
        <x:f>IF(ISNUMBER('Quantification_Results'!AB320),IFERROR(ROUND(((('Quantification_Results'!AB320-'Quantification_Config'!$S$12)/('Quantification_Config'!$T$12-'Quantification_Config'!$S$12))*100),'Quantification_Config'!$U$2),""),"")</x:f>
      </x:c>
      <x:c r="AD320" t="inlineStr">
        <x:is>
          <x:t xml:space="preserve"/>
        </x:is>
      </x:c>
      <x:c r="AE320" t="inlineStr">
        <x:is>
          <x:t xml:space="preserve"/>
        </x:is>
      </x:c>
      <x:c r="AF320" t="inlineStr">
        <x:is>
          <x:t xml:space="preserve"/>
        </x:is>
      </x:c>
      <x:c r="AG320" t="inlineStr">
        <x:is>
          <x:t xml:space="preserve"/>
        </x:is>
      </x:c>
      <x:c r="AH320" t="inlineStr">
        <x:is>
          <x:t xml:space="preserve">EMPTY</x:t>
        </x:is>
      </x:c>
      <x:c r="AI320">
        <x:f>IF((COUNT('Quantification_Results'!AC320)=1),IFERROR(ROUND((SUM(('Quantification_Results'!AC320*'Quantification_Config'!$R$12))/SUM('Quantification_Config'!$R$12)),'Quantification_Config'!$U$2),""),"")</x:f>
      </x:c>
      <x:c r="AJ320">
        <x:f>IF((COUNT('Quantification_Results'!AI320)=1),IFERROR(ROUND((SUM(('Quantification_Results'!AI320*'Quantification_Config'!$R$11))/SUM('Quantification_Config'!$R$11)),'Quantification_Config'!$U$2),""),"")</x:f>
      </x:c>
      <x:c r="AK320" t="n">
        <x:v>1</x:v>
      </x:c>
      <x:c r="AL320" t="n">
        <x:v>5</x:v>
      </x:c>
      <x:c r="AM320"/>
      <x:c r="AN320" t="n">
        <x:f>IF(('Quantification_Results'!AK320&lt;&gt;1),"",IF(('Quantification_Results'!AM320=""),IF(ISNUMBER('Quantification_Results'!AL320),IF(('Quantification_Results'!AL320&lt;'Quantification_Config'!$S$15),"",IF(('Quantification_Results'!AL320&gt;'Quantification_Config'!$T$15),"",'Quantification_Results'!AL320)),""),IF(ISNUMBER('Quantification_Results'!AM320),IF(('Quantification_Results'!AM320&lt;'Quantification_Config'!$S$15),"",IF(('Quantification_Results'!AM320&gt;'Quantification_Config'!$T$15),"",'Quantification_Results'!AM320)),"")))</x:f>
        <x:v>5</x:v>
      </x:c>
      <x:c r="AO320" t="n">
        <x:f>IF(ISNUMBER('Quantification_Results'!AN320),IFERROR(ROUND(((('Quantification_Results'!AN320-'Quantification_Config'!$S$15)/('Quantification_Config'!$T$15-'Quantification_Config'!$S$15))*100),'Quantification_Config'!$U$2),""),"")</x:f>
        <x:v>50</x:v>
      </x:c>
      <x:c r="AP320" t="inlineStr">
        <x:is>
          <x:t xml:space="preserve">SYSTEM-TEST-ONLY-NO-NETWORK-NOT-AN-EDUCATIONAL-EVALUATION</x:t>
        </x:is>
      </x:c>
      <x:c r="AQ320" t="inlineStr">
        <x:is>
          <x:t xml:space="preserve"/>
        </x:is>
      </x:c>
      <x:c r="AR320" t="inlineStr">
        <x:is>
          <x:t xml:space="preserve">NONE</x:t>
        </x:is>
      </x:c>
      <x:c r="AS320" t="inlineStr">
        <x:is>
          <x:t xml:space="preserve"/>
        </x:is>
      </x:c>
      <x:c r="AT320" t="inlineStr">
        <x:is>
          <x:t xml:space="preserve">SUCCESS</x:t>
        </x:is>
      </x:c>
      <x:c r="AU320" t="n">
        <x:f>IF((COUNT('Quantification_Results'!AO320)=1),IFERROR(ROUND((SUM(('Quantification_Results'!AO320*'Quantification_Config'!$R$15))/SUM('Quantification_Config'!$R$15)),'Quantification_Config'!$U$2),""),"")</x:f>
        <x:v>50</x:v>
      </x:c>
      <x:c r="AV320" t="n">
        <x:f>IF((COUNT('Quantification_Results'!AU320)=1),IFERROR(ROUND((SUM(('Quantification_Results'!AU320*'Quantification_Config'!$R$14))/SUM('Quantification_Config'!$R$14)),'Quantification_Config'!$U$2),""),"")</x:f>
        <x:v>50</x:v>
      </x:c>
      <x:c r="AW320" t="n">
        <x:v>0</x:v>
      </x:c>
      <x:c r="AX320"/>
      <x:c r="AY320"/>
      <x:c r="AZ320">
        <x:f>IF(('Quantification_Results'!AW320&lt;&gt;1),"",IF(('Quantification_Results'!AY320=""),IF(ISNUMBER('Quantification_Results'!AX320),IF(('Quantification_Results'!AX320&lt;'Quantification_Config'!$S$19),"",IF(('Quantification_Results'!AX320&gt;'Quantification_Config'!$T$19),"",'Quantification_Results'!AX320)),""),IF(ISNUMBER('Quantification_Results'!AY320),IF(('Quantification_Results'!AY320&lt;'Quantification_Config'!$S$19),"",IF(('Quantification_Results'!AY320&gt;'Quantification_Config'!$T$19),"",'Quantification_Results'!AY320)),"")))</x:f>
      </x:c>
      <x:c r="BA320">
        <x:f>IF(ISNUMBER('Quantification_Results'!AZ320),IFERROR(ROUND(((('Quantification_Results'!AZ320-'Quantification_Config'!$S$19)/('Quantification_Config'!$T$19-'Quantification_Config'!$S$19))*100),'Quantification_Config'!$U$2),""),"")</x:f>
      </x:c>
      <x:c r="BB320" t="inlineStr">
        <x:is>
          <x:t xml:space="preserve"/>
        </x:is>
      </x:c>
      <x:c r="BC320" t="inlineStr">
        <x:is>
          <x:t xml:space="preserve"/>
        </x:is>
      </x:c>
      <x:c r="BD320" t="inlineStr">
        <x:is>
          <x:t xml:space="preserve"/>
        </x:is>
      </x:c>
      <x:c r="BE320" t="inlineStr">
        <x:is>
          <x:t xml:space="preserve"/>
        </x:is>
      </x:c>
      <x:c r="BF320" t="inlineStr">
        <x:is>
          <x:t xml:space="preserve">EMPTY</x:t>
        </x:is>
      </x:c>
      <x:c r="BG320">
        <x:f>IF((COUNT('Quantification_Results'!BA320)=1),IFERROR(ROUND((SUM(('Quantification_Results'!BA320*'Quantification_Config'!$R$19))/SUM('Quantification_Config'!$R$19)),'Quantification_Config'!$U$2),""),"")</x:f>
      </x:c>
      <x:c r="BH320">
        <x:f>IF((COUNT('Quantification_Results'!BG320)=1),IFERROR(ROUND((SUM(('Quantification_Results'!BG320*'Quantification_Config'!$R$18))/SUM('Quantification_Config'!$R$18)),'Quantification_Config'!$U$2),""),"")</x:f>
      </x:c>
      <x:c r="BI320">
        <x:f>IF((COUNT('Quantification_Results'!L320,'Quantification_Results'!X320,'Quantification_Results'!AJ320,'Quantification_Results'!AV320,'Quantification_Results'!BH320)=5),IFERROR(ROUND((SUM(('Quantification_Results'!L320*'Quantification_Config'!$R$4),('Quantification_Results'!X320*'Quantification_Config'!$R$7),('Quantification_Results'!AJ320*'Quantification_Config'!$R$10),('Quantification_Results'!AV320*'Quantification_Config'!$R$13),('Quantification_Results'!BH320*'Quantification_Config'!$R$16))/SUM('Quantification_Config'!$R$4,'Quantification_Config'!$R$7,'Quantification_Config'!$R$10,'Quantification_Config'!$R$13,'Quantification_Config'!$R$16)),'Quantification_Config'!$U$2),""),"")</x:f>
      </x:c>
    </x:row>
    <x:row r="321">
      <x:c r="A321" t="n">
        <x:v>1</x:v>
      </x:c>
      <x:c r="B321" t="n">
        <x:v>5</x:v>
      </x:c>
      <x:c r="C321"/>
      <x:c r="D321" t="n">
        <x:f>IF(('Quantification_Results'!A321&lt;&gt;1),"",IF(('Quantification_Results'!C321=""),IF(ISNUMBER('Quantification_Results'!B321),IF(('Quantification_Results'!B321&lt;'Quantification_Config'!$S$6),"",IF(('Quantification_Results'!B321&gt;'Quantification_Config'!$T$6),"",'Quantification_Results'!B321)),""),IF(ISNUMBER('Quantification_Results'!C321),IF(('Quantification_Results'!C321&lt;'Quantification_Config'!$S$6),"",IF(('Quantification_Results'!C321&gt;'Quantification_Config'!$T$6),"",'Quantification_Results'!C321)),"")))</x:f>
        <x:v>5</x:v>
      </x:c>
      <x:c r="E321" t="n">
        <x:f>IF(ISNUMBER('Quantification_Results'!D321),IFERROR(ROUND(((('Quantification_Results'!D321-'Quantification_Config'!$S$6)/('Quantification_Config'!$T$6-'Quantification_Config'!$S$6))*100),'Quantification_Config'!$U$2),""),"")</x:f>
        <x:v>50</x:v>
      </x:c>
      <x:c r="F321" t="inlineStr">
        <x:is>
          <x:t xml:space="preserve">SYSTEM-TEST-ONLY-NO-NETWORK-NOT-AN-EDUCATIONAL-EVALUATION</x:t>
        </x:is>
      </x:c>
      <x:c r="G321" t="inlineStr">
        <x:is>
          <x:t xml:space="preserve"/>
        </x:is>
      </x:c>
      <x:c r="H321" t="inlineStr">
        <x:is>
          <x:t xml:space="preserve">NONE</x:t>
        </x:is>
      </x:c>
      <x:c r="I321" t="inlineStr">
        <x:is>
          <x:t xml:space="preserve"/>
        </x:is>
      </x:c>
      <x:c r="J321" t="inlineStr">
        <x:is>
          <x:t xml:space="preserve">SUCCESS</x:t>
        </x:is>
      </x:c>
      <x:c r="K321" t="n">
        <x:f>IF((COUNT('Quantification_Results'!E321)=1),IFERROR(ROUND((SUM(('Quantification_Results'!E321*'Quantification_Config'!$R$6))/SUM('Quantification_Config'!$R$6)),'Quantification_Config'!$U$2),""),"")</x:f>
        <x:v>50</x:v>
      </x:c>
      <x:c r="L321" t="n">
        <x:f>IF((COUNT('Quantification_Results'!K321)=1),IFERROR(ROUND((SUM(('Quantification_Results'!K321*'Quantification_Config'!$R$5))/SUM('Quantification_Config'!$R$5)),'Quantification_Config'!$U$2),""),"")</x:f>
        <x:v>50</x:v>
      </x:c>
      <x:c r="M321" t="n">
        <x:v>0</x:v>
      </x:c>
      <x:c r="N321"/>
      <x:c r="O321"/>
      <x:c r="P321">
        <x:f>IF(('Quantification_Results'!M321&lt;&gt;1),"",IF(('Quantification_Results'!O321=""),IF(ISNUMBER('Quantification_Results'!N321),IF(('Quantification_Results'!N321&lt;'Quantification_Config'!$S$9),"",IF(('Quantification_Results'!N321&gt;'Quantification_Config'!$T$9),"",'Quantification_Results'!N321)),""),IF(ISNUMBER('Quantification_Results'!O321),IF(('Quantification_Results'!O321&lt;'Quantification_Config'!$S$9),"",IF(('Quantification_Results'!O321&gt;'Quantification_Config'!$T$9),"",'Quantification_Results'!O321)),"")))</x:f>
      </x:c>
      <x:c r="Q321">
        <x:f>IF(ISNUMBER('Quantification_Results'!P321),IFERROR(ROUND(((('Quantification_Results'!P321-'Quantification_Config'!$S$9)/('Quantification_Config'!$T$9-'Quantification_Config'!$S$9))*100),'Quantification_Config'!$U$2),""),"")</x:f>
      </x:c>
      <x:c r="R321" t="inlineStr">
        <x:is>
          <x:t xml:space="preserve"/>
        </x:is>
      </x:c>
      <x:c r="S321" t="inlineStr">
        <x:is>
          <x:t xml:space="preserve"/>
        </x:is>
      </x:c>
      <x:c r="T321" t="inlineStr">
        <x:is>
          <x:t xml:space="preserve"/>
        </x:is>
      </x:c>
      <x:c r="U321" t="inlineStr">
        <x:is>
          <x:t xml:space="preserve"/>
        </x:is>
      </x:c>
      <x:c r="V321" t="inlineStr">
        <x:is>
          <x:t xml:space="preserve">EMPTY</x:t>
        </x:is>
      </x:c>
      <x:c r="W321">
        <x:f>IF((COUNT('Quantification_Results'!Q321)=1),IFERROR(ROUND((SUM(('Quantification_Results'!Q321*'Quantification_Config'!$R$9))/SUM('Quantification_Config'!$R$9)),'Quantification_Config'!$U$2),""),"")</x:f>
      </x:c>
      <x:c r="X321">
        <x:f>IF((COUNT('Quantification_Results'!W321)=1),IFERROR(ROUND((SUM(('Quantification_Results'!W321*'Quantification_Config'!$R$8))/SUM('Quantification_Config'!$R$8)),'Quantification_Config'!$U$2),""),"")</x:f>
      </x:c>
      <x:c r="Y321" t="n">
        <x:v>0</x:v>
      </x:c>
      <x:c r="Z321"/>
      <x:c r="AA321"/>
      <x:c r="AB321">
        <x:f>IF(('Quantification_Results'!Y321&lt;&gt;1),"",IF(('Quantification_Results'!AA321=""),IF(ISNUMBER('Quantification_Results'!Z321),IF(('Quantification_Results'!Z321&lt;'Quantification_Config'!$S$12),"",IF(('Quantification_Results'!Z321&gt;'Quantification_Config'!$T$12),"",'Quantification_Results'!Z321)),""),IF(ISNUMBER('Quantification_Results'!AA321),IF(('Quantification_Results'!AA321&lt;'Quantification_Config'!$S$12),"",IF(('Quantification_Results'!AA321&gt;'Quantification_Config'!$T$12),"",'Quantification_Results'!AA321)),"")))</x:f>
      </x:c>
      <x:c r="AC321">
        <x:f>IF(ISNUMBER('Quantification_Results'!AB321),IFERROR(ROUND(((('Quantification_Results'!AB321-'Quantification_Config'!$S$12)/('Quantification_Config'!$T$12-'Quantification_Config'!$S$12))*100),'Quantification_Config'!$U$2),""),"")</x:f>
      </x:c>
      <x:c r="AD321" t="inlineStr">
        <x:is>
          <x:t xml:space="preserve"/>
        </x:is>
      </x:c>
      <x:c r="AE321" t="inlineStr">
        <x:is>
          <x:t xml:space="preserve"/>
        </x:is>
      </x:c>
      <x:c r="AF321" t="inlineStr">
        <x:is>
          <x:t xml:space="preserve"/>
        </x:is>
      </x:c>
      <x:c r="AG321" t="inlineStr">
        <x:is>
          <x:t xml:space="preserve"/>
        </x:is>
      </x:c>
      <x:c r="AH321" t="inlineStr">
        <x:is>
          <x:t xml:space="preserve">EMPTY</x:t>
        </x:is>
      </x:c>
      <x:c r="AI321">
        <x:f>IF((COUNT('Quantification_Results'!AC321)=1),IFERROR(ROUND((SUM(('Quantification_Results'!AC321*'Quantification_Config'!$R$12))/SUM('Quantification_Config'!$R$12)),'Quantification_Config'!$U$2),""),"")</x:f>
      </x:c>
      <x:c r="AJ321">
        <x:f>IF((COUNT('Quantification_Results'!AI321)=1),IFERROR(ROUND((SUM(('Quantification_Results'!AI321*'Quantification_Config'!$R$11))/SUM('Quantification_Config'!$R$11)),'Quantification_Config'!$U$2),""),"")</x:f>
      </x:c>
      <x:c r="AK321" t="n">
        <x:v>1</x:v>
      </x:c>
      <x:c r="AL321" t="n">
        <x:v>5</x:v>
      </x:c>
      <x:c r="AM321"/>
      <x:c r="AN321" t="n">
        <x:f>IF(('Quantification_Results'!AK321&lt;&gt;1),"",IF(('Quantification_Results'!AM321=""),IF(ISNUMBER('Quantification_Results'!AL321),IF(('Quantification_Results'!AL321&lt;'Quantification_Config'!$S$15),"",IF(('Quantification_Results'!AL321&gt;'Quantification_Config'!$T$15),"",'Quantification_Results'!AL321)),""),IF(ISNUMBER('Quantification_Results'!AM321),IF(('Quantification_Results'!AM321&lt;'Quantification_Config'!$S$15),"",IF(('Quantification_Results'!AM321&gt;'Quantification_Config'!$T$15),"",'Quantification_Results'!AM321)),"")))</x:f>
        <x:v>5</x:v>
      </x:c>
      <x:c r="AO321" t="n">
        <x:f>IF(ISNUMBER('Quantification_Results'!AN321),IFERROR(ROUND(((('Quantification_Results'!AN321-'Quantification_Config'!$S$15)/('Quantification_Config'!$T$15-'Quantification_Config'!$S$15))*100),'Quantification_Config'!$U$2),""),"")</x:f>
        <x:v>50</x:v>
      </x:c>
      <x:c r="AP321" t="inlineStr">
        <x:is>
          <x:t xml:space="preserve">SYSTEM-TEST-ONLY-NO-NETWORK-NOT-AN-EDUCATIONAL-EVALUATION</x:t>
        </x:is>
      </x:c>
      <x:c r="AQ321" t="inlineStr">
        <x:is>
          <x:t xml:space="preserve"/>
        </x:is>
      </x:c>
      <x:c r="AR321" t="inlineStr">
        <x:is>
          <x:t xml:space="preserve">NONE</x:t>
        </x:is>
      </x:c>
      <x:c r="AS321" t="inlineStr">
        <x:is>
          <x:t xml:space="preserve"/>
        </x:is>
      </x:c>
      <x:c r="AT321" t="inlineStr">
        <x:is>
          <x:t xml:space="preserve">SUCCESS</x:t>
        </x:is>
      </x:c>
      <x:c r="AU321" t="n">
        <x:f>IF((COUNT('Quantification_Results'!AO321)=1),IFERROR(ROUND((SUM(('Quantification_Results'!AO321*'Quantification_Config'!$R$15))/SUM('Quantification_Config'!$R$15)),'Quantification_Config'!$U$2),""),"")</x:f>
        <x:v>50</x:v>
      </x:c>
      <x:c r="AV321" t="n">
        <x:f>IF((COUNT('Quantification_Results'!AU321)=1),IFERROR(ROUND((SUM(('Quantification_Results'!AU321*'Quantification_Config'!$R$14))/SUM('Quantification_Config'!$R$14)),'Quantification_Config'!$U$2),""),"")</x:f>
        <x:v>50</x:v>
      </x:c>
      <x:c r="AW321" t="n">
        <x:v>0</x:v>
      </x:c>
      <x:c r="AX321"/>
      <x:c r="AY321"/>
      <x:c r="AZ321">
        <x:f>IF(('Quantification_Results'!AW321&lt;&gt;1),"",IF(('Quantification_Results'!AY321=""),IF(ISNUMBER('Quantification_Results'!AX321),IF(('Quantification_Results'!AX321&lt;'Quantification_Config'!$S$19),"",IF(('Quantification_Results'!AX321&gt;'Quantification_Config'!$T$19),"",'Quantification_Results'!AX321)),""),IF(ISNUMBER('Quantification_Results'!AY321),IF(('Quantification_Results'!AY321&lt;'Quantification_Config'!$S$19),"",IF(('Quantification_Results'!AY321&gt;'Quantification_Config'!$T$19),"",'Quantification_Results'!AY321)),"")))</x:f>
      </x:c>
      <x:c r="BA321">
        <x:f>IF(ISNUMBER('Quantification_Results'!AZ321),IFERROR(ROUND(((('Quantification_Results'!AZ321-'Quantification_Config'!$S$19)/('Quantification_Config'!$T$19-'Quantification_Config'!$S$19))*100),'Quantification_Config'!$U$2),""),"")</x:f>
      </x:c>
      <x:c r="BB321" t="inlineStr">
        <x:is>
          <x:t xml:space="preserve"/>
        </x:is>
      </x:c>
      <x:c r="BC321" t="inlineStr">
        <x:is>
          <x:t xml:space="preserve"/>
        </x:is>
      </x:c>
      <x:c r="BD321" t="inlineStr">
        <x:is>
          <x:t xml:space="preserve"/>
        </x:is>
      </x:c>
      <x:c r="BE321" t="inlineStr">
        <x:is>
          <x:t xml:space="preserve"/>
        </x:is>
      </x:c>
      <x:c r="BF321" t="inlineStr">
        <x:is>
          <x:t xml:space="preserve">EMPTY</x:t>
        </x:is>
      </x:c>
      <x:c r="BG321">
        <x:f>IF((COUNT('Quantification_Results'!BA321)=1),IFERROR(ROUND((SUM(('Quantification_Results'!BA321*'Quantification_Config'!$R$19))/SUM('Quantification_Config'!$R$19)),'Quantification_Config'!$U$2),""),"")</x:f>
      </x:c>
      <x:c r="BH321">
        <x:f>IF((COUNT('Quantification_Results'!BG321)=1),IFERROR(ROUND((SUM(('Quantification_Results'!BG321*'Quantification_Config'!$R$18))/SUM('Quantification_Config'!$R$18)),'Quantification_Config'!$U$2),""),"")</x:f>
      </x:c>
      <x:c r="BI321">
        <x:f>IF((COUNT('Quantification_Results'!L321,'Quantification_Results'!X321,'Quantification_Results'!AJ321,'Quantification_Results'!AV321,'Quantification_Results'!BH321)=5),IFERROR(ROUND((SUM(('Quantification_Results'!L321*'Quantification_Config'!$R$4),('Quantification_Results'!X321*'Quantification_Config'!$R$7),('Quantification_Results'!AJ321*'Quantification_Config'!$R$10),('Quantification_Results'!AV321*'Quantification_Config'!$R$13),('Quantification_Results'!BH321*'Quantification_Config'!$R$16))/SUM('Quantification_Config'!$R$4,'Quantification_Config'!$R$7,'Quantification_Config'!$R$10,'Quantification_Config'!$R$13,'Quantification_Config'!$R$16)),'Quantification_Config'!$U$2),""),"")</x:f>
      </x:c>
    </x:row>
    <x:row r="322">
      <x:c r="A322" t="n">
        <x:v>1</x:v>
      </x:c>
      <x:c r="B322" t="n">
        <x:v>5</x:v>
      </x:c>
      <x:c r="C322"/>
      <x:c r="D322" t="n">
        <x:f>IF(('Quantification_Results'!A322&lt;&gt;1),"",IF(('Quantification_Results'!C322=""),IF(ISNUMBER('Quantification_Results'!B322),IF(('Quantification_Results'!B322&lt;'Quantification_Config'!$S$6),"",IF(('Quantification_Results'!B322&gt;'Quantification_Config'!$T$6),"",'Quantification_Results'!B322)),""),IF(ISNUMBER('Quantification_Results'!C322),IF(('Quantification_Results'!C322&lt;'Quantification_Config'!$S$6),"",IF(('Quantification_Results'!C322&gt;'Quantification_Config'!$T$6),"",'Quantification_Results'!C322)),"")))</x:f>
        <x:v>5</x:v>
      </x:c>
      <x:c r="E322" t="n">
        <x:f>IF(ISNUMBER('Quantification_Results'!D322),IFERROR(ROUND(((('Quantification_Results'!D322-'Quantification_Config'!$S$6)/('Quantification_Config'!$T$6-'Quantification_Config'!$S$6))*100),'Quantification_Config'!$U$2),""),"")</x:f>
        <x:v>50</x:v>
      </x:c>
      <x:c r="F322" t="inlineStr">
        <x:is>
          <x:t xml:space="preserve">SYSTEM-TEST-ONLY-NO-NETWORK-NOT-AN-EDUCATIONAL-EVALUATION</x:t>
        </x:is>
      </x:c>
      <x:c r="G322" t="inlineStr">
        <x:is>
          <x:t xml:space="preserve"/>
        </x:is>
      </x:c>
      <x:c r="H322" t="inlineStr">
        <x:is>
          <x:t xml:space="preserve">NONE</x:t>
        </x:is>
      </x:c>
      <x:c r="I322" t="inlineStr">
        <x:is>
          <x:t xml:space="preserve"/>
        </x:is>
      </x:c>
      <x:c r="J322" t="inlineStr">
        <x:is>
          <x:t xml:space="preserve">SUCCESS</x:t>
        </x:is>
      </x:c>
      <x:c r="K322" t="n">
        <x:f>IF((COUNT('Quantification_Results'!E322)=1),IFERROR(ROUND((SUM(('Quantification_Results'!E322*'Quantification_Config'!$R$6))/SUM('Quantification_Config'!$R$6)),'Quantification_Config'!$U$2),""),"")</x:f>
        <x:v>50</x:v>
      </x:c>
      <x:c r="L322" t="n">
        <x:f>IF((COUNT('Quantification_Results'!K322)=1),IFERROR(ROUND((SUM(('Quantification_Results'!K322*'Quantification_Config'!$R$5))/SUM('Quantification_Config'!$R$5)),'Quantification_Config'!$U$2),""),"")</x:f>
        <x:v>50</x:v>
      </x:c>
      <x:c r="M322" t="n">
        <x:v>1</x:v>
      </x:c>
      <x:c r="N322" t="n">
        <x:v>5</x:v>
      </x:c>
      <x:c r="O322"/>
      <x:c r="P322" t="n">
        <x:f>IF(('Quantification_Results'!M322&lt;&gt;1),"",IF(('Quantification_Results'!O322=""),IF(ISNUMBER('Quantification_Results'!N322),IF(('Quantification_Results'!N322&lt;'Quantification_Config'!$S$9),"",IF(('Quantification_Results'!N322&gt;'Quantification_Config'!$T$9),"",'Quantification_Results'!N322)),""),IF(ISNUMBER('Quantification_Results'!O322),IF(('Quantification_Results'!O322&lt;'Quantification_Config'!$S$9),"",IF(('Quantification_Results'!O322&gt;'Quantification_Config'!$T$9),"",'Quantification_Results'!O322)),"")))</x:f>
        <x:v>5</x:v>
      </x:c>
      <x:c r="Q322" t="n">
        <x:f>IF(ISNUMBER('Quantification_Results'!P322),IFERROR(ROUND(((('Quantification_Results'!P322-'Quantification_Config'!$S$9)/('Quantification_Config'!$T$9-'Quantification_Config'!$S$9))*100),'Quantification_Config'!$U$2),""),"")</x:f>
        <x:v>50</x:v>
      </x:c>
      <x:c r="R322" t="inlineStr">
        <x:is>
          <x:t xml:space="preserve">SYSTEM-TEST-ONLY-NO-NETWORK-NOT-AN-EDUCATIONAL-EVALUATION</x:t>
        </x:is>
      </x:c>
      <x:c r="S322" t="inlineStr">
        <x:is>
          <x:t xml:space="preserve"/>
        </x:is>
      </x:c>
      <x:c r="T322" t="inlineStr">
        <x:is>
          <x:t xml:space="preserve">NONE</x:t>
        </x:is>
      </x:c>
      <x:c r="U322" t="inlineStr">
        <x:is>
          <x:t xml:space="preserve"/>
        </x:is>
      </x:c>
      <x:c r="V322" t="inlineStr">
        <x:is>
          <x:t xml:space="preserve">SUCCESS</x:t>
        </x:is>
      </x:c>
      <x:c r="W322" t="n">
        <x:f>IF((COUNT('Quantification_Results'!Q322)=1),IFERROR(ROUND((SUM(('Quantification_Results'!Q322*'Quantification_Config'!$R$9))/SUM('Quantification_Config'!$R$9)),'Quantification_Config'!$U$2),""),"")</x:f>
        <x:v>50</x:v>
      </x:c>
      <x:c r="X322" t="n">
        <x:f>IF((COUNT('Quantification_Results'!W322)=1),IFERROR(ROUND((SUM(('Quantification_Results'!W322*'Quantification_Config'!$R$8))/SUM('Quantification_Config'!$R$8)),'Quantification_Config'!$U$2),""),"")</x:f>
        <x:v>50</x:v>
      </x:c>
      <x:c r="Y322" t="n">
        <x:v>0</x:v>
      </x:c>
      <x:c r="Z322"/>
      <x:c r="AA322"/>
      <x:c r="AB322">
        <x:f>IF(('Quantification_Results'!Y322&lt;&gt;1),"",IF(('Quantification_Results'!AA322=""),IF(ISNUMBER('Quantification_Results'!Z322),IF(('Quantification_Results'!Z322&lt;'Quantification_Config'!$S$12),"",IF(('Quantification_Results'!Z322&gt;'Quantification_Config'!$T$12),"",'Quantification_Results'!Z322)),""),IF(ISNUMBER('Quantification_Results'!AA322),IF(('Quantification_Results'!AA322&lt;'Quantification_Config'!$S$12),"",IF(('Quantification_Results'!AA322&gt;'Quantification_Config'!$T$12),"",'Quantification_Results'!AA322)),"")))</x:f>
      </x:c>
      <x:c r="AC322">
        <x:f>IF(ISNUMBER('Quantification_Results'!AB322),IFERROR(ROUND(((('Quantification_Results'!AB322-'Quantification_Config'!$S$12)/('Quantification_Config'!$T$12-'Quantification_Config'!$S$12))*100),'Quantification_Config'!$U$2),""),"")</x:f>
      </x:c>
      <x:c r="AD322" t="inlineStr">
        <x:is>
          <x:t xml:space="preserve"/>
        </x:is>
      </x:c>
      <x:c r="AE322" t="inlineStr">
        <x:is>
          <x:t xml:space="preserve"/>
        </x:is>
      </x:c>
      <x:c r="AF322" t="inlineStr">
        <x:is>
          <x:t xml:space="preserve"/>
        </x:is>
      </x:c>
      <x:c r="AG322" t="inlineStr">
        <x:is>
          <x:t xml:space="preserve"/>
        </x:is>
      </x:c>
      <x:c r="AH322" t="inlineStr">
        <x:is>
          <x:t xml:space="preserve">EMPTY</x:t>
        </x:is>
      </x:c>
      <x:c r="AI322">
        <x:f>IF((COUNT('Quantification_Results'!AC322)=1),IFERROR(ROUND((SUM(('Quantification_Results'!AC322*'Quantification_Config'!$R$12))/SUM('Quantification_Config'!$R$12)),'Quantification_Config'!$U$2),""),"")</x:f>
      </x:c>
      <x:c r="AJ322">
        <x:f>IF((COUNT('Quantification_Results'!AI322)=1),IFERROR(ROUND((SUM(('Quantification_Results'!AI322*'Quantification_Config'!$R$11))/SUM('Quantification_Config'!$R$11)),'Quantification_Config'!$U$2),""),"")</x:f>
      </x:c>
      <x:c r="AK322" t="n">
        <x:v>1</x:v>
      </x:c>
      <x:c r="AL322" t="n">
        <x:v>5</x:v>
      </x:c>
      <x:c r="AM322"/>
      <x:c r="AN322" t="n">
        <x:f>IF(('Quantification_Results'!AK322&lt;&gt;1),"",IF(('Quantification_Results'!AM322=""),IF(ISNUMBER('Quantification_Results'!AL322),IF(('Quantification_Results'!AL322&lt;'Quantification_Config'!$S$15),"",IF(('Quantification_Results'!AL322&gt;'Quantification_Config'!$T$15),"",'Quantification_Results'!AL322)),""),IF(ISNUMBER('Quantification_Results'!AM322),IF(('Quantification_Results'!AM322&lt;'Quantification_Config'!$S$15),"",IF(('Quantification_Results'!AM322&gt;'Quantification_Config'!$T$15),"",'Quantification_Results'!AM322)),"")))</x:f>
        <x:v>5</x:v>
      </x:c>
      <x:c r="AO322" t="n">
        <x:f>IF(ISNUMBER('Quantification_Results'!AN322),IFERROR(ROUND(((('Quantification_Results'!AN322-'Quantification_Config'!$S$15)/('Quantification_Config'!$T$15-'Quantification_Config'!$S$15))*100),'Quantification_Config'!$U$2),""),"")</x:f>
        <x:v>50</x:v>
      </x:c>
      <x:c r="AP322" t="inlineStr">
        <x:is>
          <x:t xml:space="preserve">SYSTEM-TEST-ONLY-NO-NETWORK-NOT-AN-EDUCATIONAL-EVALUATION</x:t>
        </x:is>
      </x:c>
      <x:c r="AQ322" t="inlineStr">
        <x:is>
          <x:t xml:space="preserve"/>
        </x:is>
      </x:c>
      <x:c r="AR322" t="inlineStr">
        <x:is>
          <x:t xml:space="preserve">NONE</x:t>
        </x:is>
      </x:c>
      <x:c r="AS322" t="inlineStr">
        <x:is>
          <x:t xml:space="preserve"/>
        </x:is>
      </x:c>
      <x:c r="AT322" t="inlineStr">
        <x:is>
          <x:t xml:space="preserve">SUCCESS</x:t>
        </x:is>
      </x:c>
      <x:c r="AU322" t="n">
        <x:f>IF((COUNT('Quantification_Results'!AO322)=1),IFERROR(ROUND((SUM(('Quantification_Results'!AO322*'Quantification_Config'!$R$15))/SUM('Quantification_Config'!$R$15)),'Quantification_Config'!$U$2),""),"")</x:f>
        <x:v>50</x:v>
      </x:c>
      <x:c r="AV322" t="n">
        <x:f>IF((COUNT('Quantification_Results'!AU322)=1),IFERROR(ROUND((SUM(('Quantification_Results'!AU322*'Quantification_Config'!$R$14))/SUM('Quantification_Config'!$R$14)),'Quantification_Config'!$U$2),""),"")</x:f>
        <x:v>50</x:v>
      </x:c>
      <x:c r="AW322" t="n">
        <x:v>1</x:v>
      </x:c>
      <x:c r="AX322" t="n">
        <x:v>5</x:v>
      </x:c>
      <x:c r="AY322"/>
      <x:c r="AZ322" t="n">
        <x:f>IF(('Quantification_Results'!AW322&lt;&gt;1),"",IF(('Quantification_Results'!AY322=""),IF(ISNUMBER('Quantification_Results'!AX322),IF(('Quantification_Results'!AX322&lt;'Quantification_Config'!$S$19),"",IF(('Quantification_Results'!AX322&gt;'Quantification_Config'!$T$19),"",'Quantification_Results'!AX322)),""),IF(ISNUMBER('Quantification_Results'!AY322),IF(('Quantification_Results'!AY322&lt;'Quantification_Config'!$S$19),"",IF(('Quantification_Results'!AY322&gt;'Quantification_Config'!$T$19),"",'Quantification_Results'!AY322)),"")))</x:f>
        <x:v>5</x:v>
      </x:c>
      <x:c r="BA322" t="n">
        <x:f>IF(ISNUMBER('Quantification_Results'!AZ322),IFERROR(ROUND(((('Quantification_Results'!AZ322-'Quantification_Config'!$S$19)/('Quantification_Config'!$T$19-'Quantification_Config'!$S$19))*100),'Quantification_Config'!$U$2),""),"")</x:f>
        <x:v>50</x:v>
      </x:c>
      <x:c r="BB322" t="inlineStr">
        <x:is>
          <x:t xml:space="preserve">SYSTEM-TEST-ONLY-NO-NETWORK-NOT-AN-EDUCATIONAL-EVALUATION</x:t>
        </x:is>
      </x:c>
      <x:c r="BC322" t="inlineStr">
        <x:is>
          <x:t xml:space="preserve"/>
        </x:is>
      </x:c>
      <x:c r="BD322" t="inlineStr">
        <x:is>
          <x:t xml:space="preserve">NONE</x:t>
        </x:is>
      </x:c>
      <x:c r="BE322" t="inlineStr">
        <x:is>
          <x:t xml:space="preserve"/>
        </x:is>
      </x:c>
      <x:c r="BF322" t="inlineStr">
        <x:is>
          <x:t xml:space="preserve">SUCCESS</x:t>
        </x:is>
      </x:c>
      <x:c r="BG322" t="n">
        <x:f>IF((COUNT('Quantification_Results'!BA322)=1),IFERROR(ROUND((SUM(('Quantification_Results'!BA322*'Quantification_Config'!$R$19))/SUM('Quantification_Config'!$R$19)),'Quantification_Config'!$U$2),""),"")</x:f>
        <x:v>50</x:v>
      </x:c>
      <x:c r="BH322" t="n">
        <x:f>IF((COUNT('Quantification_Results'!BG322)=1),IFERROR(ROUND((SUM(('Quantification_Results'!BG322*'Quantification_Config'!$R$18))/SUM('Quantification_Config'!$R$18)),'Quantification_Config'!$U$2),""),"")</x:f>
        <x:v>50</x:v>
      </x:c>
      <x:c r="BI322">
        <x:f>IF((COUNT('Quantification_Results'!L322,'Quantification_Results'!X322,'Quantification_Results'!AJ322,'Quantification_Results'!AV322,'Quantification_Results'!BH322)=5),IFERROR(ROUND((SUM(('Quantification_Results'!L322*'Quantification_Config'!$R$4),('Quantification_Results'!X322*'Quantification_Config'!$R$7),('Quantification_Results'!AJ322*'Quantification_Config'!$R$10),('Quantification_Results'!AV322*'Quantification_Config'!$R$13),('Quantification_Results'!BH322*'Quantification_Config'!$R$16))/SUM('Quantification_Config'!$R$4,'Quantification_Config'!$R$7,'Quantification_Config'!$R$10,'Quantification_Config'!$R$13,'Quantification_Config'!$R$16)),'Quantification_Config'!$U$2),""),"")</x:f>
      </x:c>
    </x:row>
    <x:row r="323">
      <x:c r="A323" t="n">
        <x:v>1</x:v>
      </x:c>
      <x:c r="B323" t="n">
        <x:v>5</x:v>
      </x:c>
      <x:c r="C323"/>
      <x:c r="D323" t="n">
        <x:f>IF(('Quantification_Results'!A323&lt;&gt;1),"",IF(('Quantification_Results'!C323=""),IF(ISNUMBER('Quantification_Results'!B323),IF(('Quantification_Results'!B323&lt;'Quantification_Config'!$S$6),"",IF(('Quantification_Results'!B323&gt;'Quantification_Config'!$T$6),"",'Quantification_Results'!B323)),""),IF(ISNUMBER('Quantification_Results'!C323),IF(('Quantification_Results'!C323&lt;'Quantification_Config'!$S$6),"",IF(('Quantification_Results'!C323&gt;'Quantification_Config'!$T$6),"",'Quantification_Results'!C323)),"")))</x:f>
        <x:v>5</x:v>
      </x:c>
      <x:c r="E323" t="n">
        <x:f>IF(ISNUMBER('Quantification_Results'!D323),IFERROR(ROUND(((('Quantification_Results'!D323-'Quantification_Config'!$S$6)/('Quantification_Config'!$T$6-'Quantification_Config'!$S$6))*100),'Quantification_Config'!$U$2),""),"")</x:f>
        <x:v>50</x:v>
      </x:c>
      <x:c r="F323" t="inlineStr">
        <x:is>
          <x:t xml:space="preserve">SYSTEM-TEST-ONLY-NO-NETWORK-NOT-AN-EDUCATIONAL-EVALUATION</x:t>
        </x:is>
      </x:c>
      <x:c r="G323" t="inlineStr">
        <x:is>
          <x:t xml:space="preserve"/>
        </x:is>
      </x:c>
      <x:c r="H323" t="inlineStr">
        <x:is>
          <x:t xml:space="preserve">NONE</x:t>
        </x:is>
      </x:c>
      <x:c r="I323" t="inlineStr">
        <x:is>
          <x:t xml:space="preserve"/>
        </x:is>
      </x:c>
      <x:c r="J323" t="inlineStr">
        <x:is>
          <x:t xml:space="preserve">SUCCESS</x:t>
        </x:is>
      </x:c>
      <x:c r="K323" t="n">
        <x:f>IF((COUNT('Quantification_Results'!E323)=1),IFERROR(ROUND((SUM(('Quantification_Results'!E323*'Quantification_Config'!$R$6))/SUM('Quantification_Config'!$R$6)),'Quantification_Config'!$U$2),""),"")</x:f>
        <x:v>50</x:v>
      </x:c>
      <x:c r="L323" t="n">
        <x:f>IF((COUNT('Quantification_Results'!K323)=1),IFERROR(ROUND((SUM(('Quantification_Results'!K323*'Quantification_Config'!$R$5))/SUM('Quantification_Config'!$R$5)),'Quantification_Config'!$U$2),""),"")</x:f>
        <x:v>50</x:v>
      </x:c>
      <x:c r="M323" t="n">
        <x:v>1</x:v>
      </x:c>
      <x:c r="N323" t="n">
        <x:v>5</x:v>
      </x:c>
      <x:c r="O323"/>
      <x:c r="P323" t="n">
        <x:f>IF(('Quantification_Results'!M323&lt;&gt;1),"",IF(('Quantification_Results'!O323=""),IF(ISNUMBER('Quantification_Results'!N323),IF(('Quantification_Results'!N323&lt;'Quantification_Config'!$S$9),"",IF(('Quantification_Results'!N323&gt;'Quantification_Config'!$T$9),"",'Quantification_Results'!N323)),""),IF(ISNUMBER('Quantification_Results'!O323),IF(('Quantification_Results'!O323&lt;'Quantification_Config'!$S$9),"",IF(('Quantification_Results'!O323&gt;'Quantification_Config'!$T$9),"",'Quantification_Results'!O323)),"")))</x:f>
        <x:v>5</x:v>
      </x:c>
      <x:c r="Q323" t="n">
        <x:f>IF(ISNUMBER('Quantification_Results'!P323),IFERROR(ROUND(((('Quantification_Results'!P323-'Quantification_Config'!$S$9)/('Quantification_Config'!$T$9-'Quantification_Config'!$S$9))*100),'Quantification_Config'!$U$2),""),"")</x:f>
        <x:v>50</x:v>
      </x:c>
      <x:c r="R323" t="inlineStr">
        <x:is>
          <x:t xml:space="preserve">SYSTEM-TEST-ONLY-NO-NETWORK-NOT-AN-EDUCATIONAL-EVALUATION</x:t>
        </x:is>
      </x:c>
      <x:c r="S323" t="inlineStr">
        <x:is>
          <x:t xml:space="preserve"/>
        </x:is>
      </x:c>
      <x:c r="T323" t="inlineStr">
        <x:is>
          <x:t xml:space="preserve">NONE</x:t>
        </x:is>
      </x:c>
      <x:c r="U323" t="inlineStr">
        <x:is>
          <x:t xml:space="preserve"/>
        </x:is>
      </x:c>
      <x:c r="V323" t="inlineStr">
        <x:is>
          <x:t xml:space="preserve">SUCCESS</x:t>
        </x:is>
      </x:c>
      <x:c r="W323" t="n">
        <x:f>IF((COUNT('Quantification_Results'!Q323)=1),IFERROR(ROUND((SUM(('Quantification_Results'!Q323*'Quantification_Config'!$R$9))/SUM('Quantification_Config'!$R$9)),'Quantification_Config'!$U$2),""),"")</x:f>
        <x:v>50</x:v>
      </x:c>
      <x:c r="X323" t="n">
        <x:f>IF((COUNT('Quantification_Results'!W323)=1),IFERROR(ROUND((SUM(('Quantification_Results'!W323*'Quantification_Config'!$R$8))/SUM('Quantification_Config'!$R$8)),'Quantification_Config'!$U$2),""),"")</x:f>
        <x:v>50</x:v>
      </x:c>
      <x:c r="Y323" t="n">
        <x:v>0</x:v>
      </x:c>
      <x:c r="Z323"/>
      <x:c r="AA323"/>
      <x:c r="AB323">
        <x:f>IF(('Quantification_Results'!Y323&lt;&gt;1),"",IF(('Quantification_Results'!AA323=""),IF(ISNUMBER('Quantification_Results'!Z323),IF(('Quantification_Results'!Z323&lt;'Quantification_Config'!$S$12),"",IF(('Quantification_Results'!Z323&gt;'Quantification_Config'!$T$12),"",'Quantification_Results'!Z323)),""),IF(ISNUMBER('Quantification_Results'!AA323),IF(('Quantification_Results'!AA323&lt;'Quantification_Config'!$S$12),"",IF(('Quantification_Results'!AA323&gt;'Quantification_Config'!$T$12),"",'Quantification_Results'!AA323)),"")))</x:f>
      </x:c>
      <x:c r="AC323">
        <x:f>IF(ISNUMBER('Quantification_Results'!AB323),IFERROR(ROUND(((('Quantification_Results'!AB323-'Quantification_Config'!$S$12)/('Quantification_Config'!$T$12-'Quantification_Config'!$S$12))*100),'Quantification_Config'!$U$2),""),"")</x:f>
      </x:c>
      <x:c r="AD323" t="inlineStr">
        <x:is>
          <x:t xml:space="preserve"/>
        </x:is>
      </x:c>
      <x:c r="AE323" t="inlineStr">
        <x:is>
          <x:t xml:space="preserve"/>
        </x:is>
      </x:c>
      <x:c r="AF323" t="inlineStr">
        <x:is>
          <x:t xml:space="preserve"/>
        </x:is>
      </x:c>
      <x:c r="AG323" t="inlineStr">
        <x:is>
          <x:t xml:space="preserve"/>
        </x:is>
      </x:c>
      <x:c r="AH323" t="inlineStr">
        <x:is>
          <x:t xml:space="preserve">EMPTY</x:t>
        </x:is>
      </x:c>
      <x:c r="AI323">
        <x:f>IF((COUNT('Quantification_Results'!AC323)=1),IFERROR(ROUND((SUM(('Quantification_Results'!AC323*'Quantification_Config'!$R$12))/SUM('Quantification_Config'!$R$12)),'Quantification_Config'!$U$2),""),"")</x:f>
      </x:c>
      <x:c r="AJ323">
        <x:f>IF((COUNT('Quantification_Results'!AI323)=1),IFERROR(ROUND((SUM(('Quantification_Results'!AI323*'Quantification_Config'!$R$11))/SUM('Quantification_Config'!$R$11)),'Quantification_Config'!$U$2),""),"")</x:f>
      </x:c>
      <x:c r="AK323" t="n">
        <x:v>1</x:v>
      </x:c>
      <x:c r="AL323" t="n">
        <x:v>5</x:v>
      </x:c>
      <x:c r="AM323"/>
      <x:c r="AN323" t="n">
        <x:f>IF(('Quantification_Results'!AK323&lt;&gt;1),"",IF(('Quantification_Results'!AM323=""),IF(ISNUMBER('Quantification_Results'!AL323),IF(('Quantification_Results'!AL323&lt;'Quantification_Config'!$S$15),"",IF(('Quantification_Results'!AL323&gt;'Quantification_Config'!$T$15),"",'Quantification_Results'!AL323)),""),IF(ISNUMBER('Quantification_Results'!AM323),IF(('Quantification_Results'!AM323&lt;'Quantification_Config'!$S$15),"",IF(('Quantification_Results'!AM323&gt;'Quantification_Config'!$T$15),"",'Quantification_Results'!AM323)),"")))</x:f>
        <x:v>5</x:v>
      </x:c>
      <x:c r="AO323" t="n">
        <x:f>IF(ISNUMBER('Quantification_Results'!AN323),IFERROR(ROUND(((('Quantification_Results'!AN323-'Quantification_Config'!$S$15)/('Quantification_Config'!$T$15-'Quantification_Config'!$S$15))*100),'Quantification_Config'!$U$2),""),"")</x:f>
        <x:v>50</x:v>
      </x:c>
      <x:c r="AP323" t="inlineStr">
        <x:is>
          <x:t xml:space="preserve">SYSTEM-TEST-ONLY-NO-NETWORK-NOT-AN-EDUCATIONAL-EVALUATION</x:t>
        </x:is>
      </x:c>
      <x:c r="AQ323" t="inlineStr">
        <x:is>
          <x:t xml:space="preserve"/>
        </x:is>
      </x:c>
      <x:c r="AR323" t="inlineStr">
        <x:is>
          <x:t xml:space="preserve">NONE</x:t>
        </x:is>
      </x:c>
      <x:c r="AS323" t="inlineStr">
        <x:is>
          <x:t xml:space="preserve"/>
        </x:is>
      </x:c>
      <x:c r="AT323" t="inlineStr">
        <x:is>
          <x:t xml:space="preserve">SUCCESS</x:t>
        </x:is>
      </x:c>
      <x:c r="AU323" t="n">
        <x:f>IF((COUNT('Quantification_Results'!AO323)=1),IFERROR(ROUND((SUM(('Quantification_Results'!AO323*'Quantification_Config'!$R$15))/SUM('Quantification_Config'!$R$15)),'Quantification_Config'!$U$2),""),"")</x:f>
        <x:v>50</x:v>
      </x:c>
      <x:c r="AV323" t="n">
        <x:f>IF((COUNT('Quantification_Results'!AU323)=1),IFERROR(ROUND((SUM(('Quantification_Results'!AU323*'Quantification_Config'!$R$14))/SUM('Quantification_Config'!$R$14)),'Quantification_Config'!$U$2),""),"")</x:f>
        <x:v>50</x:v>
      </x:c>
      <x:c r="AW323" t="n">
        <x:v>1</x:v>
      </x:c>
      <x:c r="AX323" t="n">
        <x:v>5</x:v>
      </x:c>
      <x:c r="AY323"/>
      <x:c r="AZ323" t="n">
        <x:f>IF(('Quantification_Results'!AW323&lt;&gt;1),"",IF(('Quantification_Results'!AY323=""),IF(ISNUMBER('Quantification_Results'!AX323),IF(('Quantification_Results'!AX323&lt;'Quantification_Config'!$S$19),"",IF(('Quantification_Results'!AX323&gt;'Quantification_Config'!$T$19),"",'Quantification_Results'!AX323)),""),IF(ISNUMBER('Quantification_Results'!AY323),IF(('Quantification_Results'!AY323&lt;'Quantification_Config'!$S$19),"",IF(('Quantification_Results'!AY323&gt;'Quantification_Config'!$T$19),"",'Quantification_Results'!AY323)),"")))</x:f>
        <x:v>5</x:v>
      </x:c>
      <x:c r="BA323" t="n">
        <x:f>IF(ISNUMBER('Quantification_Results'!AZ323),IFERROR(ROUND(((('Quantification_Results'!AZ323-'Quantification_Config'!$S$19)/('Quantification_Config'!$T$19-'Quantification_Config'!$S$19))*100),'Quantification_Config'!$U$2),""),"")</x:f>
        <x:v>50</x:v>
      </x:c>
      <x:c r="BB323" t="inlineStr">
        <x:is>
          <x:t xml:space="preserve">SYSTEM-TEST-ONLY-NO-NETWORK-NOT-AN-EDUCATIONAL-EVALUATION</x:t>
        </x:is>
      </x:c>
      <x:c r="BC323" t="inlineStr">
        <x:is>
          <x:t xml:space="preserve"/>
        </x:is>
      </x:c>
      <x:c r="BD323" t="inlineStr">
        <x:is>
          <x:t xml:space="preserve">NONE</x:t>
        </x:is>
      </x:c>
      <x:c r="BE323" t="inlineStr">
        <x:is>
          <x:t xml:space="preserve"/>
        </x:is>
      </x:c>
      <x:c r="BF323" t="inlineStr">
        <x:is>
          <x:t xml:space="preserve">SUCCESS</x:t>
        </x:is>
      </x:c>
      <x:c r="BG323" t="n">
        <x:f>IF((COUNT('Quantification_Results'!BA323)=1),IFERROR(ROUND((SUM(('Quantification_Results'!BA323*'Quantification_Config'!$R$19))/SUM('Quantification_Config'!$R$19)),'Quantification_Config'!$U$2),""),"")</x:f>
        <x:v>50</x:v>
      </x:c>
      <x:c r="BH323" t="n">
        <x:f>IF((COUNT('Quantification_Results'!BG323)=1),IFERROR(ROUND((SUM(('Quantification_Results'!BG323*'Quantification_Config'!$R$18))/SUM('Quantification_Config'!$R$18)),'Quantification_Config'!$U$2),""),"")</x:f>
        <x:v>50</x:v>
      </x:c>
      <x:c r="BI323">
        <x:f>IF((COUNT('Quantification_Results'!L323,'Quantification_Results'!X323,'Quantification_Results'!AJ323,'Quantification_Results'!AV323,'Quantification_Results'!BH323)=5),IFERROR(ROUND((SUM(('Quantification_Results'!L323*'Quantification_Config'!$R$4),('Quantification_Results'!X323*'Quantification_Config'!$R$7),('Quantification_Results'!AJ323*'Quantification_Config'!$R$10),('Quantification_Results'!AV323*'Quantification_Config'!$R$13),('Quantification_Results'!BH323*'Quantification_Config'!$R$16))/SUM('Quantification_Config'!$R$4,'Quantification_Config'!$R$7,'Quantification_Config'!$R$10,'Quantification_Config'!$R$13,'Quantification_Config'!$R$16)),'Quantification_Config'!$U$2),""),"")</x:f>
      </x:c>
    </x:row>
    <x:row r="324">
      <x:c r="A324" t="n">
        <x:v>1</x:v>
      </x:c>
      <x:c r="B324" t="n">
        <x:v>5</x:v>
      </x:c>
      <x:c r="C324"/>
      <x:c r="D324" t="n">
        <x:f>IF(('Quantification_Results'!A324&lt;&gt;1),"",IF(('Quantification_Results'!C324=""),IF(ISNUMBER('Quantification_Results'!B324),IF(('Quantification_Results'!B324&lt;'Quantification_Config'!$S$6),"",IF(('Quantification_Results'!B324&gt;'Quantification_Config'!$T$6),"",'Quantification_Results'!B324)),""),IF(ISNUMBER('Quantification_Results'!C324),IF(('Quantification_Results'!C324&lt;'Quantification_Config'!$S$6),"",IF(('Quantification_Results'!C324&gt;'Quantification_Config'!$T$6),"",'Quantification_Results'!C324)),"")))</x:f>
        <x:v>5</x:v>
      </x:c>
      <x:c r="E324" t="n">
        <x:f>IF(ISNUMBER('Quantification_Results'!D324),IFERROR(ROUND(((('Quantification_Results'!D324-'Quantification_Config'!$S$6)/('Quantification_Config'!$T$6-'Quantification_Config'!$S$6))*100),'Quantification_Config'!$U$2),""),"")</x:f>
        <x:v>50</x:v>
      </x:c>
      <x:c r="F324" t="inlineStr">
        <x:is>
          <x:t xml:space="preserve">SYSTEM-TEST-ONLY-NO-NETWORK-NOT-AN-EDUCATIONAL-EVALUATION</x:t>
        </x:is>
      </x:c>
      <x:c r="G324" t="inlineStr">
        <x:is>
          <x:t xml:space="preserve"/>
        </x:is>
      </x:c>
      <x:c r="H324" t="inlineStr">
        <x:is>
          <x:t xml:space="preserve">NONE</x:t>
        </x:is>
      </x:c>
      <x:c r="I324" t="inlineStr">
        <x:is>
          <x:t xml:space="preserve"/>
        </x:is>
      </x:c>
      <x:c r="J324" t="inlineStr">
        <x:is>
          <x:t xml:space="preserve">SUCCESS</x:t>
        </x:is>
      </x:c>
      <x:c r="K324" t="n">
        <x:f>IF((COUNT('Quantification_Results'!E324)=1),IFERROR(ROUND((SUM(('Quantification_Results'!E324*'Quantification_Config'!$R$6))/SUM('Quantification_Config'!$R$6)),'Quantification_Config'!$U$2),""),"")</x:f>
        <x:v>50</x:v>
      </x:c>
      <x:c r="L324" t="n">
        <x:f>IF((COUNT('Quantification_Results'!K324)=1),IFERROR(ROUND((SUM(('Quantification_Results'!K324*'Quantification_Config'!$R$5))/SUM('Quantification_Config'!$R$5)),'Quantification_Config'!$U$2),""),"")</x:f>
        <x:v>50</x:v>
      </x:c>
      <x:c r="M324" t="n">
        <x:v>1</x:v>
      </x:c>
      <x:c r="N324" t="n">
        <x:v>5</x:v>
      </x:c>
      <x:c r="O324"/>
      <x:c r="P324" t="n">
        <x:f>IF(('Quantification_Results'!M324&lt;&gt;1),"",IF(('Quantification_Results'!O324=""),IF(ISNUMBER('Quantification_Results'!N324),IF(('Quantification_Results'!N324&lt;'Quantification_Config'!$S$9),"",IF(('Quantification_Results'!N324&gt;'Quantification_Config'!$T$9),"",'Quantification_Results'!N324)),""),IF(ISNUMBER('Quantification_Results'!O324),IF(('Quantification_Results'!O324&lt;'Quantification_Config'!$S$9),"",IF(('Quantification_Results'!O324&gt;'Quantification_Config'!$T$9),"",'Quantification_Results'!O324)),"")))</x:f>
        <x:v>5</x:v>
      </x:c>
      <x:c r="Q324" t="n">
        <x:f>IF(ISNUMBER('Quantification_Results'!P324),IFERROR(ROUND(((('Quantification_Results'!P324-'Quantification_Config'!$S$9)/('Quantification_Config'!$T$9-'Quantification_Config'!$S$9))*100),'Quantification_Config'!$U$2),""),"")</x:f>
        <x:v>50</x:v>
      </x:c>
      <x:c r="R324" t="inlineStr">
        <x:is>
          <x:t xml:space="preserve">SYSTEM-TEST-ONLY-NO-NETWORK-NOT-AN-EDUCATIONAL-EVALUATION</x:t>
        </x:is>
      </x:c>
      <x:c r="S324" t="inlineStr">
        <x:is>
          <x:t xml:space="preserve"/>
        </x:is>
      </x:c>
      <x:c r="T324" t="inlineStr">
        <x:is>
          <x:t xml:space="preserve">NONE</x:t>
        </x:is>
      </x:c>
      <x:c r="U324" t="inlineStr">
        <x:is>
          <x:t xml:space="preserve"/>
        </x:is>
      </x:c>
      <x:c r="V324" t="inlineStr">
        <x:is>
          <x:t xml:space="preserve">SUCCESS</x:t>
        </x:is>
      </x:c>
      <x:c r="W324" t="n">
        <x:f>IF((COUNT('Quantification_Results'!Q324)=1),IFERROR(ROUND((SUM(('Quantification_Results'!Q324*'Quantification_Config'!$R$9))/SUM('Quantification_Config'!$R$9)),'Quantification_Config'!$U$2),""),"")</x:f>
        <x:v>50</x:v>
      </x:c>
      <x:c r="X324" t="n">
        <x:f>IF((COUNT('Quantification_Results'!W324)=1),IFERROR(ROUND((SUM(('Quantification_Results'!W324*'Quantification_Config'!$R$8))/SUM('Quantification_Config'!$R$8)),'Quantification_Config'!$U$2),""),"")</x:f>
        <x:v>50</x:v>
      </x:c>
      <x:c r="Y324" t="n">
        <x:v>1</x:v>
      </x:c>
      <x:c r="Z324" t="n">
        <x:v>5</x:v>
      </x:c>
      <x:c r="AA324"/>
      <x:c r="AB324" t="n">
        <x:f>IF(('Quantification_Results'!Y324&lt;&gt;1),"",IF(('Quantification_Results'!AA324=""),IF(ISNUMBER('Quantification_Results'!Z324),IF(('Quantification_Results'!Z324&lt;'Quantification_Config'!$S$12),"",IF(('Quantification_Results'!Z324&gt;'Quantification_Config'!$T$12),"",'Quantification_Results'!Z324)),""),IF(ISNUMBER('Quantification_Results'!AA324),IF(('Quantification_Results'!AA324&lt;'Quantification_Config'!$S$12),"",IF(('Quantification_Results'!AA324&gt;'Quantification_Config'!$T$12),"",'Quantification_Results'!AA324)),"")))</x:f>
        <x:v>5</x:v>
      </x:c>
      <x:c r="AC324" t="n">
        <x:f>IF(ISNUMBER('Quantification_Results'!AB324),IFERROR(ROUND(((('Quantification_Results'!AB324-'Quantification_Config'!$S$12)/('Quantification_Config'!$T$12-'Quantification_Config'!$S$12))*100),'Quantification_Config'!$U$2),""),"")</x:f>
        <x:v>50</x:v>
      </x:c>
      <x:c r="AD324" t="inlineStr">
        <x:is>
          <x:t xml:space="preserve">SYSTEM-TEST-ONLY-NO-NETWORK-NOT-AN-EDUCATIONAL-EVALUATION</x:t>
        </x:is>
      </x:c>
      <x:c r="AE324" t="inlineStr">
        <x:is>
          <x:t xml:space="preserve"/>
        </x:is>
      </x:c>
      <x:c r="AF324" t="inlineStr">
        <x:is>
          <x:t xml:space="preserve">NONE</x:t>
        </x:is>
      </x:c>
      <x:c r="AG324" t="inlineStr">
        <x:is>
          <x:t xml:space="preserve"/>
        </x:is>
      </x:c>
      <x:c r="AH324" t="inlineStr">
        <x:is>
          <x:t xml:space="preserve">SUCCESS</x:t>
        </x:is>
      </x:c>
      <x:c r="AI324" t="n">
        <x:f>IF((COUNT('Quantification_Results'!AC324)=1),IFERROR(ROUND((SUM(('Quantification_Results'!AC324*'Quantification_Config'!$R$12))/SUM('Quantification_Config'!$R$12)),'Quantification_Config'!$U$2),""),"")</x:f>
        <x:v>50</x:v>
      </x:c>
      <x:c r="AJ324" t="n">
        <x:f>IF((COUNT('Quantification_Results'!AI324)=1),IFERROR(ROUND((SUM(('Quantification_Results'!AI324*'Quantification_Config'!$R$11))/SUM('Quantification_Config'!$R$11)),'Quantification_Config'!$U$2),""),"")</x:f>
        <x:v>50</x:v>
      </x:c>
      <x:c r="AK324" t="n">
        <x:v>1</x:v>
      </x:c>
      <x:c r="AL324" t="n">
        <x:v>5</x:v>
      </x:c>
      <x:c r="AM324"/>
      <x:c r="AN324" t="n">
        <x:f>IF(('Quantification_Results'!AK324&lt;&gt;1),"",IF(('Quantification_Results'!AM324=""),IF(ISNUMBER('Quantification_Results'!AL324),IF(('Quantification_Results'!AL324&lt;'Quantification_Config'!$S$15),"",IF(('Quantification_Results'!AL324&gt;'Quantification_Config'!$T$15),"",'Quantification_Results'!AL324)),""),IF(ISNUMBER('Quantification_Results'!AM324),IF(('Quantification_Results'!AM324&lt;'Quantification_Config'!$S$15),"",IF(('Quantification_Results'!AM324&gt;'Quantification_Config'!$T$15),"",'Quantification_Results'!AM324)),"")))</x:f>
        <x:v>5</x:v>
      </x:c>
      <x:c r="AO324" t="n">
        <x:f>IF(ISNUMBER('Quantification_Results'!AN324),IFERROR(ROUND(((('Quantification_Results'!AN324-'Quantification_Config'!$S$15)/('Quantification_Config'!$T$15-'Quantification_Config'!$S$15))*100),'Quantification_Config'!$U$2),""),"")</x:f>
        <x:v>50</x:v>
      </x:c>
      <x:c r="AP324" t="inlineStr">
        <x:is>
          <x:t xml:space="preserve">SYSTEM-TEST-ONLY-NO-NETWORK-NOT-AN-EDUCATIONAL-EVALUATION</x:t>
        </x:is>
      </x:c>
      <x:c r="AQ324" t="inlineStr">
        <x:is>
          <x:t xml:space="preserve"/>
        </x:is>
      </x:c>
      <x:c r="AR324" t="inlineStr">
        <x:is>
          <x:t xml:space="preserve">NONE</x:t>
        </x:is>
      </x:c>
      <x:c r="AS324" t="inlineStr">
        <x:is>
          <x:t xml:space="preserve"/>
        </x:is>
      </x:c>
      <x:c r="AT324" t="inlineStr">
        <x:is>
          <x:t xml:space="preserve">SUCCESS</x:t>
        </x:is>
      </x:c>
      <x:c r="AU324" t="n">
        <x:f>IF((COUNT('Quantification_Results'!AO324)=1),IFERROR(ROUND((SUM(('Quantification_Results'!AO324*'Quantification_Config'!$R$15))/SUM('Quantification_Config'!$R$15)),'Quantification_Config'!$U$2),""),"")</x:f>
        <x:v>50</x:v>
      </x:c>
      <x:c r="AV324" t="n">
        <x:f>IF((COUNT('Quantification_Results'!AU324)=1),IFERROR(ROUND((SUM(('Quantification_Results'!AU324*'Quantification_Config'!$R$14))/SUM('Quantification_Config'!$R$14)),'Quantification_Config'!$U$2),""),"")</x:f>
        <x:v>50</x:v>
      </x:c>
      <x:c r="AW324" t="n">
        <x:v>1</x:v>
      </x:c>
      <x:c r="AX324" t="n">
        <x:v>5</x:v>
      </x:c>
      <x:c r="AY324"/>
      <x:c r="AZ324" t="n">
        <x:f>IF(('Quantification_Results'!AW324&lt;&gt;1),"",IF(('Quantification_Results'!AY324=""),IF(ISNUMBER('Quantification_Results'!AX324),IF(('Quantification_Results'!AX324&lt;'Quantification_Config'!$S$19),"",IF(('Quantification_Results'!AX324&gt;'Quantification_Config'!$T$19),"",'Quantification_Results'!AX324)),""),IF(ISNUMBER('Quantification_Results'!AY324),IF(('Quantification_Results'!AY324&lt;'Quantification_Config'!$S$19),"",IF(('Quantification_Results'!AY324&gt;'Quantification_Config'!$T$19),"",'Quantification_Results'!AY324)),"")))</x:f>
        <x:v>5</x:v>
      </x:c>
      <x:c r="BA324" t="n">
        <x:f>IF(ISNUMBER('Quantification_Results'!AZ324),IFERROR(ROUND(((('Quantification_Results'!AZ324-'Quantification_Config'!$S$19)/('Quantification_Config'!$T$19-'Quantification_Config'!$S$19))*100),'Quantification_Config'!$U$2),""),"")</x:f>
        <x:v>50</x:v>
      </x:c>
      <x:c r="BB324" t="inlineStr">
        <x:is>
          <x:t xml:space="preserve">SYSTEM-TEST-ONLY-NO-NETWORK-NOT-AN-EDUCATIONAL-EVALUATION</x:t>
        </x:is>
      </x:c>
      <x:c r="BC324" t="inlineStr">
        <x:is>
          <x:t xml:space="preserve"/>
        </x:is>
      </x:c>
      <x:c r="BD324" t="inlineStr">
        <x:is>
          <x:t xml:space="preserve">NONE</x:t>
        </x:is>
      </x:c>
      <x:c r="BE324" t="inlineStr">
        <x:is>
          <x:t xml:space="preserve"/>
        </x:is>
      </x:c>
      <x:c r="BF324" t="inlineStr">
        <x:is>
          <x:t xml:space="preserve">SUCCESS</x:t>
        </x:is>
      </x:c>
      <x:c r="BG324" t="n">
        <x:f>IF((COUNT('Quantification_Results'!BA324)=1),IFERROR(ROUND((SUM(('Quantification_Results'!BA324*'Quantification_Config'!$R$19))/SUM('Quantification_Config'!$R$19)),'Quantification_Config'!$U$2),""),"")</x:f>
        <x:v>50</x:v>
      </x:c>
      <x:c r="BH324" t="n">
        <x:f>IF((COUNT('Quantification_Results'!BG324)=1),IFERROR(ROUND((SUM(('Quantification_Results'!BG324*'Quantification_Config'!$R$18))/SUM('Quantification_Config'!$R$18)),'Quantification_Config'!$U$2),""),"")</x:f>
        <x:v>50</x:v>
      </x:c>
      <x:c r="BI324" t="n">
        <x:f>IF((COUNT('Quantification_Results'!L324,'Quantification_Results'!X324,'Quantification_Results'!AJ324,'Quantification_Results'!AV324,'Quantification_Results'!BH324)=5),IFERROR(ROUND((SUM(('Quantification_Results'!L324*'Quantification_Config'!$R$4),('Quantification_Results'!X324*'Quantification_Config'!$R$7),('Quantification_Results'!AJ324*'Quantification_Config'!$R$10),('Quantification_Results'!AV324*'Quantification_Config'!$R$13),('Quantification_Results'!BH324*'Quantification_Config'!$R$16))/SUM('Quantification_Config'!$R$4,'Quantification_Config'!$R$7,'Quantification_Config'!$R$10,'Quantification_Config'!$R$13,'Quantification_Config'!$R$16)),'Quantification_Config'!$U$2),""),"")</x:f>
        <x:v>50</x:v>
      </x:c>
    </x:row>
    <x:row r="325">
      <x:c r="A325" t="n">
        <x:v>1</x:v>
      </x:c>
      <x:c r="B325" t="n">
        <x:v>5</x:v>
      </x:c>
      <x:c r="C325"/>
      <x:c r="D325" t="n">
        <x:f>IF(('Quantification_Results'!A325&lt;&gt;1),"",IF(('Quantification_Results'!C325=""),IF(ISNUMBER('Quantification_Results'!B325),IF(('Quantification_Results'!B325&lt;'Quantification_Config'!$S$6),"",IF(('Quantification_Results'!B325&gt;'Quantification_Config'!$T$6),"",'Quantification_Results'!B325)),""),IF(ISNUMBER('Quantification_Results'!C325),IF(('Quantification_Results'!C325&lt;'Quantification_Config'!$S$6),"",IF(('Quantification_Results'!C325&gt;'Quantification_Config'!$T$6),"",'Quantification_Results'!C325)),"")))</x:f>
        <x:v>5</x:v>
      </x:c>
      <x:c r="E325" t="n">
        <x:f>IF(ISNUMBER('Quantification_Results'!D325),IFERROR(ROUND(((('Quantification_Results'!D325-'Quantification_Config'!$S$6)/('Quantification_Config'!$T$6-'Quantification_Config'!$S$6))*100),'Quantification_Config'!$U$2),""),"")</x:f>
        <x:v>50</x:v>
      </x:c>
      <x:c r="F325" t="inlineStr">
        <x:is>
          <x:t xml:space="preserve">SYSTEM-TEST-ONLY-NO-NETWORK-NOT-AN-EDUCATIONAL-EVALUATION</x:t>
        </x:is>
      </x:c>
      <x:c r="G325" t="inlineStr">
        <x:is>
          <x:t xml:space="preserve"/>
        </x:is>
      </x:c>
      <x:c r="H325" t="inlineStr">
        <x:is>
          <x:t xml:space="preserve">NONE</x:t>
        </x:is>
      </x:c>
      <x:c r="I325" t="inlineStr">
        <x:is>
          <x:t xml:space="preserve"/>
        </x:is>
      </x:c>
      <x:c r="J325" t="inlineStr">
        <x:is>
          <x:t xml:space="preserve">SUCCESS</x:t>
        </x:is>
      </x:c>
      <x:c r="K325" t="n">
        <x:f>IF((COUNT('Quantification_Results'!E325)=1),IFERROR(ROUND((SUM(('Quantification_Results'!E325*'Quantification_Config'!$R$6))/SUM('Quantification_Config'!$R$6)),'Quantification_Config'!$U$2),""),"")</x:f>
        <x:v>50</x:v>
      </x:c>
      <x:c r="L325" t="n">
        <x:f>IF((COUNT('Quantification_Results'!K325)=1),IFERROR(ROUND((SUM(('Quantification_Results'!K325*'Quantification_Config'!$R$5))/SUM('Quantification_Config'!$R$5)),'Quantification_Config'!$U$2),""),"")</x:f>
        <x:v>50</x:v>
      </x:c>
      <x:c r="M325" t="n">
        <x:v>0</x:v>
      </x:c>
      <x:c r="N325"/>
      <x:c r="O325"/>
      <x:c r="P325">
        <x:f>IF(('Quantification_Results'!M325&lt;&gt;1),"",IF(('Quantification_Results'!O325=""),IF(ISNUMBER('Quantification_Results'!N325),IF(('Quantification_Results'!N325&lt;'Quantification_Config'!$S$9),"",IF(('Quantification_Results'!N325&gt;'Quantification_Config'!$T$9),"",'Quantification_Results'!N325)),""),IF(ISNUMBER('Quantification_Results'!O325),IF(('Quantification_Results'!O325&lt;'Quantification_Config'!$S$9),"",IF(('Quantification_Results'!O325&gt;'Quantification_Config'!$T$9),"",'Quantification_Results'!O325)),"")))</x:f>
      </x:c>
      <x:c r="Q325">
        <x:f>IF(ISNUMBER('Quantification_Results'!P325),IFERROR(ROUND(((('Quantification_Results'!P325-'Quantification_Config'!$S$9)/('Quantification_Config'!$T$9-'Quantification_Config'!$S$9))*100),'Quantification_Config'!$U$2),""),"")</x:f>
      </x:c>
      <x:c r="R325" t="inlineStr">
        <x:is>
          <x:t xml:space="preserve"/>
        </x:is>
      </x:c>
      <x:c r="S325" t="inlineStr">
        <x:is>
          <x:t xml:space="preserve"/>
        </x:is>
      </x:c>
      <x:c r="T325" t="inlineStr">
        <x:is>
          <x:t xml:space="preserve"/>
        </x:is>
      </x:c>
      <x:c r="U325" t="inlineStr">
        <x:is>
          <x:t xml:space="preserve"/>
        </x:is>
      </x:c>
      <x:c r="V325" t="inlineStr">
        <x:is>
          <x:t xml:space="preserve">EMPTY</x:t>
        </x:is>
      </x:c>
      <x:c r="W325">
        <x:f>IF((COUNT('Quantification_Results'!Q325)=1),IFERROR(ROUND((SUM(('Quantification_Results'!Q325*'Quantification_Config'!$R$9))/SUM('Quantification_Config'!$R$9)),'Quantification_Config'!$U$2),""),"")</x:f>
      </x:c>
      <x:c r="X325">
        <x:f>IF((COUNT('Quantification_Results'!W325)=1),IFERROR(ROUND((SUM(('Quantification_Results'!W325*'Quantification_Config'!$R$8))/SUM('Quantification_Config'!$R$8)),'Quantification_Config'!$U$2),""),"")</x:f>
      </x:c>
      <x:c r="Y325" t="n">
        <x:v>0</x:v>
      </x:c>
      <x:c r="Z325"/>
      <x:c r="AA325"/>
      <x:c r="AB325">
        <x:f>IF(('Quantification_Results'!Y325&lt;&gt;1),"",IF(('Quantification_Results'!AA325=""),IF(ISNUMBER('Quantification_Results'!Z325),IF(('Quantification_Results'!Z325&lt;'Quantification_Config'!$S$12),"",IF(('Quantification_Results'!Z325&gt;'Quantification_Config'!$T$12),"",'Quantification_Results'!Z325)),""),IF(ISNUMBER('Quantification_Results'!AA325),IF(('Quantification_Results'!AA325&lt;'Quantification_Config'!$S$12),"",IF(('Quantification_Results'!AA325&gt;'Quantification_Config'!$T$12),"",'Quantification_Results'!AA325)),"")))</x:f>
      </x:c>
      <x:c r="AC325">
        <x:f>IF(ISNUMBER('Quantification_Results'!AB325),IFERROR(ROUND(((('Quantification_Results'!AB325-'Quantification_Config'!$S$12)/('Quantification_Config'!$T$12-'Quantification_Config'!$S$12))*100),'Quantification_Config'!$U$2),""),"")</x:f>
      </x:c>
      <x:c r="AD325" t="inlineStr">
        <x:is>
          <x:t xml:space="preserve"/>
        </x:is>
      </x:c>
      <x:c r="AE325" t="inlineStr">
        <x:is>
          <x:t xml:space="preserve"/>
        </x:is>
      </x:c>
      <x:c r="AF325" t="inlineStr">
        <x:is>
          <x:t xml:space="preserve"/>
        </x:is>
      </x:c>
      <x:c r="AG325" t="inlineStr">
        <x:is>
          <x:t xml:space="preserve"/>
        </x:is>
      </x:c>
      <x:c r="AH325" t="inlineStr">
        <x:is>
          <x:t xml:space="preserve">EMPTY</x:t>
        </x:is>
      </x:c>
      <x:c r="AI325">
        <x:f>IF((COUNT('Quantification_Results'!AC325)=1),IFERROR(ROUND((SUM(('Quantification_Results'!AC325*'Quantification_Config'!$R$12))/SUM('Quantification_Config'!$R$12)),'Quantification_Config'!$U$2),""),"")</x:f>
      </x:c>
      <x:c r="AJ325">
        <x:f>IF((COUNT('Quantification_Results'!AI325)=1),IFERROR(ROUND((SUM(('Quantification_Results'!AI325*'Quantification_Config'!$R$11))/SUM('Quantification_Config'!$R$11)),'Quantification_Config'!$U$2),""),"")</x:f>
      </x:c>
      <x:c r="AK325" t="n">
        <x:v>1</x:v>
      </x:c>
      <x:c r="AL325" t="n">
        <x:v>5</x:v>
      </x:c>
      <x:c r="AM325"/>
      <x:c r="AN325" t="n">
        <x:f>IF(('Quantification_Results'!AK325&lt;&gt;1),"",IF(('Quantification_Results'!AM325=""),IF(ISNUMBER('Quantification_Results'!AL325),IF(('Quantification_Results'!AL325&lt;'Quantification_Config'!$S$15),"",IF(('Quantification_Results'!AL325&gt;'Quantification_Config'!$T$15),"",'Quantification_Results'!AL325)),""),IF(ISNUMBER('Quantification_Results'!AM325),IF(('Quantification_Results'!AM325&lt;'Quantification_Config'!$S$15),"",IF(('Quantification_Results'!AM325&gt;'Quantification_Config'!$T$15),"",'Quantification_Results'!AM325)),"")))</x:f>
        <x:v>5</x:v>
      </x:c>
      <x:c r="AO325" t="n">
        <x:f>IF(ISNUMBER('Quantification_Results'!AN325),IFERROR(ROUND(((('Quantification_Results'!AN325-'Quantification_Config'!$S$15)/('Quantification_Config'!$T$15-'Quantification_Config'!$S$15))*100),'Quantification_Config'!$U$2),""),"")</x:f>
        <x:v>50</x:v>
      </x:c>
      <x:c r="AP325" t="inlineStr">
        <x:is>
          <x:t xml:space="preserve">SYSTEM-TEST-ONLY-NO-NETWORK-NOT-AN-EDUCATIONAL-EVALUATION</x:t>
        </x:is>
      </x:c>
      <x:c r="AQ325" t="inlineStr">
        <x:is>
          <x:t xml:space="preserve"/>
        </x:is>
      </x:c>
      <x:c r="AR325" t="inlineStr">
        <x:is>
          <x:t xml:space="preserve">NONE</x:t>
        </x:is>
      </x:c>
      <x:c r="AS325" t="inlineStr">
        <x:is>
          <x:t xml:space="preserve"/>
        </x:is>
      </x:c>
      <x:c r="AT325" t="inlineStr">
        <x:is>
          <x:t xml:space="preserve">SUCCESS</x:t>
        </x:is>
      </x:c>
      <x:c r="AU325" t="n">
        <x:f>IF((COUNT('Quantification_Results'!AO325)=1),IFERROR(ROUND((SUM(('Quantification_Results'!AO325*'Quantification_Config'!$R$15))/SUM('Quantification_Config'!$R$15)),'Quantification_Config'!$U$2),""),"")</x:f>
        <x:v>50</x:v>
      </x:c>
      <x:c r="AV325" t="n">
        <x:f>IF((COUNT('Quantification_Results'!AU325)=1),IFERROR(ROUND((SUM(('Quantification_Results'!AU325*'Quantification_Config'!$R$14))/SUM('Quantification_Config'!$R$14)),'Quantification_Config'!$U$2),""),"")</x:f>
        <x:v>50</x:v>
      </x:c>
      <x:c r="AW325" t="n">
        <x:v>0</x:v>
      </x:c>
      <x:c r="AX325"/>
      <x:c r="AY325"/>
      <x:c r="AZ325">
        <x:f>IF(('Quantification_Results'!AW325&lt;&gt;1),"",IF(('Quantification_Results'!AY325=""),IF(ISNUMBER('Quantification_Results'!AX325),IF(('Quantification_Results'!AX325&lt;'Quantification_Config'!$S$19),"",IF(('Quantification_Results'!AX325&gt;'Quantification_Config'!$T$19),"",'Quantification_Results'!AX325)),""),IF(ISNUMBER('Quantification_Results'!AY325),IF(('Quantification_Results'!AY325&lt;'Quantification_Config'!$S$19),"",IF(('Quantification_Results'!AY325&gt;'Quantification_Config'!$T$19),"",'Quantification_Results'!AY325)),"")))</x:f>
      </x:c>
      <x:c r="BA325">
        <x:f>IF(ISNUMBER('Quantification_Results'!AZ325),IFERROR(ROUND(((('Quantification_Results'!AZ325-'Quantification_Config'!$S$19)/('Quantification_Config'!$T$19-'Quantification_Config'!$S$19))*100),'Quantification_Config'!$U$2),""),"")</x:f>
      </x:c>
      <x:c r="BB325" t="inlineStr">
        <x:is>
          <x:t xml:space="preserve"/>
        </x:is>
      </x:c>
      <x:c r="BC325" t="inlineStr">
        <x:is>
          <x:t xml:space="preserve"/>
        </x:is>
      </x:c>
      <x:c r="BD325" t="inlineStr">
        <x:is>
          <x:t xml:space="preserve"/>
        </x:is>
      </x:c>
      <x:c r="BE325" t="inlineStr">
        <x:is>
          <x:t xml:space="preserve"/>
        </x:is>
      </x:c>
      <x:c r="BF325" t="inlineStr">
        <x:is>
          <x:t xml:space="preserve">EMPTY</x:t>
        </x:is>
      </x:c>
      <x:c r="BG325">
        <x:f>IF((COUNT('Quantification_Results'!BA325)=1),IFERROR(ROUND((SUM(('Quantification_Results'!BA325*'Quantification_Config'!$R$19))/SUM('Quantification_Config'!$R$19)),'Quantification_Config'!$U$2),""),"")</x:f>
      </x:c>
      <x:c r="BH325">
        <x:f>IF((COUNT('Quantification_Results'!BG325)=1),IFERROR(ROUND((SUM(('Quantification_Results'!BG325*'Quantification_Config'!$R$18))/SUM('Quantification_Config'!$R$18)),'Quantification_Config'!$U$2),""),"")</x:f>
      </x:c>
      <x:c r="BI325">
        <x:f>IF((COUNT('Quantification_Results'!L325,'Quantification_Results'!X325,'Quantification_Results'!AJ325,'Quantification_Results'!AV325,'Quantification_Results'!BH325)=5),IFERROR(ROUND((SUM(('Quantification_Results'!L325*'Quantification_Config'!$R$4),('Quantification_Results'!X325*'Quantification_Config'!$R$7),('Quantification_Results'!AJ325*'Quantification_Config'!$R$10),('Quantification_Results'!AV325*'Quantification_Config'!$R$13),('Quantification_Results'!BH325*'Quantification_Config'!$R$16))/SUM('Quantification_Config'!$R$4,'Quantification_Config'!$R$7,'Quantification_Config'!$R$10,'Quantification_Config'!$R$13,'Quantification_Config'!$R$16)),'Quantification_Config'!$U$2),""),"")</x:f>
      </x:c>
    </x:row>
    <x:row r="326">
      <x:c r="A326" t="n">
        <x:v>1</x:v>
      </x:c>
      <x:c r="B326" t="n">
        <x:v>5</x:v>
      </x:c>
      <x:c r="C326"/>
      <x:c r="D326" t="n">
        <x:f>IF(('Quantification_Results'!A326&lt;&gt;1),"",IF(('Quantification_Results'!C326=""),IF(ISNUMBER('Quantification_Results'!B326),IF(('Quantification_Results'!B326&lt;'Quantification_Config'!$S$6),"",IF(('Quantification_Results'!B326&gt;'Quantification_Config'!$T$6),"",'Quantification_Results'!B326)),""),IF(ISNUMBER('Quantification_Results'!C326),IF(('Quantification_Results'!C326&lt;'Quantification_Config'!$S$6),"",IF(('Quantification_Results'!C326&gt;'Quantification_Config'!$T$6),"",'Quantification_Results'!C326)),"")))</x:f>
        <x:v>5</x:v>
      </x:c>
      <x:c r="E326" t="n">
        <x:f>IF(ISNUMBER('Quantification_Results'!D326),IFERROR(ROUND(((('Quantification_Results'!D326-'Quantification_Config'!$S$6)/('Quantification_Config'!$T$6-'Quantification_Config'!$S$6))*100),'Quantification_Config'!$U$2),""),"")</x:f>
        <x:v>50</x:v>
      </x:c>
      <x:c r="F326" t="inlineStr">
        <x:is>
          <x:t xml:space="preserve">SYSTEM-TEST-ONLY-NO-NETWORK-NOT-AN-EDUCATIONAL-EVALUATION</x:t>
        </x:is>
      </x:c>
      <x:c r="G326" t="inlineStr">
        <x:is>
          <x:t xml:space="preserve"/>
        </x:is>
      </x:c>
      <x:c r="H326" t="inlineStr">
        <x:is>
          <x:t xml:space="preserve">NONE</x:t>
        </x:is>
      </x:c>
      <x:c r="I326" t="inlineStr">
        <x:is>
          <x:t xml:space="preserve"/>
        </x:is>
      </x:c>
      <x:c r="J326" t="inlineStr">
        <x:is>
          <x:t xml:space="preserve">SUCCESS</x:t>
        </x:is>
      </x:c>
      <x:c r="K326" t="n">
        <x:f>IF((COUNT('Quantification_Results'!E326)=1),IFERROR(ROUND((SUM(('Quantification_Results'!E326*'Quantification_Config'!$R$6))/SUM('Quantification_Config'!$R$6)),'Quantification_Config'!$U$2),""),"")</x:f>
        <x:v>50</x:v>
      </x:c>
      <x:c r="L326" t="n">
        <x:f>IF((COUNT('Quantification_Results'!K326)=1),IFERROR(ROUND((SUM(('Quantification_Results'!K326*'Quantification_Config'!$R$5))/SUM('Quantification_Config'!$R$5)),'Quantification_Config'!$U$2),""),"")</x:f>
        <x:v>50</x:v>
      </x:c>
      <x:c r="M326" t="n">
        <x:v>1</x:v>
      </x:c>
      <x:c r="N326" t="n">
        <x:v>5</x:v>
      </x:c>
      <x:c r="O326"/>
      <x:c r="P326" t="n">
        <x:f>IF(('Quantification_Results'!M326&lt;&gt;1),"",IF(('Quantification_Results'!O326=""),IF(ISNUMBER('Quantification_Results'!N326),IF(('Quantification_Results'!N326&lt;'Quantification_Config'!$S$9),"",IF(('Quantification_Results'!N326&gt;'Quantification_Config'!$T$9),"",'Quantification_Results'!N326)),""),IF(ISNUMBER('Quantification_Results'!O326),IF(('Quantification_Results'!O326&lt;'Quantification_Config'!$S$9),"",IF(('Quantification_Results'!O326&gt;'Quantification_Config'!$T$9),"",'Quantification_Results'!O326)),"")))</x:f>
        <x:v>5</x:v>
      </x:c>
      <x:c r="Q326" t="n">
        <x:f>IF(ISNUMBER('Quantification_Results'!P326),IFERROR(ROUND(((('Quantification_Results'!P326-'Quantification_Config'!$S$9)/('Quantification_Config'!$T$9-'Quantification_Config'!$S$9))*100),'Quantification_Config'!$U$2),""),"")</x:f>
        <x:v>50</x:v>
      </x:c>
      <x:c r="R326" t="inlineStr">
        <x:is>
          <x:t xml:space="preserve">SYSTEM-TEST-ONLY-NO-NETWORK-NOT-AN-EDUCATIONAL-EVALUATION</x:t>
        </x:is>
      </x:c>
      <x:c r="S326" t="inlineStr">
        <x:is>
          <x:t xml:space="preserve"/>
        </x:is>
      </x:c>
      <x:c r="T326" t="inlineStr">
        <x:is>
          <x:t xml:space="preserve">NONE</x:t>
        </x:is>
      </x:c>
      <x:c r="U326" t="inlineStr">
        <x:is>
          <x:t xml:space="preserve"/>
        </x:is>
      </x:c>
      <x:c r="V326" t="inlineStr">
        <x:is>
          <x:t xml:space="preserve">SUCCESS</x:t>
        </x:is>
      </x:c>
      <x:c r="W326" t="n">
        <x:f>IF((COUNT('Quantification_Results'!Q326)=1),IFERROR(ROUND((SUM(('Quantification_Results'!Q326*'Quantification_Config'!$R$9))/SUM('Quantification_Config'!$R$9)),'Quantification_Config'!$U$2),""),"")</x:f>
        <x:v>50</x:v>
      </x:c>
      <x:c r="X326" t="n">
        <x:f>IF((COUNT('Quantification_Results'!W326)=1),IFERROR(ROUND((SUM(('Quantification_Results'!W326*'Quantification_Config'!$R$8))/SUM('Quantification_Config'!$R$8)),'Quantification_Config'!$U$2),""),"")</x:f>
        <x:v>50</x:v>
      </x:c>
      <x:c r="Y326" t="n">
        <x:v>1</x:v>
      </x:c>
      <x:c r="Z326" t="n">
        <x:v>5</x:v>
      </x:c>
      <x:c r="AA326"/>
      <x:c r="AB326" t="n">
        <x:f>IF(('Quantification_Results'!Y326&lt;&gt;1),"",IF(('Quantification_Results'!AA326=""),IF(ISNUMBER('Quantification_Results'!Z326),IF(('Quantification_Results'!Z326&lt;'Quantification_Config'!$S$12),"",IF(('Quantification_Results'!Z326&gt;'Quantification_Config'!$T$12),"",'Quantification_Results'!Z326)),""),IF(ISNUMBER('Quantification_Results'!AA326),IF(('Quantification_Results'!AA326&lt;'Quantification_Config'!$S$12),"",IF(('Quantification_Results'!AA326&gt;'Quantification_Config'!$T$12),"",'Quantification_Results'!AA326)),"")))</x:f>
        <x:v>5</x:v>
      </x:c>
      <x:c r="AC326" t="n">
        <x:f>IF(ISNUMBER('Quantification_Results'!AB326),IFERROR(ROUND(((('Quantification_Results'!AB326-'Quantification_Config'!$S$12)/('Quantification_Config'!$T$12-'Quantification_Config'!$S$12))*100),'Quantification_Config'!$U$2),""),"")</x:f>
        <x:v>50</x:v>
      </x:c>
      <x:c r="AD326" t="inlineStr">
        <x:is>
          <x:t xml:space="preserve">SYSTEM-TEST-ONLY-NO-NETWORK-NOT-AN-EDUCATIONAL-EVALUATION</x:t>
        </x:is>
      </x:c>
      <x:c r="AE326" t="inlineStr">
        <x:is>
          <x:t xml:space="preserve"/>
        </x:is>
      </x:c>
      <x:c r="AF326" t="inlineStr">
        <x:is>
          <x:t xml:space="preserve">NONE</x:t>
        </x:is>
      </x:c>
      <x:c r="AG326" t="inlineStr">
        <x:is>
          <x:t xml:space="preserve"/>
        </x:is>
      </x:c>
      <x:c r="AH326" t="inlineStr">
        <x:is>
          <x:t xml:space="preserve">SUCCESS</x:t>
        </x:is>
      </x:c>
      <x:c r="AI326" t="n">
        <x:f>IF((COUNT('Quantification_Results'!AC326)=1),IFERROR(ROUND((SUM(('Quantification_Results'!AC326*'Quantification_Config'!$R$12))/SUM('Quantification_Config'!$R$12)),'Quantification_Config'!$U$2),""),"")</x:f>
        <x:v>50</x:v>
      </x:c>
      <x:c r="AJ326" t="n">
        <x:f>IF((COUNT('Quantification_Results'!AI326)=1),IFERROR(ROUND((SUM(('Quantification_Results'!AI326*'Quantification_Config'!$R$11))/SUM('Quantification_Config'!$R$11)),'Quantification_Config'!$U$2),""),"")</x:f>
        <x:v>50</x:v>
      </x:c>
      <x:c r="AK326" t="n">
        <x:v>1</x:v>
      </x:c>
      <x:c r="AL326" t="n">
        <x:v>5</x:v>
      </x:c>
      <x:c r="AM326"/>
      <x:c r="AN326" t="n">
        <x:f>IF(('Quantification_Results'!AK326&lt;&gt;1),"",IF(('Quantification_Results'!AM326=""),IF(ISNUMBER('Quantification_Results'!AL326),IF(('Quantification_Results'!AL326&lt;'Quantification_Config'!$S$15),"",IF(('Quantification_Results'!AL326&gt;'Quantification_Config'!$T$15),"",'Quantification_Results'!AL326)),""),IF(ISNUMBER('Quantification_Results'!AM326),IF(('Quantification_Results'!AM326&lt;'Quantification_Config'!$S$15),"",IF(('Quantification_Results'!AM326&gt;'Quantification_Config'!$T$15),"",'Quantification_Results'!AM326)),"")))</x:f>
        <x:v>5</x:v>
      </x:c>
      <x:c r="AO326" t="n">
        <x:f>IF(ISNUMBER('Quantification_Results'!AN326),IFERROR(ROUND(((('Quantification_Results'!AN326-'Quantification_Config'!$S$15)/('Quantification_Config'!$T$15-'Quantification_Config'!$S$15))*100),'Quantification_Config'!$U$2),""),"")</x:f>
        <x:v>50</x:v>
      </x:c>
      <x:c r="AP326" t="inlineStr">
        <x:is>
          <x:t xml:space="preserve">SYSTEM-TEST-ONLY-NO-NETWORK-NOT-AN-EDUCATIONAL-EVALUATION</x:t>
        </x:is>
      </x:c>
      <x:c r="AQ326" t="inlineStr">
        <x:is>
          <x:t xml:space="preserve"/>
        </x:is>
      </x:c>
      <x:c r="AR326" t="inlineStr">
        <x:is>
          <x:t xml:space="preserve">NONE</x:t>
        </x:is>
      </x:c>
      <x:c r="AS326" t="inlineStr">
        <x:is>
          <x:t xml:space="preserve"/>
        </x:is>
      </x:c>
      <x:c r="AT326" t="inlineStr">
        <x:is>
          <x:t xml:space="preserve">SUCCESS</x:t>
        </x:is>
      </x:c>
      <x:c r="AU326" t="n">
        <x:f>IF((COUNT('Quantification_Results'!AO326)=1),IFERROR(ROUND((SUM(('Quantification_Results'!AO326*'Quantification_Config'!$R$15))/SUM('Quantification_Config'!$R$15)),'Quantification_Config'!$U$2),""),"")</x:f>
        <x:v>50</x:v>
      </x:c>
      <x:c r="AV326" t="n">
        <x:f>IF((COUNT('Quantification_Results'!AU326)=1),IFERROR(ROUND((SUM(('Quantification_Results'!AU326*'Quantification_Config'!$R$14))/SUM('Quantification_Config'!$R$14)),'Quantification_Config'!$U$2),""),"")</x:f>
        <x:v>50</x:v>
      </x:c>
      <x:c r="AW326" t="n">
        <x:v>1</x:v>
      </x:c>
      <x:c r="AX326" t="n">
        <x:v>5</x:v>
      </x:c>
      <x:c r="AY326"/>
      <x:c r="AZ326" t="n">
        <x:f>IF(('Quantification_Results'!AW326&lt;&gt;1),"",IF(('Quantification_Results'!AY326=""),IF(ISNUMBER('Quantification_Results'!AX326),IF(('Quantification_Results'!AX326&lt;'Quantification_Config'!$S$19),"",IF(('Quantification_Results'!AX326&gt;'Quantification_Config'!$T$19),"",'Quantification_Results'!AX326)),""),IF(ISNUMBER('Quantification_Results'!AY326),IF(('Quantification_Results'!AY326&lt;'Quantification_Config'!$S$19),"",IF(('Quantification_Results'!AY326&gt;'Quantification_Config'!$T$19),"",'Quantification_Results'!AY326)),"")))</x:f>
        <x:v>5</x:v>
      </x:c>
      <x:c r="BA326" t="n">
        <x:f>IF(ISNUMBER('Quantification_Results'!AZ326),IFERROR(ROUND(((('Quantification_Results'!AZ326-'Quantification_Config'!$S$19)/('Quantification_Config'!$T$19-'Quantification_Config'!$S$19))*100),'Quantification_Config'!$U$2),""),"")</x:f>
        <x:v>50</x:v>
      </x:c>
      <x:c r="BB326" t="inlineStr">
        <x:is>
          <x:t xml:space="preserve">SYSTEM-TEST-ONLY-NO-NETWORK-NOT-AN-EDUCATIONAL-EVALUATION</x:t>
        </x:is>
      </x:c>
      <x:c r="BC326" t="inlineStr">
        <x:is>
          <x:t xml:space="preserve"/>
        </x:is>
      </x:c>
      <x:c r="BD326" t="inlineStr">
        <x:is>
          <x:t xml:space="preserve">NONE</x:t>
        </x:is>
      </x:c>
      <x:c r="BE326" t="inlineStr">
        <x:is>
          <x:t xml:space="preserve"/>
        </x:is>
      </x:c>
      <x:c r="BF326" t="inlineStr">
        <x:is>
          <x:t xml:space="preserve">SUCCESS</x:t>
        </x:is>
      </x:c>
      <x:c r="BG326" t="n">
        <x:f>IF((COUNT('Quantification_Results'!BA326)=1),IFERROR(ROUND((SUM(('Quantification_Results'!BA326*'Quantification_Config'!$R$19))/SUM('Quantification_Config'!$R$19)),'Quantification_Config'!$U$2),""),"")</x:f>
        <x:v>50</x:v>
      </x:c>
      <x:c r="BH326" t="n">
        <x:f>IF((COUNT('Quantification_Results'!BG326)=1),IFERROR(ROUND((SUM(('Quantification_Results'!BG326*'Quantification_Config'!$R$18))/SUM('Quantification_Config'!$R$18)),'Quantification_Config'!$U$2),""),"")</x:f>
        <x:v>50</x:v>
      </x:c>
      <x:c r="BI326" t="n">
        <x:f>IF((COUNT('Quantification_Results'!L326,'Quantification_Results'!X326,'Quantification_Results'!AJ326,'Quantification_Results'!AV326,'Quantification_Results'!BH326)=5),IFERROR(ROUND((SUM(('Quantification_Results'!L326*'Quantification_Config'!$R$4),('Quantification_Results'!X326*'Quantification_Config'!$R$7),('Quantification_Results'!AJ326*'Quantification_Config'!$R$10),('Quantification_Results'!AV326*'Quantification_Config'!$R$13),('Quantification_Results'!BH326*'Quantification_Config'!$R$16))/SUM('Quantification_Config'!$R$4,'Quantification_Config'!$R$7,'Quantification_Config'!$R$10,'Quantification_Config'!$R$13,'Quantification_Config'!$R$16)),'Quantification_Config'!$U$2),""),"")</x:f>
        <x:v>50</x:v>
      </x:c>
    </x:row>
    <x:row r="327">
      <x:c r="A327" t="n">
        <x:v>1</x:v>
      </x:c>
      <x:c r="B327" t="n">
        <x:v>5</x:v>
      </x:c>
      <x:c r="C327"/>
      <x:c r="D327" t="n">
        <x:f>IF(('Quantification_Results'!A327&lt;&gt;1),"",IF(('Quantification_Results'!C327=""),IF(ISNUMBER('Quantification_Results'!B327),IF(('Quantification_Results'!B327&lt;'Quantification_Config'!$S$6),"",IF(('Quantification_Results'!B327&gt;'Quantification_Config'!$T$6),"",'Quantification_Results'!B327)),""),IF(ISNUMBER('Quantification_Results'!C327),IF(('Quantification_Results'!C327&lt;'Quantification_Config'!$S$6),"",IF(('Quantification_Results'!C327&gt;'Quantification_Config'!$T$6),"",'Quantification_Results'!C327)),"")))</x:f>
        <x:v>5</x:v>
      </x:c>
      <x:c r="E327" t="n">
        <x:f>IF(ISNUMBER('Quantification_Results'!D327),IFERROR(ROUND(((('Quantification_Results'!D327-'Quantification_Config'!$S$6)/('Quantification_Config'!$T$6-'Quantification_Config'!$S$6))*100),'Quantification_Config'!$U$2),""),"")</x:f>
        <x:v>50</x:v>
      </x:c>
      <x:c r="F327" t="inlineStr">
        <x:is>
          <x:t xml:space="preserve">SYSTEM-TEST-ONLY-NO-NETWORK-NOT-AN-EDUCATIONAL-EVALUATION</x:t>
        </x:is>
      </x:c>
      <x:c r="G327" t="inlineStr">
        <x:is>
          <x:t xml:space="preserve"/>
        </x:is>
      </x:c>
      <x:c r="H327" t="inlineStr">
        <x:is>
          <x:t xml:space="preserve">NONE</x:t>
        </x:is>
      </x:c>
      <x:c r="I327" t="inlineStr">
        <x:is>
          <x:t xml:space="preserve"/>
        </x:is>
      </x:c>
      <x:c r="J327" t="inlineStr">
        <x:is>
          <x:t xml:space="preserve">SUCCESS</x:t>
        </x:is>
      </x:c>
      <x:c r="K327" t="n">
        <x:f>IF((COUNT('Quantification_Results'!E327)=1),IFERROR(ROUND((SUM(('Quantification_Results'!E327*'Quantification_Config'!$R$6))/SUM('Quantification_Config'!$R$6)),'Quantification_Config'!$U$2),""),"")</x:f>
        <x:v>50</x:v>
      </x:c>
      <x:c r="L327" t="n">
        <x:f>IF((COUNT('Quantification_Results'!K327)=1),IFERROR(ROUND((SUM(('Quantification_Results'!K327*'Quantification_Config'!$R$5))/SUM('Quantification_Config'!$R$5)),'Quantification_Config'!$U$2),""),"")</x:f>
        <x:v>50</x:v>
      </x:c>
      <x:c r="M327" t="n">
        <x:v>0</x:v>
      </x:c>
      <x:c r="N327"/>
      <x:c r="O327"/>
      <x:c r="P327">
        <x:f>IF(('Quantification_Results'!M327&lt;&gt;1),"",IF(('Quantification_Results'!O327=""),IF(ISNUMBER('Quantification_Results'!N327),IF(('Quantification_Results'!N327&lt;'Quantification_Config'!$S$9),"",IF(('Quantification_Results'!N327&gt;'Quantification_Config'!$T$9),"",'Quantification_Results'!N327)),""),IF(ISNUMBER('Quantification_Results'!O327),IF(('Quantification_Results'!O327&lt;'Quantification_Config'!$S$9),"",IF(('Quantification_Results'!O327&gt;'Quantification_Config'!$T$9),"",'Quantification_Results'!O327)),"")))</x:f>
      </x:c>
      <x:c r="Q327">
        <x:f>IF(ISNUMBER('Quantification_Results'!P327),IFERROR(ROUND(((('Quantification_Results'!P327-'Quantification_Config'!$S$9)/('Quantification_Config'!$T$9-'Quantification_Config'!$S$9))*100),'Quantification_Config'!$U$2),""),"")</x:f>
      </x:c>
      <x:c r="R327" t="inlineStr">
        <x:is>
          <x:t xml:space="preserve"/>
        </x:is>
      </x:c>
      <x:c r="S327" t="inlineStr">
        <x:is>
          <x:t xml:space="preserve"/>
        </x:is>
      </x:c>
      <x:c r="T327" t="inlineStr">
        <x:is>
          <x:t xml:space="preserve"/>
        </x:is>
      </x:c>
      <x:c r="U327" t="inlineStr">
        <x:is>
          <x:t xml:space="preserve"/>
        </x:is>
      </x:c>
      <x:c r="V327" t="inlineStr">
        <x:is>
          <x:t xml:space="preserve">EMPTY</x:t>
        </x:is>
      </x:c>
      <x:c r="W327">
        <x:f>IF((COUNT('Quantification_Results'!Q327)=1),IFERROR(ROUND((SUM(('Quantification_Results'!Q327*'Quantification_Config'!$R$9))/SUM('Quantification_Config'!$R$9)),'Quantification_Config'!$U$2),""),"")</x:f>
      </x:c>
      <x:c r="X327">
        <x:f>IF((COUNT('Quantification_Results'!W327)=1),IFERROR(ROUND((SUM(('Quantification_Results'!W327*'Quantification_Config'!$R$8))/SUM('Quantification_Config'!$R$8)),'Quantification_Config'!$U$2),""),"")</x:f>
      </x:c>
      <x:c r="Y327" t="n">
        <x:v>0</x:v>
      </x:c>
      <x:c r="Z327"/>
      <x:c r="AA327"/>
      <x:c r="AB327">
        <x:f>IF(('Quantification_Results'!Y327&lt;&gt;1),"",IF(('Quantification_Results'!AA327=""),IF(ISNUMBER('Quantification_Results'!Z327),IF(('Quantification_Results'!Z327&lt;'Quantification_Config'!$S$12),"",IF(('Quantification_Results'!Z327&gt;'Quantification_Config'!$T$12),"",'Quantification_Results'!Z327)),""),IF(ISNUMBER('Quantification_Results'!AA327),IF(('Quantification_Results'!AA327&lt;'Quantification_Config'!$S$12),"",IF(('Quantification_Results'!AA327&gt;'Quantification_Config'!$T$12),"",'Quantification_Results'!AA327)),"")))</x:f>
      </x:c>
      <x:c r="AC327">
        <x:f>IF(ISNUMBER('Quantification_Results'!AB327),IFERROR(ROUND(((('Quantification_Results'!AB327-'Quantification_Config'!$S$12)/('Quantification_Config'!$T$12-'Quantification_Config'!$S$12))*100),'Quantification_Config'!$U$2),""),"")</x:f>
      </x:c>
      <x:c r="AD327" t="inlineStr">
        <x:is>
          <x:t xml:space="preserve"/>
        </x:is>
      </x:c>
      <x:c r="AE327" t="inlineStr">
        <x:is>
          <x:t xml:space="preserve"/>
        </x:is>
      </x:c>
      <x:c r="AF327" t="inlineStr">
        <x:is>
          <x:t xml:space="preserve"/>
        </x:is>
      </x:c>
      <x:c r="AG327" t="inlineStr">
        <x:is>
          <x:t xml:space="preserve"/>
        </x:is>
      </x:c>
      <x:c r="AH327" t="inlineStr">
        <x:is>
          <x:t xml:space="preserve">EMPTY</x:t>
        </x:is>
      </x:c>
      <x:c r="AI327">
        <x:f>IF((COUNT('Quantification_Results'!AC327)=1),IFERROR(ROUND((SUM(('Quantification_Results'!AC327*'Quantification_Config'!$R$12))/SUM('Quantification_Config'!$R$12)),'Quantification_Config'!$U$2),""),"")</x:f>
      </x:c>
      <x:c r="AJ327">
        <x:f>IF((COUNT('Quantification_Results'!AI327)=1),IFERROR(ROUND((SUM(('Quantification_Results'!AI327*'Quantification_Config'!$R$11))/SUM('Quantification_Config'!$R$11)),'Quantification_Config'!$U$2),""),"")</x:f>
      </x:c>
      <x:c r="AK327" t="n">
        <x:v>1</x:v>
      </x:c>
      <x:c r="AL327" t="n">
        <x:v>5</x:v>
      </x:c>
      <x:c r="AM327"/>
      <x:c r="AN327" t="n">
        <x:f>IF(('Quantification_Results'!AK327&lt;&gt;1),"",IF(('Quantification_Results'!AM327=""),IF(ISNUMBER('Quantification_Results'!AL327),IF(('Quantification_Results'!AL327&lt;'Quantification_Config'!$S$15),"",IF(('Quantification_Results'!AL327&gt;'Quantification_Config'!$T$15),"",'Quantification_Results'!AL327)),""),IF(ISNUMBER('Quantification_Results'!AM327),IF(('Quantification_Results'!AM327&lt;'Quantification_Config'!$S$15),"",IF(('Quantification_Results'!AM327&gt;'Quantification_Config'!$T$15),"",'Quantification_Results'!AM327)),"")))</x:f>
        <x:v>5</x:v>
      </x:c>
      <x:c r="AO327" t="n">
        <x:f>IF(ISNUMBER('Quantification_Results'!AN327),IFERROR(ROUND(((('Quantification_Results'!AN327-'Quantification_Config'!$S$15)/('Quantification_Config'!$T$15-'Quantification_Config'!$S$15))*100),'Quantification_Config'!$U$2),""),"")</x:f>
        <x:v>50</x:v>
      </x:c>
      <x:c r="AP327" t="inlineStr">
        <x:is>
          <x:t xml:space="preserve">SYSTEM-TEST-ONLY-NO-NETWORK-NOT-AN-EDUCATIONAL-EVALUATION</x:t>
        </x:is>
      </x:c>
      <x:c r="AQ327" t="inlineStr">
        <x:is>
          <x:t xml:space="preserve"/>
        </x:is>
      </x:c>
      <x:c r="AR327" t="inlineStr">
        <x:is>
          <x:t xml:space="preserve">NONE</x:t>
        </x:is>
      </x:c>
      <x:c r="AS327" t="inlineStr">
        <x:is>
          <x:t xml:space="preserve"/>
        </x:is>
      </x:c>
      <x:c r="AT327" t="inlineStr">
        <x:is>
          <x:t xml:space="preserve">SUCCESS</x:t>
        </x:is>
      </x:c>
      <x:c r="AU327" t="n">
        <x:f>IF((COUNT('Quantification_Results'!AO327)=1),IFERROR(ROUND((SUM(('Quantification_Results'!AO327*'Quantification_Config'!$R$15))/SUM('Quantification_Config'!$R$15)),'Quantification_Config'!$U$2),""),"")</x:f>
        <x:v>50</x:v>
      </x:c>
      <x:c r="AV327" t="n">
        <x:f>IF((COUNT('Quantification_Results'!AU327)=1),IFERROR(ROUND((SUM(('Quantification_Results'!AU327*'Quantification_Config'!$R$14))/SUM('Quantification_Config'!$R$14)),'Quantification_Config'!$U$2),""),"")</x:f>
        <x:v>50</x:v>
      </x:c>
      <x:c r="AW327" t="n">
        <x:v>1</x:v>
      </x:c>
      <x:c r="AX327" t="n">
        <x:v>5</x:v>
      </x:c>
      <x:c r="AY327"/>
      <x:c r="AZ327" t="n">
        <x:f>IF(('Quantification_Results'!AW327&lt;&gt;1),"",IF(('Quantification_Results'!AY327=""),IF(ISNUMBER('Quantification_Results'!AX327),IF(('Quantification_Results'!AX327&lt;'Quantification_Config'!$S$19),"",IF(('Quantification_Results'!AX327&gt;'Quantification_Config'!$T$19),"",'Quantification_Results'!AX327)),""),IF(ISNUMBER('Quantification_Results'!AY327),IF(('Quantification_Results'!AY327&lt;'Quantification_Config'!$S$19),"",IF(('Quantification_Results'!AY327&gt;'Quantification_Config'!$T$19),"",'Quantification_Results'!AY327)),"")))</x:f>
        <x:v>5</x:v>
      </x:c>
      <x:c r="BA327" t="n">
        <x:f>IF(ISNUMBER('Quantification_Results'!AZ327),IFERROR(ROUND(((('Quantification_Results'!AZ327-'Quantification_Config'!$S$19)/('Quantification_Config'!$T$19-'Quantification_Config'!$S$19))*100),'Quantification_Config'!$U$2),""),"")</x:f>
        <x:v>50</x:v>
      </x:c>
      <x:c r="BB327" t="inlineStr">
        <x:is>
          <x:t xml:space="preserve">SYSTEM-TEST-ONLY-NO-NETWORK-NOT-AN-EDUCATIONAL-EVALUATION</x:t>
        </x:is>
      </x:c>
      <x:c r="BC327" t="inlineStr">
        <x:is>
          <x:t xml:space="preserve"/>
        </x:is>
      </x:c>
      <x:c r="BD327" t="inlineStr">
        <x:is>
          <x:t xml:space="preserve">NONE</x:t>
        </x:is>
      </x:c>
      <x:c r="BE327" t="inlineStr">
        <x:is>
          <x:t xml:space="preserve"/>
        </x:is>
      </x:c>
      <x:c r="BF327" t="inlineStr">
        <x:is>
          <x:t xml:space="preserve">SUCCESS</x:t>
        </x:is>
      </x:c>
      <x:c r="BG327" t="n">
        <x:f>IF((COUNT('Quantification_Results'!BA327)=1),IFERROR(ROUND((SUM(('Quantification_Results'!BA327*'Quantification_Config'!$R$19))/SUM('Quantification_Config'!$R$19)),'Quantification_Config'!$U$2),""),"")</x:f>
        <x:v>50</x:v>
      </x:c>
      <x:c r="BH327" t="n">
        <x:f>IF((COUNT('Quantification_Results'!BG327)=1),IFERROR(ROUND((SUM(('Quantification_Results'!BG327*'Quantification_Config'!$R$18))/SUM('Quantification_Config'!$R$18)),'Quantification_Config'!$U$2),""),"")</x:f>
        <x:v>50</x:v>
      </x:c>
      <x:c r="BI327">
        <x:f>IF((COUNT('Quantification_Results'!L327,'Quantification_Results'!X327,'Quantification_Results'!AJ327,'Quantification_Results'!AV327,'Quantification_Results'!BH327)=5),IFERROR(ROUND((SUM(('Quantification_Results'!L327*'Quantification_Config'!$R$4),('Quantification_Results'!X327*'Quantification_Config'!$R$7),('Quantification_Results'!AJ327*'Quantification_Config'!$R$10),('Quantification_Results'!AV327*'Quantification_Config'!$R$13),('Quantification_Results'!BH327*'Quantification_Config'!$R$16))/SUM('Quantification_Config'!$R$4,'Quantification_Config'!$R$7,'Quantification_Config'!$R$10,'Quantification_Config'!$R$13,'Quantification_Config'!$R$16)),'Quantification_Config'!$U$2),""),"")</x:f>
      </x:c>
    </x:row>
    <x:row r="328">
      <x:c r="A328" t="n">
        <x:v>1</x:v>
      </x:c>
      <x:c r="B328" t="n">
        <x:v>5</x:v>
      </x:c>
      <x:c r="C328"/>
      <x:c r="D328" t="n">
        <x:f>IF(('Quantification_Results'!A328&lt;&gt;1),"",IF(('Quantification_Results'!C328=""),IF(ISNUMBER('Quantification_Results'!B328),IF(('Quantification_Results'!B328&lt;'Quantification_Config'!$S$6),"",IF(('Quantification_Results'!B328&gt;'Quantification_Config'!$T$6),"",'Quantification_Results'!B328)),""),IF(ISNUMBER('Quantification_Results'!C328),IF(('Quantification_Results'!C328&lt;'Quantification_Config'!$S$6),"",IF(('Quantification_Results'!C328&gt;'Quantification_Config'!$T$6),"",'Quantification_Results'!C328)),"")))</x:f>
        <x:v>5</x:v>
      </x:c>
      <x:c r="E328" t="n">
        <x:f>IF(ISNUMBER('Quantification_Results'!D328),IFERROR(ROUND(((('Quantification_Results'!D328-'Quantification_Config'!$S$6)/('Quantification_Config'!$T$6-'Quantification_Config'!$S$6))*100),'Quantification_Config'!$U$2),""),"")</x:f>
        <x:v>50</x:v>
      </x:c>
      <x:c r="F328" t="inlineStr">
        <x:is>
          <x:t xml:space="preserve">SYSTEM-TEST-ONLY-NO-NETWORK-NOT-AN-EDUCATIONAL-EVALUATION</x:t>
        </x:is>
      </x:c>
      <x:c r="G328" t="inlineStr">
        <x:is>
          <x:t xml:space="preserve"/>
        </x:is>
      </x:c>
      <x:c r="H328" t="inlineStr">
        <x:is>
          <x:t xml:space="preserve">NONE</x:t>
        </x:is>
      </x:c>
      <x:c r="I328" t="inlineStr">
        <x:is>
          <x:t xml:space="preserve"/>
        </x:is>
      </x:c>
      <x:c r="J328" t="inlineStr">
        <x:is>
          <x:t xml:space="preserve">SUCCESS</x:t>
        </x:is>
      </x:c>
      <x:c r="K328" t="n">
        <x:f>IF((COUNT('Quantification_Results'!E328)=1),IFERROR(ROUND((SUM(('Quantification_Results'!E328*'Quantification_Config'!$R$6))/SUM('Quantification_Config'!$R$6)),'Quantification_Config'!$U$2),""),"")</x:f>
        <x:v>50</x:v>
      </x:c>
      <x:c r="L328" t="n">
        <x:f>IF((COUNT('Quantification_Results'!K328)=1),IFERROR(ROUND((SUM(('Quantification_Results'!K328*'Quantification_Config'!$R$5))/SUM('Quantification_Config'!$R$5)),'Quantification_Config'!$U$2),""),"")</x:f>
        <x:v>50</x:v>
      </x:c>
      <x:c r="M328" t="n">
        <x:v>1</x:v>
      </x:c>
      <x:c r="N328" t="n">
        <x:v>5</x:v>
      </x:c>
      <x:c r="O328"/>
      <x:c r="P328" t="n">
        <x:f>IF(('Quantification_Results'!M328&lt;&gt;1),"",IF(('Quantification_Results'!O328=""),IF(ISNUMBER('Quantification_Results'!N328),IF(('Quantification_Results'!N328&lt;'Quantification_Config'!$S$9),"",IF(('Quantification_Results'!N328&gt;'Quantification_Config'!$T$9),"",'Quantification_Results'!N328)),""),IF(ISNUMBER('Quantification_Results'!O328),IF(('Quantification_Results'!O328&lt;'Quantification_Config'!$S$9),"",IF(('Quantification_Results'!O328&gt;'Quantification_Config'!$T$9),"",'Quantification_Results'!O328)),"")))</x:f>
        <x:v>5</x:v>
      </x:c>
      <x:c r="Q328" t="n">
        <x:f>IF(ISNUMBER('Quantification_Results'!P328),IFERROR(ROUND(((('Quantification_Results'!P328-'Quantification_Config'!$S$9)/('Quantification_Config'!$T$9-'Quantification_Config'!$S$9))*100),'Quantification_Config'!$U$2),""),"")</x:f>
        <x:v>50</x:v>
      </x:c>
      <x:c r="R328" t="inlineStr">
        <x:is>
          <x:t xml:space="preserve">SYSTEM-TEST-ONLY-NO-NETWORK-NOT-AN-EDUCATIONAL-EVALUATION</x:t>
        </x:is>
      </x:c>
      <x:c r="S328" t="inlineStr">
        <x:is>
          <x:t xml:space="preserve"/>
        </x:is>
      </x:c>
      <x:c r="T328" t="inlineStr">
        <x:is>
          <x:t xml:space="preserve">NONE</x:t>
        </x:is>
      </x:c>
      <x:c r="U328" t="inlineStr">
        <x:is>
          <x:t xml:space="preserve"/>
        </x:is>
      </x:c>
      <x:c r="V328" t="inlineStr">
        <x:is>
          <x:t xml:space="preserve">SUCCESS</x:t>
        </x:is>
      </x:c>
      <x:c r="W328" t="n">
        <x:f>IF((COUNT('Quantification_Results'!Q328)=1),IFERROR(ROUND((SUM(('Quantification_Results'!Q328*'Quantification_Config'!$R$9))/SUM('Quantification_Config'!$R$9)),'Quantification_Config'!$U$2),""),"")</x:f>
        <x:v>50</x:v>
      </x:c>
      <x:c r="X328" t="n">
        <x:f>IF((COUNT('Quantification_Results'!W328)=1),IFERROR(ROUND((SUM(('Quantification_Results'!W328*'Quantification_Config'!$R$8))/SUM('Quantification_Config'!$R$8)),'Quantification_Config'!$U$2),""),"")</x:f>
        <x:v>50</x:v>
      </x:c>
      <x:c r="Y328" t="n">
        <x:v>0</x:v>
      </x:c>
      <x:c r="Z328"/>
      <x:c r="AA328"/>
      <x:c r="AB328">
        <x:f>IF(('Quantification_Results'!Y328&lt;&gt;1),"",IF(('Quantification_Results'!AA328=""),IF(ISNUMBER('Quantification_Results'!Z328),IF(('Quantification_Results'!Z328&lt;'Quantification_Config'!$S$12),"",IF(('Quantification_Results'!Z328&gt;'Quantification_Config'!$T$12),"",'Quantification_Results'!Z328)),""),IF(ISNUMBER('Quantification_Results'!AA328),IF(('Quantification_Results'!AA328&lt;'Quantification_Config'!$S$12),"",IF(('Quantification_Results'!AA328&gt;'Quantification_Config'!$T$12),"",'Quantification_Results'!AA328)),"")))</x:f>
      </x:c>
      <x:c r="AC328">
        <x:f>IF(ISNUMBER('Quantification_Results'!AB328),IFERROR(ROUND(((('Quantification_Results'!AB328-'Quantification_Config'!$S$12)/('Quantification_Config'!$T$12-'Quantification_Config'!$S$12))*100),'Quantification_Config'!$U$2),""),"")</x:f>
      </x:c>
      <x:c r="AD328" t="inlineStr">
        <x:is>
          <x:t xml:space="preserve"/>
        </x:is>
      </x:c>
      <x:c r="AE328" t="inlineStr">
        <x:is>
          <x:t xml:space="preserve"/>
        </x:is>
      </x:c>
      <x:c r="AF328" t="inlineStr">
        <x:is>
          <x:t xml:space="preserve"/>
        </x:is>
      </x:c>
      <x:c r="AG328" t="inlineStr">
        <x:is>
          <x:t xml:space="preserve"/>
        </x:is>
      </x:c>
      <x:c r="AH328" t="inlineStr">
        <x:is>
          <x:t xml:space="preserve">EMPTY</x:t>
        </x:is>
      </x:c>
      <x:c r="AI328">
        <x:f>IF((COUNT('Quantification_Results'!AC328)=1),IFERROR(ROUND((SUM(('Quantification_Results'!AC328*'Quantification_Config'!$R$12))/SUM('Quantification_Config'!$R$12)),'Quantification_Config'!$U$2),""),"")</x:f>
      </x:c>
      <x:c r="AJ328">
        <x:f>IF((COUNT('Quantification_Results'!AI328)=1),IFERROR(ROUND((SUM(('Quantification_Results'!AI328*'Quantification_Config'!$R$11))/SUM('Quantification_Config'!$R$11)),'Quantification_Config'!$U$2),""),"")</x:f>
      </x:c>
      <x:c r="AK328" t="n">
        <x:v>1</x:v>
      </x:c>
      <x:c r="AL328" t="n">
        <x:v>5</x:v>
      </x:c>
      <x:c r="AM328"/>
      <x:c r="AN328" t="n">
        <x:f>IF(('Quantification_Results'!AK328&lt;&gt;1),"",IF(('Quantification_Results'!AM328=""),IF(ISNUMBER('Quantification_Results'!AL328),IF(('Quantification_Results'!AL328&lt;'Quantification_Config'!$S$15),"",IF(('Quantification_Results'!AL328&gt;'Quantification_Config'!$T$15),"",'Quantification_Results'!AL328)),""),IF(ISNUMBER('Quantification_Results'!AM328),IF(('Quantification_Results'!AM328&lt;'Quantification_Config'!$S$15),"",IF(('Quantification_Results'!AM328&gt;'Quantification_Config'!$T$15),"",'Quantification_Results'!AM328)),"")))</x:f>
        <x:v>5</x:v>
      </x:c>
      <x:c r="AO328" t="n">
        <x:f>IF(ISNUMBER('Quantification_Results'!AN328),IFERROR(ROUND(((('Quantification_Results'!AN328-'Quantification_Config'!$S$15)/('Quantification_Config'!$T$15-'Quantification_Config'!$S$15))*100),'Quantification_Config'!$U$2),""),"")</x:f>
        <x:v>50</x:v>
      </x:c>
      <x:c r="AP328" t="inlineStr">
        <x:is>
          <x:t xml:space="preserve">SYSTEM-TEST-ONLY-NO-NETWORK-NOT-AN-EDUCATIONAL-EVALUATION</x:t>
        </x:is>
      </x:c>
      <x:c r="AQ328" t="inlineStr">
        <x:is>
          <x:t xml:space="preserve"/>
        </x:is>
      </x:c>
      <x:c r="AR328" t="inlineStr">
        <x:is>
          <x:t xml:space="preserve">NONE</x:t>
        </x:is>
      </x:c>
      <x:c r="AS328" t="inlineStr">
        <x:is>
          <x:t xml:space="preserve"/>
        </x:is>
      </x:c>
      <x:c r="AT328" t="inlineStr">
        <x:is>
          <x:t xml:space="preserve">SUCCESS</x:t>
        </x:is>
      </x:c>
      <x:c r="AU328" t="n">
        <x:f>IF((COUNT('Quantification_Results'!AO328)=1),IFERROR(ROUND((SUM(('Quantification_Results'!AO328*'Quantification_Config'!$R$15))/SUM('Quantification_Config'!$R$15)),'Quantification_Config'!$U$2),""),"")</x:f>
        <x:v>50</x:v>
      </x:c>
      <x:c r="AV328" t="n">
        <x:f>IF((COUNT('Quantification_Results'!AU328)=1),IFERROR(ROUND((SUM(('Quantification_Results'!AU328*'Quantification_Config'!$R$14))/SUM('Quantification_Config'!$R$14)),'Quantification_Config'!$U$2),""),"")</x:f>
        <x:v>50</x:v>
      </x:c>
      <x:c r="AW328" t="n">
        <x:v>1</x:v>
      </x:c>
      <x:c r="AX328" t="n">
        <x:v>5</x:v>
      </x:c>
      <x:c r="AY328"/>
      <x:c r="AZ328" t="n">
        <x:f>IF(('Quantification_Results'!AW328&lt;&gt;1),"",IF(('Quantification_Results'!AY328=""),IF(ISNUMBER('Quantification_Results'!AX328),IF(('Quantification_Results'!AX328&lt;'Quantification_Config'!$S$19),"",IF(('Quantification_Results'!AX328&gt;'Quantification_Config'!$T$19),"",'Quantification_Results'!AX328)),""),IF(ISNUMBER('Quantification_Results'!AY328),IF(('Quantification_Results'!AY328&lt;'Quantification_Config'!$S$19),"",IF(('Quantification_Results'!AY328&gt;'Quantification_Config'!$T$19),"",'Quantification_Results'!AY328)),"")))</x:f>
        <x:v>5</x:v>
      </x:c>
      <x:c r="BA328" t="n">
        <x:f>IF(ISNUMBER('Quantification_Results'!AZ328),IFERROR(ROUND(((('Quantification_Results'!AZ328-'Quantification_Config'!$S$19)/('Quantification_Config'!$T$19-'Quantification_Config'!$S$19))*100),'Quantification_Config'!$U$2),""),"")</x:f>
        <x:v>50</x:v>
      </x:c>
      <x:c r="BB328" t="inlineStr">
        <x:is>
          <x:t xml:space="preserve">SYSTEM-TEST-ONLY-NO-NETWORK-NOT-AN-EDUCATIONAL-EVALUATION</x:t>
        </x:is>
      </x:c>
      <x:c r="BC328" t="inlineStr">
        <x:is>
          <x:t xml:space="preserve"/>
        </x:is>
      </x:c>
      <x:c r="BD328" t="inlineStr">
        <x:is>
          <x:t xml:space="preserve">NONE</x:t>
        </x:is>
      </x:c>
      <x:c r="BE328" t="inlineStr">
        <x:is>
          <x:t xml:space="preserve"/>
        </x:is>
      </x:c>
      <x:c r="BF328" t="inlineStr">
        <x:is>
          <x:t xml:space="preserve">SUCCESS</x:t>
        </x:is>
      </x:c>
      <x:c r="BG328" t="n">
        <x:f>IF((COUNT('Quantification_Results'!BA328)=1),IFERROR(ROUND((SUM(('Quantification_Results'!BA328*'Quantification_Config'!$R$19))/SUM('Quantification_Config'!$R$19)),'Quantification_Config'!$U$2),""),"")</x:f>
        <x:v>50</x:v>
      </x:c>
      <x:c r="BH328" t="n">
        <x:f>IF((COUNT('Quantification_Results'!BG328)=1),IFERROR(ROUND((SUM(('Quantification_Results'!BG328*'Quantification_Config'!$R$18))/SUM('Quantification_Config'!$R$18)),'Quantification_Config'!$U$2),""),"")</x:f>
        <x:v>50</x:v>
      </x:c>
      <x:c r="BI328">
        <x:f>IF((COUNT('Quantification_Results'!L328,'Quantification_Results'!X328,'Quantification_Results'!AJ328,'Quantification_Results'!AV328,'Quantification_Results'!BH328)=5),IFERROR(ROUND((SUM(('Quantification_Results'!L328*'Quantification_Config'!$R$4),('Quantification_Results'!X328*'Quantification_Config'!$R$7),('Quantification_Results'!AJ328*'Quantification_Config'!$R$10),('Quantification_Results'!AV328*'Quantification_Config'!$R$13),('Quantification_Results'!BH328*'Quantification_Config'!$R$16))/SUM('Quantification_Config'!$R$4,'Quantification_Config'!$R$7,'Quantification_Config'!$R$10,'Quantification_Config'!$R$13,'Quantification_Config'!$R$16)),'Quantification_Config'!$U$2),""),"")</x:f>
      </x:c>
    </x:row>
    <x:row r="329">
      <x:c r="A329" t="n">
        <x:v>1</x:v>
      </x:c>
      <x:c r="B329" t="n">
        <x:v>5</x:v>
      </x:c>
      <x:c r="C329"/>
      <x:c r="D329" t="n">
        <x:f>IF(('Quantification_Results'!A329&lt;&gt;1),"",IF(('Quantification_Results'!C329=""),IF(ISNUMBER('Quantification_Results'!B329),IF(('Quantification_Results'!B329&lt;'Quantification_Config'!$S$6),"",IF(('Quantification_Results'!B329&gt;'Quantification_Config'!$T$6),"",'Quantification_Results'!B329)),""),IF(ISNUMBER('Quantification_Results'!C329),IF(('Quantification_Results'!C329&lt;'Quantification_Config'!$S$6),"",IF(('Quantification_Results'!C329&gt;'Quantification_Config'!$T$6),"",'Quantification_Results'!C329)),"")))</x:f>
        <x:v>5</x:v>
      </x:c>
      <x:c r="E329" t="n">
        <x:f>IF(ISNUMBER('Quantification_Results'!D329),IFERROR(ROUND(((('Quantification_Results'!D329-'Quantification_Config'!$S$6)/('Quantification_Config'!$T$6-'Quantification_Config'!$S$6))*100),'Quantification_Config'!$U$2),""),"")</x:f>
        <x:v>50</x:v>
      </x:c>
      <x:c r="F329" t="inlineStr">
        <x:is>
          <x:t xml:space="preserve">SYSTEM-TEST-ONLY-NO-NETWORK-NOT-AN-EDUCATIONAL-EVALUATION</x:t>
        </x:is>
      </x:c>
      <x:c r="G329" t="inlineStr">
        <x:is>
          <x:t xml:space="preserve"/>
        </x:is>
      </x:c>
      <x:c r="H329" t="inlineStr">
        <x:is>
          <x:t xml:space="preserve">NONE</x:t>
        </x:is>
      </x:c>
      <x:c r="I329" t="inlineStr">
        <x:is>
          <x:t xml:space="preserve"/>
        </x:is>
      </x:c>
      <x:c r="J329" t="inlineStr">
        <x:is>
          <x:t xml:space="preserve">SUCCESS</x:t>
        </x:is>
      </x:c>
      <x:c r="K329" t="n">
        <x:f>IF((COUNT('Quantification_Results'!E329)=1),IFERROR(ROUND((SUM(('Quantification_Results'!E329*'Quantification_Config'!$R$6))/SUM('Quantification_Config'!$R$6)),'Quantification_Config'!$U$2),""),"")</x:f>
        <x:v>50</x:v>
      </x:c>
      <x:c r="L329" t="n">
        <x:f>IF((COUNT('Quantification_Results'!K329)=1),IFERROR(ROUND((SUM(('Quantification_Results'!K329*'Quantification_Config'!$R$5))/SUM('Quantification_Config'!$R$5)),'Quantification_Config'!$U$2),""),"")</x:f>
        <x:v>50</x:v>
      </x:c>
      <x:c r="M329" t="n">
        <x:v>1</x:v>
      </x:c>
      <x:c r="N329" t="n">
        <x:v>5</x:v>
      </x:c>
      <x:c r="O329"/>
      <x:c r="P329" t="n">
        <x:f>IF(('Quantification_Results'!M329&lt;&gt;1),"",IF(('Quantification_Results'!O329=""),IF(ISNUMBER('Quantification_Results'!N329),IF(('Quantification_Results'!N329&lt;'Quantification_Config'!$S$9),"",IF(('Quantification_Results'!N329&gt;'Quantification_Config'!$T$9),"",'Quantification_Results'!N329)),""),IF(ISNUMBER('Quantification_Results'!O329),IF(('Quantification_Results'!O329&lt;'Quantification_Config'!$S$9),"",IF(('Quantification_Results'!O329&gt;'Quantification_Config'!$T$9),"",'Quantification_Results'!O329)),"")))</x:f>
        <x:v>5</x:v>
      </x:c>
      <x:c r="Q329" t="n">
        <x:f>IF(ISNUMBER('Quantification_Results'!P329),IFERROR(ROUND(((('Quantification_Results'!P329-'Quantification_Config'!$S$9)/('Quantification_Config'!$T$9-'Quantification_Config'!$S$9))*100),'Quantification_Config'!$U$2),""),"")</x:f>
        <x:v>50</x:v>
      </x:c>
      <x:c r="R329" t="inlineStr">
        <x:is>
          <x:t xml:space="preserve">SYSTEM-TEST-ONLY-NO-NETWORK-NOT-AN-EDUCATIONAL-EVALUATION</x:t>
        </x:is>
      </x:c>
      <x:c r="S329" t="inlineStr">
        <x:is>
          <x:t xml:space="preserve"/>
        </x:is>
      </x:c>
      <x:c r="T329" t="inlineStr">
        <x:is>
          <x:t xml:space="preserve">NONE</x:t>
        </x:is>
      </x:c>
      <x:c r="U329" t="inlineStr">
        <x:is>
          <x:t xml:space="preserve"/>
        </x:is>
      </x:c>
      <x:c r="V329" t="inlineStr">
        <x:is>
          <x:t xml:space="preserve">SUCCESS</x:t>
        </x:is>
      </x:c>
      <x:c r="W329" t="n">
        <x:f>IF((COUNT('Quantification_Results'!Q329)=1),IFERROR(ROUND((SUM(('Quantification_Results'!Q329*'Quantification_Config'!$R$9))/SUM('Quantification_Config'!$R$9)),'Quantification_Config'!$U$2),""),"")</x:f>
        <x:v>50</x:v>
      </x:c>
      <x:c r="X329" t="n">
        <x:f>IF((COUNT('Quantification_Results'!W329)=1),IFERROR(ROUND((SUM(('Quantification_Results'!W329*'Quantification_Config'!$R$8))/SUM('Quantification_Config'!$R$8)),'Quantification_Config'!$U$2),""),"")</x:f>
        <x:v>50</x:v>
      </x:c>
      <x:c r="Y329" t="n">
        <x:v>0</x:v>
      </x:c>
      <x:c r="Z329"/>
      <x:c r="AA329"/>
      <x:c r="AB329">
        <x:f>IF(('Quantification_Results'!Y329&lt;&gt;1),"",IF(('Quantification_Results'!AA329=""),IF(ISNUMBER('Quantification_Results'!Z329),IF(('Quantification_Results'!Z329&lt;'Quantification_Config'!$S$12),"",IF(('Quantification_Results'!Z329&gt;'Quantification_Config'!$T$12),"",'Quantification_Results'!Z329)),""),IF(ISNUMBER('Quantification_Results'!AA329),IF(('Quantification_Results'!AA329&lt;'Quantification_Config'!$S$12),"",IF(('Quantification_Results'!AA329&gt;'Quantification_Config'!$T$12),"",'Quantification_Results'!AA329)),"")))</x:f>
      </x:c>
      <x:c r="AC329">
        <x:f>IF(ISNUMBER('Quantification_Results'!AB329),IFERROR(ROUND(((('Quantification_Results'!AB329-'Quantification_Config'!$S$12)/('Quantification_Config'!$T$12-'Quantification_Config'!$S$12))*100),'Quantification_Config'!$U$2),""),"")</x:f>
      </x:c>
      <x:c r="AD329" t="inlineStr">
        <x:is>
          <x:t xml:space="preserve"/>
        </x:is>
      </x:c>
      <x:c r="AE329" t="inlineStr">
        <x:is>
          <x:t xml:space="preserve"/>
        </x:is>
      </x:c>
      <x:c r="AF329" t="inlineStr">
        <x:is>
          <x:t xml:space="preserve"/>
        </x:is>
      </x:c>
      <x:c r="AG329" t="inlineStr">
        <x:is>
          <x:t xml:space="preserve"/>
        </x:is>
      </x:c>
      <x:c r="AH329" t="inlineStr">
        <x:is>
          <x:t xml:space="preserve">EMPTY</x:t>
        </x:is>
      </x:c>
      <x:c r="AI329">
        <x:f>IF((COUNT('Quantification_Results'!AC329)=1),IFERROR(ROUND((SUM(('Quantification_Results'!AC329*'Quantification_Config'!$R$12))/SUM('Quantification_Config'!$R$12)),'Quantification_Config'!$U$2),""),"")</x:f>
      </x:c>
      <x:c r="AJ329">
        <x:f>IF((COUNT('Quantification_Results'!AI329)=1),IFERROR(ROUND((SUM(('Quantification_Results'!AI329*'Quantification_Config'!$R$11))/SUM('Quantification_Config'!$R$11)),'Quantification_Config'!$U$2),""),"")</x:f>
      </x:c>
      <x:c r="AK329" t="n">
        <x:v>1</x:v>
      </x:c>
      <x:c r="AL329" t="n">
        <x:v>5</x:v>
      </x:c>
      <x:c r="AM329"/>
      <x:c r="AN329" t="n">
        <x:f>IF(('Quantification_Results'!AK329&lt;&gt;1),"",IF(('Quantification_Results'!AM329=""),IF(ISNUMBER('Quantification_Results'!AL329),IF(('Quantification_Results'!AL329&lt;'Quantification_Config'!$S$15),"",IF(('Quantification_Results'!AL329&gt;'Quantification_Config'!$T$15),"",'Quantification_Results'!AL329)),""),IF(ISNUMBER('Quantification_Results'!AM329),IF(('Quantification_Results'!AM329&lt;'Quantification_Config'!$S$15),"",IF(('Quantification_Results'!AM329&gt;'Quantification_Config'!$T$15),"",'Quantification_Results'!AM329)),"")))</x:f>
        <x:v>5</x:v>
      </x:c>
      <x:c r="AO329" t="n">
        <x:f>IF(ISNUMBER('Quantification_Results'!AN329),IFERROR(ROUND(((('Quantification_Results'!AN329-'Quantification_Config'!$S$15)/('Quantification_Config'!$T$15-'Quantification_Config'!$S$15))*100),'Quantification_Config'!$U$2),""),"")</x:f>
        <x:v>50</x:v>
      </x:c>
      <x:c r="AP329" t="inlineStr">
        <x:is>
          <x:t xml:space="preserve">SYSTEM-TEST-ONLY-NO-NETWORK-NOT-AN-EDUCATIONAL-EVALUATION</x:t>
        </x:is>
      </x:c>
      <x:c r="AQ329" t="inlineStr">
        <x:is>
          <x:t xml:space="preserve"/>
        </x:is>
      </x:c>
      <x:c r="AR329" t="inlineStr">
        <x:is>
          <x:t xml:space="preserve">NONE</x:t>
        </x:is>
      </x:c>
      <x:c r="AS329" t="inlineStr">
        <x:is>
          <x:t xml:space="preserve"/>
        </x:is>
      </x:c>
      <x:c r="AT329" t="inlineStr">
        <x:is>
          <x:t xml:space="preserve">SUCCESS</x:t>
        </x:is>
      </x:c>
      <x:c r="AU329" t="n">
        <x:f>IF((COUNT('Quantification_Results'!AO329)=1),IFERROR(ROUND((SUM(('Quantification_Results'!AO329*'Quantification_Config'!$R$15))/SUM('Quantification_Config'!$R$15)),'Quantification_Config'!$U$2),""),"")</x:f>
        <x:v>50</x:v>
      </x:c>
      <x:c r="AV329" t="n">
        <x:f>IF((COUNT('Quantification_Results'!AU329)=1),IFERROR(ROUND((SUM(('Quantification_Results'!AU329*'Quantification_Config'!$R$14))/SUM('Quantification_Config'!$R$14)),'Quantification_Config'!$U$2),""),"")</x:f>
        <x:v>50</x:v>
      </x:c>
      <x:c r="AW329" t="n">
        <x:v>1</x:v>
      </x:c>
      <x:c r="AX329" t="n">
        <x:v>5</x:v>
      </x:c>
      <x:c r="AY329"/>
      <x:c r="AZ329" t="n">
        <x:f>IF(('Quantification_Results'!AW329&lt;&gt;1),"",IF(('Quantification_Results'!AY329=""),IF(ISNUMBER('Quantification_Results'!AX329),IF(('Quantification_Results'!AX329&lt;'Quantification_Config'!$S$19),"",IF(('Quantification_Results'!AX329&gt;'Quantification_Config'!$T$19),"",'Quantification_Results'!AX329)),""),IF(ISNUMBER('Quantification_Results'!AY329),IF(('Quantification_Results'!AY329&lt;'Quantification_Config'!$S$19),"",IF(('Quantification_Results'!AY329&gt;'Quantification_Config'!$T$19),"",'Quantification_Results'!AY329)),"")))</x:f>
        <x:v>5</x:v>
      </x:c>
      <x:c r="BA329" t="n">
        <x:f>IF(ISNUMBER('Quantification_Results'!AZ329),IFERROR(ROUND(((('Quantification_Results'!AZ329-'Quantification_Config'!$S$19)/('Quantification_Config'!$T$19-'Quantification_Config'!$S$19))*100),'Quantification_Config'!$U$2),""),"")</x:f>
        <x:v>50</x:v>
      </x:c>
      <x:c r="BB329" t="inlineStr">
        <x:is>
          <x:t xml:space="preserve">SYSTEM-TEST-ONLY-NO-NETWORK-NOT-AN-EDUCATIONAL-EVALUATION</x:t>
        </x:is>
      </x:c>
      <x:c r="BC329" t="inlineStr">
        <x:is>
          <x:t xml:space="preserve"/>
        </x:is>
      </x:c>
      <x:c r="BD329" t="inlineStr">
        <x:is>
          <x:t xml:space="preserve">NONE</x:t>
        </x:is>
      </x:c>
      <x:c r="BE329" t="inlineStr">
        <x:is>
          <x:t xml:space="preserve"/>
        </x:is>
      </x:c>
      <x:c r="BF329" t="inlineStr">
        <x:is>
          <x:t xml:space="preserve">SUCCESS</x:t>
        </x:is>
      </x:c>
      <x:c r="BG329" t="n">
        <x:f>IF((COUNT('Quantification_Results'!BA329)=1),IFERROR(ROUND((SUM(('Quantification_Results'!BA329*'Quantification_Config'!$R$19))/SUM('Quantification_Config'!$R$19)),'Quantification_Config'!$U$2),""),"")</x:f>
        <x:v>50</x:v>
      </x:c>
      <x:c r="BH329" t="n">
        <x:f>IF((COUNT('Quantification_Results'!BG329)=1),IFERROR(ROUND((SUM(('Quantification_Results'!BG329*'Quantification_Config'!$R$18))/SUM('Quantification_Config'!$R$18)),'Quantification_Config'!$U$2),""),"")</x:f>
        <x:v>50</x:v>
      </x:c>
      <x:c r="BI329">
        <x:f>IF((COUNT('Quantification_Results'!L329,'Quantification_Results'!X329,'Quantification_Results'!AJ329,'Quantification_Results'!AV329,'Quantification_Results'!BH329)=5),IFERROR(ROUND((SUM(('Quantification_Results'!L329*'Quantification_Config'!$R$4),('Quantification_Results'!X329*'Quantification_Config'!$R$7),('Quantification_Results'!AJ329*'Quantification_Config'!$R$10),('Quantification_Results'!AV329*'Quantification_Config'!$R$13),('Quantification_Results'!BH329*'Quantification_Config'!$R$16))/SUM('Quantification_Config'!$R$4,'Quantification_Config'!$R$7,'Quantification_Config'!$R$10,'Quantification_Config'!$R$13,'Quantification_Config'!$R$16)),'Quantification_Config'!$U$2),""),"")</x:f>
      </x:c>
    </x:row>
    <x:row r="330">
      <x:c r="A330" t="n">
        <x:v>1</x:v>
      </x:c>
      <x:c r="B330" t="n">
        <x:v>5</x:v>
      </x:c>
      <x:c r="C330"/>
      <x:c r="D330" t="n">
        <x:f>IF(('Quantification_Results'!A330&lt;&gt;1),"",IF(('Quantification_Results'!C330=""),IF(ISNUMBER('Quantification_Results'!B330),IF(('Quantification_Results'!B330&lt;'Quantification_Config'!$S$6),"",IF(('Quantification_Results'!B330&gt;'Quantification_Config'!$T$6),"",'Quantification_Results'!B330)),""),IF(ISNUMBER('Quantification_Results'!C330),IF(('Quantification_Results'!C330&lt;'Quantification_Config'!$S$6),"",IF(('Quantification_Results'!C330&gt;'Quantification_Config'!$T$6),"",'Quantification_Results'!C330)),"")))</x:f>
        <x:v>5</x:v>
      </x:c>
      <x:c r="E330" t="n">
        <x:f>IF(ISNUMBER('Quantification_Results'!D330),IFERROR(ROUND(((('Quantification_Results'!D330-'Quantification_Config'!$S$6)/('Quantification_Config'!$T$6-'Quantification_Config'!$S$6))*100),'Quantification_Config'!$U$2),""),"")</x:f>
        <x:v>50</x:v>
      </x:c>
      <x:c r="F330" t="inlineStr">
        <x:is>
          <x:t xml:space="preserve">SYSTEM-TEST-ONLY-NO-NETWORK-NOT-AN-EDUCATIONAL-EVALUATION</x:t>
        </x:is>
      </x:c>
      <x:c r="G330" t="inlineStr">
        <x:is>
          <x:t xml:space="preserve"/>
        </x:is>
      </x:c>
      <x:c r="H330" t="inlineStr">
        <x:is>
          <x:t xml:space="preserve">NONE</x:t>
        </x:is>
      </x:c>
      <x:c r="I330" t="inlineStr">
        <x:is>
          <x:t xml:space="preserve"/>
        </x:is>
      </x:c>
      <x:c r="J330" t="inlineStr">
        <x:is>
          <x:t xml:space="preserve">SUCCESS</x:t>
        </x:is>
      </x:c>
      <x:c r="K330" t="n">
        <x:f>IF((COUNT('Quantification_Results'!E330)=1),IFERROR(ROUND((SUM(('Quantification_Results'!E330*'Quantification_Config'!$R$6))/SUM('Quantification_Config'!$R$6)),'Quantification_Config'!$U$2),""),"")</x:f>
        <x:v>50</x:v>
      </x:c>
      <x:c r="L330" t="n">
        <x:f>IF((COUNT('Quantification_Results'!K330)=1),IFERROR(ROUND((SUM(('Quantification_Results'!K330*'Quantification_Config'!$R$5))/SUM('Quantification_Config'!$R$5)),'Quantification_Config'!$U$2),""),"")</x:f>
        <x:v>50</x:v>
      </x:c>
      <x:c r="M330" t="n">
        <x:v>1</x:v>
      </x:c>
      <x:c r="N330" t="n">
        <x:v>5</x:v>
      </x:c>
      <x:c r="O330"/>
      <x:c r="P330" t="n">
        <x:f>IF(('Quantification_Results'!M330&lt;&gt;1),"",IF(('Quantification_Results'!O330=""),IF(ISNUMBER('Quantification_Results'!N330),IF(('Quantification_Results'!N330&lt;'Quantification_Config'!$S$9),"",IF(('Quantification_Results'!N330&gt;'Quantification_Config'!$T$9),"",'Quantification_Results'!N330)),""),IF(ISNUMBER('Quantification_Results'!O330),IF(('Quantification_Results'!O330&lt;'Quantification_Config'!$S$9),"",IF(('Quantification_Results'!O330&gt;'Quantification_Config'!$T$9),"",'Quantification_Results'!O330)),"")))</x:f>
        <x:v>5</x:v>
      </x:c>
      <x:c r="Q330" t="n">
        <x:f>IF(ISNUMBER('Quantification_Results'!P330),IFERROR(ROUND(((('Quantification_Results'!P330-'Quantification_Config'!$S$9)/('Quantification_Config'!$T$9-'Quantification_Config'!$S$9))*100),'Quantification_Config'!$U$2),""),"")</x:f>
        <x:v>50</x:v>
      </x:c>
      <x:c r="R330" t="inlineStr">
        <x:is>
          <x:t xml:space="preserve">SYSTEM-TEST-ONLY-NO-NETWORK-NOT-AN-EDUCATIONAL-EVALUATION</x:t>
        </x:is>
      </x:c>
      <x:c r="S330" t="inlineStr">
        <x:is>
          <x:t xml:space="preserve"/>
        </x:is>
      </x:c>
      <x:c r="T330" t="inlineStr">
        <x:is>
          <x:t xml:space="preserve">NONE</x:t>
        </x:is>
      </x:c>
      <x:c r="U330" t="inlineStr">
        <x:is>
          <x:t xml:space="preserve"/>
        </x:is>
      </x:c>
      <x:c r="V330" t="inlineStr">
        <x:is>
          <x:t xml:space="preserve">SUCCESS</x:t>
        </x:is>
      </x:c>
      <x:c r="W330" t="n">
        <x:f>IF((COUNT('Quantification_Results'!Q330)=1),IFERROR(ROUND((SUM(('Quantification_Results'!Q330*'Quantification_Config'!$R$9))/SUM('Quantification_Config'!$R$9)),'Quantification_Config'!$U$2),""),"")</x:f>
        <x:v>50</x:v>
      </x:c>
      <x:c r="X330" t="n">
        <x:f>IF((COUNT('Quantification_Results'!W330)=1),IFERROR(ROUND((SUM(('Quantification_Results'!W330*'Quantification_Config'!$R$8))/SUM('Quantification_Config'!$R$8)),'Quantification_Config'!$U$2),""),"")</x:f>
        <x:v>50</x:v>
      </x:c>
      <x:c r="Y330" t="n">
        <x:v>1</x:v>
      </x:c>
      <x:c r="Z330" t="n">
        <x:v>5</x:v>
      </x:c>
      <x:c r="AA330"/>
      <x:c r="AB330" t="n">
        <x:f>IF(('Quantification_Results'!Y330&lt;&gt;1),"",IF(('Quantification_Results'!AA330=""),IF(ISNUMBER('Quantification_Results'!Z330),IF(('Quantification_Results'!Z330&lt;'Quantification_Config'!$S$12),"",IF(('Quantification_Results'!Z330&gt;'Quantification_Config'!$T$12),"",'Quantification_Results'!Z330)),""),IF(ISNUMBER('Quantification_Results'!AA330),IF(('Quantification_Results'!AA330&lt;'Quantification_Config'!$S$12),"",IF(('Quantification_Results'!AA330&gt;'Quantification_Config'!$T$12),"",'Quantification_Results'!AA330)),"")))</x:f>
        <x:v>5</x:v>
      </x:c>
      <x:c r="AC330" t="n">
        <x:f>IF(ISNUMBER('Quantification_Results'!AB330),IFERROR(ROUND(((('Quantification_Results'!AB330-'Quantification_Config'!$S$12)/('Quantification_Config'!$T$12-'Quantification_Config'!$S$12))*100),'Quantification_Config'!$U$2),""),"")</x:f>
        <x:v>50</x:v>
      </x:c>
      <x:c r="AD330" t="inlineStr">
        <x:is>
          <x:t xml:space="preserve">SYSTEM-TEST-ONLY-NO-NETWORK-NOT-AN-EDUCATIONAL-EVALUATION</x:t>
        </x:is>
      </x:c>
      <x:c r="AE330" t="inlineStr">
        <x:is>
          <x:t xml:space="preserve"/>
        </x:is>
      </x:c>
      <x:c r="AF330" t="inlineStr">
        <x:is>
          <x:t xml:space="preserve">NONE</x:t>
        </x:is>
      </x:c>
      <x:c r="AG330" t="inlineStr">
        <x:is>
          <x:t xml:space="preserve"/>
        </x:is>
      </x:c>
      <x:c r="AH330" t="inlineStr">
        <x:is>
          <x:t xml:space="preserve">SUCCESS</x:t>
        </x:is>
      </x:c>
      <x:c r="AI330" t="n">
        <x:f>IF((COUNT('Quantification_Results'!AC330)=1),IFERROR(ROUND((SUM(('Quantification_Results'!AC330*'Quantification_Config'!$R$12))/SUM('Quantification_Config'!$R$12)),'Quantification_Config'!$U$2),""),"")</x:f>
        <x:v>50</x:v>
      </x:c>
      <x:c r="AJ330" t="n">
        <x:f>IF((COUNT('Quantification_Results'!AI330)=1),IFERROR(ROUND((SUM(('Quantification_Results'!AI330*'Quantification_Config'!$R$11))/SUM('Quantification_Config'!$R$11)),'Quantification_Config'!$U$2),""),"")</x:f>
        <x:v>50</x:v>
      </x:c>
      <x:c r="AK330" t="n">
        <x:v>1</x:v>
      </x:c>
      <x:c r="AL330" t="n">
        <x:v>5</x:v>
      </x:c>
      <x:c r="AM330"/>
      <x:c r="AN330" t="n">
        <x:f>IF(('Quantification_Results'!AK330&lt;&gt;1),"",IF(('Quantification_Results'!AM330=""),IF(ISNUMBER('Quantification_Results'!AL330),IF(('Quantification_Results'!AL330&lt;'Quantification_Config'!$S$15),"",IF(('Quantification_Results'!AL330&gt;'Quantification_Config'!$T$15),"",'Quantification_Results'!AL330)),""),IF(ISNUMBER('Quantification_Results'!AM330),IF(('Quantification_Results'!AM330&lt;'Quantification_Config'!$S$15),"",IF(('Quantification_Results'!AM330&gt;'Quantification_Config'!$T$15),"",'Quantification_Results'!AM330)),"")))</x:f>
        <x:v>5</x:v>
      </x:c>
      <x:c r="AO330" t="n">
        <x:f>IF(ISNUMBER('Quantification_Results'!AN330),IFERROR(ROUND(((('Quantification_Results'!AN330-'Quantification_Config'!$S$15)/('Quantification_Config'!$T$15-'Quantification_Config'!$S$15))*100),'Quantification_Config'!$U$2),""),"")</x:f>
        <x:v>50</x:v>
      </x:c>
      <x:c r="AP330" t="inlineStr">
        <x:is>
          <x:t xml:space="preserve">SYSTEM-TEST-ONLY-NO-NETWORK-NOT-AN-EDUCATIONAL-EVALUATION</x:t>
        </x:is>
      </x:c>
      <x:c r="AQ330" t="inlineStr">
        <x:is>
          <x:t xml:space="preserve"/>
        </x:is>
      </x:c>
      <x:c r="AR330" t="inlineStr">
        <x:is>
          <x:t xml:space="preserve">NONE</x:t>
        </x:is>
      </x:c>
      <x:c r="AS330" t="inlineStr">
        <x:is>
          <x:t xml:space="preserve"/>
        </x:is>
      </x:c>
      <x:c r="AT330" t="inlineStr">
        <x:is>
          <x:t xml:space="preserve">SUCCESS</x:t>
        </x:is>
      </x:c>
      <x:c r="AU330" t="n">
        <x:f>IF((COUNT('Quantification_Results'!AO330)=1),IFERROR(ROUND((SUM(('Quantification_Results'!AO330*'Quantification_Config'!$R$15))/SUM('Quantification_Config'!$R$15)),'Quantification_Config'!$U$2),""),"")</x:f>
        <x:v>50</x:v>
      </x:c>
      <x:c r="AV330" t="n">
        <x:f>IF((COUNT('Quantification_Results'!AU330)=1),IFERROR(ROUND((SUM(('Quantification_Results'!AU330*'Quantification_Config'!$R$14))/SUM('Quantification_Config'!$R$14)),'Quantification_Config'!$U$2),""),"")</x:f>
        <x:v>50</x:v>
      </x:c>
      <x:c r="AW330" t="n">
        <x:v>1</x:v>
      </x:c>
      <x:c r="AX330" t="n">
        <x:v>5</x:v>
      </x:c>
      <x:c r="AY330"/>
      <x:c r="AZ330" t="n">
        <x:f>IF(('Quantification_Results'!AW330&lt;&gt;1),"",IF(('Quantification_Results'!AY330=""),IF(ISNUMBER('Quantification_Results'!AX330),IF(('Quantification_Results'!AX330&lt;'Quantification_Config'!$S$19),"",IF(('Quantification_Results'!AX330&gt;'Quantification_Config'!$T$19),"",'Quantification_Results'!AX330)),""),IF(ISNUMBER('Quantification_Results'!AY330),IF(('Quantification_Results'!AY330&lt;'Quantification_Config'!$S$19),"",IF(('Quantification_Results'!AY330&gt;'Quantification_Config'!$T$19),"",'Quantification_Results'!AY330)),"")))</x:f>
        <x:v>5</x:v>
      </x:c>
      <x:c r="BA330" t="n">
        <x:f>IF(ISNUMBER('Quantification_Results'!AZ330),IFERROR(ROUND(((('Quantification_Results'!AZ330-'Quantification_Config'!$S$19)/('Quantification_Config'!$T$19-'Quantification_Config'!$S$19))*100),'Quantification_Config'!$U$2),""),"")</x:f>
        <x:v>50</x:v>
      </x:c>
      <x:c r="BB330" t="inlineStr">
        <x:is>
          <x:t xml:space="preserve">SYSTEM-TEST-ONLY-NO-NETWORK-NOT-AN-EDUCATIONAL-EVALUATION</x:t>
        </x:is>
      </x:c>
      <x:c r="BC330" t="inlineStr">
        <x:is>
          <x:t xml:space="preserve"/>
        </x:is>
      </x:c>
      <x:c r="BD330" t="inlineStr">
        <x:is>
          <x:t xml:space="preserve">NONE</x:t>
        </x:is>
      </x:c>
      <x:c r="BE330" t="inlineStr">
        <x:is>
          <x:t xml:space="preserve"/>
        </x:is>
      </x:c>
      <x:c r="BF330" t="inlineStr">
        <x:is>
          <x:t xml:space="preserve">SUCCESS</x:t>
        </x:is>
      </x:c>
      <x:c r="BG330" t="n">
        <x:f>IF((COUNT('Quantification_Results'!BA330)=1),IFERROR(ROUND((SUM(('Quantification_Results'!BA330*'Quantification_Config'!$R$19))/SUM('Quantification_Config'!$R$19)),'Quantification_Config'!$U$2),""),"")</x:f>
        <x:v>50</x:v>
      </x:c>
      <x:c r="BH330" t="n">
        <x:f>IF((COUNT('Quantification_Results'!BG330)=1),IFERROR(ROUND((SUM(('Quantification_Results'!BG330*'Quantification_Config'!$R$18))/SUM('Quantification_Config'!$R$18)),'Quantification_Config'!$U$2),""),"")</x:f>
        <x:v>50</x:v>
      </x:c>
      <x:c r="BI330" t="n">
        <x:f>IF((COUNT('Quantification_Results'!L330,'Quantification_Results'!X330,'Quantification_Results'!AJ330,'Quantification_Results'!AV330,'Quantification_Results'!BH330)=5),IFERROR(ROUND((SUM(('Quantification_Results'!L330*'Quantification_Config'!$R$4),('Quantification_Results'!X330*'Quantification_Config'!$R$7),('Quantification_Results'!AJ330*'Quantification_Config'!$R$10),('Quantification_Results'!AV330*'Quantification_Config'!$R$13),('Quantification_Results'!BH330*'Quantification_Config'!$R$16))/SUM('Quantification_Config'!$R$4,'Quantification_Config'!$R$7,'Quantification_Config'!$R$10,'Quantification_Config'!$R$13,'Quantification_Config'!$R$16)),'Quantification_Config'!$U$2),""),"")</x:f>
        <x:v>50</x:v>
      </x:c>
    </x:row>
    <x:row r="331">
      <x:c r="A331" t="n">
        <x:v>1</x:v>
      </x:c>
      <x:c r="B331" t="n">
        <x:v>5</x:v>
      </x:c>
      <x:c r="C331"/>
      <x:c r="D331" t="n">
        <x:f>IF(('Quantification_Results'!A331&lt;&gt;1),"",IF(('Quantification_Results'!C331=""),IF(ISNUMBER('Quantification_Results'!B331),IF(('Quantification_Results'!B331&lt;'Quantification_Config'!$S$6),"",IF(('Quantification_Results'!B331&gt;'Quantification_Config'!$T$6),"",'Quantification_Results'!B331)),""),IF(ISNUMBER('Quantification_Results'!C331),IF(('Quantification_Results'!C331&lt;'Quantification_Config'!$S$6),"",IF(('Quantification_Results'!C331&gt;'Quantification_Config'!$T$6),"",'Quantification_Results'!C331)),"")))</x:f>
        <x:v>5</x:v>
      </x:c>
      <x:c r="E331" t="n">
        <x:f>IF(ISNUMBER('Quantification_Results'!D331),IFERROR(ROUND(((('Quantification_Results'!D331-'Quantification_Config'!$S$6)/('Quantification_Config'!$T$6-'Quantification_Config'!$S$6))*100),'Quantification_Config'!$U$2),""),"")</x:f>
        <x:v>50</x:v>
      </x:c>
      <x:c r="F331" t="inlineStr">
        <x:is>
          <x:t xml:space="preserve">SYSTEM-TEST-ONLY-NO-NETWORK-NOT-AN-EDUCATIONAL-EVALUATION</x:t>
        </x:is>
      </x:c>
      <x:c r="G331" t="inlineStr">
        <x:is>
          <x:t xml:space="preserve"/>
        </x:is>
      </x:c>
      <x:c r="H331" t="inlineStr">
        <x:is>
          <x:t xml:space="preserve">NONE</x:t>
        </x:is>
      </x:c>
      <x:c r="I331" t="inlineStr">
        <x:is>
          <x:t xml:space="preserve"/>
        </x:is>
      </x:c>
      <x:c r="J331" t="inlineStr">
        <x:is>
          <x:t xml:space="preserve">SUCCESS</x:t>
        </x:is>
      </x:c>
      <x:c r="K331" t="n">
        <x:f>IF((COUNT('Quantification_Results'!E331)=1),IFERROR(ROUND((SUM(('Quantification_Results'!E331*'Quantification_Config'!$R$6))/SUM('Quantification_Config'!$R$6)),'Quantification_Config'!$U$2),""),"")</x:f>
        <x:v>50</x:v>
      </x:c>
      <x:c r="L331" t="n">
        <x:f>IF((COUNT('Quantification_Results'!K331)=1),IFERROR(ROUND((SUM(('Quantification_Results'!K331*'Quantification_Config'!$R$5))/SUM('Quantification_Config'!$R$5)),'Quantification_Config'!$U$2),""),"")</x:f>
        <x:v>50</x:v>
      </x:c>
      <x:c r="M331" t="n">
        <x:v>0</x:v>
      </x:c>
      <x:c r="N331"/>
      <x:c r="O331"/>
      <x:c r="P331">
        <x:f>IF(('Quantification_Results'!M331&lt;&gt;1),"",IF(('Quantification_Results'!O331=""),IF(ISNUMBER('Quantification_Results'!N331),IF(('Quantification_Results'!N331&lt;'Quantification_Config'!$S$9),"",IF(('Quantification_Results'!N331&gt;'Quantification_Config'!$T$9),"",'Quantification_Results'!N331)),""),IF(ISNUMBER('Quantification_Results'!O331),IF(('Quantification_Results'!O331&lt;'Quantification_Config'!$S$9),"",IF(('Quantification_Results'!O331&gt;'Quantification_Config'!$T$9),"",'Quantification_Results'!O331)),"")))</x:f>
      </x:c>
      <x:c r="Q331">
        <x:f>IF(ISNUMBER('Quantification_Results'!P331),IFERROR(ROUND(((('Quantification_Results'!P331-'Quantification_Config'!$S$9)/('Quantification_Config'!$T$9-'Quantification_Config'!$S$9))*100),'Quantification_Config'!$U$2),""),"")</x:f>
      </x:c>
      <x:c r="R331" t="inlineStr">
        <x:is>
          <x:t xml:space="preserve"/>
        </x:is>
      </x:c>
      <x:c r="S331" t="inlineStr">
        <x:is>
          <x:t xml:space="preserve"/>
        </x:is>
      </x:c>
      <x:c r="T331" t="inlineStr">
        <x:is>
          <x:t xml:space="preserve"/>
        </x:is>
      </x:c>
      <x:c r="U331" t="inlineStr">
        <x:is>
          <x:t xml:space="preserve"/>
        </x:is>
      </x:c>
      <x:c r="V331" t="inlineStr">
        <x:is>
          <x:t xml:space="preserve">EMPTY</x:t>
        </x:is>
      </x:c>
      <x:c r="W331">
        <x:f>IF((COUNT('Quantification_Results'!Q331)=1),IFERROR(ROUND((SUM(('Quantification_Results'!Q331*'Quantification_Config'!$R$9))/SUM('Quantification_Config'!$R$9)),'Quantification_Config'!$U$2),""),"")</x:f>
      </x:c>
      <x:c r="X331">
        <x:f>IF((COUNT('Quantification_Results'!W331)=1),IFERROR(ROUND((SUM(('Quantification_Results'!W331*'Quantification_Config'!$R$8))/SUM('Quantification_Config'!$R$8)),'Quantification_Config'!$U$2),""),"")</x:f>
      </x:c>
      <x:c r="Y331" t="n">
        <x:v>1</x:v>
      </x:c>
      <x:c r="Z331" t="n">
        <x:v>5</x:v>
      </x:c>
      <x:c r="AA331"/>
      <x:c r="AB331" t="n">
        <x:f>IF(('Quantification_Results'!Y331&lt;&gt;1),"",IF(('Quantification_Results'!AA331=""),IF(ISNUMBER('Quantification_Results'!Z331),IF(('Quantification_Results'!Z331&lt;'Quantification_Config'!$S$12),"",IF(('Quantification_Results'!Z331&gt;'Quantification_Config'!$T$12),"",'Quantification_Results'!Z331)),""),IF(ISNUMBER('Quantification_Results'!AA331),IF(('Quantification_Results'!AA331&lt;'Quantification_Config'!$S$12),"",IF(('Quantification_Results'!AA331&gt;'Quantification_Config'!$T$12),"",'Quantification_Results'!AA331)),"")))</x:f>
        <x:v>5</x:v>
      </x:c>
      <x:c r="AC331" t="n">
        <x:f>IF(ISNUMBER('Quantification_Results'!AB331),IFERROR(ROUND(((('Quantification_Results'!AB331-'Quantification_Config'!$S$12)/('Quantification_Config'!$T$12-'Quantification_Config'!$S$12))*100),'Quantification_Config'!$U$2),""),"")</x:f>
        <x:v>50</x:v>
      </x:c>
      <x:c r="AD331" t="inlineStr">
        <x:is>
          <x:t xml:space="preserve">SYSTEM-TEST-ONLY-NO-NETWORK-NOT-AN-EDUCATIONAL-EVALUATION</x:t>
        </x:is>
      </x:c>
      <x:c r="AE331" t="inlineStr">
        <x:is>
          <x:t xml:space="preserve"/>
        </x:is>
      </x:c>
      <x:c r="AF331" t="inlineStr">
        <x:is>
          <x:t xml:space="preserve">NONE</x:t>
        </x:is>
      </x:c>
      <x:c r="AG331" t="inlineStr">
        <x:is>
          <x:t xml:space="preserve"/>
        </x:is>
      </x:c>
      <x:c r="AH331" t="inlineStr">
        <x:is>
          <x:t xml:space="preserve">SUCCESS</x:t>
        </x:is>
      </x:c>
      <x:c r="AI331" t="n">
        <x:f>IF((COUNT('Quantification_Results'!AC331)=1),IFERROR(ROUND((SUM(('Quantification_Results'!AC331*'Quantification_Config'!$R$12))/SUM('Quantification_Config'!$R$12)),'Quantification_Config'!$U$2),""),"")</x:f>
        <x:v>50</x:v>
      </x:c>
      <x:c r="AJ331" t="n">
        <x:f>IF((COUNT('Quantification_Results'!AI331)=1),IFERROR(ROUND((SUM(('Quantification_Results'!AI331*'Quantification_Config'!$R$11))/SUM('Quantification_Config'!$R$11)),'Quantification_Config'!$U$2),""),"")</x:f>
        <x:v>50</x:v>
      </x:c>
      <x:c r="AK331" t="n">
        <x:v>1</x:v>
      </x:c>
      <x:c r="AL331" t="n">
        <x:v>5</x:v>
      </x:c>
      <x:c r="AM331"/>
      <x:c r="AN331" t="n">
        <x:f>IF(('Quantification_Results'!AK331&lt;&gt;1),"",IF(('Quantification_Results'!AM331=""),IF(ISNUMBER('Quantification_Results'!AL331),IF(('Quantification_Results'!AL331&lt;'Quantification_Config'!$S$15),"",IF(('Quantification_Results'!AL331&gt;'Quantification_Config'!$T$15),"",'Quantification_Results'!AL331)),""),IF(ISNUMBER('Quantification_Results'!AM331),IF(('Quantification_Results'!AM331&lt;'Quantification_Config'!$S$15),"",IF(('Quantification_Results'!AM331&gt;'Quantification_Config'!$T$15),"",'Quantification_Results'!AM331)),"")))</x:f>
        <x:v>5</x:v>
      </x:c>
      <x:c r="AO331" t="n">
        <x:f>IF(ISNUMBER('Quantification_Results'!AN331),IFERROR(ROUND(((('Quantification_Results'!AN331-'Quantification_Config'!$S$15)/('Quantification_Config'!$T$15-'Quantification_Config'!$S$15))*100),'Quantification_Config'!$U$2),""),"")</x:f>
        <x:v>50</x:v>
      </x:c>
      <x:c r="AP331" t="inlineStr">
        <x:is>
          <x:t xml:space="preserve">SYSTEM-TEST-ONLY-NO-NETWORK-NOT-AN-EDUCATIONAL-EVALUATION</x:t>
        </x:is>
      </x:c>
      <x:c r="AQ331" t="inlineStr">
        <x:is>
          <x:t xml:space="preserve"/>
        </x:is>
      </x:c>
      <x:c r="AR331" t="inlineStr">
        <x:is>
          <x:t xml:space="preserve">NONE</x:t>
        </x:is>
      </x:c>
      <x:c r="AS331" t="inlineStr">
        <x:is>
          <x:t xml:space="preserve"/>
        </x:is>
      </x:c>
      <x:c r="AT331" t="inlineStr">
        <x:is>
          <x:t xml:space="preserve">SUCCESS</x:t>
        </x:is>
      </x:c>
      <x:c r="AU331" t="n">
        <x:f>IF((COUNT('Quantification_Results'!AO331)=1),IFERROR(ROUND((SUM(('Quantification_Results'!AO331*'Quantification_Config'!$R$15))/SUM('Quantification_Config'!$R$15)),'Quantification_Config'!$U$2),""),"")</x:f>
        <x:v>50</x:v>
      </x:c>
      <x:c r="AV331" t="n">
        <x:f>IF((COUNT('Quantification_Results'!AU331)=1),IFERROR(ROUND((SUM(('Quantification_Results'!AU331*'Quantification_Config'!$R$14))/SUM('Quantification_Config'!$R$14)),'Quantification_Config'!$U$2),""),"")</x:f>
        <x:v>50</x:v>
      </x:c>
      <x:c r="AW331" t="n">
        <x:v>1</x:v>
      </x:c>
      <x:c r="AX331" t="n">
        <x:v>5</x:v>
      </x:c>
      <x:c r="AY331"/>
      <x:c r="AZ331" t="n">
        <x:f>IF(('Quantification_Results'!AW331&lt;&gt;1),"",IF(('Quantification_Results'!AY331=""),IF(ISNUMBER('Quantification_Results'!AX331),IF(('Quantification_Results'!AX331&lt;'Quantification_Config'!$S$19),"",IF(('Quantification_Results'!AX331&gt;'Quantification_Config'!$T$19),"",'Quantification_Results'!AX331)),""),IF(ISNUMBER('Quantification_Results'!AY331),IF(('Quantification_Results'!AY331&lt;'Quantification_Config'!$S$19),"",IF(('Quantification_Results'!AY331&gt;'Quantification_Config'!$T$19),"",'Quantification_Results'!AY331)),"")))</x:f>
        <x:v>5</x:v>
      </x:c>
      <x:c r="BA331" t="n">
        <x:f>IF(ISNUMBER('Quantification_Results'!AZ331),IFERROR(ROUND(((('Quantification_Results'!AZ331-'Quantification_Config'!$S$19)/('Quantification_Config'!$T$19-'Quantification_Config'!$S$19))*100),'Quantification_Config'!$U$2),""),"")</x:f>
        <x:v>50</x:v>
      </x:c>
      <x:c r="BB331" t="inlineStr">
        <x:is>
          <x:t xml:space="preserve">SYSTEM-TEST-ONLY-NO-NETWORK-NOT-AN-EDUCATIONAL-EVALUATION</x:t>
        </x:is>
      </x:c>
      <x:c r="BC331" t="inlineStr">
        <x:is>
          <x:t xml:space="preserve"/>
        </x:is>
      </x:c>
      <x:c r="BD331" t="inlineStr">
        <x:is>
          <x:t xml:space="preserve">NONE</x:t>
        </x:is>
      </x:c>
      <x:c r="BE331" t="inlineStr">
        <x:is>
          <x:t xml:space="preserve"/>
        </x:is>
      </x:c>
      <x:c r="BF331" t="inlineStr">
        <x:is>
          <x:t xml:space="preserve">SUCCESS</x:t>
        </x:is>
      </x:c>
      <x:c r="BG331" t="n">
        <x:f>IF((COUNT('Quantification_Results'!BA331)=1),IFERROR(ROUND((SUM(('Quantification_Results'!BA331*'Quantification_Config'!$R$19))/SUM('Quantification_Config'!$R$19)),'Quantification_Config'!$U$2),""),"")</x:f>
        <x:v>50</x:v>
      </x:c>
      <x:c r="BH331" t="n">
        <x:f>IF((COUNT('Quantification_Results'!BG331)=1),IFERROR(ROUND((SUM(('Quantification_Results'!BG331*'Quantification_Config'!$R$18))/SUM('Quantification_Config'!$R$18)),'Quantification_Config'!$U$2),""),"")</x:f>
        <x:v>50</x:v>
      </x:c>
      <x:c r="BI331">
        <x:f>IF((COUNT('Quantification_Results'!L331,'Quantification_Results'!X331,'Quantification_Results'!AJ331,'Quantification_Results'!AV331,'Quantification_Results'!BH331)=5),IFERROR(ROUND((SUM(('Quantification_Results'!L331*'Quantification_Config'!$R$4),('Quantification_Results'!X331*'Quantification_Config'!$R$7),('Quantification_Results'!AJ331*'Quantification_Config'!$R$10),('Quantification_Results'!AV331*'Quantification_Config'!$R$13),('Quantification_Results'!BH331*'Quantification_Config'!$R$16))/SUM('Quantification_Config'!$R$4,'Quantification_Config'!$R$7,'Quantification_Config'!$R$10,'Quantification_Config'!$R$13,'Quantification_Config'!$R$16)),'Quantification_Config'!$U$2),""),"")</x:f>
      </x:c>
    </x:row>
    <x:row r="332">
      <x:c r="A332" t="n">
        <x:v>1</x:v>
      </x:c>
      <x:c r="B332" t="n">
        <x:v>5</x:v>
      </x:c>
      <x:c r="C332"/>
      <x:c r="D332" t="n">
        <x:f>IF(('Quantification_Results'!A332&lt;&gt;1),"",IF(('Quantification_Results'!C332=""),IF(ISNUMBER('Quantification_Results'!B332),IF(('Quantification_Results'!B332&lt;'Quantification_Config'!$S$6),"",IF(('Quantification_Results'!B332&gt;'Quantification_Config'!$T$6),"",'Quantification_Results'!B332)),""),IF(ISNUMBER('Quantification_Results'!C332),IF(('Quantification_Results'!C332&lt;'Quantification_Config'!$S$6),"",IF(('Quantification_Results'!C332&gt;'Quantification_Config'!$T$6),"",'Quantification_Results'!C332)),"")))</x:f>
        <x:v>5</x:v>
      </x:c>
      <x:c r="E332" t="n">
        <x:f>IF(ISNUMBER('Quantification_Results'!D332),IFERROR(ROUND(((('Quantification_Results'!D332-'Quantification_Config'!$S$6)/('Quantification_Config'!$T$6-'Quantification_Config'!$S$6))*100),'Quantification_Config'!$U$2),""),"")</x:f>
        <x:v>50</x:v>
      </x:c>
      <x:c r="F332" t="inlineStr">
        <x:is>
          <x:t xml:space="preserve">SYSTEM-TEST-ONLY-NO-NETWORK-NOT-AN-EDUCATIONAL-EVALUATION</x:t>
        </x:is>
      </x:c>
      <x:c r="G332" t="inlineStr">
        <x:is>
          <x:t xml:space="preserve"/>
        </x:is>
      </x:c>
      <x:c r="H332" t="inlineStr">
        <x:is>
          <x:t xml:space="preserve">NONE</x:t>
        </x:is>
      </x:c>
      <x:c r="I332" t="inlineStr">
        <x:is>
          <x:t xml:space="preserve"/>
        </x:is>
      </x:c>
      <x:c r="J332" t="inlineStr">
        <x:is>
          <x:t xml:space="preserve">SUCCESS</x:t>
        </x:is>
      </x:c>
      <x:c r="K332" t="n">
        <x:f>IF((COUNT('Quantification_Results'!E332)=1),IFERROR(ROUND((SUM(('Quantification_Results'!E332*'Quantification_Config'!$R$6))/SUM('Quantification_Config'!$R$6)),'Quantification_Config'!$U$2),""),"")</x:f>
        <x:v>50</x:v>
      </x:c>
      <x:c r="L332" t="n">
        <x:f>IF((COUNT('Quantification_Results'!K332)=1),IFERROR(ROUND((SUM(('Quantification_Results'!K332*'Quantification_Config'!$R$5))/SUM('Quantification_Config'!$R$5)),'Quantification_Config'!$U$2),""),"")</x:f>
        <x:v>50</x:v>
      </x:c>
      <x:c r="M332" t="n">
        <x:v>1</x:v>
      </x:c>
      <x:c r="N332" t="n">
        <x:v>5</x:v>
      </x:c>
      <x:c r="O332"/>
      <x:c r="P332" t="n">
        <x:f>IF(('Quantification_Results'!M332&lt;&gt;1),"",IF(('Quantification_Results'!O332=""),IF(ISNUMBER('Quantification_Results'!N332),IF(('Quantification_Results'!N332&lt;'Quantification_Config'!$S$9),"",IF(('Quantification_Results'!N332&gt;'Quantification_Config'!$T$9),"",'Quantification_Results'!N332)),""),IF(ISNUMBER('Quantification_Results'!O332),IF(('Quantification_Results'!O332&lt;'Quantification_Config'!$S$9),"",IF(('Quantification_Results'!O332&gt;'Quantification_Config'!$T$9),"",'Quantification_Results'!O332)),"")))</x:f>
        <x:v>5</x:v>
      </x:c>
      <x:c r="Q332" t="n">
        <x:f>IF(ISNUMBER('Quantification_Results'!P332),IFERROR(ROUND(((('Quantification_Results'!P332-'Quantification_Config'!$S$9)/('Quantification_Config'!$T$9-'Quantification_Config'!$S$9))*100),'Quantification_Config'!$U$2),""),"")</x:f>
        <x:v>50</x:v>
      </x:c>
      <x:c r="R332" t="inlineStr">
        <x:is>
          <x:t xml:space="preserve">SYSTEM-TEST-ONLY-NO-NETWORK-NOT-AN-EDUCATIONAL-EVALUATION</x:t>
        </x:is>
      </x:c>
      <x:c r="S332" t="inlineStr">
        <x:is>
          <x:t xml:space="preserve"/>
        </x:is>
      </x:c>
      <x:c r="T332" t="inlineStr">
        <x:is>
          <x:t xml:space="preserve">NONE</x:t>
        </x:is>
      </x:c>
      <x:c r="U332" t="inlineStr">
        <x:is>
          <x:t xml:space="preserve"/>
        </x:is>
      </x:c>
      <x:c r="V332" t="inlineStr">
        <x:is>
          <x:t xml:space="preserve">SUCCESS</x:t>
        </x:is>
      </x:c>
      <x:c r="W332" t="n">
        <x:f>IF((COUNT('Quantification_Results'!Q332)=1),IFERROR(ROUND((SUM(('Quantification_Results'!Q332*'Quantification_Config'!$R$9))/SUM('Quantification_Config'!$R$9)),'Quantification_Config'!$U$2),""),"")</x:f>
        <x:v>50</x:v>
      </x:c>
      <x:c r="X332" t="n">
        <x:f>IF((COUNT('Quantification_Results'!W332)=1),IFERROR(ROUND((SUM(('Quantification_Results'!W332*'Quantification_Config'!$R$8))/SUM('Quantification_Config'!$R$8)),'Quantification_Config'!$U$2),""),"")</x:f>
        <x:v>50</x:v>
      </x:c>
      <x:c r="Y332" t="n">
        <x:v>0</x:v>
      </x:c>
      <x:c r="Z332"/>
      <x:c r="AA332"/>
      <x:c r="AB332">
        <x:f>IF(('Quantification_Results'!Y332&lt;&gt;1),"",IF(('Quantification_Results'!AA332=""),IF(ISNUMBER('Quantification_Results'!Z332),IF(('Quantification_Results'!Z332&lt;'Quantification_Config'!$S$12),"",IF(('Quantification_Results'!Z332&gt;'Quantification_Config'!$T$12),"",'Quantification_Results'!Z332)),""),IF(ISNUMBER('Quantification_Results'!AA332),IF(('Quantification_Results'!AA332&lt;'Quantification_Config'!$S$12),"",IF(('Quantification_Results'!AA332&gt;'Quantification_Config'!$T$12),"",'Quantification_Results'!AA332)),"")))</x:f>
      </x:c>
      <x:c r="AC332">
        <x:f>IF(ISNUMBER('Quantification_Results'!AB332),IFERROR(ROUND(((('Quantification_Results'!AB332-'Quantification_Config'!$S$12)/('Quantification_Config'!$T$12-'Quantification_Config'!$S$12))*100),'Quantification_Config'!$U$2),""),"")</x:f>
      </x:c>
      <x:c r="AD332" t="inlineStr">
        <x:is>
          <x:t xml:space="preserve"/>
        </x:is>
      </x:c>
      <x:c r="AE332" t="inlineStr">
        <x:is>
          <x:t xml:space="preserve"/>
        </x:is>
      </x:c>
      <x:c r="AF332" t="inlineStr">
        <x:is>
          <x:t xml:space="preserve"/>
        </x:is>
      </x:c>
      <x:c r="AG332" t="inlineStr">
        <x:is>
          <x:t xml:space="preserve"/>
        </x:is>
      </x:c>
      <x:c r="AH332" t="inlineStr">
        <x:is>
          <x:t xml:space="preserve">EMPTY</x:t>
        </x:is>
      </x:c>
      <x:c r="AI332">
        <x:f>IF((COUNT('Quantification_Results'!AC332)=1),IFERROR(ROUND((SUM(('Quantification_Results'!AC332*'Quantification_Config'!$R$12))/SUM('Quantification_Config'!$R$12)),'Quantification_Config'!$U$2),""),"")</x:f>
      </x:c>
      <x:c r="AJ332">
        <x:f>IF((COUNT('Quantification_Results'!AI332)=1),IFERROR(ROUND((SUM(('Quantification_Results'!AI332*'Quantification_Config'!$R$11))/SUM('Quantification_Config'!$R$11)),'Quantification_Config'!$U$2),""),"")</x:f>
      </x:c>
      <x:c r="AK332" t="n">
        <x:v>1</x:v>
      </x:c>
      <x:c r="AL332" t="n">
        <x:v>5</x:v>
      </x:c>
      <x:c r="AM332"/>
      <x:c r="AN332" t="n">
        <x:f>IF(('Quantification_Results'!AK332&lt;&gt;1),"",IF(('Quantification_Results'!AM332=""),IF(ISNUMBER('Quantification_Results'!AL332),IF(('Quantification_Results'!AL332&lt;'Quantification_Config'!$S$15),"",IF(('Quantification_Results'!AL332&gt;'Quantification_Config'!$T$15),"",'Quantification_Results'!AL332)),""),IF(ISNUMBER('Quantification_Results'!AM332),IF(('Quantification_Results'!AM332&lt;'Quantification_Config'!$S$15),"",IF(('Quantification_Results'!AM332&gt;'Quantification_Config'!$T$15),"",'Quantification_Results'!AM332)),"")))</x:f>
        <x:v>5</x:v>
      </x:c>
      <x:c r="AO332" t="n">
        <x:f>IF(ISNUMBER('Quantification_Results'!AN332),IFERROR(ROUND(((('Quantification_Results'!AN332-'Quantification_Config'!$S$15)/('Quantification_Config'!$T$15-'Quantification_Config'!$S$15))*100),'Quantification_Config'!$U$2),""),"")</x:f>
        <x:v>50</x:v>
      </x:c>
      <x:c r="AP332" t="inlineStr">
        <x:is>
          <x:t xml:space="preserve">SYSTEM-TEST-ONLY-NO-NETWORK-NOT-AN-EDUCATIONAL-EVALUATION</x:t>
        </x:is>
      </x:c>
      <x:c r="AQ332" t="inlineStr">
        <x:is>
          <x:t xml:space="preserve"/>
        </x:is>
      </x:c>
      <x:c r="AR332" t="inlineStr">
        <x:is>
          <x:t xml:space="preserve">NONE</x:t>
        </x:is>
      </x:c>
      <x:c r="AS332" t="inlineStr">
        <x:is>
          <x:t xml:space="preserve"/>
        </x:is>
      </x:c>
      <x:c r="AT332" t="inlineStr">
        <x:is>
          <x:t xml:space="preserve">SUCCESS</x:t>
        </x:is>
      </x:c>
      <x:c r="AU332" t="n">
        <x:f>IF((COUNT('Quantification_Results'!AO332)=1),IFERROR(ROUND((SUM(('Quantification_Results'!AO332*'Quantification_Config'!$R$15))/SUM('Quantification_Config'!$R$15)),'Quantification_Config'!$U$2),""),"")</x:f>
        <x:v>50</x:v>
      </x:c>
      <x:c r="AV332" t="n">
        <x:f>IF((COUNT('Quantification_Results'!AU332)=1),IFERROR(ROUND((SUM(('Quantification_Results'!AU332*'Quantification_Config'!$R$14))/SUM('Quantification_Config'!$R$14)),'Quantification_Config'!$U$2),""),"")</x:f>
        <x:v>50</x:v>
      </x:c>
      <x:c r="AW332" t="n">
        <x:v>0</x:v>
      </x:c>
      <x:c r="AX332"/>
      <x:c r="AY332"/>
      <x:c r="AZ332">
        <x:f>IF(('Quantification_Results'!AW332&lt;&gt;1),"",IF(('Quantification_Results'!AY332=""),IF(ISNUMBER('Quantification_Results'!AX332),IF(('Quantification_Results'!AX332&lt;'Quantification_Config'!$S$19),"",IF(('Quantification_Results'!AX332&gt;'Quantification_Config'!$T$19),"",'Quantification_Results'!AX332)),""),IF(ISNUMBER('Quantification_Results'!AY332),IF(('Quantification_Results'!AY332&lt;'Quantification_Config'!$S$19),"",IF(('Quantification_Results'!AY332&gt;'Quantification_Config'!$T$19),"",'Quantification_Results'!AY332)),"")))</x:f>
      </x:c>
      <x:c r="BA332">
        <x:f>IF(ISNUMBER('Quantification_Results'!AZ332),IFERROR(ROUND(((('Quantification_Results'!AZ332-'Quantification_Config'!$S$19)/('Quantification_Config'!$T$19-'Quantification_Config'!$S$19))*100),'Quantification_Config'!$U$2),""),"")</x:f>
      </x:c>
      <x:c r="BB332" t="inlineStr">
        <x:is>
          <x:t xml:space="preserve"/>
        </x:is>
      </x:c>
      <x:c r="BC332" t="inlineStr">
        <x:is>
          <x:t xml:space="preserve"/>
        </x:is>
      </x:c>
      <x:c r="BD332" t="inlineStr">
        <x:is>
          <x:t xml:space="preserve"/>
        </x:is>
      </x:c>
      <x:c r="BE332" t="inlineStr">
        <x:is>
          <x:t xml:space="preserve"/>
        </x:is>
      </x:c>
      <x:c r="BF332" t="inlineStr">
        <x:is>
          <x:t xml:space="preserve">EMPTY</x:t>
        </x:is>
      </x:c>
      <x:c r="BG332">
        <x:f>IF((COUNT('Quantification_Results'!BA332)=1),IFERROR(ROUND((SUM(('Quantification_Results'!BA332*'Quantification_Config'!$R$19))/SUM('Quantification_Config'!$R$19)),'Quantification_Config'!$U$2),""),"")</x:f>
      </x:c>
      <x:c r="BH332">
        <x:f>IF((COUNT('Quantification_Results'!BG332)=1),IFERROR(ROUND((SUM(('Quantification_Results'!BG332*'Quantification_Config'!$R$18))/SUM('Quantification_Config'!$R$18)),'Quantification_Config'!$U$2),""),"")</x:f>
      </x:c>
      <x:c r="BI332">
        <x:f>IF((COUNT('Quantification_Results'!L332,'Quantification_Results'!X332,'Quantification_Results'!AJ332,'Quantification_Results'!AV332,'Quantification_Results'!BH332)=5),IFERROR(ROUND((SUM(('Quantification_Results'!L332*'Quantification_Config'!$R$4),('Quantification_Results'!X332*'Quantification_Config'!$R$7),('Quantification_Results'!AJ332*'Quantification_Config'!$R$10),('Quantification_Results'!AV332*'Quantification_Config'!$R$13),('Quantification_Results'!BH332*'Quantification_Config'!$R$16))/SUM('Quantification_Config'!$R$4,'Quantification_Config'!$R$7,'Quantification_Config'!$R$10,'Quantification_Config'!$R$13,'Quantification_Config'!$R$16)),'Quantification_Config'!$U$2),""),"")</x:f>
      </x:c>
    </x:row>
    <x:row r="333">
      <x:c r="A333" t="n">
        <x:v>1</x:v>
      </x:c>
      <x:c r="B333" t="n">
        <x:v>5</x:v>
      </x:c>
      <x:c r="C333"/>
      <x:c r="D333" t="n">
        <x:f>IF(('Quantification_Results'!A333&lt;&gt;1),"",IF(('Quantification_Results'!C333=""),IF(ISNUMBER('Quantification_Results'!B333),IF(('Quantification_Results'!B333&lt;'Quantification_Config'!$S$6),"",IF(('Quantification_Results'!B333&gt;'Quantification_Config'!$T$6),"",'Quantification_Results'!B333)),""),IF(ISNUMBER('Quantification_Results'!C333),IF(('Quantification_Results'!C333&lt;'Quantification_Config'!$S$6),"",IF(('Quantification_Results'!C333&gt;'Quantification_Config'!$T$6),"",'Quantification_Results'!C333)),"")))</x:f>
        <x:v>5</x:v>
      </x:c>
      <x:c r="E333" t="n">
        <x:f>IF(ISNUMBER('Quantification_Results'!D333),IFERROR(ROUND(((('Quantification_Results'!D333-'Quantification_Config'!$S$6)/('Quantification_Config'!$T$6-'Quantification_Config'!$S$6))*100),'Quantification_Config'!$U$2),""),"")</x:f>
        <x:v>50</x:v>
      </x:c>
      <x:c r="F333" t="inlineStr">
        <x:is>
          <x:t xml:space="preserve">SYSTEM-TEST-ONLY-NO-NETWORK-NOT-AN-EDUCATIONAL-EVALUATION</x:t>
        </x:is>
      </x:c>
      <x:c r="G333" t="inlineStr">
        <x:is>
          <x:t xml:space="preserve"/>
        </x:is>
      </x:c>
      <x:c r="H333" t="inlineStr">
        <x:is>
          <x:t xml:space="preserve">NONE</x:t>
        </x:is>
      </x:c>
      <x:c r="I333" t="inlineStr">
        <x:is>
          <x:t xml:space="preserve"/>
        </x:is>
      </x:c>
      <x:c r="J333" t="inlineStr">
        <x:is>
          <x:t xml:space="preserve">SUCCESS</x:t>
        </x:is>
      </x:c>
      <x:c r="K333" t="n">
        <x:f>IF((COUNT('Quantification_Results'!E333)=1),IFERROR(ROUND((SUM(('Quantification_Results'!E333*'Quantification_Config'!$R$6))/SUM('Quantification_Config'!$R$6)),'Quantification_Config'!$U$2),""),"")</x:f>
        <x:v>50</x:v>
      </x:c>
      <x:c r="L333" t="n">
        <x:f>IF((COUNT('Quantification_Results'!K333)=1),IFERROR(ROUND((SUM(('Quantification_Results'!K333*'Quantification_Config'!$R$5))/SUM('Quantification_Config'!$R$5)),'Quantification_Config'!$U$2),""),"")</x:f>
        <x:v>50</x:v>
      </x:c>
      <x:c r="M333" t="n">
        <x:v>1</x:v>
      </x:c>
      <x:c r="N333" t="n">
        <x:v>5</x:v>
      </x:c>
      <x:c r="O333"/>
      <x:c r="P333" t="n">
        <x:f>IF(('Quantification_Results'!M333&lt;&gt;1),"",IF(('Quantification_Results'!O333=""),IF(ISNUMBER('Quantification_Results'!N333),IF(('Quantification_Results'!N333&lt;'Quantification_Config'!$S$9),"",IF(('Quantification_Results'!N333&gt;'Quantification_Config'!$T$9),"",'Quantification_Results'!N333)),""),IF(ISNUMBER('Quantification_Results'!O333),IF(('Quantification_Results'!O333&lt;'Quantification_Config'!$S$9),"",IF(('Quantification_Results'!O333&gt;'Quantification_Config'!$T$9),"",'Quantification_Results'!O333)),"")))</x:f>
        <x:v>5</x:v>
      </x:c>
      <x:c r="Q333" t="n">
        <x:f>IF(ISNUMBER('Quantification_Results'!P333),IFERROR(ROUND(((('Quantification_Results'!P333-'Quantification_Config'!$S$9)/('Quantification_Config'!$T$9-'Quantification_Config'!$S$9))*100),'Quantification_Config'!$U$2),""),"")</x:f>
        <x:v>50</x:v>
      </x:c>
      <x:c r="R333" t="inlineStr">
        <x:is>
          <x:t xml:space="preserve">SYSTEM-TEST-ONLY-NO-NETWORK-NOT-AN-EDUCATIONAL-EVALUATION</x:t>
        </x:is>
      </x:c>
      <x:c r="S333" t="inlineStr">
        <x:is>
          <x:t xml:space="preserve"/>
        </x:is>
      </x:c>
      <x:c r="T333" t="inlineStr">
        <x:is>
          <x:t xml:space="preserve">NONE</x:t>
        </x:is>
      </x:c>
      <x:c r="U333" t="inlineStr">
        <x:is>
          <x:t xml:space="preserve"/>
        </x:is>
      </x:c>
      <x:c r="V333" t="inlineStr">
        <x:is>
          <x:t xml:space="preserve">SUCCESS</x:t>
        </x:is>
      </x:c>
      <x:c r="W333" t="n">
        <x:f>IF((COUNT('Quantification_Results'!Q333)=1),IFERROR(ROUND((SUM(('Quantification_Results'!Q333*'Quantification_Config'!$R$9))/SUM('Quantification_Config'!$R$9)),'Quantification_Config'!$U$2),""),"")</x:f>
        <x:v>50</x:v>
      </x:c>
      <x:c r="X333" t="n">
        <x:f>IF((COUNT('Quantification_Results'!W333)=1),IFERROR(ROUND((SUM(('Quantification_Results'!W333*'Quantification_Config'!$R$8))/SUM('Quantification_Config'!$R$8)),'Quantification_Config'!$U$2),""),"")</x:f>
        <x:v>50</x:v>
      </x:c>
      <x:c r="Y333" t="n">
        <x:v>1</x:v>
      </x:c>
      <x:c r="Z333" t="n">
        <x:v>5</x:v>
      </x:c>
      <x:c r="AA333"/>
      <x:c r="AB333" t="n">
        <x:f>IF(('Quantification_Results'!Y333&lt;&gt;1),"",IF(('Quantification_Results'!AA333=""),IF(ISNUMBER('Quantification_Results'!Z333),IF(('Quantification_Results'!Z333&lt;'Quantification_Config'!$S$12),"",IF(('Quantification_Results'!Z333&gt;'Quantification_Config'!$T$12),"",'Quantification_Results'!Z333)),""),IF(ISNUMBER('Quantification_Results'!AA333),IF(('Quantification_Results'!AA333&lt;'Quantification_Config'!$S$12),"",IF(('Quantification_Results'!AA333&gt;'Quantification_Config'!$T$12),"",'Quantification_Results'!AA333)),"")))</x:f>
        <x:v>5</x:v>
      </x:c>
      <x:c r="AC333" t="n">
        <x:f>IF(ISNUMBER('Quantification_Results'!AB333),IFERROR(ROUND(((('Quantification_Results'!AB333-'Quantification_Config'!$S$12)/('Quantification_Config'!$T$12-'Quantification_Config'!$S$12))*100),'Quantification_Config'!$U$2),""),"")</x:f>
        <x:v>50</x:v>
      </x:c>
      <x:c r="AD333" t="inlineStr">
        <x:is>
          <x:t xml:space="preserve">SYSTEM-TEST-ONLY-NO-NETWORK-NOT-AN-EDUCATIONAL-EVALUATION</x:t>
        </x:is>
      </x:c>
      <x:c r="AE333" t="inlineStr">
        <x:is>
          <x:t xml:space="preserve"/>
        </x:is>
      </x:c>
      <x:c r="AF333" t="inlineStr">
        <x:is>
          <x:t xml:space="preserve">NONE</x:t>
        </x:is>
      </x:c>
      <x:c r="AG333" t="inlineStr">
        <x:is>
          <x:t xml:space="preserve"/>
        </x:is>
      </x:c>
      <x:c r="AH333" t="inlineStr">
        <x:is>
          <x:t xml:space="preserve">SUCCESS</x:t>
        </x:is>
      </x:c>
      <x:c r="AI333" t="n">
        <x:f>IF((COUNT('Quantification_Results'!AC333)=1),IFERROR(ROUND((SUM(('Quantification_Results'!AC333*'Quantification_Config'!$R$12))/SUM('Quantification_Config'!$R$12)),'Quantification_Config'!$U$2),""),"")</x:f>
        <x:v>50</x:v>
      </x:c>
      <x:c r="AJ333" t="n">
        <x:f>IF((COUNT('Quantification_Results'!AI333)=1),IFERROR(ROUND((SUM(('Quantification_Results'!AI333*'Quantification_Config'!$R$11))/SUM('Quantification_Config'!$R$11)),'Quantification_Config'!$U$2),""),"")</x:f>
        <x:v>50</x:v>
      </x:c>
      <x:c r="AK333" t="n">
        <x:v>1</x:v>
      </x:c>
      <x:c r="AL333" t="n">
        <x:v>5</x:v>
      </x:c>
      <x:c r="AM333"/>
      <x:c r="AN333" t="n">
        <x:f>IF(('Quantification_Results'!AK333&lt;&gt;1),"",IF(('Quantification_Results'!AM333=""),IF(ISNUMBER('Quantification_Results'!AL333),IF(('Quantification_Results'!AL333&lt;'Quantification_Config'!$S$15),"",IF(('Quantification_Results'!AL333&gt;'Quantification_Config'!$T$15),"",'Quantification_Results'!AL333)),""),IF(ISNUMBER('Quantification_Results'!AM333),IF(('Quantification_Results'!AM333&lt;'Quantification_Config'!$S$15),"",IF(('Quantification_Results'!AM333&gt;'Quantification_Config'!$T$15),"",'Quantification_Results'!AM333)),"")))</x:f>
        <x:v>5</x:v>
      </x:c>
      <x:c r="AO333" t="n">
        <x:f>IF(ISNUMBER('Quantification_Results'!AN333),IFERROR(ROUND(((('Quantification_Results'!AN333-'Quantification_Config'!$S$15)/('Quantification_Config'!$T$15-'Quantification_Config'!$S$15))*100),'Quantification_Config'!$U$2),""),"")</x:f>
        <x:v>50</x:v>
      </x:c>
      <x:c r="AP333" t="inlineStr">
        <x:is>
          <x:t xml:space="preserve">SYSTEM-TEST-ONLY-NO-NETWORK-NOT-AN-EDUCATIONAL-EVALUATION</x:t>
        </x:is>
      </x:c>
      <x:c r="AQ333" t="inlineStr">
        <x:is>
          <x:t xml:space="preserve"/>
        </x:is>
      </x:c>
      <x:c r="AR333" t="inlineStr">
        <x:is>
          <x:t xml:space="preserve">NONE</x:t>
        </x:is>
      </x:c>
      <x:c r="AS333" t="inlineStr">
        <x:is>
          <x:t xml:space="preserve"/>
        </x:is>
      </x:c>
      <x:c r="AT333" t="inlineStr">
        <x:is>
          <x:t xml:space="preserve">SUCCESS</x:t>
        </x:is>
      </x:c>
      <x:c r="AU333" t="n">
        <x:f>IF((COUNT('Quantification_Results'!AO333)=1),IFERROR(ROUND((SUM(('Quantification_Results'!AO333*'Quantification_Config'!$R$15))/SUM('Quantification_Config'!$R$15)),'Quantification_Config'!$U$2),""),"")</x:f>
        <x:v>50</x:v>
      </x:c>
      <x:c r="AV333" t="n">
        <x:f>IF((COUNT('Quantification_Results'!AU333)=1),IFERROR(ROUND((SUM(('Quantification_Results'!AU333*'Quantification_Config'!$R$14))/SUM('Quantification_Config'!$R$14)),'Quantification_Config'!$U$2),""),"")</x:f>
        <x:v>50</x:v>
      </x:c>
      <x:c r="AW333" t="n">
        <x:v>1</x:v>
      </x:c>
      <x:c r="AX333" t="n">
        <x:v>5</x:v>
      </x:c>
      <x:c r="AY333"/>
      <x:c r="AZ333" t="n">
        <x:f>IF(('Quantification_Results'!AW333&lt;&gt;1),"",IF(('Quantification_Results'!AY333=""),IF(ISNUMBER('Quantification_Results'!AX333),IF(('Quantification_Results'!AX333&lt;'Quantification_Config'!$S$19),"",IF(('Quantification_Results'!AX333&gt;'Quantification_Config'!$T$19),"",'Quantification_Results'!AX333)),""),IF(ISNUMBER('Quantification_Results'!AY333),IF(('Quantification_Results'!AY333&lt;'Quantification_Config'!$S$19),"",IF(('Quantification_Results'!AY333&gt;'Quantification_Config'!$T$19),"",'Quantification_Results'!AY333)),"")))</x:f>
        <x:v>5</x:v>
      </x:c>
      <x:c r="BA333" t="n">
        <x:f>IF(ISNUMBER('Quantification_Results'!AZ333),IFERROR(ROUND(((('Quantification_Results'!AZ333-'Quantification_Config'!$S$19)/('Quantification_Config'!$T$19-'Quantification_Config'!$S$19))*100),'Quantification_Config'!$U$2),""),"")</x:f>
        <x:v>50</x:v>
      </x:c>
      <x:c r="BB333" t="inlineStr">
        <x:is>
          <x:t xml:space="preserve">SYSTEM-TEST-ONLY-NO-NETWORK-NOT-AN-EDUCATIONAL-EVALUATION</x:t>
        </x:is>
      </x:c>
      <x:c r="BC333" t="inlineStr">
        <x:is>
          <x:t xml:space="preserve"/>
        </x:is>
      </x:c>
      <x:c r="BD333" t="inlineStr">
        <x:is>
          <x:t xml:space="preserve">NONE</x:t>
        </x:is>
      </x:c>
      <x:c r="BE333" t="inlineStr">
        <x:is>
          <x:t xml:space="preserve"/>
        </x:is>
      </x:c>
      <x:c r="BF333" t="inlineStr">
        <x:is>
          <x:t xml:space="preserve">SUCCESS</x:t>
        </x:is>
      </x:c>
      <x:c r="BG333" t="n">
        <x:f>IF((COUNT('Quantification_Results'!BA333)=1),IFERROR(ROUND((SUM(('Quantification_Results'!BA333*'Quantification_Config'!$R$19))/SUM('Quantification_Config'!$R$19)),'Quantification_Config'!$U$2),""),"")</x:f>
        <x:v>50</x:v>
      </x:c>
      <x:c r="BH333" t="n">
        <x:f>IF((COUNT('Quantification_Results'!BG333)=1),IFERROR(ROUND((SUM(('Quantification_Results'!BG333*'Quantification_Config'!$R$18))/SUM('Quantification_Config'!$R$18)),'Quantification_Config'!$U$2),""),"")</x:f>
        <x:v>50</x:v>
      </x:c>
      <x:c r="BI333" t="n">
        <x:f>IF((COUNT('Quantification_Results'!L333,'Quantification_Results'!X333,'Quantification_Results'!AJ333,'Quantification_Results'!AV333,'Quantification_Results'!BH333)=5),IFERROR(ROUND((SUM(('Quantification_Results'!L333*'Quantification_Config'!$R$4),('Quantification_Results'!X333*'Quantification_Config'!$R$7),('Quantification_Results'!AJ333*'Quantification_Config'!$R$10),('Quantification_Results'!AV333*'Quantification_Config'!$R$13),('Quantification_Results'!BH333*'Quantification_Config'!$R$16))/SUM('Quantification_Config'!$R$4,'Quantification_Config'!$R$7,'Quantification_Config'!$R$10,'Quantification_Config'!$R$13,'Quantification_Config'!$R$16)),'Quantification_Config'!$U$2),""),"")</x:f>
        <x:v>50</x:v>
      </x:c>
    </x:row>
    <x:row r="334">
      <x:c r="A334" t="n">
        <x:v>1</x:v>
      </x:c>
      <x:c r="B334" t="n">
        <x:v>5</x:v>
      </x:c>
      <x:c r="C334"/>
      <x:c r="D334" t="n">
        <x:f>IF(('Quantification_Results'!A334&lt;&gt;1),"",IF(('Quantification_Results'!C334=""),IF(ISNUMBER('Quantification_Results'!B334),IF(('Quantification_Results'!B334&lt;'Quantification_Config'!$S$6),"",IF(('Quantification_Results'!B334&gt;'Quantification_Config'!$T$6),"",'Quantification_Results'!B334)),""),IF(ISNUMBER('Quantification_Results'!C334),IF(('Quantification_Results'!C334&lt;'Quantification_Config'!$S$6),"",IF(('Quantification_Results'!C334&gt;'Quantification_Config'!$T$6),"",'Quantification_Results'!C334)),"")))</x:f>
        <x:v>5</x:v>
      </x:c>
      <x:c r="E334" t="n">
        <x:f>IF(ISNUMBER('Quantification_Results'!D334),IFERROR(ROUND(((('Quantification_Results'!D334-'Quantification_Config'!$S$6)/('Quantification_Config'!$T$6-'Quantification_Config'!$S$6))*100),'Quantification_Config'!$U$2),""),"")</x:f>
        <x:v>50</x:v>
      </x:c>
      <x:c r="F334" t="inlineStr">
        <x:is>
          <x:t xml:space="preserve">SYSTEM-TEST-ONLY-NO-NETWORK-NOT-AN-EDUCATIONAL-EVALUATION</x:t>
        </x:is>
      </x:c>
      <x:c r="G334" t="inlineStr">
        <x:is>
          <x:t xml:space="preserve"/>
        </x:is>
      </x:c>
      <x:c r="H334" t="inlineStr">
        <x:is>
          <x:t xml:space="preserve">NONE</x:t>
        </x:is>
      </x:c>
      <x:c r="I334" t="inlineStr">
        <x:is>
          <x:t xml:space="preserve"/>
        </x:is>
      </x:c>
      <x:c r="J334" t="inlineStr">
        <x:is>
          <x:t xml:space="preserve">SUCCESS</x:t>
        </x:is>
      </x:c>
      <x:c r="K334" t="n">
        <x:f>IF((COUNT('Quantification_Results'!E334)=1),IFERROR(ROUND((SUM(('Quantification_Results'!E334*'Quantification_Config'!$R$6))/SUM('Quantification_Config'!$R$6)),'Quantification_Config'!$U$2),""),"")</x:f>
        <x:v>50</x:v>
      </x:c>
      <x:c r="L334" t="n">
        <x:f>IF((COUNT('Quantification_Results'!K334)=1),IFERROR(ROUND((SUM(('Quantification_Results'!K334*'Quantification_Config'!$R$5))/SUM('Quantification_Config'!$R$5)),'Quantification_Config'!$U$2),""),"")</x:f>
        <x:v>50</x:v>
      </x:c>
      <x:c r="M334" t="n">
        <x:v>1</x:v>
      </x:c>
      <x:c r="N334" t="n">
        <x:v>5</x:v>
      </x:c>
      <x:c r="O334"/>
      <x:c r="P334" t="n">
        <x:f>IF(('Quantification_Results'!M334&lt;&gt;1),"",IF(('Quantification_Results'!O334=""),IF(ISNUMBER('Quantification_Results'!N334),IF(('Quantification_Results'!N334&lt;'Quantification_Config'!$S$9),"",IF(('Quantification_Results'!N334&gt;'Quantification_Config'!$T$9),"",'Quantification_Results'!N334)),""),IF(ISNUMBER('Quantification_Results'!O334),IF(('Quantification_Results'!O334&lt;'Quantification_Config'!$S$9),"",IF(('Quantification_Results'!O334&gt;'Quantification_Config'!$T$9),"",'Quantification_Results'!O334)),"")))</x:f>
        <x:v>5</x:v>
      </x:c>
      <x:c r="Q334" t="n">
        <x:f>IF(ISNUMBER('Quantification_Results'!P334),IFERROR(ROUND(((('Quantification_Results'!P334-'Quantification_Config'!$S$9)/('Quantification_Config'!$T$9-'Quantification_Config'!$S$9))*100),'Quantification_Config'!$U$2),""),"")</x:f>
        <x:v>50</x:v>
      </x:c>
      <x:c r="R334" t="inlineStr">
        <x:is>
          <x:t xml:space="preserve">SYSTEM-TEST-ONLY-NO-NETWORK-NOT-AN-EDUCATIONAL-EVALUATION</x:t>
        </x:is>
      </x:c>
      <x:c r="S334" t="inlineStr">
        <x:is>
          <x:t xml:space="preserve"/>
        </x:is>
      </x:c>
      <x:c r="T334" t="inlineStr">
        <x:is>
          <x:t xml:space="preserve">NONE</x:t>
        </x:is>
      </x:c>
      <x:c r="U334" t="inlineStr">
        <x:is>
          <x:t xml:space="preserve"/>
        </x:is>
      </x:c>
      <x:c r="V334" t="inlineStr">
        <x:is>
          <x:t xml:space="preserve">SUCCESS</x:t>
        </x:is>
      </x:c>
      <x:c r="W334" t="n">
        <x:f>IF((COUNT('Quantification_Results'!Q334)=1),IFERROR(ROUND((SUM(('Quantification_Results'!Q334*'Quantification_Config'!$R$9))/SUM('Quantification_Config'!$R$9)),'Quantification_Config'!$U$2),""),"")</x:f>
        <x:v>50</x:v>
      </x:c>
      <x:c r="X334" t="n">
        <x:f>IF((COUNT('Quantification_Results'!W334)=1),IFERROR(ROUND((SUM(('Quantification_Results'!W334*'Quantification_Config'!$R$8))/SUM('Quantification_Config'!$R$8)),'Quantification_Config'!$U$2),""),"")</x:f>
        <x:v>50</x:v>
      </x:c>
      <x:c r="Y334" t="n">
        <x:v>0</x:v>
      </x:c>
      <x:c r="Z334"/>
      <x:c r="AA334"/>
      <x:c r="AB334">
        <x:f>IF(('Quantification_Results'!Y334&lt;&gt;1),"",IF(('Quantification_Results'!AA334=""),IF(ISNUMBER('Quantification_Results'!Z334),IF(('Quantification_Results'!Z334&lt;'Quantification_Config'!$S$12),"",IF(('Quantification_Results'!Z334&gt;'Quantification_Config'!$T$12),"",'Quantification_Results'!Z334)),""),IF(ISNUMBER('Quantification_Results'!AA334),IF(('Quantification_Results'!AA334&lt;'Quantification_Config'!$S$12),"",IF(('Quantification_Results'!AA334&gt;'Quantification_Config'!$T$12),"",'Quantification_Results'!AA334)),"")))</x:f>
      </x:c>
      <x:c r="AC334">
        <x:f>IF(ISNUMBER('Quantification_Results'!AB334),IFERROR(ROUND(((('Quantification_Results'!AB334-'Quantification_Config'!$S$12)/('Quantification_Config'!$T$12-'Quantification_Config'!$S$12))*100),'Quantification_Config'!$U$2),""),"")</x:f>
      </x:c>
      <x:c r="AD334" t="inlineStr">
        <x:is>
          <x:t xml:space="preserve"/>
        </x:is>
      </x:c>
      <x:c r="AE334" t="inlineStr">
        <x:is>
          <x:t xml:space="preserve"/>
        </x:is>
      </x:c>
      <x:c r="AF334" t="inlineStr">
        <x:is>
          <x:t xml:space="preserve"/>
        </x:is>
      </x:c>
      <x:c r="AG334" t="inlineStr">
        <x:is>
          <x:t xml:space="preserve"/>
        </x:is>
      </x:c>
      <x:c r="AH334" t="inlineStr">
        <x:is>
          <x:t xml:space="preserve">EMPTY</x:t>
        </x:is>
      </x:c>
      <x:c r="AI334">
        <x:f>IF((COUNT('Quantification_Results'!AC334)=1),IFERROR(ROUND((SUM(('Quantification_Results'!AC334*'Quantification_Config'!$R$12))/SUM('Quantification_Config'!$R$12)),'Quantification_Config'!$U$2),""),"")</x:f>
      </x:c>
      <x:c r="AJ334">
        <x:f>IF((COUNT('Quantification_Results'!AI334)=1),IFERROR(ROUND((SUM(('Quantification_Results'!AI334*'Quantification_Config'!$R$11))/SUM('Quantification_Config'!$R$11)),'Quantification_Config'!$U$2),""),"")</x:f>
      </x:c>
      <x:c r="AK334" t="n">
        <x:v>1</x:v>
      </x:c>
      <x:c r="AL334" t="n">
        <x:v>5</x:v>
      </x:c>
      <x:c r="AM334"/>
      <x:c r="AN334" t="n">
        <x:f>IF(('Quantification_Results'!AK334&lt;&gt;1),"",IF(('Quantification_Results'!AM334=""),IF(ISNUMBER('Quantification_Results'!AL334),IF(('Quantification_Results'!AL334&lt;'Quantification_Config'!$S$15),"",IF(('Quantification_Results'!AL334&gt;'Quantification_Config'!$T$15),"",'Quantification_Results'!AL334)),""),IF(ISNUMBER('Quantification_Results'!AM334),IF(('Quantification_Results'!AM334&lt;'Quantification_Config'!$S$15),"",IF(('Quantification_Results'!AM334&gt;'Quantification_Config'!$T$15),"",'Quantification_Results'!AM334)),"")))</x:f>
        <x:v>5</x:v>
      </x:c>
      <x:c r="AO334" t="n">
        <x:f>IF(ISNUMBER('Quantification_Results'!AN334),IFERROR(ROUND(((('Quantification_Results'!AN334-'Quantification_Config'!$S$15)/('Quantification_Config'!$T$15-'Quantification_Config'!$S$15))*100),'Quantification_Config'!$U$2),""),"")</x:f>
        <x:v>50</x:v>
      </x:c>
      <x:c r="AP334" t="inlineStr">
        <x:is>
          <x:t xml:space="preserve">SYSTEM-TEST-ONLY-NO-NETWORK-NOT-AN-EDUCATIONAL-EVALUATION</x:t>
        </x:is>
      </x:c>
      <x:c r="AQ334" t="inlineStr">
        <x:is>
          <x:t xml:space="preserve"/>
        </x:is>
      </x:c>
      <x:c r="AR334" t="inlineStr">
        <x:is>
          <x:t xml:space="preserve">NONE</x:t>
        </x:is>
      </x:c>
      <x:c r="AS334" t="inlineStr">
        <x:is>
          <x:t xml:space="preserve"/>
        </x:is>
      </x:c>
      <x:c r="AT334" t="inlineStr">
        <x:is>
          <x:t xml:space="preserve">SUCCESS</x:t>
        </x:is>
      </x:c>
      <x:c r="AU334" t="n">
        <x:f>IF((COUNT('Quantification_Results'!AO334)=1),IFERROR(ROUND((SUM(('Quantification_Results'!AO334*'Quantification_Config'!$R$15))/SUM('Quantification_Config'!$R$15)),'Quantification_Config'!$U$2),""),"")</x:f>
        <x:v>50</x:v>
      </x:c>
      <x:c r="AV334" t="n">
        <x:f>IF((COUNT('Quantification_Results'!AU334)=1),IFERROR(ROUND((SUM(('Quantification_Results'!AU334*'Quantification_Config'!$R$14))/SUM('Quantification_Config'!$R$14)),'Quantification_Config'!$U$2),""),"")</x:f>
        <x:v>50</x:v>
      </x:c>
      <x:c r="AW334" t="n">
        <x:v>1</x:v>
      </x:c>
      <x:c r="AX334" t="n">
        <x:v>5</x:v>
      </x:c>
      <x:c r="AY334"/>
      <x:c r="AZ334" t="n">
        <x:f>IF(('Quantification_Results'!AW334&lt;&gt;1),"",IF(('Quantification_Results'!AY334=""),IF(ISNUMBER('Quantification_Results'!AX334),IF(('Quantification_Results'!AX334&lt;'Quantification_Config'!$S$19),"",IF(('Quantification_Results'!AX334&gt;'Quantification_Config'!$T$19),"",'Quantification_Results'!AX334)),""),IF(ISNUMBER('Quantification_Results'!AY334),IF(('Quantification_Results'!AY334&lt;'Quantification_Config'!$S$19),"",IF(('Quantification_Results'!AY334&gt;'Quantification_Config'!$T$19),"",'Quantification_Results'!AY334)),"")))</x:f>
        <x:v>5</x:v>
      </x:c>
      <x:c r="BA334" t="n">
        <x:f>IF(ISNUMBER('Quantification_Results'!AZ334),IFERROR(ROUND(((('Quantification_Results'!AZ334-'Quantification_Config'!$S$19)/('Quantification_Config'!$T$19-'Quantification_Config'!$S$19))*100),'Quantification_Config'!$U$2),""),"")</x:f>
        <x:v>50</x:v>
      </x:c>
      <x:c r="BB334" t="inlineStr">
        <x:is>
          <x:t xml:space="preserve">SYSTEM-TEST-ONLY-NO-NETWORK-NOT-AN-EDUCATIONAL-EVALUATION</x:t>
        </x:is>
      </x:c>
      <x:c r="BC334" t="inlineStr">
        <x:is>
          <x:t xml:space="preserve"/>
        </x:is>
      </x:c>
      <x:c r="BD334" t="inlineStr">
        <x:is>
          <x:t xml:space="preserve">NONE</x:t>
        </x:is>
      </x:c>
      <x:c r="BE334" t="inlineStr">
        <x:is>
          <x:t xml:space="preserve"/>
        </x:is>
      </x:c>
      <x:c r="BF334" t="inlineStr">
        <x:is>
          <x:t xml:space="preserve">SUCCESS</x:t>
        </x:is>
      </x:c>
      <x:c r="BG334" t="n">
        <x:f>IF((COUNT('Quantification_Results'!BA334)=1),IFERROR(ROUND((SUM(('Quantification_Results'!BA334*'Quantification_Config'!$R$19))/SUM('Quantification_Config'!$R$19)),'Quantification_Config'!$U$2),""),"")</x:f>
        <x:v>50</x:v>
      </x:c>
      <x:c r="BH334" t="n">
        <x:f>IF((COUNT('Quantification_Results'!BG334)=1),IFERROR(ROUND((SUM(('Quantification_Results'!BG334*'Quantification_Config'!$R$18))/SUM('Quantification_Config'!$R$18)),'Quantification_Config'!$U$2),""),"")</x:f>
        <x:v>50</x:v>
      </x:c>
      <x:c r="BI334">
        <x:f>IF((COUNT('Quantification_Results'!L334,'Quantification_Results'!X334,'Quantification_Results'!AJ334,'Quantification_Results'!AV334,'Quantification_Results'!BH334)=5),IFERROR(ROUND((SUM(('Quantification_Results'!L334*'Quantification_Config'!$R$4),('Quantification_Results'!X334*'Quantification_Config'!$R$7),('Quantification_Results'!AJ334*'Quantification_Config'!$R$10),('Quantification_Results'!AV334*'Quantification_Config'!$R$13),('Quantification_Results'!BH334*'Quantification_Config'!$R$16))/SUM('Quantification_Config'!$R$4,'Quantification_Config'!$R$7,'Quantification_Config'!$R$10,'Quantification_Config'!$R$13,'Quantification_Config'!$R$16)),'Quantification_Config'!$U$2),""),"")</x:f>
      </x:c>
    </x:row>
    <x:row r="335">
      <x:c r="A335" t="n">
        <x:v>1</x:v>
      </x:c>
      <x:c r="B335" t="n">
        <x:v>5</x:v>
      </x:c>
      <x:c r="C335"/>
      <x:c r="D335" t="n">
        <x:f>IF(('Quantification_Results'!A335&lt;&gt;1),"",IF(('Quantification_Results'!C335=""),IF(ISNUMBER('Quantification_Results'!B335),IF(('Quantification_Results'!B335&lt;'Quantification_Config'!$S$6),"",IF(('Quantification_Results'!B335&gt;'Quantification_Config'!$T$6),"",'Quantification_Results'!B335)),""),IF(ISNUMBER('Quantification_Results'!C335),IF(('Quantification_Results'!C335&lt;'Quantification_Config'!$S$6),"",IF(('Quantification_Results'!C335&gt;'Quantification_Config'!$T$6),"",'Quantification_Results'!C335)),"")))</x:f>
        <x:v>5</x:v>
      </x:c>
      <x:c r="E335" t="n">
        <x:f>IF(ISNUMBER('Quantification_Results'!D335),IFERROR(ROUND(((('Quantification_Results'!D335-'Quantification_Config'!$S$6)/('Quantification_Config'!$T$6-'Quantification_Config'!$S$6))*100),'Quantification_Config'!$U$2),""),"")</x:f>
        <x:v>50</x:v>
      </x:c>
      <x:c r="F335" t="inlineStr">
        <x:is>
          <x:t xml:space="preserve">SYSTEM-TEST-ONLY-NO-NETWORK-NOT-AN-EDUCATIONAL-EVALUATION</x:t>
        </x:is>
      </x:c>
      <x:c r="G335" t="inlineStr">
        <x:is>
          <x:t xml:space="preserve"/>
        </x:is>
      </x:c>
      <x:c r="H335" t="inlineStr">
        <x:is>
          <x:t xml:space="preserve">NONE</x:t>
        </x:is>
      </x:c>
      <x:c r="I335" t="inlineStr">
        <x:is>
          <x:t xml:space="preserve"/>
        </x:is>
      </x:c>
      <x:c r="J335" t="inlineStr">
        <x:is>
          <x:t xml:space="preserve">SUCCESS</x:t>
        </x:is>
      </x:c>
      <x:c r="K335" t="n">
        <x:f>IF((COUNT('Quantification_Results'!E335)=1),IFERROR(ROUND((SUM(('Quantification_Results'!E335*'Quantification_Config'!$R$6))/SUM('Quantification_Config'!$R$6)),'Quantification_Config'!$U$2),""),"")</x:f>
        <x:v>50</x:v>
      </x:c>
      <x:c r="L335" t="n">
        <x:f>IF((COUNT('Quantification_Results'!K335)=1),IFERROR(ROUND((SUM(('Quantification_Results'!K335*'Quantification_Config'!$R$5))/SUM('Quantification_Config'!$R$5)),'Quantification_Config'!$U$2),""),"")</x:f>
        <x:v>50</x:v>
      </x:c>
      <x:c r="M335" t="n">
        <x:v>1</x:v>
      </x:c>
      <x:c r="N335" t="n">
        <x:v>5</x:v>
      </x:c>
      <x:c r="O335"/>
      <x:c r="P335" t="n">
        <x:f>IF(('Quantification_Results'!M335&lt;&gt;1),"",IF(('Quantification_Results'!O335=""),IF(ISNUMBER('Quantification_Results'!N335),IF(('Quantification_Results'!N335&lt;'Quantification_Config'!$S$9),"",IF(('Quantification_Results'!N335&gt;'Quantification_Config'!$T$9),"",'Quantification_Results'!N335)),""),IF(ISNUMBER('Quantification_Results'!O335),IF(('Quantification_Results'!O335&lt;'Quantification_Config'!$S$9),"",IF(('Quantification_Results'!O335&gt;'Quantification_Config'!$T$9),"",'Quantification_Results'!O335)),"")))</x:f>
        <x:v>5</x:v>
      </x:c>
      <x:c r="Q335" t="n">
        <x:f>IF(ISNUMBER('Quantification_Results'!P335),IFERROR(ROUND(((('Quantification_Results'!P335-'Quantification_Config'!$S$9)/('Quantification_Config'!$T$9-'Quantification_Config'!$S$9))*100),'Quantification_Config'!$U$2),""),"")</x:f>
        <x:v>50</x:v>
      </x:c>
      <x:c r="R335" t="inlineStr">
        <x:is>
          <x:t xml:space="preserve">SYSTEM-TEST-ONLY-NO-NETWORK-NOT-AN-EDUCATIONAL-EVALUATION</x:t>
        </x:is>
      </x:c>
      <x:c r="S335" t="inlineStr">
        <x:is>
          <x:t xml:space="preserve"/>
        </x:is>
      </x:c>
      <x:c r="T335" t="inlineStr">
        <x:is>
          <x:t xml:space="preserve">NONE</x:t>
        </x:is>
      </x:c>
      <x:c r="U335" t="inlineStr">
        <x:is>
          <x:t xml:space="preserve"/>
        </x:is>
      </x:c>
      <x:c r="V335" t="inlineStr">
        <x:is>
          <x:t xml:space="preserve">SUCCESS</x:t>
        </x:is>
      </x:c>
      <x:c r="W335" t="n">
        <x:f>IF((COUNT('Quantification_Results'!Q335)=1),IFERROR(ROUND((SUM(('Quantification_Results'!Q335*'Quantification_Config'!$R$9))/SUM('Quantification_Config'!$R$9)),'Quantification_Config'!$U$2),""),"")</x:f>
        <x:v>50</x:v>
      </x:c>
      <x:c r="X335" t="n">
        <x:f>IF((COUNT('Quantification_Results'!W335)=1),IFERROR(ROUND((SUM(('Quantification_Results'!W335*'Quantification_Config'!$R$8))/SUM('Quantification_Config'!$R$8)),'Quantification_Config'!$U$2),""),"")</x:f>
        <x:v>50</x:v>
      </x:c>
      <x:c r="Y335" t="n">
        <x:v>1</x:v>
      </x:c>
      <x:c r="Z335" t="n">
        <x:v>5</x:v>
      </x:c>
      <x:c r="AA335"/>
      <x:c r="AB335" t="n">
        <x:f>IF(('Quantification_Results'!Y335&lt;&gt;1),"",IF(('Quantification_Results'!AA335=""),IF(ISNUMBER('Quantification_Results'!Z335),IF(('Quantification_Results'!Z335&lt;'Quantification_Config'!$S$12),"",IF(('Quantification_Results'!Z335&gt;'Quantification_Config'!$T$12),"",'Quantification_Results'!Z335)),""),IF(ISNUMBER('Quantification_Results'!AA335),IF(('Quantification_Results'!AA335&lt;'Quantification_Config'!$S$12),"",IF(('Quantification_Results'!AA335&gt;'Quantification_Config'!$T$12),"",'Quantification_Results'!AA335)),"")))</x:f>
        <x:v>5</x:v>
      </x:c>
      <x:c r="AC335" t="n">
        <x:f>IF(ISNUMBER('Quantification_Results'!AB335),IFERROR(ROUND(((('Quantification_Results'!AB335-'Quantification_Config'!$S$12)/('Quantification_Config'!$T$12-'Quantification_Config'!$S$12))*100),'Quantification_Config'!$U$2),""),"")</x:f>
        <x:v>50</x:v>
      </x:c>
      <x:c r="AD335" t="inlineStr">
        <x:is>
          <x:t xml:space="preserve">SYSTEM-TEST-ONLY-NO-NETWORK-NOT-AN-EDUCATIONAL-EVALUATION</x:t>
        </x:is>
      </x:c>
      <x:c r="AE335" t="inlineStr">
        <x:is>
          <x:t xml:space="preserve"/>
        </x:is>
      </x:c>
      <x:c r="AF335" t="inlineStr">
        <x:is>
          <x:t xml:space="preserve">NONE</x:t>
        </x:is>
      </x:c>
      <x:c r="AG335" t="inlineStr">
        <x:is>
          <x:t xml:space="preserve"/>
        </x:is>
      </x:c>
      <x:c r="AH335" t="inlineStr">
        <x:is>
          <x:t xml:space="preserve">SUCCESS</x:t>
        </x:is>
      </x:c>
      <x:c r="AI335" t="n">
        <x:f>IF((COUNT('Quantification_Results'!AC335)=1),IFERROR(ROUND((SUM(('Quantification_Results'!AC335*'Quantification_Config'!$R$12))/SUM('Quantification_Config'!$R$12)),'Quantification_Config'!$U$2),""),"")</x:f>
        <x:v>50</x:v>
      </x:c>
      <x:c r="AJ335" t="n">
        <x:f>IF((COUNT('Quantification_Results'!AI335)=1),IFERROR(ROUND((SUM(('Quantification_Results'!AI335*'Quantification_Config'!$R$11))/SUM('Quantification_Config'!$R$11)),'Quantification_Config'!$U$2),""),"")</x:f>
        <x:v>50</x:v>
      </x:c>
      <x:c r="AK335" t="n">
        <x:v>1</x:v>
      </x:c>
      <x:c r="AL335" t="n">
        <x:v>5</x:v>
      </x:c>
      <x:c r="AM335"/>
      <x:c r="AN335" t="n">
        <x:f>IF(('Quantification_Results'!AK335&lt;&gt;1),"",IF(('Quantification_Results'!AM335=""),IF(ISNUMBER('Quantification_Results'!AL335),IF(('Quantification_Results'!AL335&lt;'Quantification_Config'!$S$15),"",IF(('Quantification_Results'!AL335&gt;'Quantification_Config'!$T$15),"",'Quantification_Results'!AL335)),""),IF(ISNUMBER('Quantification_Results'!AM335),IF(('Quantification_Results'!AM335&lt;'Quantification_Config'!$S$15),"",IF(('Quantification_Results'!AM335&gt;'Quantification_Config'!$T$15),"",'Quantification_Results'!AM335)),"")))</x:f>
        <x:v>5</x:v>
      </x:c>
      <x:c r="AO335" t="n">
        <x:f>IF(ISNUMBER('Quantification_Results'!AN335),IFERROR(ROUND(((('Quantification_Results'!AN335-'Quantification_Config'!$S$15)/('Quantification_Config'!$T$15-'Quantification_Config'!$S$15))*100),'Quantification_Config'!$U$2),""),"")</x:f>
        <x:v>50</x:v>
      </x:c>
      <x:c r="AP335" t="inlineStr">
        <x:is>
          <x:t xml:space="preserve">SYSTEM-TEST-ONLY-NO-NETWORK-NOT-AN-EDUCATIONAL-EVALUATION</x:t>
        </x:is>
      </x:c>
      <x:c r="AQ335" t="inlineStr">
        <x:is>
          <x:t xml:space="preserve"/>
        </x:is>
      </x:c>
      <x:c r="AR335" t="inlineStr">
        <x:is>
          <x:t xml:space="preserve">NONE</x:t>
        </x:is>
      </x:c>
      <x:c r="AS335" t="inlineStr">
        <x:is>
          <x:t xml:space="preserve"/>
        </x:is>
      </x:c>
      <x:c r="AT335" t="inlineStr">
        <x:is>
          <x:t xml:space="preserve">SUCCESS</x:t>
        </x:is>
      </x:c>
      <x:c r="AU335" t="n">
        <x:f>IF((COUNT('Quantification_Results'!AO335)=1),IFERROR(ROUND((SUM(('Quantification_Results'!AO335*'Quantification_Config'!$R$15))/SUM('Quantification_Config'!$R$15)),'Quantification_Config'!$U$2),""),"")</x:f>
        <x:v>50</x:v>
      </x:c>
      <x:c r="AV335" t="n">
        <x:f>IF((COUNT('Quantification_Results'!AU335)=1),IFERROR(ROUND((SUM(('Quantification_Results'!AU335*'Quantification_Config'!$R$14))/SUM('Quantification_Config'!$R$14)),'Quantification_Config'!$U$2),""),"")</x:f>
        <x:v>50</x:v>
      </x:c>
      <x:c r="AW335" t="n">
        <x:v>0</x:v>
      </x:c>
      <x:c r="AX335"/>
      <x:c r="AY335"/>
      <x:c r="AZ335">
        <x:f>IF(('Quantification_Results'!AW335&lt;&gt;1),"",IF(('Quantification_Results'!AY335=""),IF(ISNUMBER('Quantification_Results'!AX335),IF(('Quantification_Results'!AX335&lt;'Quantification_Config'!$S$19),"",IF(('Quantification_Results'!AX335&gt;'Quantification_Config'!$T$19),"",'Quantification_Results'!AX335)),""),IF(ISNUMBER('Quantification_Results'!AY335),IF(('Quantification_Results'!AY335&lt;'Quantification_Config'!$S$19),"",IF(('Quantification_Results'!AY335&gt;'Quantification_Config'!$T$19),"",'Quantification_Results'!AY335)),"")))</x:f>
      </x:c>
      <x:c r="BA335">
        <x:f>IF(ISNUMBER('Quantification_Results'!AZ335),IFERROR(ROUND(((('Quantification_Results'!AZ335-'Quantification_Config'!$S$19)/('Quantification_Config'!$T$19-'Quantification_Config'!$S$19))*100),'Quantification_Config'!$U$2),""),"")</x:f>
      </x:c>
      <x:c r="BB335" t="inlineStr">
        <x:is>
          <x:t xml:space="preserve"/>
        </x:is>
      </x:c>
      <x:c r="BC335" t="inlineStr">
        <x:is>
          <x:t xml:space="preserve"/>
        </x:is>
      </x:c>
      <x:c r="BD335" t="inlineStr">
        <x:is>
          <x:t xml:space="preserve"/>
        </x:is>
      </x:c>
      <x:c r="BE335" t="inlineStr">
        <x:is>
          <x:t xml:space="preserve"/>
        </x:is>
      </x:c>
      <x:c r="BF335" t="inlineStr">
        <x:is>
          <x:t xml:space="preserve">EMPTY</x:t>
        </x:is>
      </x:c>
      <x:c r="BG335">
        <x:f>IF((COUNT('Quantification_Results'!BA335)=1),IFERROR(ROUND((SUM(('Quantification_Results'!BA335*'Quantification_Config'!$R$19))/SUM('Quantification_Config'!$R$19)),'Quantification_Config'!$U$2),""),"")</x:f>
      </x:c>
      <x:c r="BH335">
        <x:f>IF((COUNT('Quantification_Results'!BG335)=1),IFERROR(ROUND((SUM(('Quantification_Results'!BG335*'Quantification_Config'!$R$18))/SUM('Quantification_Config'!$R$18)),'Quantification_Config'!$U$2),""),"")</x:f>
      </x:c>
      <x:c r="BI335">
        <x:f>IF((COUNT('Quantification_Results'!L335,'Quantification_Results'!X335,'Quantification_Results'!AJ335,'Quantification_Results'!AV335,'Quantification_Results'!BH335)=5),IFERROR(ROUND((SUM(('Quantification_Results'!L335*'Quantification_Config'!$R$4),('Quantification_Results'!X335*'Quantification_Config'!$R$7),('Quantification_Results'!AJ335*'Quantification_Config'!$R$10),('Quantification_Results'!AV335*'Quantification_Config'!$R$13),('Quantification_Results'!BH335*'Quantification_Config'!$R$16))/SUM('Quantification_Config'!$R$4,'Quantification_Config'!$R$7,'Quantification_Config'!$R$10,'Quantification_Config'!$R$13,'Quantification_Config'!$R$16)),'Quantification_Config'!$U$2),""),"")</x:f>
      </x:c>
    </x:row>
    <x:row r="336">
      <x:c r="A336" t="n">
        <x:v>1</x:v>
      </x:c>
      <x:c r="B336" t="n">
        <x:v>5</x:v>
      </x:c>
      <x:c r="C336"/>
      <x:c r="D336" t="n">
        <x:f>IF(('Quantification_Results'!A336&lt;&gt;1),"",IF(('Quantification_Results'!C336=""),IF(ISNUMBER('Quantification_Results'!B336),IF(('Quantification_Results'!B336&lt;'Quantification_Config'!$S$6),"",IF(('Quantification_Results'!B336&gt;'Quantification_Config'!$T$6),"",'Quantification_Results'!B336)),""),IF(ISNUMBER('Quantification_Results'!C336),IF(('Quantification_Results'!C336&lt;'Quantification_Config'!$S$6),"",IF(('Quantification_Results'!C336&gt;'Quantification_Config'!$T$6),"",'Quantification_Results'!C336)),"")))</x:f>
        <x:v>5</x:v>
      </x:c>
      <x:c r="E336" t="n">
        <x:f>IF(ISNUMBER('Quantification_Results'!D336),IFERROR(ROUND(((('Quantification_Results'!D336-'Quantification_Config'!$S$6)/('Quantification_Config'!$T$6-'Quantification_Config'!$S$6))*100),'Quantification_Config'!$U$2),""),"")</x:f>
        <x:v>50</x:v>
      </x:c>
      <x:c r="F336" t="inlineStr">
        <x:is>
          <x:t xml:space="preserve">SYSTEM-TEST-ONLY-NO-NETWORK-NOT-AN-EDUCATIONAL-EVALUATION</x:t>
        </x:is>
      </x:c>
      <x:c r="G336" t="inlineStr">
        <x:is>
          <x:t xml:space="preserve"/>
        </x:is>
      </x:c>
      <x:c r="H336" t="inlineStr">
        <x:is>
          <x:t xml:space="preserve">NONE</x:t>
        </x:is>
      </x:c>
      <x:c r="I336" t="inlineStr">
        <x:is>
          <x:t xml:space="preserve"/>
        </x:is>
      </x:c>
      <x:c r="J336" t="inlineStr">
        <x:is>
          <x:t xml:space="preserve">SUCCESS</x:t>
        </x:is>
      </x:c>
      <x:c r="K336" t="n">
        <x:f>IF((COUNT('Quantification_Results'!E336)=1),IFERROR(ROUND((SUM(('Quantification_Results'!E336*'Quantification_Config'!$R$6))/SUM('Quantification_Config'!$R$6)),'Quantification_Config'!$U$2),""),"")</x:f>
        <x:v>50</x:v>
      </x:c>
      <x:c r="L336" t="n">
        <x:f>IF((COUNT('Quantification_Results'!K336)=1),IFERROR(ROUND((SUM(('Quantification_Results'!K336*'Quantification_Config'!$R$5))/SUM('Quantification_Config'!$R$5)),'Quantification_Config'!$U$2),""),"")</x:f>
        <x:v>50</x:v>
      </x:c>
      <x:c r="M336" t="n">
        <x:v>1</x:v>
      </x:c>
      <x:c r="N336" t="n">
        <x:v>5</x:v>
      </x:c>
      <x:c r="O336"/>
      <x:c r="P336" t="n">
        <x:f>IF(('Quantification_Results'!M336&lt;&gt;1),"",IF(('Quantification_Results'!O336=""),IF(ISNUMBER('Quantification_Results'!N336),IF(('Quantification_Results'!N336&lt;'Quantification_Config'!$S$9),"",IF(('Quantification_Results'!N336&gt;'Quantification_Config'!$T$9),"",'Quantification_Results'!N336)),""),IF(ISNUMBER('Quantification_Results'!O336),IF(('Quantification_Results'!O336&lt;'Quantification_Config'!$S$9),"",IF(('Quantification_Results'!O336&gt;'Quantification_Config'!$T$9),"",'Quantification_Results'!O336)),"")))</x:f>
        <x:v>5</x:v>
      </x:c>
      <x:c r="Q336" t="n">
        <x:f>IF(ISNUMBER('Quantification_Results'!P336),IFERROR(ROUND(((('Quantification_Results'!P336-'Quantification_Config'!$S$9)/('Quantification_Config'!$T$9-'Quantification_Config'!$S$9))*100),'Quantification_Config'!$U$2),""),"")</x:f>
        <x:v>50</x:v>
      </x:c>
      <x:c r="R336" t="inlineStr">
        <x:is>
          <x:t xml:space="preserve">SYSTEM-TEST-ONLY-NO-NETWORK-NOT-AN-EDUCATIONAL-EVALUATION</x:t>
        </x:is>
      </x:c>
      <x:c r="S336" t="inlineStr">
        <x:is>
          <x:t xml:space="preserve"/>
        </x:is>
      </x:c>
      <x:c r="T336" t="inlineStr">
        <x:is>
          <x:t xml:space="preserve">NONE</x:t>
        </x:is>
      </x:c>
      <x:c r="U336" t="inlineStr">
        <x:is>
          <x:t xml:space="preserve"/>
        </x:is>
      </x:c>
      <x:c r="V336" t="inlineStr">
        <x:is>
          <x:t xml:space="preserve">SUCCESS</x:t>
        </x:is>
      </x:c>
      <x:c r="W336" t="n">
        <x:f>IF((COUNT('Quantification_Results'!Q336)=1),IFERROR(ROUND((SUM(('Quantification_Results'!Q336*'Quantification_Config'!$R$9))/SUM('Quantification_Config'!$R$9)),'Quantification_Config'!$U$2),""),"")</x:f>
        <x:v>50</x:v>
      </x:c>
      <x:c r="X336" t="n">
        <x:f>IF((COUNT('Quantification_Results'!W336)=1),IFERROR(ROUND((SUM(('Quantification_Results'!W336*'Quantification_Config'!$R$8))/SUM('Quantification_Config'!$R$8)),'Quantification_Config'!$U$2),""),"")</x:f>
        <x:v>50</x:v>
      </x:c>
      <x:c r="Y336" t="n">
        <x:v>1</x:v>
      </x:c>
      <x:c r="Z336" t="n">
        <x:v>5</x:v>
      </x:c>
      <x:c r="AA336"/>
      <x:c r="AB336" t="n">
        <x:f>IF(('Quantification_Results'!Y336&lt;&gt;1),"",IF(('Quantification_Results'!AA336=""),IF(ISNUMBER('Quantification_Results'!Z336),IF(('Quantification_Results'!Z336&lt;'Quantification_Config'!$S$12),"",IF(('Quantification_Results'!Z336&gt;'Quantification_Config'!$T$12),"",'Quantification_Results'!Z336)),""),IF(ISNUMBER('Quantification_Results'!AA336),IF(('Quantification_Results'!AA336&lt;'Quantification_Config'!$S$12),"",IF(('Quantification_Results'!AA336&gt;'Quantification_Config'!$T$12),"",'Quantification_Results'!AA336)),"")))</x:f>
        <x:v>5</x:v>
      </x:c>
      <x:c r="AC336" t="n">
        <x:f>IF(ISNUMBER('Quantification_Results'!AB336),IFERROR(ROUND(((('Quantification_Results'!AB336-'Quantification_Config'!$S$12)/('Quantification_Config'!$T$12-'Quantification_Config'!$S$12))*100),'Quantification_Config'!$U$2),""),"")</x:f>
        <x:v>50</x:v>
      </x:c>
      <x:c r="AD336" t="inlineStr">
        <x:is>
          <x:t xml:space="preserve">SYSTEM-TEST-ONLY-NO-NETWORK-NOT-AN-EDUCATIONAL-EVALUATION</x:t>
        </x:is>
      </x:c>
      <x:c r="AE336" t="inlineStr">
        <x:is>
          <x:t xml:space="preserve"/>
        </x:is>
      </x:c>
      <x:c r="AF336" t="inlineStr">
        <x:is>
          <x:t xml:space="preserve">NONE</x:t>
        </x:is>
      </x:c>
      <x:c r="AG336" t="inlineStr">
        <x:is>
          <x:t xml:space="preserve"/>
        </x:is>
      </x:c>
      <x:c r="AH336" t="inlineStr">
        <x:is>
          <x:t xml:space="preserve">SUCCESS</x:t>
        </x:is>
      </x:c>
      <x:c r="AI336" t="n">
        <x:f>IF((COUNT('Quantification_Results'!AC336)=1),IFERROR(ROUND((SUM(('Quantification_Results'!AC336*'Quantification_Config'!$R$12))/SUM('Quantification_Config'!$R$12)),'Quantification_Config'!$U$2),""),"")</x:f>
        <x:v>50</x:v>
      </x:c>
      <x:c r="AJ336" t="n">
        <x:f>IF((COUNT('Quantification_Results'!AI336)=1),IFERROR(ROUND((SUM(('Quantification_Results'!AI336*'Quantification_Config'!$R$11))/SUM('Quantification_Config'!$R$11)),'Quantification_Config'!$U$2),""),"")</x:f>
        <x:v>50</x:v>
      </x:c>
      <x:c r="AK336" t="n">
        <x:v>1</x:v>
      </x:c>
      <x:c r="AL336" t="n">
        <x:v>5</x:v>
      </x:c>
      <x:c r="AM336"/>
      <x:c r="AN336" t="n">
        <x:f>IF(('Quantification_Results'!AK336&lt;&gt;1),"",IF(('Quantification_Results'!AM336=""),IF(ISNUMBER('Quantification_Results'!AL336),IF(('Quantification_Results'!AL336&lt;'Quantification_Config'!$S$15),"",IF(('Quantification_Results'!AL336&gt;'Quantification_Config'!$T$15),"",'Quantification_Results'!AL336)),""),IF(ISNUMBER('Quantification_Results'!AM336),IF(('Quantification_Results'!AM336&lt;'Quantification_Config'!$S$15),"",IF(('Quantification_Results'!AM336&gt;'Quantification_Config'!$T$15),"",'Quantification_Results'!AM336)),"")))</x:f>
        <x:v>5</x:v>
      </x:c>
      <x:c r="AO336" t="n">
        <x:f>IF(ISNUMBER('Quantification_Results'!AN336),IFERROR(ROUND(((('Quantification_Results'!AN336-'Quantification_Config'!$S$15)/('Quantification_Config'!$T$15-'Quantification_Config'!$S$15))*100),'Quantification_Config'!$U$2),""),"")</x:f>
        <x:v>50</x:v>
      </x:c>
      <x:c r="AP336" t="inlineStr">
        <x:is>
          <x:t xml:space="preserve">SYSTEM-TEST-ONLY-NO-NETWORK-NOT-AN-EDUCATIONAL-EVALUATION</x:t>
        </x:is>
      </x:c>
      <x:c r="AQ336" t="inlineStr">
        <x:is>
          <x:t xml:space="preserve"/>
        </x:is>
      </x:c>
      <x:c r="AR336" t="inlineStr">
        <x:is>
          <x:t xml:space="preserve">NONE</x:t>
        </x:is>
      </x:c>
      <x:c r="AS336" t="inlineStr">
        <x:is>
          <x:t xml:space="preserve"/>
        </x:is>
      </x:c>
      <x:c r="AT336" t="inlineStr">
        <x:is>
          <x:t xml:space="preserve">SUCCESS</x:t>
        </x:is>
      </x:c>
      <x:c r="AU336" t="n">
        <x:f>IF((COUNT('Quantification_Results'!AO336)=1),IFERROR(ROUND((SUM(('Quantification_Results'!AO336*'Quantification_Config'!$R$15))/SUM('Quantification_Config'!$R$15)),'Quantification_Config'!$U$2),""),"")</x:f>
        <x:v>50</x:v>
      </x:c>
      <x:c r="AV336" t="n">
        <x:f>IF((COUNT('Quantification_Results'!AU336)=1),IFERROR(ROUND((SUM(('Quantification_Results'!AU336*'Quantification_Config'!$R$14))/SUM('Quantification_Config'!$R$14)),'Quantification_Config'!$U$2),""),"")</x:f>
        <x:v>50</x:v>
      </x:c>
      <x:c r="AW336" t="n">
        <x:v>0</x:v>
      </x:c>
      <x:c r="AX336"/>
      <x:c r="AY336"/>
      <x:c r="AZ336">
        <x:f>IF(('Quantification_Results'!AW336&lt;&gt;1),"",IF(('Quantification_Results'!AY336=""),IF(ISNUMBER('Quantification_Results'!AX336),IF(('Quantification_Results'!AX336&lt;'Quantification_Config'!$S$19),"",IF(('Quantification_Results'!AX336&gt;'Quantification_Config'!$T$19),"",'Quantification_Results'!AX336)),""),IF(ISNUMBER('Quantification_Results'!AY336),IF(('Quantification_Results'!AY336&lt;'Quantification_Config'!$S$19),"",IF(('Quantification_Results'!AY336&gt;'Quantification_Config'!$T$19),"",'Quantification_Results'!AY336)),"")))</x:f>
      </x:c>
      <x:c r="BA336">
        <x:f>IF(ISNUMBER('Quantification_Results'!AZ336),IFERROR(ROUND(((('Quantification_Results'!AZ336-'Quantification_Config'!$S$19)/('Quantification_Config'!$T$19-'Quantification_Config'!$S$19))*100),'Quantification_Config'!$U$2),""),"")</x:f>
      </x:c>
      <x:c r="BB336" t="inlineStr">
        <x:is>
          <x:t xml:space="preserve"/>
        </x:is>
      </x:c>
      <x:c r="BC336" t="inlineStr">
        <x:is>
          <x:t xml:space="preserve"/>
        </x:is>
      </x:c>
      <x:c r="BD336" t="inlineStr">
        <x:is>
          <x:t xml:space="preserve"/>
        </x:is>
      </x:c>
      <x:c r="BE336" t="inlineStr">
        <x:is>
          <x:t xml:space="preserve"/>
        </x:is>
      </x:c>
      <x:c r="BF336" t="inlineStr">
        <x:is>
          <x:t xml:space="preserve">EMPTY</x:t>
        </x:is>
      </x:c>
      <x:c r="BG336">
        <x:f>IF((COUNT('Quantification_Results'!BA336)=1),IFERROR(ROUND((SUM(('Quantification_Results'!BA336*'Quantification_Config'!$R$19))/SUM('Quantification_Config'!$R$19)),'Quantification_Config'!$U$2),""),"")</x:f>
      </x:c>
      <x:c r="BH336">
        <x:f>IF((COUNT('Quantification_Results'!BG336)=1),IFERROR(ROUND((SUM(('Quantification_Results'!BG336*'Quantification_Config'!$R$18))/SUM('Quantification_Config'!$R$18)),'Quantification_Config'!$U$2),""),"")</x:f>
      </x:c>
      <x:c r="BI336">
        <x:f>IF((COUNT('Quantification_Results'!L336,'Quantification_Results'!X336,'Quantification_Results'!AJ336,'Quantification_Results'!AV336,'Quantification_Results'!BH336)=5),IFERROR(ROUND((SUM(('Quantification_Results'!L336*'Quantification_Config'!$R$4),('Quantification_Results'!X336*'Quantification_Config'!$R$7),('Quantification_Results'!AJ336*'Quantification_Config'!$R$10),('Quantification_Results'!AV336*'Quantification_Config'!$R$13),('Quantification_Results'!BH336*'Quantification_Config'!$R$16))/SUM('Quantification_Config'!$R$4,'Quantification_Config'!$R$7,'Quantification_Config'!$R$10,'Quantification_Config'!$R$13,'Quantification_Config'!$R$16)),'Quantification_Config'!$U$2),""),"")</x:f>
      </x:c>
    </x:row>
    <x:row r="337">
      <x:c r="A337" t="n">
        <x:v>1</x:v>
      </x:c>
      <x:c r="B337" t="n">
        <x:v>5</x:v>
      </x:c>
      <x:c r="C337"/>
      <x:c r="D337" t="n">
        <x:f>IF(('Quantification_Results'!A337&lt;&gt;1),"",IF(('Quantification_Results'!C337=""),IF(ISNUMBER('Quantification_Results'!B337),IF(('Quantification_Results'!B337&lt;'Quantification_Config'!$S$6),"",IF(('Quantification_Results'!B337&gt;'Quantification_Config'!$T$6),"",'Quantification_Results'!B337)),""),IF(ISNUMBER('Quantification_Results'!C337),IF(('Quantification_Results'!C337&lt;'Quantification_Config'!$S$6),"",IF(('Quantification_Results'!C337&gt;'Quantification_Config'!$T$6),"",'Quantification_Results'!C337)),"")))</x:f>
        <x:v>5</x:v>
      </x:c>
      <x:c r="E337" t="n">
        <x:f>IF(ISNUMBER('Quantification_Results'!D337),IFERROR(ROUND(((('Quantification_Results'!D337-'Quantification_Config'!$S$6)/('Quantification_Config'!$T$6-'Quantification_Config'!$S$6))*100),'Quantification_Config'!$U$2),""),"")</x:f>
        <x:v>50</x:v>
      </x:c>
      <x:c r="F337" t="inlineStr">
        <x:is>
          <x:t xml:space="preserve">SYSTEM-TEST-ONLY-NO-NETWORK-NOT-AN-EDUCATIONAL-EVALUATION</x:t>
        </x:is>
      </x:c>
      <x:c r="G337" t="inlineStr">
        <x:is>
          <x:t xml:space="preserve"/>
        </x:is>
      </x:c>
      <x:c r="H337" t="inlineStr">
        <x:is>
          <x:t xml:space="preserve">NONE</x:t>
        </x:is>
      </x:c>
      <x:c r="I337" t="inlineStr">
        <x:is>
          <x:t xml:space="preserve"/>
        </x:is>
      </x:c>
      <x:c r="J337" t="inlineStr">
        <x:is>
          <x:t xml:space="preserve">SUCCESS</x:t>
        </x:is>
      </x:c>
      <x:c r="K337" t="n">
        <x:f>IF((COUNT('Quantification_Results'!E337)=1),IFERROR(ROUND((SUM(('Quantification_Results'!E337*'Quantification_Config'!$R$6))/SUM('Quantification_Config'!$R$6)),'Quantification_Config'!$U$2),""),"")</x:f>
        <x:v>50</x:v>
      </x:c>
      <x:c r="L337" t="n">
        <x:f>IF((COUNT('Quantification_Results'!K337)=1),IFERROR(ROUND((SUM(('Quantification_Results'!K337*'Quantification_Config'!$R$5))/SUM('Quantification_Config'!$R$5)),'Quantification_Config'!$U$2),""),"")</x:f>
        <x:v>50</x:v>
      </x:c>
      <x:c r="M337" t="n">
        <x:v>1</x:v>
      </x:c>
      <x:c r="N337" t="n">
        <x:v>5</x:v>
      </x:c>
      <x:c r="O337"/>
      <x:c r="P337" t="n">
        <x:f>IF(('Quantification_Results'!M337&lt;&gt;1),"",IF(('Quantification_Results'!O337=""),IF(ISNUMBER('Quantification_Results'!N337),IF(('Quantification_Results'!N337&lt;'Quantification_Config'!$S$9),"",IF(('Quantification_Results'!N337&gt;'Quantification_Config'!$T$9),"",'Quantification_Results'!N337)),""),IF(ISNUMBER('Quantification_Results'!O337),IF(('Quantification_Results'!O337&lt;'Quantification_Config'!$S$9),"",IF(('Quantification_Results'!O337&gt;'Quantification_Config'!$T$9),"",'Quantification_Results'!O337)),"")))</x:f>
        <x:v>5</x:v>
      </x:c>
      <x:c r="Q337" t="n">
        <x:f>IF(ISNUMBER('Quantification_Results'!P337),IFERROR(ROUND(((('Quantification_Results'!P337-'Quantification_Config'!$S$9)/('Quantification_Config'!$T$9-'Quantification_Config'!$S$9))*100),'Quantification_Config'!$U$2),""),"")</x:f>
        <x:v>50</x:v>
      </x:c>
      <x:c r="R337" t="inlineStr">
        <x:is>
          <x:t xml:space="preserve">SYSTEM-TEST-ONLY-NO-NETWORK-NOT-AN-EDUCATIONAL-EVALUATION</x:t>
        </x:is>
      </x:c>
      <x:c r="S337" t="inlineStr">
        <x:is>
          <x:t xml:space="preserve"/>
        </x:is>
      </x:c>
      <x:c r="T337" t="inlineStr">
        <x:is>
          <x:t xml:space="preserve">NONE</x:t>
        </x:is>
      </x:c>
      <x:c r="U337" t="inlineStr">
        <x:is>
          <x:t xml:space="preserve"/>
        </x:is>
      </x:c>
      <x:c r="V337" t="inlineStr">
        <x:is>
          <x:t xml:space="preserve">SUCCESS</x:t>
        </x:is>
      </x:c>
      <x:c r="W337" t="n">
        <x:f>IF((COUNT('Quantification_Results'!Q337)=1),IFERROR(ROUND((SUM(('Quantification_Results'!Q337*'Quantification_Config'!$R$9))/SUM('Quantification_Config'!$R$9)),'Quantification_Config'!$U$2),""),"")</x:f>
        <x:v>50</x:v>
      </x:c>
      <x:c r="X337" t="n">
        <x:f>IF((COUNT('Quantification_Results'!W337)=1),IFERROR(ROUND((SUM(('Quantification_Results'!W337*'Quantification_Config'!$R$8))/SUM('Quantification_Config'!$R$8)),'Quantification_Config'!$U$2),""),"")</x:f>
        <x:v>50</x:v>
      </x:c>
      <x:c r="Y337" t="n">
        <x:v>0</x:v>
      </x:c>
      <x:c r="Z337"/>
      <x:c r="AA337"/>
      <x:c r="AB337">
        <x:f>IF(('Quantification_Results'!Y337&lt;&gt;1),"",IF(('Quantification_Results'!AA337=""),IF(ISNUMBER('Quantification_Results'!Z337),IF(('Quantification_Results'!Z337&lt;'Quantification_Config'!$S$12),"",IF(('Quantification_Results'!Z337&gt;'Quantification_Config'!$T$12),"",'Quantification_Results'!Z337)),""),IF(ISNUMBER('Quantification_Results'!AA337),IF(('Quantification_Results'!AA337&lt;'Quantification_Config'!$S$12),"",IF(('Quantification_Results'!AA337&gt;'Quantification_Config'!$T$12),"",'Quantification_Results'!AA337)),"")))</x:f>
      </x:c>
      <x:c r="AC337">
        <x:f>IF(ISNUMBER('Quantification_Results'!AB337),IFERROR(ROUND(((('Quantification_Results'!AB337-'Quantification_Config'!$S$12)/('Quantification_Config'!$T$12-'Quantification_Config'!$S$12))*100),'Quantification_Config'!$U$2),""),"")</x:f>
      </x:c>
      <x:c r="AD337" t="inlineStr">
        <x:is>
          <x:t xml:space="preserve"/>
        </x:is>
      </x:c>
      <x:c r="AE337" t="inlineStr">
        <x:is>
          <x:t xml:space="preserve"/>
        </x:is>
      </x:c>
      <x:c r="AF337" t="inlineStr">
        <x:is>
          <x:t xml:space="preserve"/>
        </x:is>
      </x:c>
      <x:c r="AG337" t="inlineStr">
        <x:is>
          <x:t xml:space="preserve"/>
        </x:is>
      </x:c>
      <x:c r="AH337" t="inlineStr">
        <x:is>
          <x:t xml:space="preserve">EMPTY</x:t>
        </x:is>
      </x:c>
      <x:c r="AI337">
        <x:f>IF((COUNT('Quantification_Results'!AC337)=1),IFERROR(ROUND((SUM(('Quantification_Results'!AC337*'Quantification_Config'!$R$12))/SUM('Quantification_Config'!$R$12)),'Quantification_Config'!$U$2),""),"")</x:f>
      </x:c>
      <x:c r="AJ337">
        <x:f>IF((COUNT('Quantification_Results'!AI337)=1),IFERROR(ROUND((SUM(('Quantification_Results'!AI337*'Quantification_Config'!$R$11))/SUM('Quantification_Config'!$R$11)),'Quantification_Config'!$U$2),""),"")</x:f>
      </x:c>
      <x:c r="AK337" t="n">
        <x:v>1</x:v>
      </x:c>
      <x:c r="AL337" t="n">
        <x:v>5</x:v>
      </x:c>
      <x:c r="AM337"/>
      <x:c r="AN337" t="n">
        <x:f>IF(('Quantification_Results'!AK337&lt;&gt;1),"",IF(('Quantification_Results'!AM337=""),IF(ISNUMBER('Quantification_Results'!AL337),IF(('Quantification_Results'!AL337&lt;'Quantification_Config'!$S$15),"",IF(('Quantification_Results'!AL337&gt;'Quantification_Config'!$T$15),"",'Quantification_Results'!AL337)),""),IF(ISNUMBER('Quantification_Results'!AM337),IF(('Quantification_Results'!AM337&lt;'Quantification_Config'!$S$15),"",IF(('Quantification_Results'!AM337&gt;'Quantification_Config'!$T$15),"",'Quantification_Results'!AM337)),"")))</x:f>
        <x:v>5</x:v>
      </x:c>
      <x:c r="AO337" t="n">
        <x:f>IF(ISNUMBER('Quantification_Results'!AN337),IFERROR(ROUND(((('Quantification_Results'!AN337-'Quantification_Config'!$S$15)/('Quantification_Config'!$T$15-'Quantification_Config'!$S$15))*100),'Quantification_Config'!$U$2),""),"")</x:f>
        <x:v>50</x:v>
      </x:c>
      <x:c r="AP337" t="inlineStr">
        <x:is>
          <x:t xml:space="preserve">SYSTEM-TEST-ONLY-NO-NETWORK-NOT-AN-EDUCATIONAL-EVALUATION</x:t>
        </x:is>
      </x:c>
      <x:c r="AQ337" t="inlineStr">
        <x:is>
          <x:t xml:space="preserve"/>
        </x:is>
      </x:c>
      <x:c r="AR337" t="inlineStr">
        <x:is>
          <x:t xml:space="preserve">NONE</x:t>
        </x:is>
      </x:c>
      <x:c r="AS337" t="inlineStr">
        <x:is>
          <x:t xml:space="preserve"/>
        </x:is>
      </x:c>
      <x:c r="AT337" t="inlineStr">
        <x:is>
          <x:t xml:space="preserve">SUCCESS</x:t>
        </x:is>
      </x:c>
      <x:c r="AU337" t="n">
        <x:f>IF((COUNT('Quantification_Results'!AO337)=1),IFERROR(ROUND((SUM(('Quantification_Results'!AO337*'Quantification_Config'!$R$15))/SUM('Quantification_Config'!$R$15)),'Quantification_Config'!$U$2),""),"")</x:f>
        <x:v>50</x:v>
      </x:c>
      <x:c r="AV337" t="n">
        <x:f>IF((COUNT('Quantification_Results'!AU337)=1),IFERROR(ROUND((SUM(('Quantification_Results'!AU337*'Quantification_Config'!$R$14))/SUM('Quantification_Config'!$R$14)),'Quantification_Config'!$U$2),""),"")</x:f>
        <x:v>50</x:v>
      </x:c>
      <x:c r="AW337" t="n">
        <x:v>1</x:v>
      </x:c>
      <x:c r="AX337" t="n">
        <x:v>5</x:v>
      </x:c>
      <x:c r="AY337"/>
      <x:c r="AZ337" t="n">
        <x:f>IF(('Quantification_Results'!AW337&lt;&gt;1),"",IF(('Quantification_Results'!AY337=""),IF(ISNUMBER('Quantification_Results'!AX337),IF(('Quantification_Results'!AX337&lt;'Quantification_Config'!$S$19),"",IF(('Quantification_Results'!AX337&gt;'Quantification_Config'!$T$19),"",'Quantification_Results'!AX337)),""),IF(ISNUMBER('Quantification_Results'!AY337),IF(('Quantification_Results'!AY337&lt;'Quantification_Config'!$S$19),"",IF(('Quantification_Results'!AY337&gt;'Quantification_Config'!$T$19),"",'Quantification_Results'!AY337)),"")))</x:f>
        <x:v>5</x:v>
      </x:c>
      <x:c r="BA337" t="n">
        <x:f>IF(ISNUMBER('Quantification_Results'!AZ337),IFERROR(ROUND(((('Quantification_Results'!AZ337-'Quantification_Config'!$S$19)/('Quantification_Config'!$T$19-'Quantification_Config'!$S$19))*100),'Quantification_Config'!$U$2),""),"")</x:f>
        <x:v>50</x:v>
      </x:c>
      <x:c r="BB337" t="inlineStr">
        <x:is>
          <x:t xml:space="preserve">SYSTEM-TEST-ONLY-NO-NETWORK-NOT-AN-EDUCATIONAL-EVALUATION</x:t>
        </x:is>
      </x:c>
      <x:c r="BC337" t="inlineStr">
        <x:is>
          <x:t xml:space="preserve"/>
        </x:is>
      </x:c>
      <x:c r="BD337" t="inlineStr">
        <x:is>
          <x:t xml:space="preserve">NONE</x:t>
        </x:is>
      </x:c>
      <x:c r="BE337" t="inlineStr">
        <x:is>
          <x:t xml:space="preserve"/>
        </x:is>
      </x:c>
      <x:c r="BF337" t="inlineStr">
        <x:is>
          <x:t xml:space="preserve">SUCCESS</x:t>
        </x:is>
      </x:c>
      <x:c r="BG337" t="n">
        <x:f>IF((COUNT('Quantification_Results'!BA337)=1),IFERROR(ROUND((SUM(('Quantification_Results'!BA337*'Quantification_Config'!$R$19))/SUM('Quantification_Config'!$R$19)),'Quantification_Config'!$U$2),""),"")</x:f>
        <x:v>50</x:v>
      </x:c>
      <x:c r="BH337" t="n">
        <x:f>IF((COUNT('Quantification_Results'!BG337)=1),IFERROR(ROUND((SUM(('Quantification_Results'!BG337*'Quantification_Config'!$R$18))/SUM('Quantification_Config'!$R$18)),'Quantification_Config'!$U$2),""),"")</x:f>
        <x:v>50</x:v>
      </x:c>
      <x:c r="BI337">
        <x:f>IF((COUNT('Quantification_Results'!L337,'Quantification_Results'!X337,'Quantification_Results'!AJ337,'Quantification_Results'!AV337,'Quantification_Results'!BH337)=5),IFERROR(ROUND((SUM(('Quantification_Results'!L337*'Quantification_Config'!$R$4),('Quantification_Results'!X337*'Quantification_Config'!$R$7),('Quantification_Results'!AJ337*'Quantification_Config'!$R$10),('Quantification_Results'!AV337*'Quantification_Config'!$R$13),('Quantification_Results'!BH337*'Quantification_Config'!$R$16))/SUM('Quantification_Config'!$R$4,'Quantification_Config'!$R$7,'Quantification_Config'!$R$10,'Quantification_Config'!$R$13,'Quantification_Config'!$R$16)),'Quantification_Config'!$U$2),""),"")</x:f>
      </x:c>
    </x:row>
    <x:row r="338">
      <x:c r="A338" t="n">
        <x:v>1</x:v>
      </x:c>
      <x:c r="B338" t="n">
        <x:v>5</x:v>
      </x:c>
      <x:c r="C338"/>
      <x:c r="D338" t="n">
        <x:f>IF(('Quantification_Results'!A338&lt;&gt;1),"",IF(('Quantification_Results'!C338=""),IF(ISNUMBER('Quantification_Results'!B338),IF(('Quantification_Results'!B338&lt;'Quantification_Config'!$S$6),"",IF(('Quantification_Results'!B338&gt;'Quantification_Config'!$T$6),"",'Quantification_Results'!B338)),""),IF(ISNUMBER('Quantification_Results'!C338),IF(('Quantification_Results'!C338&lt;'Quantification_Config'!$S$6),"",IF(('Quantification_Results'!C338&gt;'Quantification_Config'!$T$6),"",'Quantification_Results'!C338)),"")))</x:f>
        <x:v>5</x:v>
      </x:c>
      <x:c r="E338" t="n">
        <x:f>IF(ISNUMBER('Quantification_Results'!D338),IFERROR(ROUND(((('Quantification_Results'!D338-'Quantification_Config'!$S$6)/('Quantification_Config'!$T$6-'Quantification_Config'!$S$6))*100),'Quantification_Config'!$U$2),""),"")</x:f>
        <x:v>50</x:v>
      </x:c>
      <x:c r="F338" t="inlineStr">
        <x:is>
          <x:t xml:space="preserve">SYSTEM-TEST-ONLY-NO-NETWORK-NOT-AN-EDUCATIONAL-EVALUATION</x:t>
        </x:is>
      </x:c>
      <x:c r="G338" t="inlineStr">
        <x:is>
          <x:t xml:space="preserve"/>
        </x:is>
      </x:c>
      <x:c r="H338" t="inlineStr">
        <x:is>
          <x:t xml:space="preserve">NONE</x:t>
        </x:is>
      </x:c>
      <x:c r="I338" t="inlineStr">
        <x:is>
          <x:t xml:space="preserve"/>
        </x:is>
      </x:c>
      <x:c r="J338" t="inlineStr">
        <x:is>
          <x:t xml:space="preserve">SUCCESS</x:t>
        </x:is>
      </x:c>
      <x:c r="K338" t="n">
        <x:f>IF((COUNT('Quantification_Results'!E338)=1),IFERROR(ROUND((SUM(('Quantification_Results'!E338*'Quantification_Config'!$R$6))/SUM('Quantification_Config'!$R$6)),'Quantification_Config'!$U$2),""),"")</x:f>
        <x:v>50</x:v>
      </x:c>
      <x:c r="L338" t="n">
        <x:f>IF((COUNT('Quantification_Results'!K338)=1),IFERROR(ROUND((SUM(('Quantification_Results'!K338*'Quantification_Config'!$R$5))/SUM('Quantification_Config'!$R$5)),'Quantification_Config'!$U$2),""),"")</x:f>
        <x:v>50</x:v>
      </x:c>
      <x:c r="M338" t="n">
        <x:v>0</x:v>
      </x:c>
      <x:c r="N338"/>
      <x:c r="O338"/>
      <x:c r="P338">
        <x:f>IF(('Quantification_Results'!M338&lt;&gt;1),"",IF(('Quantification_Results'!O338=""),IF(ISNUMBER('Quantification_Results'!N338),IF(('Quantification_Results'!N338&lt;'Quantification_Config'!$S$9),"",IF(('Quantification_Results'!N338&gt;'Quantification_Config'!$T$9),"",'Quantification_Results'!N338)),""),IF(ISNUMBER('Quantification_Results'!O338),IF(('Quantification_Results'!O338&lt;'Quantification_Config'!$S$9),"",IF(('Quantification_Results'!O338&gt;'Quantification_Config'!$T$9),"",'Quantification_Results'!O338)),"")))</x:f>
      </x:c>
      <x:c r="Q338">
        <x:f>IF(ISNUMBER('Quantification_Results'!P338),IFERROR(ROUND(((('Quantification_Results'!P338-'Quantification_Config'!$S$9)/('Quantification_Config'!$T$9-'Quantification_Config'!$S$9))*100),'Quantification_Config'!$U$2),""),"")</x:f>
      </x:c>
      <x:c r="R338" t="inlineStr">
        <x:is>
          <x:t xml:space="preserve"/>
        </x:is>
      </x:c>
      <x:c r="S338" t="inlineStr">
        <x:is>
          <x:t xml:space="preserve"/>
        </x:is>
      </x:c>
      <x:c r="T338" t="inlineStr">
        <x:is>
          <x:t xml:space="preserve"/>
        </x:is>
      </x:c>
      <x:c r="U338" t="inlineStr">
        <x:is>
          <x:t xml:space="preserve"/>
        </x:is>
      </x:c>
      <x:c r="V338" t="inlineStr">
        <x:is>
          <x:t xml:space="preserve">EMPTY</x:t>
        </x:is>
      </x:c>
      <x:c r="W338">
        <x:f>IF((COUNT('Quantification_Results'!Q338)=1),IFERROR(ROUND((SUM(('Quantification_Results'!Q338*'Quantification_Config'!$R$9))/SUM('Quantification_Config'!$R$9)),'Quantification_Config'!$U$2),""),"")</x:f>
      </x:c>
      <x:c r="X338">
        <x:f>IF((COUNT('Quantification_Results'!W338)=1),IFERROR(ROUND((SUM(('Quantification_Results'!W338*'Quantification_Config'!$R$8))/SUM('Quantification_Config'!$R$8)),'Quantification_Config'!$U$2),""),"")</x:f>
      </x:c>
      <x:c r="Y338" t="n">
        <x:v>0</x:v>
      </x:c>
      <x:c r="Z338"/>
      <x:c r="AA338"/>
      <x:c r="AB338">
        <x:f>IF(('Quantification_Results'!Y338&lt;&gt;1),"",IF(('Quantification_Results'!AA338=""),IF(ISNUMBER('Quantification_Results'!Z338),IF(('Quantification_Results'!Z338&lt;'Quantification_Config'!$S$12),"",IF(('Quantification_Results'!Z338&gt;'Quantification_Config'!$T$12),"",'Quantification_Results'!Z338)),""),IF(ISNUMBER('Quantification_Results'!AA338),IF(('Quantification_Results'!AA338&lt;'Quantification_Config'!$S$12),"",IF(('Quantification_Results'!AA338&gt;'Quantification_Config'!$T$12),"",'Quantification_Results'!AA338)),"")))</x:f>
      </x:c>
      <x:c r="AC338">
        <x:f>IF(ISNUMBER('Quantification_Results'!AB338),IFERROR(ROUND(((('Quantification_Results'!AB338-'Quantification_Config'!$S$12)/('Quantification_Config'!$T$12-'Quantification_Config'!$S$12))*100),'Quantification_Config'!$U$2),""),"")</x:f>
      </x:c>
      <x:c r="AD338" t="inlineStr">
        <x:is>
          <x:t xml:space="preserve"/>
        </x:is>
      </x:c>
      <x:c r="AE338" t="inlineStr">
        <x:is>
          <x:t xml:space="preserve"/>
        </x:is>
      </x:c>
      <x:c r="AF338" t="inlineStr">
        <x:is>
          <x:t xml:space="preserve"/>
        </x:is>
      </x:c>
      <x:c r="AG338" t="inlineStr">
        <x:is>
          <x:t xml:space="preserve"/>
        </x:is>
      </x:c>
      <x:c r="AH338" t="inlineStr">
        <x:is>
          <x:t xml:space="preserve">EMPTY</x:t>
        </x:is>
      </x:c>
      <x:c r="AI338">
        <x:f>IF((COUNT('Quantification_Results'!AC338)=1),IFERROR(ROUND((SUM(('Quantification_Results'!AC338*'Quantification_Config'!$R$12))/SUM('Quantification_Config'!$R$12)),'Quantification_Config'!$U$2),""),"")</x:f>
      </x:c>
      <x:c r="AJ338">
        <x:f>IF((COUNT('Quantification_Results'!AI338)=1),IFERROR(ROUND((SUM(('Quantification_Results'!AI338*'Quantification_Config'!$R$11))/SUM('Quantification_Config'!$R$11)),'Quantification_Config'!$U$2),""),"")</x:f>
      </x:c>
      <x:c r="AK338" t="n">
        <x:v>1</x:v>
      </x:c>
      <x:c r="AL338" t="n">
        <x:v>5</x:v>
      </x:c>
      <x:c r="AM338"/>
      <x:c r="AN338" t="n">
        <x:f>IF(('Quantification_Results'!AK338&lt;&gt;1),"",IF(('Quantification_Results'!AM338=""),IF(ISNUMBER('Quantification_Results'!AL338),IF(('Quantification_Results'!AL338&lt;'Quantification_Config'!$S$15),"",IF(('Quantification_Results'!AL338&gt;'Quantification_Config'!$T$15),"",'Quantification_Results'!AL338)),""),IF(ISNUMBER('Quantification_Results'!AM338),IF(('Quantification_Results'!AM338&lt;'Quantification_Config'!$S$15),"",IF(('Quantification_Results'!AM338&gt;'Quantification_Config'!$T$15),"",'Quantification_Results'!AM338)),"")))</x:f>
        <x:v>5</x:v>
      </x:c>
      <x:c r="AO338" t="n">
        <x:f>IF(ISNUMBER('Quantification_Results'!AN338),IFERROR(ROUND(((('Quantification_Results'!AN338-'Quantification_Config'!$S$15)/('Quantification_Config'!$T$15-'Quantification_Config'!$S$15))*100),'Quantification_Config'!$U$2),""),"")</x:f>
        <x:v>50</x:v>
      </x:c>
      <x:c r="AP338" t="inlineStr">
        <x:is>
          <x:t xml:space="preserve">SYSTEM-TEST-ONLY-NO-NETWORK-NOT-AN-EDUCATIONAL-EVALUATION</x:t>
        </x:is>
      </x:c>
      <x:c r="AQ338" t="inlineStr">
        <x:is>
          <x:t xml:space="preserve"/>
        </x:is>
      </x:c>
      <x:c r="AR338" t="inlineStr">
        <x:is>
          <x:t xml:space="preserve">NONE</x:t>
        </x:is>
      </x:c>
      <x:c r="AS338" t="inlineStr">
        <x:is>
          <x:t xml:space="preserve"/>
        </x:is>
      </x:c>
      <x:c r="AT338" t="inlineStr">
        <x:is>
          <x:t xml:space="preserve">SUCCESS</x:t>
        </x:is>
      </x:c>
      <x:c r="AU338" t="n">
        <x:f>IF((COUNT('Quantification_Results'!AO338)=1),IFERROR(ROUND((SUM(('Quantification_Results'!AO338*'Quantification_Config'!$R$15))/SUM('Quantification_Config'!$R$15)),'Quantification_Config'!$U$2),""),"")</x:f>
        <x:v>50</x:v>
      </x:c>
      <x:c r="AV338" t="n">
        <x:f>IF((COUNT('Quantification_Results'!AU338)=1),IFERROR(ROUND((SUM(('Quantification_Results'!AU338*'Quantification_Config'!$R$14))/SUM('Quantification_Config'!$R$14)),'Quantification_Config'!$U$2),""),"")</x:f>
        <x:v>50</x:v>
      </x:c>
      <x:c r="AW338" t="n">
        <x:v>1</x:v>
      </x:c>
      <x:c r="AX338" t="n">
        <x:v>5</x:v>
      </x:c>
      <x:c r="AY338"/>
      <x:c r="AZ338" t="n">
        <x:f>IF(('Quantification_Results'!AW338&lt;&gt;1),"",IF(('Quantification_Results'!AY338=""),IF(ISNUMBER('Quantification_Results'!AX338),IF(('Quantification_Results'!AX338&lt;'Quantification_Config'!$S$19),"",IF(('Quantification_Results'!AX338&gt;'Quantification_Config'!$T$19),"",'Quantification_Results'!AX338)),""),IF(ISNUMBER('Quantification_Results'!AY338),IF(('Quantification_Results'!AY338&lt;'Quantification_Config'!$S$19),"",IF(('Quantification_Results'!AY338&gt;'Quantification_Config'!$T$19),"",'Quantification_Results'!AY338)),"")))</x:f>
        <x:v>5</x:v>
      </x:c>
      <x:c r="BA338" t="n">
        <x:f>IF(ISNUMBER('Quantification_Results'!AZ338),IFERROR(ROUND(((('Quantification_Results'!AZ338-'Quantification_Config'!$S$19)/('Quantification_Config'!$T$19-'Quantification_Config'!$S$19))*100),'Quantification_Config'!$U$2),""),"")</x:f>
        <x:v>50</x:v>
      </x:c>
      <x:c r="BB338" t="inlineStr">
        <x:is>
          <x:t xml:space="preserve">SYSTEM-TEST-ONLY-NO-NETWORK-NOT-AN-EDUCATIONAL-EVALUATION</x:t>
        </x:is>
      </x:c>
      <x:c r="BC338" t="inlineStr">
        <x:is>
          <x:t xml:space="preserve"/>
        </x:is>
      </x:c>
      <x:c r="BD338" t="inlineStr">
        <x:is>
          <x:t xml:space="preserve">NONE</x:t>
        </x:is>
      </x:c>
      <x:c r="BE338" t="inlineStr">
        <x:is>
          <x:t xml:space="preserve"/>
        </x:is>
      </x:c>
      <x:c r="BF338" t="inlineStr">
        <x:is>
          <x:t xml:space="preserve">SUCCESS</x:t>
        </x:is>
      </x:c>
      <x:c r="BG338" t="n">
        <x:f>IF((COUNT('Quantification_Results'!BA338)=1),IFERROR(ROUND((SUM(('Quantification_Results'!BA338*'Quantification_Config'!$R$19))/SUM('Quantification_Config'!$R$19)),'Quantification_Config'!$U$2),""),"")</x:f>
        <x:v>50</x:v>
      </x:c>
      <x:c r="BH338" t="n">
        <x:f>IF((COUNT('Quantification_Results'!BG338)=1),IFERROR(ROUND((SUM(('Quantification_Results'!BG338*'Quantification_Config'!$R$18))/SUM('Quantification_Config'!$R$18)),'Quantification_Config'!$U$2),""),"")</x:f>
        <x:v>50</x:v>
      </x:c>
      <x:c r="BI338">
        <x:f>IF((COUNT('Quantification_Results'!L338,'Quantification_Results'!X338,'Quantification_Results'!AJ338,'Quantification_Results'!AV338,'Quantification_Results'!BH338)=5),IFERROR(ROUND((SUM(('Quantification_Results'!L338*'Quantification_Config'!$R$4),('Quantification_Results'!X338*'Quantification_Config'!$R$7),('Quantification_Results'!AJ338*'Quantification_Config'!$R$10),('Quantification_Results'!AV338*'Quantification_Config'!$R$13),('Quantification_Results'!BH338*'Quantification_Config'!$R$16))/SUM('Quantification_Config'!$R$4,'Quantification_Config'!$R$7,'Quantification_Config'!$R$10,'Quantification_Config'!$R$13,'Quantification_Config'!$R$16)),'Quantification_Config'!$U$2),""),"")</x:f>
      </x:c>
    </x:row>
    <x:row r="339">
      <x:c r="A339" t="n">
        <x:v>1</x:v>
      </x:c>
      <x:c r="B339" t="n">
        <x:v>5</x:v>
      </x:c>
      <x:c r="C339"/>
      <x:c r="D339" t="n">
        <x:f>IF(('Quantification_Results'!A339&lt;&gt;1),"",IF(('Quantification_Results'!C339=""),IF(ISNUMBER('Quantification_Results'!B339),IF(('Quantification_Results'!B339&lt;'Quantification_Config'!$S$6),"",IF(('Quantification_Results'!B339&gt;'Quantification_Config'!$T$6),"",'Quantification_Results'!B339)),""),IF(ISNUMBER('Quantification_Results'!C339),IF(('Quantification_Results'!C339&lt;'Quantification_Config'!$S$6),"",IF(('Quantification_Results'!C339&gt;'Quantification_Config'!$T$6),"",'Quantification_Results'!C339)),"")))</x:f>
        <x:v>5</x:v>
      </x:c>
      <x:c r="E339" t="n">
        <x:f>IF(ISNUMBER('Quantification_Results'!D339),IFERROR(ROUND(((('Quantification_Results'!D339-'Quantification_Config'!$S$6)/('Quantification_Config'!$T$6-'Quantification_Config'!$S$6))*100),'Quantification_Config'!$U$2),""),"")</x:f>
        <x:v>50</x:v>
      </x:c>
      <x:c r="F339" t="inlineStr">
        <x:is>
          <x:t xml:space="preserve">SYSTEM-TEST-ONLY-NO-NETWORK-NOT-AN-EDUCATIONAL-EVALUATION</x:t>
        </x:is>
      </x:c>
      <x:c r="G339" t="inlineStr">
        <x:is>
          <x:t xml:space="preserve"/>
        </x:is>
      </x:c>
      <x:c r="H339" t="inlineStr">
        <x:is>
          <x:t xml:space="preserve">NONE</x:t>
        </x:is>
      </x:c>
      <x:c r="I339" t="inlineStr">
        <x:is>
          <x:t xml:space="preserve"/>
        </x:is>
      </x:c>
      <x:c r="J339" t="inlineStr">
        <x:is>
          <x:t xml:space="preserve">SUCCESS</x:t>
        </x:is>
      </x:c>
      <x:c r="K339" t="n">
        <x:f>IF((COUNT('Quantification_Results'!E339)=1),IFERROR(ROUND((SUM(('Quantification_Results'!E339*'Quantification_Config'!$R$6))/SUM('Quantification_Config'!$R$6)),'Quantification_Config'!$U$2),""),"")</x:f>
        <x:v>50</x:v>
      </x:c>
      <x:c r="L339" t="n">
        <x:f>IF((COUNT('Quantification_Results'!K339)=1),IFERROR(ROUND((SUM(('Quantification_Results'!K339*'Quantification_Config'!$R$5))/SUM('Quantification_Config'!$R$5)),'Quantification_Config'!$U$2),""),"")</x:f>
        <x:v>50</x:v>
      </x:c>
      <x:c r="M339" t="n">
        <x:v>1</x:v>
      </x:c>
      <x:c r="N339" t="n">
        <x:v>5</x:v>
      </x:c>
      <x:c r="O339"/>
      <x:c r="P339" t="n">
        <x:f>IF(('Quantification_Results'!M339&lt;&gt;1),"",IF(('Quantification_Results'!O339=""),IF(ISNUMBER('Quantification_Results'!N339),IF(('Quantification_Results'!N339&lt;'Quantification_Config'!$S$9),"",IF(('Quantification_Results'!N339&gt;'Quantification_Config'!$T$9),"",'Quantification_Results'!N339)),""),IF(ISNUMBER('Quantification_Results'!O339),IF(('Quantification_Results'!O339&lt;'Quantification_Config'!$S$9),"",IF(('Quantification_Results'!O339&gt;'Quantification_Config'!$T$9),"",'Quantification_Results'!O339)),"")))</x:f>
        <x:v>5</x:v>
      </x:c>
      <x:c r="Q339" t="n">
        <x:f>IF(ISNUMBER('Quantification_Results'!P339),IFERROR(ROUND(((('Quantification_Results'!P339-'Quantification_Config'!$S$9)/('Quantification_Config'!$T$9-'Quantification_Config'!$S$9))*100),'Quantification_Config'!$U$2),""),"")</x:f>
        <x:v>50</x:v>
      </x:c>
      <x:c r="R339" t="inlineStr">
        <x:is>
          <x:t xml:space="preserve">SYSTEM-TEST-ONLY-NO-NETWORK-NOT-AN-EDUCATIONAL-EVALUATION</x:t>
        </x:is>
      </x:c>
      <x:c r="S339" t="inlineStr">
        <x:is>
          <x:t xml:space="preserve"/>
        </x:is>
      </x:c>
      <x:c r="T339" t="inlineStr">
        <x:is>
          <x:t xml:space="preserve">NONE</x:t>
        </x:is>
      </x:c>
      <x:c r="U339" t="inlineStr">
        <x:is>
          <x:t xml:space="preserve"/>
        </x:is>
      </x:c>
      <x:c r="V339" t="inlineStr">
        <x:is>
          <x:t xml:space="preserve">SUCCESS</x:t>
        </x:is>
      </x:c>
      <x:c r="W339" t="n">
        <x:f>IF((COUNT('Quantification_Results'!Q339)=1),IFERROR(ROUND((SUM(('Quantification_Results'!Q339*'Quantification_Config'!$R$9))/SUM('Quantification_Config'!$R$9)),'Quantification_Config'!$U$2),""),"")</x:f>
        <x:v>50</x:v>
      </x:c>
      <x:c r="X339" t="n">
        <x:f>IF((COUNT('Quantification_Results'!W339)=1),IFERROR(ROUND((SUM(('Quantification_Results'!W339*'Quantification_Config'!$R$8))/SUM('Quantification_Config'!$R$8)),'Quantification_Config'!$U$2),""),"")</x:f>
        <x:v>50</x:v>
      </x:c>
      <x:c r="Y339" t="n">
        <x:v>0</x:v>
      </x:c>
      <x:c r="Z339"/>
      <x:c r="AA339"/>
      <x:c r="AB339">
        <x:f>IF(('Quantification_Results'!Y339&lt;&gt;1),"",IF(('Quantification_Results'!AA339=""),IF(ISNUMBER('Quantification_Results'!Z339),IF(('Quantification_Results'!Z339&lt;'Quantification_Config'!$S$12),"",IF(('Quantification_Results'!Z339&gt;'Quantification_Config'!$T$12),"",'Quantification_Results'!Z339)),""),IF(ISNUMBER('Quantification_Results'!AA339),IF(('Quantification_Results'!AA339&lt;'Quantification_Config'!$S$12),"",IF(('Quantification_Results'!AA339&gt;'Quantification_Config'!$T$12),"",'Quantification_Results'!AA339)),"")))</x:f>
      </x:c>
      <x:c r="AC339">
        <x:f>IF(ISNUMBER('Quantification_Results'!AB339),IFERROR(ROUND(((('Quantification_Results'!AB339-'Quantification_Config'!$S$12)/('Quantification_Config'!$T$12-'Quantification_Config'!$S$12))*100),'Quantification_Config'!$U$2),""),"")</x:f>
      </x:c>
      <x:c r="AD339" t="inlineStr">
        <x:is>
          <x:t xml:space="preserve"/>
        </x:is>
      </x:c>
      <x:c r="AE339" t="inlineStr">
        <x:is>
          <x:t xml:space="preserve"/>
        </x:is>
      </x:c>
      <x:c r="AF339" t="inlineStr">
        <x:is>
          <x:t xml:space="preserve"/>
        </x:is>
      </x:c>
      <x:c r="AG339" t="inlineStr">
        <x:is>
          <x:t xml:space="preserve"/>
        </x:is>
      </x:c>
      <x:c r="AH339" t="inlineStr">
        <x:is>
          <x:t xml:space="preserve">EMPTY</x:t>
        </x:is>
      </x:c>
      <x:c r="AI339">
        <x:f>IF((COUNT('Quantification_Results'!AC339)=1),IFERROR(ROUND((SUM(('Quantification_Results'!AC339*'Quantification_Config'!$R$12))/SUM('Quantification_Config'!$R$12)),'Quantification_Config'!$U$2),""),"")</x:f>
      </x:c>
      <x:c r="AJ339">
        <x:f>IF((COUNT('Quantification_Results'!AI339)=1),IFERROR(ROUND((SUM(('Quantification_Results'!AI339*'Quantification_Config'!$R$11))/SUM('Quantification_Config'!$R$11)),'Quantification_Config'!$U$2),""),"")</x:f>
      </x:c>
      <x:c r="AK339" t="n">
        <x:v>1</x:v>
      </x:c>
      <x:c r="AL339" t="n">
        <x:v>5</x:v>
      </x:c>
      <x:c r="AM339"/>
      <x:c r="AN339" t="n">
        <x:f>IF(('Quantification_Results'!AK339&lt;&gt;1),"",IF(('Quantification_Results'!AM339=""),IF(ISNUMBER('Quantification_Results'!AL339),IF(('Quantification_Results'!AL339&lt;'Quantification_Config'!$S$15),"",IF(('Quantification_Results'!AL339&gt;'Quantification_Config'!$T$15),"",'Quantification_Results'!AL339)),""),IF(ISNUMBER('Quantification_Results'!AM339),IF(('Quantification_Results'!AM339&lt;'Quantification_Config'!$S$15),"",IF(('Quantification_Results'!AM339&gt;'Quantification_Config'!$T$15),"",'Quantification_Results'!AM339)),"")))</x:f>
        <x:v>5</x:v>
      </x:c>
      <x:c r="AO339" t="n">
        <x:f>IF(ISNUMBER('Quantification_Results'!AN339),IFERROR(ROUND(((('Quantification_Results'!AN339-'Quantification_Config'!$S$15)/('Quantification_Config'!$T$15-'Quantification_Config'!$S$15))*100),'Quantification_Config'!$U$2),""),"")</x:f>
        <x:v>50</x:v>
      </x:c>
      <x:c r="AP339" t="inlineStr">
        <x:is>
          <x:t xml:space="preserve">SYSTEM-TEST-ONLY-NO-NETWORK-NOT-AN-EDUCATIONAL-EVALUATION</x:t>
        </x:is>
      </x:c>
      <x:c r="AQ339" t="inlineStr">
        <x:is>
          <x:t xml:space="preserve"/>
        </x:is>
      </x:c>
      <x:c r="AR339" t="inlineStr">
        <x:is>
          <x:t xml:space="preserve">NONE</x:t>
        </x:is>
      </x:c>
      <x:c r="AS339" t="inlineStr">
        <x:is>
          <x:t xml:space="preserve"/>
        </x:is>
      </x:c>
      <x:c r="AT339" t="inlineStr">
        <x:is>
          <x:t xml:space="preserve">SUCCESS</x:t>
        </x:is>
      </x:c>
      <x:c r="AU339" t="n">
        <x:f>IF((COUNT('Quantification_Results'!AO339)=1),IFERROR(ROUND((SUM(('Quantification_Results'!AO339*'Quantification_Config'!$R$15))/SUM('Quantification_Config'!$R$15)),'Quantification_Config'!$U$2),""),"")</x:f>
        <x:v>50</x:v>
      </x:c>
      <x:c r="AV339" t="n">
        <x:f>IF((COUNT('Quantification_Results'!AU339)=1),IFERROR(ROUND((SUM(('Quantification_Results'!AU339*'Quantification_Config'!$R$14))/SUM('Quantification_Config'!$R$14)),'Quantification_Config'!$U$2),""),"")</x:f>
        <x:v>50</x:v>
      </x:c>
      <x:c r="AW339" t="n">
        <x:v>1</x:v>
      </x:c>
      <x:c r="AX339" t="n">
        <x:v>5</x:v>
      </x:c>
      <x:c r="AY339"/>
      <x:c r="AZ339" t="n">
        <x:f>IF(('Quantification_Results'!AW339&lt;&gt;1),"",IF(('Quantification_Results'!AY339=""),IF(ISNUMBER('Quantification_Results'!AX339),IF(('Quantification_Results'!AX339&lt;'Quantification_Config'!$S$19),"",IF(('Quantification_Results'!AX339&gt;'Quantification_Config'!$T$19),"",'Quantification_Results'!AX339)),""),IF(ISNUMBER('Quantification_Results'!AY339),IF(('Quantification_Results'!AY339&lt;'Quantification_Config'!$S$19),"",IF(('Quantification_Results'!AY339&gt;'Quantification_Config'!$T$19),"",'Quantification_Results'!AY339)),"")))</x:f>
        <x:v>5</x:v>
      </x:c>
      <x:c r="BA339" t="n">
        <x:f>IF(ISNUMBER('Quantification_Results'!AZ339),IFERROR(ROUND(((('Quantification_Results'!AZ339-'Quantification_Config'!$S$19)/('Quantification_Config'!$T$19-'Quantification_Config'!$S$19))*100),'Quantification_Config'!$U$2),""),"")</x:f>
        <x:v>50</x:v>
      </x:c>
      <x:c r="BB339" t="inlineStr">
        <x:is>
          <x:t xml:space="preserve">SYSTEM-TEST-ONLY-NO-NETWORK-NOT-AN-EDUCATIONAL-EVALUATION</x:t>
        </x:is>
      </x:c>
      <x:c r="BC339" t="inlineStr">
        <x:is>
          <x:t xml:space="preserve"/>
        </x:is>
      </x:c>
      <x:c r="BD339" t="inlineStr">
        <x:is>
          <x:t xml:space="preserve">NONE</x:t>
        </x:is>
      </x:c>
      <x:c r="BE339" t="inlineStr">
        <x:is>
          <x:t xml:space="preserve"/>
        </x:is>
      </x:c>
      <x:c r="BF339" t="inlineStr">
        <x:is>
          <x:t xml:space="preserve">SUCCESS</x:t>
        </x:is>
      </x:c>
      <x:c r="BG339" t="n">
        <x:f>IF((COUNT('Quantification_Results'!BA339)=1),IFERROR(ROUND((SUM(('Quantification_Results'!BA339*'Quantification_Config'!$R$19))/SUM('Quantification_Config'!$R$19)),'Quantification_Config'!$U$2),""),"")</x:f>
        <x:v>50</x:v>
      </x:c>
      <x:c r="BH339" t="n">
        <x:f>IF((COUNT('Quantification_Results'!BG339)=1),IFERROR(ROUND((SUM(('Quantification_Results'!BG339*'Quantification_Config'!$R$18))/SUM('Quantification_Config'!$R$18)),'Quantification_Config'!$U$2),""),"")</x:f>
        <x:v>50</x:v>
      </x:c>
      <x:c r="BI339">
        <x:f>IF((COUNT('Quantification_Results'!L339,'Quantification_Results'!X339,'Quantification_Results'!AJ339,'Quantification_Results'!AV339,'Quantification_Results'!BH339)=5),IFERROR(ROUND((SUM(('Quantification_Results'!L339*'Quantification_Config'!$R$4),('Quantification_Results'!X339*'Quantification_Config'!$R$7),('Quantification_Results'!AJ339*'Quantification_Config'!$R$10),('Quantification_Results'!AV339*'Quantification_Config'!$R$13),('Quantification_Results'!BH339*'Quantification_Config'!$R$16))/SUM('Quantification_Config'!$R$4,'Quantification_Config'!$R$7,'Quantification_Config'!$R$10,'Quantification_Config'!$R$13,'Quantification_Config'!$R$16)),'Quantification_Config'!$U$2),""),"")</x:f>
      </x:c>
    </x:row>
    <x:row r="340">
      <x:c r="A340" t="n">
        <x:v>1</x:v>
      </x:c>
      <x:c r="B340" t="n">
        <x:v>5</x:v>
      </x:c>
      <x:c r="C340"/>
      <x:c r="D340" t="n">
        <x:f>IF(('Quantification_Results'!A340&lt;&gt;1),"",IF(('Quantification_Results'!C340=""),IF(ISNUMBER('Quantification_Results'!B340),IF(('Quantification_Results'!B340&lt;'Quantification_Config'!$S$6),"",IF(('Quantification_Results'!B340&gt;'Quantification_Config'!$T$6),"",'Quantification_Results'!B340)),""),IF(ISNUMBER('Quantification_Results'!C340),IF(('Quantification_Results'!C340&lt;'Quantification_Config'!$S$6),"",IF(('Quantification_Results'!C340&gt;'Quantification_Config'!$T$6),"",'Quantification_Results'!C340)),"")))</x:f>
        <x:v>5</x:v>
      </x:c>
      <x:c r="E340" t="n">
        <x:f>IF(ISNUMBER('Quantification_Results'!D340),IFERROR(ROUND(((('Quantification_Results'!D340-'Quantification_Config'!$S$6)/('Quantification_Config'!$T$6-'Quantification_Config'!$S$6))*100),'Quantification_Config'!$U$2),""),"")</x:f>
        <x:v>50</x:v>
      </x:c>
      <x:c r="F340" t="inlineStr">
        <x:is>
          <x:t xml:space="preserve">SYSTEM-TEST-ONLY-NO-NETWORK-NOT-AN-EDUCATIONAL-EVALUATION</x:t>
        </x:is>
      </x:c>
      <x:c r="G340" t="inlineStr">
        <x:is>
          <x:t xml:space="preserve"/>
        </x:is>
      </x:c>
      <x:c r="H340" t="inlineStr">
        <x:is>
          <x:t xml:space="preserve">NONE</x:t>
        </x:is>
      </x:c>
      <x:c r="I340" t="inlineStr">
        <x:is>
          <x:t xml:space="preserve"/>
        </x:is>
      </x:c>
      <x:c r="J340" t="inlineStr">
        <x:is>
          <x:t xml:space="preserve">SUCCESS</x:t>
        </x:is>
      </x:c>
      <x:c r="K340" t="n">
        <x:f>IF((COUNT('Quantification_Results'!E340)=1),IFERROR(ROUND((SUM(('Quantification_Results'!E340*'Quantification_Config'!$R$6))/SUM('Quantification_Config'!$R$6)),'Quantification_Config'!$U$2),""),"")</x:f>
        <x:v>50</x:v>
      </x:c>
      <x:c r="L340" t="n">
        <x:f>IF((COUNT('Quantification_Results'!K340)=1),IFERROR(ROUND((SUM(('Quantification_Results'!K340*'Quantification_Config'!$R$5))/SUM('Quantification_Config'!$R$5)),'Quantification_Config'!$U$2),""),"")</x:f>
        <x:v>50</x:v>
      </x:c>
      <x:c r="M340" t="n">
        <x:v>1</x:v>
      </x:c>
      <x:c r="N340" t="n">
        <x:v>5</x:v>
      </x:c>
      <x:c r="O340"/>
      <x:c r="P340" t="n">
        <x:f>IF(('Quantification_Results'!M340&lt;&gt;1),"",IF(('Quantification_Results'!O340=""),IF(ISNUMBER('Quantification_Results'!N340),IF(('Quantification_Results'!N340&lt;'Quantification_Config'!$S$9),"",IF(('Quantification_Results'!N340&gt;'Quantification_Config'!$T$9),"",'Quantification_Results'!N340)),""),IF(ISNUMBER('Quantification_Results'!O340),IF(('Quantification_Results'!O340&lt;'Quantification_Config'!$S$9),"",IF(('Quantification_Results'!O340&gt;'Quantification_Config'!$T$9),"",'Quantification_Results'!O340)),"")))</x:f>
        <x:v>5</x:v>
      </x:c>
      <x:c r="Q340" t="n">
        <x:f>IF(ISNUMBER('Quantification_Results'!P340),IFERROR(ROUND(((('Quantification_Results'!P340-'Quantification_Config'!$S$9)/('Quantification_Config'!$T$9-'Quantification_Config'!$S$9))*100),'Quantification_Config'!$U$2),""),"")</x:f>
        <x:v>50</x:v>
      </x:c>
      <x:c r="R340" t="inlineStr">
        <x:is>
          <x:t xml:space="preserve">SYSTEM-TEST-ONLY-NO-NETWORK-NOT-AN-EDUCATIONAL-EVALUATION</x:t>
        </x:is>
      </x:c>
      <x:c r="S340" t="inlineStr">
        <x:is>
          <x:t xml:space="preserve"/>
        </x:is>
      </x:c>
      <x:c r="T340" t="inlineStr">
        <x:is>
          <x:t xml:space="preserve">NONE</x:t>
        </x:is>
      </x:c>
      <x:c r="U340" t="inlineStr">
        <x:is>
          <x:t xml:space="preserve"/>
        </x:is>
      </x:c>
      <x:c r="V340" t="inlineStr">
        <x:is>
          <x:t xml:space="preserve">SUCCESS</x:t>
        </x:is>
      </x:c>
      <x:c r="W340" t="n">
        <x:f>IF((COUNT('Quantification_Results'!Q340)=1),IFERROR(ROUND((SUM(('Quantification_Results'!Q340*'Quantification_Config'!$R$9))/SUM('Quantification_Config'!$R$9)),'Quantification_Config'!$U$2),""),"")</x:f>
        <x:v>50</x:v>
      </x:c>
      <x:c r="X340" t="n">
        <x:f>IF((COUNT('Quantification_Results'!W340)=1),IFERROR(ROUND((SUM(('Quantification_Results'!W340*'Quantification_Config'!$R$8))/SUM('Quantification_Config'!$R$8)),'Quantification_Config'!$U$2),""),"")</x:f>
        <x:v>50</x:v>
      </x:c>
      <x:c r="Y340" t="n">
        <x:v>0</x:v>
      </x:c>
      <x:c r="Z340"/>
      <x:c r="AA340"/>
      <x:c r="AB340">
        <x:f>IF(('Quantification_Results'!Y340&lt;&gt;1),"",IF(('Quantification_Results'!AA340=""),IF(ISNUMBER('Quantification_Results'!Z340),IF(('Quantification_Results'!Z340&lt;'Quantification_Config'!$S$12),"",IF(('Quantification_Results'!Z340&gt;'Quantification_Config'!$T$12),"",'Quantification_Results'!Z340)),""),IF(ISNUMBER('Quantification_Results'!AA340),IF(('Quantification_Results'!AA340&lt;'Quantification_Config'!$S$12),"",IF(('Quantification_Results'!AA340&gt;'Quantification_Config'!$T$12),"",'Quantification_Results'!AA340)),"")))</x:f>
      </x:c>
      <x:c r="AC340">
        <x:f>IF(ISNUMBER('Quantification_Results'!AB340),IFERROR(ROUND(((('Quantification_Results'!AB340-'Quantification_Config'!$S$12)/('Quantification_Config'!$T$12-'Quantification_Config'!$S$12))*100),'Quantification_Config'!$U$2),""),"")</x:f>
      </x:c>
      <x:c r="AD340" t="inlineStr">
        <x:is>
          <x:t xml:space="preserve"/>
        </x:is>
      </x:c>
      <x:c r="AE340" t="inlineStr">
        <x:is>
          <x:t xml:space="preserve"/>
        </x:is>
      </x:c>
      <x:c r="AF340" t="inlineStr">
        <x:is>
          <x:t xml:space="preserve"/>
        </x:is>
      </x:c>
      <x:c r="AG340" t="inlineStr">
        <x:is>
          <x:t xml:space="preserve"/>
        </x:is>
      </x:c>
      <x:c r="AH340" t="inlineStr">
        <x:is>
          <x:t xml:space="preserve">EMPTY</x:t>
        </x:is>
      </x:c>
      <x:c r="AI340">
        <x:f>IF((COUNT('Quantification_Results'!AC340)=1),IFERROR(ROUND((SUM(('Quantification_Results'!AC340*'Quantification_Config'!$R$12))/SUM('Quantification_Config'!$R$12)),'Quantification_Config'!$U$2),""),"")</x:f>
      </x:c>
      <x:c r="AJ340">
        <x:f>IF((COUNT('Quantification_Results'!AI340)=1),IFERROR(ROUND((SUM(('Quantification_Results'!AI340*'Quantification_Config'!$R$11))/SUM('Quantification_Config'!$R$11)),'Quantification_Config'!$U$2),""),"")</x:f>
      </x:c>
      <x:c r="AK340" t="n">
        <x:v>1</x:v>
      </x:c>
      <x:c r="AL340" t="n">
        <x:v>5</x:v>
      </x:c>
      <x:c r="AM340"/>
      <x:c r="AN340" t="n">
        <x:f>IF(('Quantification_Results'!AK340&lt;&gt;1),"",IF(('Quantification_Results'!AM340=""),IF(ISNUMBER('Quantification_Results'!AL340),IF(('Quantification_Results'!AL340&lt;'Quantification_Config'!$S$15),"",IF(('Quantification_Results'!AL340&gt;'Quantification_Config'!$T$15),"",'Quantification_Results'!AL340)),""),IF(ISNUMBER('Quantification_Results'!AM340),IF(('Quantification_Results'!AM340&lt;'Quantification_Config'!$S$15),"",IF(('Quantification_Results'!AM340&gt;'Quantification_Config'!$T$15),"",'Quantification_Results'!AM340)),"")))</x:f>
        <x:v>5</x:v>
      </x:c>
      <x:c r="AO340" t="n">
        <x:f>IF(ISNUMBER('Quantification_Results'!AN340),IFERROR(ROUND(((('Quantification_Results'!AN340-'Quantification_Config'!$S$15)/('Quantification_Config'!$T$15-'Quantification_Config'!$S$15))*100),'Quantification_Config'!$U$2),""),"")</x:f>
        <x:v>50</x:v>
      </x:c>
      <x:c r="AP340" t="inlineStr">
        <x:is>
          <x:t xml:space="preserve">SYSTEM-TEST-ONLY-NO-NETWORK-NOT-AN-EDUCATIONAL-EVALUATION</x:t>
        </x:is>
      </x:c>
      <x:c r="AQ340" t="inlineStr">
        <x:is>
          <x:t xml:space="preserve"/>
        </x:is>
      </x:c>
      <x:c r="AR340" t="inlineStr">
        <x:is>
          <x:t xml:space="preserve">NONE</x:t>
        </x:is>
      </x:c>
      <x:c r="AS340" t="inlineStr">
        <x:is>
          <x:t xml:space="preserve"/>
        </x:is>
      </x:c>
      <x:c r="AT340" t="inlineStr">
        <x:is>
          <x:t xml:space="preserve">SUCCESS</x:t>
        </x:is>
      </x:c>
      <x:c r="AU340" t="n">
        <x:f>IF((COUNT('Quantification_Results'!AO340)=1),IFERROR(ROUND((SUM(('Quantification_Results'!AO340*'Quantification_Config'!$R$15))/SUM('Quantification_Config'!$R$15)),'Quantification_Config'!$U$2),""),"")</x:f>
        <x:v>50</x:v>
      </x:c>
      <x:c r="AV340" t="n">
        <x:f>IF((COUNT('Quantification_Results'!AU340)=1),IFERROR(ROUND((SUM(('Quantification_Results'!AU340*'Quantification_Config'!$R$14))/SUM('Quantification_Config'!$R$14)),'Quantification_Config'!$U$2),""),"")</x:f>
        <x:v>50</x:v>
      </x:c>
      <x:c r="AW340" t="n">
        <x:v>1</x:v>
      </x:c>
      <x:c r="AX340" t="n">
        <x:v>5</x:v>
      </x:c>
      <x:c r="AY340"/>
      <x:c r="AZ340" t="n">
        <x:f>IF(('Quantification_Results'!AW340&lt;&gt;1),"",IF(('Quantification_Results'!AY340=""),IF(ISNUMBER('Quantification_Results'!AX340),IF(('Quantification_Results'!AX340&lt;'Quantification_Config'!$S$19),"",IF(('Quantification_Results'!AX340&gt;'Quantification_Config'!$T$19),"",'Quantification_Results'!AX340)),""),IF(ISNUMBER('Quantification_Results'!AY340),IF(('Quantification_Results'!AY340&lt;'Quantification_Config'!$S$19),"",IF(('Quantification_Results'!AY340&gt;'Quantification_Config'!$T$19),"",'Quantification_Results'!AY340)),"")))</x:f>
        <x:v>5</x:v>
      </x:c>
      <x:c r="BA340" t="n">
        <x:f>IF(ISNUMBER('Quantification_Results'!AZ340),IFERROR(ROUND(((('Quantification_Results'!AZ340-'Quantification_Config'!$S$19)/('Quantification_Config'!$T$19-'Quantification_Config'!$S$19))*100),'Quantification_Config'!$U$2),""),"")</x:f>
        <x:v>50</x:v>
      </x:c>
      <x:c r="BB340" t="inlineStr">
        <x:is>
          <x:t xml:space="preserve">SYSTEM-TEST-ONLY-NO-NETWORK-NOT-AN-EDUCATIONAL-EVALUATION</x:t>
        </x:is>
      </x:c>
      <x:c r="BC340" t="inlineStr">
        <x:is>
          <x:t xml:space="preserve"/>
        </x:is>
      </x:c>
      <x:c r="BD340" t="inlineStr">
        <x:is>
          <x:t xml:space="preserve">NONE</x:t>
        </x:is>
      </x:c>
      <x:c r="BE340" t="inlineStr">
        <x:is>
          <x:t xml:space="preserve"/>
        </x:is>
      </x:c>
      <x:c r="BF340" t="inlineStr">
        <x:is>
          <x:t xml:space="preserve">SUCCESS</x:t>
        </x:is>
      </x:c>
      <x:c r="BG340" t="n">
        <x:f>IF((COUNT('Quantification_Results'!BA340)=1),IFERROR(ROUND((SUM(('Quantification_Results'!BA340*'Quantification_Config'!$R$19))/SUM('Quantification_Config'!$R$19)),'Quantification_Config'!$U$2),""),"")</x:f>
        <x:v>50</x:v>
      </x:c>
      <x:c r="BH340" t="n">
        <x:f>IF((COUNT('Quantification_Results'!BG340)=1),IFERROR(ROUND((SUM(('Quantification_Results'!BG340*'Quantification_Config'!$R$18))/SUM('Quantification_Config'!$R$18)),'Quantification_Config'!$U$2),""),"")</x:f>
        <x:v>50</x:v>
      </x:c>
      <x:c r="BI340">
        <x:f>IF((COUNT('Quantification_Results'!L340,'Quantification_Results'!X340,'Quantification_Results'!AJ340,'Quantification_Results'!AV340,'Quantification_Results'!BH340)=5),IFERROR(ROUND((SUM(('Quantification_Results'!L340*'Quantification_Config'!$R$4),('Quantification_Results'!X340*'Quantification_Config'!$R$7),('Quantification_Results'!AJ340*'Quantification_Config'!$R$10),('Quantification_Results'!AV340*'Quantification_Config'!$R$13),('Quantification_Results'!BH340*'Quantification_Config'!$R$16))/SUM('Quantification_Config'!$R$4,'Quantification_Config'!$R$7,'Quantification_Config'!$R$10,'Quantification_Config'!$R$13,'Quantification_Config'!$R$16)),'Quantification_Config'!$U$2),""),"")</x:f>
      </x:c>
    </x:row>
    <x:row r="341">
      <x:c r="A341" t="n">
        <x:v>1</x:v>
      </x:c>
      <x:c r="B341" t="n">
        <x:v>5</x:v>
      </x:c>
      <x:c r="C341"/>
      <x:c r="D341" t="n">
        <x:f>IF(('Quantification_Results'!A341&lt;&gt;1),"",IF(('Quantification_Results'!C341=""),IF(ISNUMBER('Quantification_Results'!B341),IF(('Quantification_Results'!B341&lt;'Quantification_Config'!$S$6),"",IF(('Quantification_Results'!B341&gt;'Quantification_Config'!$T$6),"",'Quantification_Results'!B341)),""),IF(ISNUMBER('Quantification_Results'!C341),IF(('Quantification_Results'!C341&lt;'Quantification_Config'!$S$6),"",IF(('Quantification_Results'!C341&gt;'Quantification_Config'!$T$6),"",'Quantification_Results'!C341)),"")))</x:f>
        <x:v>5</x:v>
      </x:c>
      <x:c r="E341" t="n">
        <x:f>IF(ISNUMBER('Quantification_Results'!D341),IFERROR(ROUND(((('Quantification_Results'!D341-'Quantification_Config'!$S$6)/('Quantification_Config'!$T$6-'Quantification_Config'!$S$6))*100),'Quantification_Config'!$U$2),""),"")</x:f>
        <x:v>50</x:v>
      </x:c>
      <x:c r="F341" t="inlineStr">
        <x:is>
          <x:t xml:space="preserve">SYSTEM-TEST-ONLY-NO-NETWORK-NOT-AN-EDUCATIONAL-EVALUATION</x:t>
        </x:is>
      </x:c>
      <x:c r="G341" t="inlineStr">
        <x:is>
          <x:t xml:space="preserve"/>
        </x:is>
      </x:c>
      <x:c r="H341" t="inlineStr">
        <x:is>
          <x:t xml:space="preserve">NONE</x:t>
        </x:is>
      </x:c>
      <x:c r="I341" t="inlineStr">
        <x:is>
          <x:t xml:space="preserve"/>
        </x:is>
      </x:c>
      <x:c r="J341" t="inlineStr">
        <x:is>
          <x:t xml:space="preserve">SUCCESS</x:t>
        </x:is>
      </x:c>
      <x:c r="K341" t="n">
        <x:f>IF((COUNT('Quantification_Results'!E341)=1),IFERROR(ROUND((SUM(('Quantification_Results'!E341*'Quantification_Config'!$R$6))/SUM('Quantification_Config'!$R$6)),'Quantification_Config'!$U$2),""),"")</x:f>
        <x:v>50</x:v>
      </x:c>
      <x:c r="L341" t="n">
        <x:f>IF((COUNT('Quantification_Results'!K341)=1),IFERROR(ROUND((SUM(('Quantification_Results'!K341*'Quantification_Config'!$R$5))/SUM('Quantification_Config'!$R$5)),'Quantification_Config'!$U$2),""),"")</x:f>
        <x:v>50</x:v>
      </x:c>
      <x:c r="M341" t="n">
        <x:v>0</x:v>
      </x:c>
      <x:c r="N341"/>
      <x:c r="O341"/>
      <x:c r="P341">
        <x:f>IF(('Quantification_Results'!M341&lt;&gt;1),"",IF(('Quantification_Results'!O341=""),IF(ISNUMBER('Quantification_Results'!N341),IF(('Quantification_Results'!N341&lt;'Quantification_Config'!$S$9),"",IF(('Quantification_Results'!N341&gt;'Quantification_Config'!$T$9),"",'Quantification_Results'!N341)),""),IF(ISNUMBER('Quantification_Results'!O341),IF(('Quantification_Results'!O341&lt;'Quantification_Config'!$S$9),"",IF(('Quantification_Results'!O341&gt;'Quantification_Config'!$T$9),"",'Quantification_Results'!O341)),"")))</x:f>
      </x:c>
      <x:c r="Q341">
        <x:f>IF(ISNUMBER('Quantification_Results'!P341),IFERROR(ROUND(((('Quantification_Results'!P341-'Quantification_Config'!$S$9)/('Quantification_Config'!$T$9-'Quantification_Config'!$S$9))*100),'Quantification_Config'!$U$2),""),"")</x:f>
      </x:c>
      <x:c r="R341" t="inlineStr">
        <x:is>
          <x:t xml:space="preserve"/>
        </x:is>
      </x:c>
      <x:c r="S341" t="inlineStr">
        <x:is>
          <x:t xml:space="preserve"/>
        </x:is>
      </x:c>
      <x:c r="T341" t="inlineStr">
        <x:is>
          <x:t xml:space="preserve"/>
        </x:is>
      </x:c>
      <x:c r="U341" t="inlineStr">
        <x:is>
          <x:t xml:space="preserve"/>
        </x:is>
      </x:c>
      <x:c r="V341" t="inlineStr">
        <x:is>
          <x:t xml:space="preserve">EMPTY</x:t>
        </x:is>
      </x:c>
      <x:c r="W341">
        <x:f>IF((COUNT('Quantification_Results'!Q341)=1),IFERROR(ROUND((SUM(('Quantification_Results'!Q341*'Quantification_Config'!$R$9))/SUM('Quantification_Config'!$R$9)),'Quantification_Config'!$U$2),""),"")</x:f>
      </x:c>
      <x:c r="X341">
        <x:f>IF((COUNT('Quantification_Results'!W341)=1),IFERROR(ROUND((SUM(('Quantification_Results'!W341*'Quantification_Config'!$R$8))/SUM('Quantification_Config'!$R$8)),'Quantification_Config'!$U$2),""),"")</x:f>
      </x:c>
      <x:c r="Y341" t="n">
        <x:v>0</x:v>
      </x:c>
      <x:c r="Z341"/>
      <x:c r="AA341"/>
      <x:c r="AB341">
        <x:f>IF(('Quantification_Results'!Y341&lt;&gt;1),"",IF(('Quantification_Results'!AA341=""),IF(ISNUMBER('Quantification_Results'!Z341),IF(('Quantification_Results'!Z341&lt;'Quantification_Config'!$S$12),"",IF(('Quantification_Results'!Z341&gt;'Quantification_Config'!$T$12),"",'Quantification_Results'!Z341)),""),IF(ISNUMBER('Quantification_Results'!AA341),IF(('Quantification_Results'!AA341&lt;'Quantification_Config'!$S$12),"",IF(('Quantification_Results'!AA341&gt;'Quantification_Config'!$T$12),"",'Quantification_Results'!AA341)),"")))</x:f>
      </x:c>
      <x:c r="AC341">
        <x:f>IF(ISNUMBER('Quantification_Results'!AB341),IFERROR(ROUND(((('Quantification_Results'!AB341-'Quantification_Config'!$S$12)/('Quantification_Config'!$T$12-'Quantification_Config'!$S$12))*100),'Quantification_Config'!$U$2),""),"")</x:f>
      </x:c>
      <x:c r="AD341" t="inlineStr">
        <x:is>
          <x:t xml:space="preserve"/>
        </x:is>
      </x:c>
      <x:c r="AE341" t="inlineStr">
        <x:is>
          <x:t xml:space="preserve"/>
        </x:is>
      </x:c>
      <x:c r="AF341" t="inlineStr">
        <x:is>
          <x:t xml:space="preserve"/>
        </x:is>
      </x:c>
      <x:c r="AG341" t="inlineStr">
        <x:is>
          <x:t xml:space="preserve"/>
        </x:is>
      </x:c>
      <x:c r="AH341" t="inlineStr">
        <x:is>
          <x:t xml:space="preserve">EMPTY</x:t>
        </x:is>
      </x:c>
      <x:c r="AI341">
        <x:f>IF((COUNT('Quantification_Results'!AC341)=1),IFERROR(ROUND((SUM(('Quantification_Results'!AC341*'Quantification_Config'!$R$12))/SUM('Quantification_Config'!$R$12)),'Quantification_Config'!$U$2),""),"")</x:f>
      </x:c>
      <x:c r="AJ341">
        <x:f>IF((COUNT('Quantification_Results'!AI341)=1),IFERROR(ROUND((SUM(('Quantification_Results'!AI341*'Quantification_Config'!$R$11))/SUM('Quantification_Config'!$R$11)),'Quantification_Config'!$U$2),""),"")</x:f>
      </x:c>
      <x:c r="AK341" t="n">
        <x:v>1</x:v>
      </x:c>
      <x:c r="AL341" t="n">
        <x:v>5</x:v>
      </x:c>
      <x:c r="AM341"/>
      <x:c r="AN341" t="n">
        <x:f>IF(('Quantification_Results'!AK341&lt;&gt;1),"",IF(('Quantification_Results'!AM341=""),IF(ISNUMBER('Quantification_Results'!AL341),IF(('Quantification_Results'!AL341&lt;'Quantification_Config'!$S$15),"",IF(('Quantification_Results'!AL341&gt;'Quantification_Config'!$T$15),"",'Quantification_Results'!AL341)),""),IF(ISNUMBER('Quantification_Results'!AM341),IF(('Quantification_Results'!AM341&lt;'Quantification_Config'!$S$15),"",IF(('Quantification_Results'!AM341&gt;'Quantification_Config'!$T$15),"",'Quantification_Results'!AM341)),"")))</x:f>
        <x:v>5</x:v>
      </x:c>
      <x:c r="AO341" t="n">
        <x:f>IF(ISNUMBER('Quantification_Results'!AN341),IFERROR(ROUND(((('Quantification_Results'!AN341-'Quantification_Config'!$S$15)/('Quantification_Config'!$T$15-'Quantification_Config'!$S$15))*100),'Quantification_Config'!$U$2),""),"")</x:f>
        <x:v>50</x:v>
      </x:c>
      <x:c r="AP341" t="inlineStr">
        <x:is>
          <x:t xml:space="preserve">SYSTEM-TEST-ONLY-NO-NETWORK-NOT-AN-EDUCATIONAL-EVALUATION</x:t>
        </x:is>
      </x:c>
      <x:c r="AQ341" t="inlineStr">
        <x:is>
          <x:t xml:space="preserve"/>
        </x:is>
      </x:c>
      <x:c r="AR341" t="inlineStr">
        <x:is>
          <x:t xml:space="preserve">NONE</x:t>
        </x:is>
      </x:c>
      <x:c r="AS341" t="inlineStr">
        <x:is>
          <x:t xml:space="preserve"/>
        </x:is>
      </x:c>
      <x:c r="AT341" t="inlineStr">
        <x:is>
          <x:t xml:space="preserve">SUCCESS</x:t>
        </x:is>
      </x:c>
      <x:c r="AU341" t="n">
        <x:f>IF((COUNT('Quantification_Results'!AO341)=1),IFERROR(ROUND((SUM(('Quantification_Results'!AO341*'Quantification_Config'!$R$15))/SUM('Quantification_Config'!$R$15)),'Quantification_Config'!$U$2),""),"")</x:f>
        <x:v>50</x:v>
      </x:c>
      <x:c r="AV341" t="n">
        <x:f>IF((COUNT('Quantification_Results'!AU341)=1),IFERROR(ROUND((SUM(('Quantification_Results'!AU341*'Quantification_Config'!$R$14))/SUM('Quantification_Config'!$R$14)),'Quantification_Config'!$U$2),""),"")</x:f>
        <x:v>50</x:v>
      </x:c>
      <x:c r="AW341" t="n">
        <x:v>0</x:v>
      </x:c>
      <x:c r="AX341"/>
      <x:c r="AY341"/>
      <x:c r="AZ341">
        <x:f>IF(('Quantification_Results'!AW341&lt;&gt;1),"",IF(('Quantification_Results'!AY341=""),IF(ISNUMBER('Quantification_Results'!AX341),IF(('Quantification_Results'!AX341&lt;'Quantification_Config'!$S$19),"",IF(('Quantification_Results'!AX341&gt;'Quantification_Config'!$T$19),"",'Quantification_Results'!AX341)),""),IF(ISNUMBER('Quantification_Results'!AY341),IF(('Quantification_Results'!AY341&lt;'Quantification_Config'!$S$19),"",IF(('Quantification_Results'!AY341&gt;'Quantification_Config'!$T$19),"",'Quantification_Results'!AY341)),"")))</x:f>
      </x:c>
      <x:c r="BA341">
        <x:f>IF(ISNUMBER('Quantification_Results'!AZ341),IFERROR(ROUND(((('Quantification_Results'!AZ341-'Quantification_Config'!$S$19)/('Quantification_Config'!$T$19-'Quantification_Config'!$S$19))*100),'Quantification_Config'!$U$2),""),"")</x:f>
      </x:c>
      <x:c r="BB341" t="inlineStr">
        <x:is>
          <x:t xml:space="preserve"/>
        </x:is>
      </x:c>
      <x:c r="BC341" t="inlineStr">
        <x:is>
          <x:t xml:space="preserve"/>
        </x:is>
      </x:c>
      <x:c r="BD341" t="inlineStr">
        <x:is>
          <x:t xml:space="preserve"/>
        </x:is>
      </x:c>
      <x:c r="BE341" t="inlineStr">
        <x:is>
          <x:t xml:space="preserve"/>
        </x:is>
      </x:c>
      <x:c r="BF341" t="inlineStr">
        <x:is>
          <x:t xml:space="preserve">EMPTY</x:t>
        </x:is>
      </x:c>
      <x:c r="BG341">
        <x:f>IF((COUNT('Quantification_Results'!BA341)=1),IFERROR(ROUND((SUM(('Quantification_Results'!BA341*'Quantification_Config'!$R$19))/SUM('Quantification_Config'!$R$19)),'Quantification_Config'!$U$2),""),"")</x:f>
      </x:c>
      <x:c r="BH341">
        <x:f>IF((COUNT('Quantification_Results'!BG341)=1),IFERROR(ROUND((SUM(('Quantification_Results'!BG341*'Quantification_Config'!$R$18))/SUM('Quantification_Config'!$R$18)),'Quantification_Config'!$U$2),""),"")</x:f>
      </x:c>
      <x:c r="BI341">
        <x:f>IF((COUNT('Quantification_Results'!L341,'Quantification_Results'!X341,'Quantification_Results'!AJ341,'Quantification_Results'!AV341,'Quantification_Results'!BH341)=5),IFERROR(ROUND((SUM(('Quantification_Results'!L341*'Quantification_Config'!$R$4),('Quantification_Results'!X341*'Quantification_Config'!$R$7),('Quantification_Results'!AJ341*'Quantification_Config'!$R$10),('Quantification_Results'!AV341*'Quantification_Config'!$R$13),('Quantification_Results'!BH341*'Quantification_Config'!$R$16))/SUM('Quantification_Config'!$R$4,'Quantification_Config'!$R$7,'Quantification_Config'!$R$10,'Quantification_Config'!$R$13,'Quantification_Config'!$R$16)),'Quantification_Config'!$U$2),""),"")</x:f>
      </x:c>
    </x:row>
    <x:row r="342">
      <x:c r="A342" t="n">
        <x:v>1</x:v>
      </x:c>
      <x:c r="B342" t="n">
        <x:v>5</x:v>
      </x:c>
      <x:c r="C342"/>
      <x:c r="D342" t="n">
        <x:f>IF(('Quantification_Results'!A342&lt;&gt;1),"",IF(('Quantification_Results'!C342=""),IF(ISNUMBER('Quantification_Results'!B342),IF(('Quantification_Results'!B342&lt;'Quantification_Config'!$S$6),"",IF(('Quantification_Results'!B342&gt;'Quantification_Config'!$T$6),"",'Quantification_Results'!B342)),""),IF(ISNUMBER('Quantification_Results'!C342),IF(('Quantification_Results'!C342&lt;'Quantification_Config'!$S$6),"",IF(('Quantification_Results'!C342&gt;'Quantification_Config'!$T$6),"",'Quantification_Results'!C342)),"")))</x:f>
        <x:v>5</x:v>
      </x:c>
      <x:c r="E342" t="n">
        <x:f>IF(ISNUMBER('Quantification_Results'!D342),IFERROR(ROUND(((('Quantification_Results'!D342-'Quantification_Config'!$S$6)/('Quantification_Config'!$T$6-'Quantification_Config'!$S$6))*100),'Quantification_Config'!$U$2),""),"")</x:f>
        <x:v>50</x:v>
      </x:c>
      <x:c r="F342" t="inlineStr">
        <x:is>
          <x:t xml:space="preserve">SYSTEM-TEST-ONLY-NO-NETWORK-NOT-AN-EDUCATIONAL-EVALUATION</x:t>
        </x:is>
      </x:c>
      <x:c r="G342" t="inlineStr">
        <x:is>
          <x:t xml:space="preserve"/>
        </x:is>
      </x:c>
      <x:c r="H342" t="inlineStr">
        <x:is>
          <x:t xml:space="preserve">NONE</x:t>
        </x:is>
      </x:c>
      <x:c r="I342" t="inlineStr">
        <x:is>
          <x:t xml:space="preserve"/>
        </x:is>
      </x:c>
      <x:c r="J342" t="inlineStr">
        <x:is>
          <x:t xml:space="preserve">SUCCESS</x:t>
        </x:is>
      </x:c>
      <x:c r="K342" t="n">
        <x:f>IF((COUNT('Quantification_Results'!E342)=1),IFERROR(ROUND((SUM(('Quantification_Results'!E342*'Quantification_Config'!$R$6))/SUM('Quantification_Config'!$R$6)),'Quantification_Config'!$U$2),""),"")</x:f>
        <x:v>50</x:v>
      </x:c>
      <x:c r="L342" t="n">
        <x:f>IF((COUNT('Quantification_Results'!K342)=1),IFERROR(ROUND((SUM(('Quantification_Results'!K342*'Quantification_Config'!$R$5))/SUM('Quantification_Config'!$R$5)),'Quantification_Config'!$U$2),""),"")</x:f>
        <x:v>50</x:v>
      </x:c>
      <x:c r="M342" t="n">
        <x:v>1</x:v>
      </x:c>
      <x:c r="N342" t="n">
        <x:v>5</x:v>
      </x:c>
      <x:c r="O342"/>
      <x:c r="P342" t="n">
        <x:f>IF(('Quantification_Results'!M342&lt;&gt;1),"",IF(('Quantification_Results'!O342=""),IF(ISNUMBER('Quantification_Results'!N342),IF(('Quantification_Results'!N342&lt;'Quantification_Config'!$S$9),"",IF(('Quantification_Results'!N342&gt;'Quantification_Config'!$T$9),"",'Quantification_Results'!N342)),""),IF(ISNUMBER('Quantification_Results'!O342),IF(('Quantification_Results'!O342&lt;'Quantification_Config'!$S$9),"",IF(('Quantification_Results'!O342&gt;'Quantification_Config'!$T$9),"",'Quantification_Results'!O342)),"")))</x:f>
        <x:v>5</x:v>
      </x:c>
      <x:c r="Q342" t="n">
        <x:f>IF(ISNUMBER('Quantification_Results'!P342),IFERROR(ROUND(((('Quantification_Results'!P342-'Quantification_Config'!$S$9)/('Quantification_Config'!$T$9-'Quantification_Config'!$S$9))*100),'Quantification_Config'!$U$2),""),"")</x:f>
        <x:v>50</x:v>
      </x:c>
      <x:c r="R342" t="inlineStr">
        <x:is>
          <x:t xml:space="preserve">SYSTEM-TEST-ONLY-NO-NETWORK-NOT-AN-EDUCATIONAL-EVALUATION</x:t>
        </x:is>
      </x:c>
      <x:c r="S342" t="inlineStr">
        <x:is>
          <x:t xml:space="preserve"/>
        </x:is>
      </x:c>
      <x:c r="T342" t="inlineStr">
        <x:is>
          <x:t xml:space="preserve">NONE</x:t>
        </x:is>
      </x:c>
      <x:c r="U342" t="inlineStr">
        <x:is>
          <x:t xml:space="preserve"/>
        </x:is>
      </x:c>
      <x:c r="V342" t="inlineStr">
        <x:is>
          <x:t xml:space="preserve">SUCCESS</x:t>
        </x:is>
      </x:c>
      <x:c r="W342" t="n">
        <x:f>IF((COUNT('Quantification_Results'!Q342)=1),IFERROR(ROUND((SUM(('Quantification_Results'!Q342*'Quantification_Config'!$R$9))/SUM('Quantification_Config'!$R$9)),'Quantification_Config'!$U$2),""),"")</x:f>
        <x:v>50</x:v>
      </x:c>
      <x:c r="X342" t="n">
        <x:f>IF((COUNT('Quantification_Results'!W342)=1),IFERROR(ROUND((SUM(('Quantification_Results'!W342*'Quantification_Config'!$R$8))/SUM('Quantification_Config'!$R$8)),'Quantification_Config'!$U$2),""),"")</x:f>
        <x:v>50</x:v>
      </x:c>
      <x:c r="Y342" t="n">
        <x:v>0</x:v>
      </x:c>
      <x:c r="Z342"/>
      <x:c r="AA342"/>
      <x:c r="AB342">
        <x:f>IF(('Quantification_Results'!Y342&lt;&gt;1),"",IF(('Quantification_Results'!AA342=""),IF(ISNUMBER('Quantification_Results'!Z342),IF(('Quantification_Results'!Z342&lt;'Quantification_Config'!$S$12),"",IF(('Quantification_Results'!Z342&gt;'Quantification_Config'!$T$12),"",'Quantification_Results'!Z342)),""),IF(ISNUMBER('Quantification_Results'!AA342),IF(('Quantification_Results'!AA342&lt;'Quantification_Config'!$S$12),"",IF(('Quantification_Results'!AA342&gt;'Quantification_Config'!$T$12),"",'Quantification_Results'!AA342)),"")))</x:f>
      </x:c>
      <x:c r="AC342">
        <x:f>IF(ISNUMBER('Quantification_Results'!AB342),IFERROR(ROUND(((('Quantification_Results'!AB342-'Quantification_Config'!$S$12)/('Quantification_Config'!$T$12-'Quantification_Config'!$S$12))*100),'Quantification_Config'!$U$2),""),"")</x:f>
      </x:c>
      <x:c r="AD342" t="inlineStr">
        <x:is>
          <x:t xml:space="preserve"/>
        </x:is>
      </x:c>
      <x:c r="AE342" t="inlineStr">
        <x:is>
          <x:t xml:space="preserve"/>
        </x:is>
      </x:c>
      <x:c r="AF342" t="inlineStr">
        <x:is>
          <x:t xml:space="preserve"/>
        </x:is>
      </x:c>
      <x:c r="AG342" t="inlineStr">
        <x:is>
          <x:t xml:space="preserve"/>
        </x:is>
      </x:c>
      <x:c r="AH342" t="inlineStr">
        <x:is>
          <x:t xml:space="preserve">EMPTY</x:t>
        </x:is>
      </x:c>
      <x:c r="AI342">
        <x:f>IF((COUNT('Quantification_Results'!AC342)=1),IFERROR(ROUND((SUM(('Quantification_Results'!AC342*'Quantification_Config'!$R$12))/SUM('Quantification_Config'!$R$12)),'Quantification_Config'!$U$2),""),"")</x:f>
      </x:c>
      <x:c r="AJ342">
        <x:f>IF((COUNT('Quantification_Results'!AI342)=1),IFERROR(ROUND((SUM(('Quantification_Results'!AI342*'Quantification_Config'!$R$11))/SUM('Quantification_Config'!$R$11)),'Quantification_Config'!$U$2),""),"")</x:f>
      </x:c>
      <x:c r="AK342" t="n">
        <x:v>1</x:v>
      </x:c>
      <x:c r="AL342" t="n">
        <x:v>5</x:v>
      </x:c>
      <x:c r="AM342"/>
      <x:c r="AN342" t="n">
        <x:f>IF(('Quantification_Results'!AK342&lt;&gt;1),"",IF(('Quantification_Results'!AM342=""),IF(ISNUMBER('Quantification_Results'!AL342),IF(('Quantification_Results'!AL342&lt;'Quantification_Config'!$S$15),"",IF(('Quantification_Results'!AL342&gt;'Quantification_Config'!$T$15),"",'Quantification_Results'!AL342)),""),IF(ISNUMBER('Quantification_Results'!AM342),IF(('Quantification_Results'!AM342&lt;'Quantification_Config'!$S$15),"",IF(('Quantification_Results'!AM342&gt;'Quantification_Config'!$T$15),"",'Quantification_Results'!AM342)),"")))</x:f>
        <x:v>5</x:v>
      </x:c>
      <x:c r="AO342" t="n">
        <x:f>IF(ISNUMBER('Quantification_Results'!AN342),IFERROR(ROUND(((('Quantification_Results'!AN342-'Quantification_Config'!$S$15)/('Quantification_Config'!$T$15-'Quantification_Config'!$S$15))*100),'Quantification_Config'!$U$2),""),"")</x:f>
        <x:v>50</x:v>
      </x:c>
      <x:c r="AP342" t="inlineStr">
        <x:is>
          <x:t xml:space="preserve">SYSTEM-TEST-ONLY-NO-NETWORK-NOT-AN-EDUCATIONAL-EVALUATION</x:t>
        </x:is>
      </x:c>
      <x:c r="AQ342" t="inlineStr">
        <x:is>
          <x:t xml:space="preserve"/>
        </x:is>
      </x:c>
      <x:c r="AR342" t="inlineStr">
        <x:is>
          <x:t xml:space="preserve">NONE</x:t>
        </x:is>
      </x:c>
      <x:c r="AS342" t="inlineStr">
        <x:is>
          <x:t xml:space="preserve"/>
        </x:is>
      </x:c>
      <x:c r="AT342" t="inlineStr">
        <x:is>
          <x:t xml:space="preserve">SUCCESS</x:t>
        </x:is>
      </x:c>
      <x:c r="AU342" t="n">
        <x:f>IF((COUNT('Quantification_Results'!AO342)=1),IFERROR(ROUND((SUM(('Quantification_Results'!AO342*'Quantification_Config'!$R$15))/SUM('Quantification_Config'!$R$15)),'Quantification_Config'!$U$2),""),"")</x:f>
        <x:v>50</x:v>
      </x:c>
      <x:c r="AV342" t="n">
        <x:f>IF((COUNT('Quantification_Results'!AU342)=1),IFERROR(ROUND((SUM(('Quantification_Results'!AU342*'Quantification_Config'!$R$14))/SUM('Quantification_Config'!$R$14)),'Quantification_Config'!$U$2),""),"")</x:f>
        <x:v>50</x:v>
      </x:c>
      <x:c r="AW342" t="n">
        <x:v>1</x:v>
      </x:c>
      <x:c r="AX342" t="n">
        <x:v>5</x:v>
      </x:c>
      <x:c r="AY342"/>
      <x:c r="AZ342" t="n">
        <x:f>IF(('Quantification_Results'!AW342&lt;&gt;1),"",IF(('Quantification_Results'!AY342=""),IF(ISNUMBER('Quantification_Results'!AX342),IF(('Quantification_Results'!AX342&lt;'Quantification_Config'!$S$19),"",IF(('Quantification_Results'!AX342&gt;'Quantification_Config'!$T$19),"",'Quantification_Results'!AX342)),""),IF(ISNUMBER('Quantification_Results'!AY342),IF(('Quantification_Results'!AY342&lt;'Quantification_Config'!$S$19),"",IF(('Quantification_Results'!AY342&gt;'Quantification_Config'!$T$19),"",'Quantification_Results'!AY342)),"")))</x:f>
        <x:v>5</x:v>
      </x:c>
      <x:c r="BA342" t="n">
        <x:f>IF(ISNUMBER('Quantification_Results'!AZ342),IFERROR(ROUND(((('Quantification_Results'!AZ342-'Quantification_Config'!$S$19)/('Quantification_Config'!$T$19-'Quantification_Config'!$S$19))*100),'Quantification_Config'!$U$2),""),"")</x:f>
        <x:v>50</x:v>
      </x:c>
      <x:c r="BB342" t="inlineStr">
        <x:is>
          <x:t xml:space="preserve">SYSTEM-TEST-ONLY-NO-NETWORK-NOT-AN-EDUCATIONAL-EVALUATION</x:t>
        </x:is>
      </x:c>
      <x:c r="BC342" t="inlineStr">
        <x:is>
          <x:t xml:space="preserve"/>
        </x:is>
      </x:c>
      <x:c r="BD342" t="inlineStr">
        <x:is>
          <x:t xml:space="preserve">NONE</x:t>
        </x:is>
      </x:c>
      <x:c r="BE342" t="inlineStr">
        <x:is>
          <x:t xml:space="preserve"/>
        </x:is>
      </x:c>
      <x:c r="BF342" t="inlineStr">
        <x:is>
          <x:t xml:space="preserve">SUCCESS</x:t>
        </x:is>
      </x:c>
      <x:c r="BG342" t="n">
        <x:f>IF((COUNT('Quantification_Results'!BA342)=1),IFERROR(ROUND((SUM(('Quantification_Results'!BA342*'Quantification_Config'!$R$19))/SUM('Quantification_Config'!$R$19)),'Quantification_Config'!$U$2),""),"")</x:f>
        <x:v>50</x:v>
      </x:c>
      <x:c r="BH342" t="n">
        <x:f>IF((COUNT('Quantification_Results'!BG342)=1),IFERROR(ROUND((SUM(('Quantification_Results'!BG342*'Quantification_Config'!$R$18))/SUM('Quantification_Config'!$R$18)),'Quantification_Config'!$U$2),""),"")</x:f>
        <x:v>50</x:v>
      </x:c>
      <x:c r="BI342">
        <x:f>IF((COUNT('Quantification_Results'!L342,'Quantification_Results'!X342,'Quantification_Results'!AJ342,'Quantification_Results'!AV342,'Quantification_Results'!BH342)=5),IFERROR(ROUND((SUM(('Quantification_Results'!L342*'Quantification_Config'!$R$4),('Quantification_Results'!X342*'Quantification_Config'!$R$7),('Quantification_Results'!AJ342*'Quantification_Config'!$R$10),('Quantification_Results'!AV342*'Quantification_Config'!$R$13),('Quantification_Results'!BH342*'Quantification_Config'!$R$16))/SUM('Quantification_Config'!$R$4,'Quantification_Config'!$R$7,'Quantification_Config'!$R$10,'Quantification_Config'!$R$13,'Quantification_Config'!$R$16)),'Quantification_Config'!$U$2),""),"")</x:f>
      </x:c>
    </x:row>
    <x:row r="343">
      <x:c r="A343" t="n">
        <x:v>1</x:v>
      </x:c>
      <x:c r="B343" t="n">
        <x:v>5</x:v>
      </x:c>
      <x:c r="C343"/>
      <x:c r="D343" t="n">
        <x:f>IF(('Quantification_Results'!A343&lt;&gt;1),"",IF(('Quantification_Results'!C343=""),IF(ISNUMBER('Quantification_Results'!B343),IF(('Quantification_Results'!B343&lt;'Quantification_Config'!$S$6),"",IF(('Quantification_Results'!B343&gt;'Quantification_Config'!$T$6),"",'Quantification_Results'!B343)),""),IF(ISNUMBER('Quantification_Results'!C343),IF(('Quantification_Results'!C343&lt;'Quantification_Config'!$S$6),"",IF(('Quantification_Results'!C343&gt;'Quantification_Config'!$T$6),"",'Quantification_Results'!C343)),"")))</x:f>
        <x:v>5</x:v>
      </x:c>
      <x:c r="E343" t="n">
        <x:f>IF(ISNUMBER('Quantification_Results'!D343),IFERROR(ROUND(((('Quantification_Results'!D343-'Quantification_Config'!$S$6)/('Quantification_Config'!$T$6-'Quantification_Config'!$S$6))*100),'Quantification_Config'!$U$2),""),"")</x:f>
        <x:v>50</x:v>
      </x:c>
      <x:c r="F343" t="inlineStr">
        <x:is>
          <x:t xml:space="preserve">SYSTEM-TEST-ONLY-NO-NETWORK-NOT-AN-EDUCATIONAL-EVALUATION</x:t>
        </x:is>
      </x:c>
      <x:c r="G343" t="inlineStr">
        <x:is>
          <x:t xml:space="preserve"/>
        </x:is>
      </x:c>
      <x:c r="H343" t="inlineStr">
        <x:is>
          <x:t xml:space="preserve">NONE</x:t>
        </x:is>
      </x:c>
      <x:c r="I343" t="inlineStr">
        <x:is>
          <x:t xml:space="preserve"/>
        </x:is>
      </x:c>
      <x:c r="J343" t="inlineStr">
        <x:is>
          <x:t xml:space="preserve">SUCCESS</x:t>
        </x:is>
      </x:c>
      <x:c r="K343" t="n">
        <x:f>IF((COUNT('Quantification_Results'!E343)=1),IFERROR(ROUND((SUM(('Quantification_Results'!E343*'Quantification_Config'!$R$6))/SUM('Quantification_Config'!$R$6)),'Quantification_Config'!$U$2),""),"")</x:f>
        <x:v>50</x:v>
      </x:c>
      <x:c r="L343" t="n">
        <x:f>IF((COUNT('Quantification_Results'!K343)=1),IFERROR(ROUND((SUM(('Quantification_Results'!K343*'Quantification_Config'!$R$5))/SUM('Quantification_Config'!$R$5)),'Quantification_Config'!$U$2),""),"")</x:f>
        <x:v>50</x:v>
      </x:c>
      <x:c r="M343" t="n">
        <x:v>1</x:v>
      </x:c>
      <x:c r="N343" t="n">
        <x:v>5</x:v>
      </x:c>
      <x:c r="O343"/>
      <x:c r="P343" t="n">
        <x:f>IF(('Quantification_Results'!M343&lt;&gt;1),"",IF(('Quantification_Results'!O343=""),IF(ISNUMBER('Quantification_Results'!N343),IF(('Quantification_Results'!N343&lt;'Quantification_Config'!$S$9),"",IF(('Quantification_Results'!N343&gt;'Quantification_Config'!$T$9),"",'Quantification_Results'!N343)),""),IF(ISNUMBER('Quantification_Results'!O343),IF(('Quantification_Results'!O343&lt;'Quantification_Config'!$S$9),"",IF(('Quantification_Results'!O343&gt;'Quantification_Config'!$T$9),"",'Quantification_Results'!O343)),"")))</x:f>
        <x:v>5</x:v>
      </x:c>
      <x:c r="Q343" t="n">
        <x:f>IF(ISNUMBER('Quantification_Results'!P343),IFERROR(ROUND(((('Quantification_Results'!P343-'Quantification_Config'!$S$9)/('Quantification_Config'!$T$9-'Quantification_Config'!$S$9))*100),'Quantification_Config'!$U$2),""),"")</x:f>
        <x:v>50</x:v>
      </x:c>
      <x:c r="R343" t="inlineStr">
        <x:is>
          <x:t xml:space="preserve">SYSTEM-TEST-ONLY-NO-NETWORK-NOT-AN-EDUCATIONAL-EVALUATION</x:t>
        </x:is>
      </x:c>
      <x:c r="S343" t="inlineStr">
        <x:is>
          <x:t xml:space="preserve"/>
        </x:is>
      </x:c>
      <x:c r="T343" t="inlineStr">
        <x:is>
          <x:t xml:space="preserve">NONE</x:t>
        </x:is>
      </x:c>
      <x:c r="U343" t="inlineStr">
        <x:is>
          <x:t xml:space="preserve"/>
        </x:is>
      </x:c>
      <x:c r="V343" t="inlineStr">
        <x:is>
          <x:t xml:space="preserve">SUCCESS</x:t>
        </x:is>
      </x:c>
      <x:c r="W343" t="n">
        <x:f>IF((COUNT('Quantification_Results'!Q343)=1),IFERROR(ROUND((SUM(('Quantification_Results'!Q343*'Quantification_Config'!$R$9))/SUM('Quantification_Config'!$R$9)),'Quantification_Config'!$U$2),""),"")</x:f>
        <x:v>50</x:v>
      </x:c>
      <x:c r="X343" t="n">
        <x:f>IF((COUNT('Quantification_Results'!W343)=1),IFERROR(ROUND((SUM(('Quantification_Results'!W343*'Quantification_Config'!$R$8))/SUM('Quantification_Config'!$R$8)),'Quantification_Config'!$U$2),""),"")</x:f>
        <x:v>50</x:v>
      </x:c>
      <x:c r="Y343" t="n">
        <x:v>0</x:v>
      </x:c>
      <x:c r="Z343"/>
      <x:c r="AA343"/>
      <x:c r="AB343">
        <x:f>IF(('Quantification_Results'!Y343&lt;&gt;1),"",IF(('Quantification_Results'!AA343=""),IF(ISNUMBER('Quantification_Results'!Z343),IF(('Quantification_Results'!Z343&lt;'Quantification_Config'!$S$12),"",IF(('Quantification_Results'!Z343&gt;'Quantification_Config'!$T$12),"",'Quantification_Results'!Z343)),""),IF(ISNUMBER('Quantification_Results'!AA343),IF(('Quantification_Results'!AA343&lt;'Quantification_Config'!$S$12),"",IF(('Quantification_Results'!AA343&gt;'Quantification_Config'!$T$12),"",'Quantification_Results'!AA343)),"")))</x:f>
      </x:c>
      <x:c r="AC343">
        <x:f>IF(ISNUMBER('Quantification_Results'!AB343),IFERROR(ROUND(((('Quantification_Results'!AB343-'Quantification_Config'!$S$12)/('Quantification_Config'!$T$12-'Quantification_Config'!$S$12))*100),'Quantification_Config'!$U$2),""),"")</x:f>
      </x:c>
      <x:c r="AD343" t="inlineStr">
        <x:is>
          <x:t xml:space="preserve"/>
        </x:is>
      </x:c>
      <x:c r="AE343" t="inlineStr">
        <x:is>
          <x:t xml:space="preserve"/>
        </x:is>
      </x:c>
      <x:c r="AF343" t="inlineStr">
        <x:is>
          <x:t xml:space="preserve"/>
        </x:is>
      </x:c>
      <x:c r="AG343" t="inlineStr">
        <x:is>
          <x:t xml:space="preserve"/>
        </x:is>
      </x:c>
      <x:c r="AH343" t="inlineStr">
        <x:is>
          <x:t xml:space="preserve">EMPTY</x:t>
        </x:is>
      </x:c>
      <x:c r="AI343">
        <x:f>IF((COUNT('Quantification_Results'!AC343)=1),IFERROR(ROUND((SUM(('Quantification_Results'!AC343*'Quantification_Config'!$R$12))/SUM('Quantification_Config'!$R$12)),'Quantification_Config'!$U$2),""),"")</x:f>
      </x:c>
      <x:c r="AJ343">
        <x:f>IF((COUNT('Quantification_Results'!AI343)=1),IFERROR(ROUND((SUM(('Quantification_Results'!AI343*'Quantification_Config'!$R$11))/SUM('Quantification_Config'!$R$11)),'Quantification_Config'!$U$2),""),"")</x:f>
      </x:c>
      <x:c r="AK343" t="n">
        <x:v>1</x:v>
      </x:c>
      <x:c r="AL343" t="n">
        <x:v>5</x:v>
      </x:c>
      <x:c r="AM343"/>
      <x:c r="AN343" t="n">
        <x:f>IF(('Quantification_Results'!AK343&lt;&gt;1),"",IF(('Quantification_Results'!AM343=""),IF(ISNUMBER('Quantification_Results'!AL343),IF(('Quantification_Results'!AL343&lt;'Quantification_Config'!$S$15),"",IF(('Quantification_Results'!AL343&gt;'Quantification_Config'!$T$15),"",'Quantification_Results'!AL343)),""),IF(ISNUMBER('Quantification_Results'!AM343),IF(('Quantification_Results'!AM343&lt;'Quantification_Config'!$S$15),"",IF(('Quantification_Results'!AM343&gt;'Quantification_Config'!$T$15),"",'Quantification_Results'!AM343)),"")))</x:f>
        <x:v>5</x:v>
      </x:c>
      <x:c r="AO343" t="n">
        <x:f>IF(ISNUMBER('Quantification_Results'!AN343),IFERROR(ROUND(((('Quantification_Results'!AN343-'Quantification_Config'!$S$15)/('Quantification_Config'!$T$15-'Quantification_Config'!$S$15))*100),'Quantification_Config'!$U$2),""),"")</x:f>
        <x:v>50</x:v>
      </x:c>
      <x:c r="AP343" t="inlineStr">
        <x:is>
          <x:t xml:space="preserve">SYSTEM-TEST-ONLY-NO-NETWORK-NOT-AN-EDUCATIONAL-EVALUATION</x:t>
        </x:is>
      </x:c>
      <x:c r="AQ343" t="inlineStr">
        <x:is>
          <x:t xml:space="preserve"/>
        </x:is>
      </x:c>
      <x:c r="AR343" t="inlineStr">
        <x:is>
          <x:t xml:space="preserve">NONE</x:t>
        </x:is>
      </x:c>
      <x:c r="AS343" t="inlineStr">
        <x:is>
          <x:t xml:space="preserve"/>
        </x:is>
      </x:c>
      <x:c r="AT343" t="inlineStr">
        <x:is>
          <x:t xml:space="preserve">SUCCESS</x:t>
        </x:is>
      </x:c>
      <x:c r="AU343" t="n">
        <x:f>IF((COUNT('Quantification_Results'!AO343)=1),IFERROR(ROUND((SUM(('Quantification_Results'!AO343*'Quantification_Config'!$R$15))/SUM('Quantification_Config'!$R$15)),'Quantification_Config'!$U$2),""),"")</x:f>
        <x:v>50</x:v>
      </x:c>
      <x:c r="AV343" t="n">
        <x:f>IF((COUNT('Quantification_Results'!AU343)=1),IFERROR(ROUND((SUM(('Quantification_Results'!AU343*'Quantification_Config'!$R$14))/SUM('Quantification_Config'!$R$14)),'Quantification_Config'!$U$2),""),"")</x:f>
        <x:v>50</x:v>
      </x:c>
      <x:c r="AW343" t="n">
        <x:v>1</x:v>
      </x:c>
      <x:c r="AX343" t="n">
        <x:v>5</x:v>
      </x:c>
      <x:c r="AY343"/>
      <x:c r="AZ343" t="n">
        <x:f>IF(('Quantification_Results'!AW343&lt;&gt;1),"",IF(('Quantification_Results'!AY343=""),IF(ISNUMBER('Quantification_Results'!AX343),IF(('Quantification_Results'!AX343&lt;'Quantification_Config'!$S$19),"",IF(('Quantification_Results'!AX343&gt;'Quantification_Config'!$T$19),"",'Quantification_Results'!AX343)),""),IF(ISNUMBER('Quantification_Results'!AY343),IF(('Quantification_Results'!AY343&lt;'Quantification_Config'!$S$19),"",IF(('Quantification_Results'!AY343&gt;'Quantification_Config'!$T$19),"",'Quantification_Results'!AY343)),"")))</x:f>
        <x:v>5</x:v>
      </x:c>
      <x:c r="BA343" t="n">
        <x:f>IF(ISNUMBER('Quantification_Results'!AZ343),IFERROR(ROUND(((('Quantification_Results'!AZ343-'Quantification_Config'!$S$19)/('Quantification_Config'!$T$19-'Quantification_Config'!$S$19))*100),'Quantification_Config'!$U$2),""),"")</x:f>
        <x:v>50</x:v>
      </x:c>
      <x:c r="BB343" t="inlineStr">
        <x:is>
          <x:t xml:space="preserve">SYSTEM-TEST-ONLY-NO-NETWORK-NOT-AN-EDUCATIONAL-EVALUATION</x:t>
        </x:is>
      </x:c>
      <x:c r="BC343" t="inlineStr">
        <x:is>
          <x:t xml:space="preserve"/>
        </x:is>
      </x:c>
      <x:c r="BD343" t="inlineStr">
        <x:is>
          <x:t xml:space="preserve">NONE</x:t>
        </x:is>
      </x:c>
      <x:c r="BE343" t="inlineStr">
        <x:is>
          <x:t xml:space="preserve"/>
        </x:is>
      </x:c>
      <x:c r="BF343" t="inlineStr">
        <x:is>
          <x:t xml:space="preserve">SUCCESS</x:t>
        </x:is>
      </x:c>
      <x:c r="BG343" t="n">
        <x:f>IF((COUNT('Quantification_Results'!BA343)=1),IFERROR(ROUND((SUM(('Quantification_Results'!BA343*'Quantification_Config'!$R$19))/SUM('Quantification_Config'!$R$19)),'Quantification_Config'!$U$2),""),"")</x:f>
        <x:v>50</x:v>
      </x:c>
      <x:c r="BH343" t="n">
        <x:f>IF((COUNT('Quantification_Results'!BG343)=1),IFERROR(ROUND((SUM(('Quantification_Results'!BG343*'Quantification_Config'!$R$18))/SUM('Quantification_Config'!$R$18)),'Quantification_Config'!$U$2),""),"")</x:f>
        <x:v>50</x:v>
      </x:c>
      <x:c r="BI343">
        <x:f>IF((COUNT('Quantification_Results'!L343,'Quantification_Results'!X343,'Quantification_Results'!AJ343,'Quantification_Results'!AV343,'Quantification_Results'!BH343)=5),IFERROR(ROUND((SUM(('Quantification_Results'!L343*'Quantification_Config'!$R$4),('Quantification_Results'!X343*'Quantification_Config'!$R$7),('Quantification_Results'!AJ343*'Quantification_Config'!$R$10),('Quantification_Results'!AV343*'Quantification_Config'!$R$13),('Quantification_Results'!BH343*'Quantification_Config'!$R$16))/SUM('Quantification_Config'!$R$4,'Quantification_Config'!$R$7,'Quantification_Config'!$R$10,'Quantification_Config'!$R$13,'Quantification_Config'!$R$16)),'Quantification_Config'!$U$2),""),"")</x:f>
      </x:c>
    </x:row>
    <x:row r="344">
      <x:c r="A344" t="n">
        <x:v>1</x:v>
      </x:c>
      <x:c r="B344" t="n">
        <x:v>5</x:v>
      </x:c>
      <x:c r="C344"/>
      <x:c r="D344" t="n">
        <x:f>IF(('Quantification_Results'!A344&lt;&gt;1),"",IF(('Quantification_Results'!C344=""),IF(ISNUMBER('Quantification_Results'!B344),IF(('Quantification_Results'!B344&lt;'Quantification_Config'!$S$6),"",IF(('Quantification_Results'!B344&gt;'Quantification_Config'!$T$6),"",'Quantification_Results'!B344)),""),IF(ISNUMBER('Quantification_Results'!C344),IF(('Quantification_Results'!C344&lt;'Quantification_Config'!$S$6),"",IF(('Quantification_Results'!C344&gt;'Quantification_Config'!$T$6),"",'Quantification_Results'!C344)),"")))</x:f>
        <x:v>5</x:v>
      </x:c>
      <x:c r="E344" t="n">
        <x:f>IF(ISNUMBER('Quantification_Results'!D344),IFERROR(ROUND(((('Quantification_Results'!D344-'Quantification_Config'!$S$6)/('Quantification_Config'!$T$6-'Quantification_Config'!$S$6))*100),'Quantification_Config'!$U$2),""),"")</x:f>
        <x:v>50</x:v>
      </x:c>
      <x:c r="F344" t="inlineStr">
        <x:is>
          <x:t xml:space="preserve">SYSTEM-TEST-ONLY-NO-NETWORK-NOT-AN-EDUCATIONAL-EVALUATION</x:t>
        </x:is>
      </x:c>
      <x:c r="G344" t="inlineStr">
        <x:is>
          <x:t xml:space="preserve"/>
        </x:is>
      </x:c>
      <x:c r="H344" t="inlineStr">
        <x:is>
          <x:t xml:space="preserve">NONE</x:t>
        </x:is>
      </x:c>
      <x:c r="I344" t="inlineStr">
        <x:is>
          <x:t xml:space="preserve"/>
        </x:is>
      </x:c>
      <x:c r="J344" t="inlineStr">
        <x:is>
          <x:t xml:space="preserve">SUCCESS</x:t>
        </x:is>
      </x:c>
      <x:c r="K344" t="n">
        <x:f>IF((COUNT('Quantification_Results'!E344)=1),IFERROR(ROUND((SUM(('Quantification_Results'!E344*'Quantification_Config'!$R$6))/SUM('Quantification_Config'!$R$6)),'Quantification_Config'!$U$2),""),"")</x:f>
        <x:v>50</x:v>
      </x:c>
      <x:c r="L344" t="n">
        <x:f>IF((COUNT('Quantification_Results'!K344)=1),IFERROR(ROUND((SUM(('Quantification_Results'!K344*'Quantification_Config'!$R$5))/SUM('Quantification_Config'!$R$5)),'Quantification_Config'!$U$2),""),"")</x:f>
        <x:v>50</x:v>
      </x:c>
      <x:c r="M344" t="n">
        <x:v>1</x:v>
      </x:c>
      <x:c r="N344" t="n">
        <x:v>5</x:v>
      </x:c>
      <x:c r="O344"/>
      <x:c r="P344" t="n">
        <x:f>IF(('Quantification_Results'!M344&lt;&gt;1),"",IF(('Quantification_Results'!O344=""),IF(ISNUMBER('Quantification_Results'!N344),IF(('Quantification_Results'!N344&lt;'Quantification_Config'!$S$9),"",IF(('Quantification_Results'!N344&gt;'Quantification_Config'!$T$9),"",'Quantification_Results'!N344)),""),IF(ISNUMBER('Quantification_Results'!O344),IF(('Quantification_Results'!O344&lt;'Quantification_Config'!$S$9),"",IF(('Quantification_Results'!O344&gt;'Quantification_Config'!$T$9),"",'Quantification_Results'!O344)),"")))</x:f>
        <x:v>5</x:v>
      </x:c>
      <x:c r="Q344" t="n">
        <x:f>IF(ISNUMBER('Quantification_Results'!P344),IFERROR(ROUND(((('Quantification_Results'!P344-'Quantification_Config'!$S$9)/('Quantification_Config'!$T$9-'Quantification_Config'!$S$9))*100),'Quantification_Config'!$U$2),""),"")</x:f>
        <x:v>50</x:v>
      </x:c>
      <x:c r="R344" t="inlineStr">
        <x:is>
          <x:t xml:space="preserve">SYSTEM-TEST-ONLY-NO-NETWORK-NOT-AN-EDUCATIONAL-EVALUATION</x:t>
        </x:is>
      </x:c>
      <x:c r="S344" t="inlineStr">
        <x:is>
          <x:t xml:space="preserve"/>
        </x:is>
      </x:c>
      <x:c r="T344" t="inlineStr">
        <x:is>
          <x:t xml:space="preserve">NONE</x:t>
        </x:is>
      </x:c>
      <x:c r="U344" t="inlineStr">
        <x:is>
          <x:t xml:space="preserve"/>
        </x:is>
      </x:c>
      <x:c r="V344" t="inlineStr">
        <x:is>
          <x:t xml:space="preserve">SUCCESS</x:t>
        </x:is>
      </x:c>
      <x:c r="W344" t="n">
        <x:f>IF((COUNT('Quantification_Results'!Q344)=1),IFERROR(ROUND((SUM(('Quantification_Results'!Q344*'Quantification_Config'!$R$9))/SUM('Quantification_Config'!$R$9)),'Quantification_Config'!$U$2),""),"")</x:f>
        <x:v>50</x:v>
      </x:c>
      <x:c r="X344" t="n">
        <x:f>IF((COUNT('Quantification_Results'!W344)=1),IFERROR(ROUND((SUM(('Quantification_Results'!W344*'Quantification_Config'!$R$8))/SUM('Quantification_Config'!$R$8)),'Quantification_Config'!$U$2),""),"")</x:f>
        <x:v>50</x:v>
      </x:c>
      <x:c r="Y344" t="n">
        <x:v>0</x:v>
      </x:c>
      <x:c r="Z344"/>
      <x:c r="AA344"/>
      <x:c r="AB344">
        <x:f>IF(('Quantification_Results'!Y344&lt;&gt;1),"",IF(('Quantification_Results'!AA344=""),IF(ISNUMBER('Quantification_Results'!Z344),IF(('Quantification_Results'!Z344&lt;'Quantification_Config'!$S$12),"",IF(('Quantification_Results'!Z344&gt;'Quantification_Config'!$T$12),"",'Quantification_Results'!Z344)),""),IF(ISNUMBER('Quantification_Results'!AA344),IF(('Quantification_Results'!AA344&lt;'Quantification_Config'!$S$12),"",IF(('Quantification_Results'!AA344&gt;'Quantification_Config'!$T$12),"",'Quantification_Results'!AA344)),"")))</x:f>
      </x:c>
      <x:c r="AC344">
        <x:f>IF(ISNUMBER('Quantification_Results'!AB344),IFERROR(ROUND(((('Quantification_Results'!AB344-'Quantification_Config'!$S$12)/('Quantification_Config'!$T$12-'Quantification_Config'!$S$12))*100),'Quantification_Config'!$U$2),""),"")</x:f>
      </x:c>
      <x:c r="AD344" t="inlineStr">
        <x:is>
          <x:t xml:space="preserve"/>
        </x:is>
      </x:c>
      <x:c r="AE344" t="inlineStr">
        <x:is>
          <x:t xml:space="preserve"/>
        </x:is>
      </x:c>
      <x:c r="AF344" t="inlineStr">
        <x:is>
          <x:t xml:space="preserve"/>
        </x:is>
      </x:c>
      <x:c r="AG344" t="inlineStr">
        <x:is>
          <x:t xml:space="preserve"/>
        </x:is>
      </x:c>
      <x:c r="AH344" t="inlineStr">
        <x:is>
          <x:t xml:space="preserve">EMPTY</x:t>
        </x:is>
      </x:c>
      <x:c r="AI344">
        <x:f>IF((COUNT('Quantification_Results'!AC344)=1),IFERROR(ROUND((SUM(('Quantification_Results'!AC344*'Quantification_Config'!$R$12))/SUM('Quantification_Config'!$R$12)),'Quantification_Config'!$U$2),""),"")</x:f>
      </x:c>
      <x:c r="AJ344">
        <x:f>IF((COUNT('Quantification_Results'!AI344)=1),IFERROR(ROUND((SUM(('Quantification_Results'!AI344*'Quantification_Config'!$R$11))/SUM('Quantification_Config'!$R$11)),'Quantification_Config'!$U$2),""),"")</x:f>
      </x:c>
      <x:c r="AK344" t="n">
        <x:v>1</x:v>
      </x:c>
      <x:c r="AL344" t="n">
        <x:v>5</x:v>
      </x:c>
      <x:c r="AM344"/>
      <x:c r="AN344" t="n">
        <x:f>IF(('Quantification_Results'!AK344&lt;&gt;1),"",IF(('Quantification_Results'!AM344=""),IF(ISNUMBER('Quantification_Results'!AL344),IF(('Quantification_Results'!AL344&lt;'Quantification_Config'!$S$15),"",IF(('Quantification_Results'!AL344&gt;'Quantification_Config'!$T$15),"",'Quantification_Results'!AL344)),""),IF(ISNUMBER('Quantification_Results'!AM344),IF(('Quantification_Results'!AM344&lt;'Quantification_Config'!$S$15),"",IF(('Quantification_Results'!AM344&gt;'Quantification_Config'!$T$15),"",'Quantification_Results'!AM344)),"")))</x:f>
        <x:v>5</x:v>
      </x:c>
      <x:c r="AO344" t="n">
        <x:f>IF(ISNUMBER('Quantification_Results'!AN344),IFERROR(ROUND(((('Quantification_Results'!AN344-'Quantification_Config'!$S$15)/('Quantification_Config'!$T$15-'Quantification_Config'!$S$15))*100),'Quantification_Config'!$U$2),""),"")</x:f>
        <x:v>50</x:v>
      </x:c>
      <x:c r="AP344" t="inlineStr">
        <x:is>
          <x:t xml:space="preserve">SYSTEM-TEST-ONLY-NO-NETWORK-NOT-AN-EDUCATIONAL-EVALUATION</x:t>
        </x:is>
      </x:c>
      <x:c r="AQ344" t="inlineStr">
        <x:is>
          <x:t xml:space="preserve"/>
        </x:is>
      </x:c>
      <x:c r="AR344" t="inlineStr">
        <x:is>
          <x:t xml:space="preserve">NONE</x:t>
        </x:is>
      </x:c>
      <x:c r="AS344" t="inlineStr">
        <x:is>
          <x:t xml:space="preserve"/>
        </x:is>
      </x:c>
      <x:c r="AT344" t="inlineStr">
        <x:is>
          <x:t xml:space="preserve">SUCCESS</x:t>
        </x:is>
      </x:c>
      <x:c r="AU344" t="n">
        <x:f>IF((COUNT('Quantification_Results'!AO344)=1),IFERROR(ROUND((SUM(('Quantification_Results'!AO344*'Quantification_Config'!$R$15))/SUM('Quantification_Config'!$R$15)),'Quantification_Config'!$U$2),""),"")</x:f>
        <x:v>50</x:v>
      </x:c>
      <x:c r="AV344" t="n">
        <x:f>IF((COUNT('Quantification_Results'!AU344)=1),IFERROR(ROUND((SUM(('Quantification_Results'!AU344*'Quantification_Config'!$R$14))/SUM('Quantification_Config'!$R$14)),'Quantification_Config'!$U$2),""),"")</x:f>
        <x:v>50</x:v>
      </x:c>
      <x:c r="AW344" t="n">
        <x:v>1</x:v>
      </x:c>
      <x:c r="AX344" t="n">
        <x:v>5</x:v>
      </x:c>
      <x:c r="AY344"/>
      <x:c r="AZ344" t="n">
        <x:f>IF(('Quantification_Results'!AW344&lt;&gt;1),"",IF(('Quantification_Results'!AY344=""),IF(ISNUMBER('Quantification_Results'!AX344),IF(('Quantification_Results'!AX344&lt;'Quantification_Config'!$S$19),"",IF(('Quantification_Results'!AX344&gt;'Quantification_Config'!$T$19),"",'Quantification_Results'!AX344)),""),IF(ISNUMBER('Quantification_Results'!AY344),IF(('Quantification_Results'!AY344&lt;'Quantification_Config'!$S$19),"",IF(('Quantification_Results'!AY344&gt;'Quantification_Config'!$T$19),"",'Quantification_Results'!AY344)),"")))</x:f>
        <x:v>5</x:v>
      </x:c>
      <x:c r="BA344" t="n">
        <x:f>IF(ISNUMBER('Quantification_Results'!AZ344),IFERROR(ROUND(((('Quantification_Results'!AZ344-'Quantification_Config'!$S$19)/('Quantification_Config'!$T$19-'Quantification_Config'!$S$19))*100),'Quantification_Config'!$U$2),""),"")</x:f>
        <x:v>50</x:v>
      </x:c>
      <x:c r="BB344" t="inlineStr">
        <x:is>
          <x:t xml:space="preserve">SYSTEM-TEST-ONLY-NO-NETWORK-NOT-AN-EDUCATIONAL-EVALUATION</x:t>
        </x:is>
      </x:c>
      <x:c r="BC344" t="inlineStr">
        <x:is>
          <x:t xml:space="preserve"/>
        </x:is>
      </x:c>
      <x:c r="BD344" t="inlineStr">
        <x:is>
          <x:t xml:space="preserve">NONE</x:t>
        </x:is>
      </x:c>
      <x:c r="BE344" t="inlineStr">
        <x:is>
          <x:t xml:space="preserve"/>
        </x:is>
      </x:c>
      <x:c r="BF344" t="inlineStr">
        <x:is>
          <x:t xml:space="preserve">SUCCESS</x:t>
        </x:is>
      </x:c>
      <x:c r="BG344" t="n">
        <x:f>IF((COUNT('Quantification_Results'!BA344)=1),IFERROR(ROUND((SUM(('Quantification_Results'!BA344*'Quantification_Config'!$R$19))/SUM('Quantification_Config'!$R$19)),'Quantification_Config'!$U$2),""),"")</x:f>
        <x:v>50</x:v>
      </x:c>
      <x:c r="BH344" t="n">
        <x:f>IF((COUNT('Quantification_Results'!BG344)=1),IFERROR(ROUND((SUM(('Quantification_Results'!BG344*'Quantification_Config'!$R$18))/SUM('Quantification_Config'!$R$18)),'Quantification_Config'!$U$2),""),"")</x:f>
        <x:v>50</x:v>
      </x:c>
      <x:c r="BI344">
        <x:f>IF((COUNT('Quantification_Results'!L344,'Quantification_Results'!X344,'Quantification_Results'!AJ344,'Quantification_Results'!AV344,'Quantification_Results'!BH344)=5),IFERROR(ROUND((SUM(('Quantification_Results'!L344*'Quantification_Config'!$R$4),('Quantification_Results'!X344*'Quantification_Config'!$R$7),('Quantification_Results'!AJ344*'Quantification_Config'!$R$10),('Quantification_Results'!AV344*'Quantification_Config'!$R$13),('Quantification_Results'!BH344*'Quantification_Config'!$R$16))/SUM('Quantification_Config'!$R$4,'Quantification_Config'!$R$7,'Quantification_Config'!$R$10,'Quantification_Config'!$R$13,'Quantification_Config'!$R$16)),'Quantification_Config'!$U$2),""),"")</x:f>
      </x:c>
    </x:row>
    <x:row r="345">
      <x:c r="A345" t="n">
        <x:v>1</x:v>
      </x:c>
      <x:c r="B345" t="n">
        <x:v>5</x:v>
      </x:c>
      <x:c r="C345"/>
      <x:c r="D345" t="n">
        <x:f>IF(('Quantification_Results'!A345&lt;&gt;1),"",IF(('Quantification_Results'!C345=""),IF(ISNUMBER('Quantification_Results'!B345),IF(('Quantification_Results'!B345&lt;'Quantification_Config'!$S$6),"",IF(('Quantification_Results'!B345&gt;'Quantification_Config'!$T$6),"",'Quantification_Results'!B345)),""),IF(ISNUMBER('Quantification_Results'!C345),IF(('Quantification_Results'!C345&lt;'Quantification_Config'!$S$6),"",IF(('Quantification_Results'!C345&gt;'Quantification_Config'!$T$6),"",'Quantification_Results'!C345)),"")))</x:f>
        <x:v>5</x:v>
      </x:c>
      <x:c r="E345" t="n">
        <x:f>IF(ISNUMBER('Quantification_Results'!D345),IFERROR(ROUND(((('Quantification_Results'!D345-'Quantification_Config'!$S$6)/('Quantification_Config'!$T$6-'Quantification_Config'!$S$6))*100),'Quantification_Config'!$U$2),""),"")</x:f>
        <x:v>50</x:v>
      </x:c>
      <x:c r="F345" t="inlineStr">
        <x:is>
          <x:t xml:space="preserve">SYSTEM-TEST-ONLY-NO-NETWORK-NOT-AN-EDUCATIONAL-EVALUATION</x:t>
        </x:is>
      </x:c>
      <x:c r="G345" t="inlineStr">
        <x:is>
          <x:t xml:space="preserve"/>
        </x:is>
      </x:c>
      <x:c r="H345" t="inlineStr">
        <x:is>
          <x:t xml:space="preserve">NONE</x:t>
        </x:is>
      </x:c>
      <x:c r="I345" t="inlineStr">
        <x:is>
          <x:t xml:space="preserve"/>
        </x:is>
      </x:c>
      <x:c r="J345" t="inlineStr">
        <x:is>
          <x:t xml:space="preserve">SUCCESS</x:t>
        </x:is>
      </x:c>
      <x:c r="K345" t="n">
        <x:f>IF((COUNT('Quantification_Results'!E345)=1),IFERROR(ROUND((SUM(('Quantification_Results'!E345*'Quantification_Config'!$R$6))/SUM('Quantification_Config'!$R$6)),'Quantification_Config'!$U$2),""),"")</x:f>
        <x:v>50</x:v>
      </x:c>
      <x:c r="L345" t="n">
        <x:f>IF((COUNT('Quantification_Results'!K345)=1),IFERROR(ROUND((SUM(('Quantification_Results'!K345*'Quantification_Config'!$R$5))/SUM('Quantification_Config'!$R$5)),'Quantification_Config'!$U$2),""),"")</x:f>
        <x:v>50</x:v>
      </x:c>
      <x:c r="M345" t="n">
        <x:v>1</x:v>
      </x:c>
      <x:c r="N345" t="n">
        <x:v>5</x:v>
      </x:c>
      <x:c r="O345"/>
      <x:c r="P345" t="n">
        <x:f>IF(('Quantification_Results'!M345&lt;&gt;1),"",IF(('Quantification_Results'!O345=""),IF(ISNUMBER('Quantification_Results'!N345),IF(('Quantification_Results'!N345&lt;'Quantification_Config'!$S$9),"",IF(('Quantification_Results'!N345&gt;'Quantification_Config'!$T$9),"",'Quantification_Results'!N345)),""),IF(ISNUMBER('Quantification_Results'!O345),IF(('Quantification_Results'!O345&lt;'Quantification_Config'!$S$9),"",IF(('Quantification_Results'!O345&gt;'Quantification_Config'!$T$9),"",'Quantification_Results'!O345)),"")))</x:f>
        <x:v>5</x:v>
      </x:c>
      <x:c r="Q345" t="n">
        <x:f>IF(ISNUMBER('Quantification_Results'!P345),IFERROR(ROUND(((('Quantification_Results'!P345-'Quantification_Config'!$S$9)/('Quantification_Config'!$T$9-'Quantification_Config'!$S$9))*100),'Quantification_Config'!$U$2),""),"")</x:f>
        <x:v>50</x:v>
      </x:c>
      <x:c r="R345" t="inlineStr">
        <x:is>
          <x:t xml:space="preserve">SYSTEM-TEST-ONLY-NO-NETWORK-NOT-AN-EDUCATIONAL-EVALUATION</x:t>
        </x:is>
      </x:c>
      <x:c r="S345" t="inlineStr">
        <x:is>
          <x:t xml:space="preserve"/>
        </x:is>
      </x:c>
      <x:c r="T345" t="inlineStr">
        <x:is>
          <x:t xml:space="preserve">NONE</x:t>
        </x:is>
      </x:c>
      <x:c r="U345" t="inlineStr">
        <x:is>
          <x:t xml:space="preserve"/>
        </x:is>
      </x:c>
      <x:c r="V345" t="inlineStr">
        <x:is>
          <x:t xml:space="preserve">SUCCESS</x:t>
        </x:is>
      </x:c>
      <x:c r="W345" t="n">
        <x:f>IF((COUNT('Quantification_Results'!Q345)=1),IFERROR(ROUND((SUM(('Quantification_Results'!Q345*'Quantification_Config'!$R$9))/SUM('Quantification_Config'!$R$9)),'Quantification_Config'!$U$2),""),"")</x:f>
        <x:v>50</x:v>
      </x:c>
      <x:c r="X345" t="n">
        <x:f>IF((COUNT('Quantification_Results'!W345)=1),IFERROR(ROUND((SUM(('Quantification_Results'!W345*'Quantification_Config'!$R$8))/SUM('Quantification_Config'!$R$8)),'Quantification_Config'!$U$2),""),"")</x:f>
        <x:v>50</x:v>
      </x:c>
      <x:c r="Y345" t="n">
        <x:v>0</x:v>
      </x:c>
      <x:c r="Z345"/>
      <x:c r="AA345"/>
      <x:c r="AB345">
        <x:f>IF(('Quantification_Results'!Y345&lt;&gt;1),"",IF(('Quantification_Results'!AA345=""),IF(ISNUMBER('Quantification_Results'!Z345),IF(('Quantification_Results'!Z345&lt;'Quantification_Config'!$S$12),"",IF(('Quantification_Results'!Z345&gt;'Quantification_Config'!$T$12),"",'Quantification_Results'!Z345)),""),IF(ISNUMBER('Quantification_Results'!AA345),IF(('Quantification_Results'!AA345&lt;'Quantification_Config'!$S$12),"",IF(('Quantification_Results'!AA345&gt;'Quantification_Config'!$T$12),"",'Quantification_Results'!AA345)),"")))</x:f>
      </x:c>
      <x:c r="AC345">
        <x:f>IF(ISNUMBER('Quantification_Results'!AB345),IFERROR(ROUND(((('Quantification_Results'!AB345-'Quantification_Config'!$S$12)/('Quantification_Config'!$T$12-'Quantification_Config'!$S$12))*100),'Quantification_Config'!$U$2),""),"")</x:f>
      </x:c>
      <x:c r="AD345" t="inlineStr">
        <x:is>
          <x:t xml:space="preserve"/>
        </x:is>
      </x:c>
      <x:c r="AE345" t="inlineStr">
        <x:is>
          <x:t xml:space="preserve"/>
        </x:is>
      </x:c>
      <x:c r="AF345" t="inlineStr">
        <x:is>
          <x:t xml:space="preserve"/>
        </x:is>
      </x:c>
      <x:c r="AG345" t="inlineStr">
        <x:is>
          <x:t xml:space="preserve"/>
        </x:is>
      </x:c>
      <x:c r="AH345" t="inlineStr">
        <x:is>
          <x:t xml:space="preserve">EMPTY</x:t>
        </x:is>
      </x:c>
      <x:c r="AI345">
        <x:f>IF((COUNT('Quantification_Results'!AC345)=1),IFERROR(ROUND((SUM(('Quantification_Results'!AC345*'Quantification_Config'!$R$12))/SUM('Quantification_Config'!$R$12)),'Quantification_Config'!$U$2),""),"")</x:f>
      </x:c>
      <x:c r="AJ345">
        <x:f>IF((COUNT('Quantification_Results'!AI345)=1),IFERROR(ROUND((SUM(('Quantification_Results'!AI345*'Quantification_Config'!$R$11))/SUM('Quantification_Config'!$R$11)),'Quantification_Config'!$U$2),""),"")</x:f>
      </x:c>
      <x:c r="AK345" t="n">
        <x:v>1</x:v>
      </x:c>
      <x:c r="AL345" t="n">
        <x:v>5</x:v>
      </x:c>
      <x:c r="AM345"/>
      <x:c r="AN345" t="n">
        <x:f>IF(('Quantification_Results'!AK345&lt;&gt;1),"",IF(('Quantification_Results'!AM345=""),IF(ISNUMBER('Quantification_Results'!AL345),IF(('Quantification_Results'!AL345&lt;'Quantification_Config'!$S$15),"",IF(('Quantification_Results'!AL345&gt;'Quantification_Config'!$T$15),"",'Quantification_Results'!AL345)),""),IF(ISNUMBER('Quantification_Results'!AM345),IF(('Quantification_Results'!AM345&lt;'Quantification_Config'!$S$15),"",IF(('Quantification_Results'!AM345&gt;'Quantification_Config'!$T$15),"",'Quantification_Results'!AM345)),"")))</x:f>
        <x:v>5</x:v>
      </x:c>
      <x:c r="AO345" t="n">
        <x:f>IF(ISNUMBER('Quantification_Results'!AN345),IFERROR(ROUND(((('Quantification_Results'!AN345-'Quantification_Config'!$S$15)/('Quantification_Config'!$T$15-'Quantification_Config'!$S$15))*100),'Quantification_Config'!$U$2),""),"")</x:f>
        <x:v>50</x:v>
      </x:c>
      <x:c r="AP345" t="inlineStr">
        <x:is>
          <x:t xml:space="preserve">SYSTEM-TEST-ONLY-NO-NETWORK-NOT-AN-EDUCATIONAL-EVALUATION</x:t>
        </x:is>
      </x:c>
      <x:c r="AQ345" t="inlineStr">
        <x:is>
          <x:t xml:space="preserve"/>
        </x:is>
      </x:c>
      <x:c r="AR345" t="inlineStr">
        <x:is>
          <x:t xml:space="preserve">NONE</x:t>
        </x:is>
      </x:c>
      <x:c r="AS345" t="inlineStr">
        <x:is>
          <x:t xml:space="preserve"/>
        </x:is>
      </x:c>
      <x:c r="AT345" t="inlineStr">
        <x:is>
          <x:t xml:space="preserve">SUCCESS</x:t>
        </x:is>
      </x:c>
      <x:c r="AU345" t="n">
        <x:f>IF((COUNT('Quantification_Results'!AO345)=1),IFERROR(ROUND((SUM(('Quantification_Results'!AO345*'Quantification_Config'!$R$15))/SUM('Quantification_Config'!$R$15)),'Quantification_Config'!$U$2),""),"")</x:f>
        <x:v>50</x:v>
      </x:c>
      <x:c r="AV345" t="n">
        <x:f>IF((COUNT('Quantification_Results'!AU345)=1),IFERROR(ROUND((SUM(('Quantification_Results'!AU345*'Quantification_Config'!$R$14))/SUM('Quantification_Config'!$R$14)),'Quantification_Config'!$U$2),""),"")</x:f>
        <x:v>50</x:v>
      </x:c>
      <x:c r="AW345" t="n">
        <x:v>1</x:v>
      </x:c>
      <x:c r="AX345" t="n">
        <x:v>5</x:v>
      </x:c>
      <x:c r="AY345"/>
      <x:c r="AZ345" t="n">
        <x:f>IF(('Quantification_Results'!AW345&lt;&gt;1),"",IF(('Quantification_Results'!AY345=""),IF(ISNUMBER('Quantification_Results'!AX345),IF(('Quantification_Results'!AX345&lt;'Quantification_Config'!$S$19),"",IF(('Quantification_Results'!AX345&gt;'Quantification_Config'!$T$19),"",'Quantification_Results'!AX345)),""),IF(ISNUMBER('Quantification_Results'!AY345),IF(('Quantification_Results'!AY345&lt;'Quantification_Config'!$S$19),"",IF(('Quantification_Results'!AY345&gt;'Quantification_Config'!$T$19),"",'Quantification_Results'!AY345)),"")))</x:f>
        <x:v>5</x:v>
      </x:c>
      <x:c r="BA345" t="n">
        <x:f>IF(ISNUMBER('Quantification_Results'!AZ345),IFERROR(ROUND(((('Quantification_Results'!AZ345-'Quantification_Config'!$S$19)/('Quantification_Config'!$T$19-'Quantification_Config'!$S$19))*100),'Quantification_Config'!$U$2),""),"")</x:f>
        <x:v>50</x:v>
      </x:c>
      <x:c r="BB345" t="inlineStr">
        <x:is>
          <x:t xml:space="preserve">SYSTEM-TEST-ONLY-NO-NETWORK-NOT-AN-EDUCATIONAL-EVALUATION</x:t>
        </x:is>
      </x:c>
      <x:c r="BC345" t="inlineStr">
        <x:is>
          <x:t xml:space="preserve"/>
        </x:is>
      </x:c>
      <x:c r="BD345" t="inlineStr">
        <x:is>
          <x:t xml:space="preserve">NONE</x:t>
        </x:is>
      </x:c>
      <x:c r="BE345" t="inlineStr">
        <x:is>
          <x:t xml:space="preserve"/>
        </x:is>
      </x:c>
      <x:c r="BF345" t="inlineStr">
        <x:is>
          <x:t xml:space="preserve">SUCCESS</x:t>
        </x:is>
      </x:c>
      <x:c r="BG345" t="n">
        <x:f>IF((COUNT('Quantification_Results'!BA345)=1),IFERROR(ROUND((SUM(('Quantification_Results'!BA345*'Quantification_Config'!$R$19))/SUM('Quantification_Config'!$R$19)),'Quantification_Config'!$U$2),""),"")</x:f>
        <x:v>50</x:v>
      </x:c>
      <x:c r="BH345" t="n">
        <x:f>IF((COUNT('Quantification_Results'!BG345)=1),IFERROR(ROUND((SUM(('Quantification_Results'!BG345*'Quantification_Config'!$R$18))/SUM('Quantification_Config'!$R$18)),'Quantification_Config'!$U$2),""),"")</x:f>
        <x:v>50</x:v>
      </x:c>
      <x:c r="BI345">
        <x:f>IF((COUNT('Quantification_Results'!L345,'Quantification_Results'!X345,'Quantification_Results'!AJ345,'Quantification_Results'!AV345,'Quantification_Results'!BH345)=5),IFERROR(ROUND((SUM(('Quantification_Results'!L345*'Quantification_Config'!$R$4),('Quantification_Results'!X345*'Quantification_Config'!$R$7),('Quantification_Results'!AJ345*'Quantification_Config'!$R$10),('Quantification_Results'!AV345*'Quantification_Config'!$R$13),('Quantification_Results'!BH345*'Quantification_Config'!$R$16))/SUM('Quantification_Config'!$R$4,'Quantification_Config'!$R$7,'Quantification_Config'!$R$10,'Quantification_Config'!$R$13,'Quantification_Config'!$R$16)),'Quantification_Config'!$U$2),""),"")</x:f>
      </x:c>
    </x:row>
    <x:row r="346">
      <x:c r="A346" t="n">
        <x:v>1</x:v>
      </x:c>
      <x:c r="B346" t="n">
        <x:v>5</x:v>
      </x:c>
      <x:c r="C346"/>
      <x:c r="D346" t="n">
        <x:f>IF(('Quantification_Results'!A346&lt;&gt;1),"",IF(('Quantification_Results'!C346=""),IF(ISNUMBER('Quantification_Results'!B346),IF(('Quantification_Results'!B346&lt;'Quantification_Config'!$S$6),"",IF(('Quantification_Results'!B346&gt;'Quantification_Config'!$T$6),"",'Quantification_Results'!B346)),""),IF(ISNUMBER('Quantification_Results'!C346),IF(('Quantification_Results'!C346&lt;'Quantification_Config'!$S$6),"",IF(('Quantification_Results'!C346&gt;'Quantification_Config'!$T$6),"",'Quantification_Results'!C346)),"")))</x:f>
        <x:v>5</x:v>
      </x:c>
      <x:c r="E346" t="n">
        <x:f>IF(ISNUMBER('Quantification_Results'!D346),IFERROR(ROUND(((('Quantification_Results'!D346-'Quantification_Config'!$S$6)/('Quantification_Config'!$T$6-'Quantification_Config'!$S$6))*100),'Quantification_Config'!$U$2),""),"")</x:f>
        <x:v>50</x:v>
      </x:c>
      <x:c r="F346" t="inlineStr">
        <x:is>
          <x:t xml:space="preserve">SYSTEM-TEST-ONLY-NO-NETWORK-NOT-AN-EDUCATIONAL-EVALUATION</x:t>
        </x:is>
      </x:c>
      <x:c r="G346" t="inlineStr">
        <x:is>
          <x:t xml:space="preserve"/>
        </x:is>
      </x:c>
      <x:c r="H346" t="inlineStr">
        <x:is>
          <x:t xml:space="preserve">NONE</x:t>
        </x:is>
      </x:c>
      <x:c r="I346" t="inlineStr">
        <x:is>
          <x:t xml:space="preserve"/>
        </x:is>
      </x:c>
      <x:c r="J346" t="inlineStr">
        <x:is>
          <x:t xml:space="preserve">SUCCESS</x:t>
        </x:is>
      </x:c>
      <x:c r="K346" t="n">
        <x:f>IF((COUNT('Quantification_Results'!E346)=1),IFERROR(ROUND((SUM(('Quantification_Results'!E346*'Quantification_Config'!$R$6))/SUM('Quantification_Config'!$R$6)),'Quantification_Config'!$U$2),""),"")</x:f>
        <x:v>50</x:v>
      </x:c>
      <x:c r="L346" t="n">
        <x:f>IF((COUNT('Quantification_Results'!K346)=1),IFERROR(ROUND((SUM(('Quantification_Results'!K346*'Quantification_Config'!$R$5))/SUM('Quantification_Config'!$R$5)),'Quantification_Config'!$U$2),""),"")</x:f>
        <x:v>50</x:v>
      </x:c>
      <x:c r="M346" t="n">
        <x:v>1</x:v>
      </x:c>
      <x:c r="N346" t="n">
        <x:v>5</x:v>
      </x:c>
      <x:c r="O346"/>
      <x:c r="P346" t="n">
        <x:f>IF(('Quantification_Results'!M346&lt;&gt;1),"",IF(('Quantification_Results'!O346=""),IF(ISNUMBER('Quantification_Results'!N346),IF(('Quantification_Results'!N346&lt;'Quantification_Config'!$S$9),"",IF(('Quantification_Results'!N346&gt;'Quantification_Config'!$T$9),"",'Quantification_Results'!N346)),""),IF(ISNUMBER('Quantification_Results'!O346),IF(('Quantification_Results'!O346&lt;'Quantification_Config'!$S$9),"",IF(('Quantification_Results'!O346&gt;'Quantification_Config'!$T$9),"",'Quantification_Results'!O346)),"")))</x:f>
        <x:v>5</x:v>
      </x:c>
      <x:c r="Q346" t="n">
        <x:f>IF(ISNUMBER('Quantification_Results'!P346),IFERROR(ROUND(((('Quantification_Results'!P346-'Quantification_Config'!$S$9)/('Quantification_Config'!$T$9-'Quantification_Config'!$S$9))*100),'Quantification_Config'!$U$2),""),"")</x:f>
        <x:v>50</x:v>
      </x:c>
      <x:c r="R346" t="inlineStr">
        <x:is>
          <x:t xml:space="preserve">SYSTEM-TEST-ONLY-NO-NETWORK-NOT-AN-EDUCATIONAL-EVALUATION</x:t>
        </x:is>
      </x:c>
      <x:c r="S346" t="inlineStr">
        <x:is>
          <x:t xml:space="preserve"/>
        </x:is>
      </x:c>
      <x:c r="T346" t="inlineStr">
        <x:is>
          <x:t xml:space="preserve">NONE</x:t>
        </x:is>
      </x:c>
      <x:c r="U346" t="inlineStr">
        <x:is>
          <x:t xml:space="preserve"/>
        </x:is>
      </x:c>
      <x:c r="V346" t="inlineStr">
        <x:is>
          <x:t xml:space="preserve">SUCCESS</x:t>
        </x:is>
      </x:c>
      <x:c r="W346" t="n">
        <x:f>IF((COUNT('Quantification_Results'!Q346)=1),IFERROR(ROUND((SUM(('Quantification_Results'!Q346*'Quantification_Config'!$R$9))/SUM('Quantification_Config'!$R$9)),'Quantification_Config'!$U$2),""),"")</x:f>
        <x:v>50</x:v>
      </x:c>
      <x:c r="X346" t="n">
        <x:f>IF((COUNT('Quantification_Results'!W346)=1),IFERROR(ROUND((SUM(('Quantification_Results'!W346*'Quantification_Config'!$R$8))/SUM('Quantification_Config'!$R$8)),'Quantification_Config'!$U$2),""),"")</x:f>
        <x:v>50</x:v>
      </x:c>
      <x:c r="Y346" t="n">
        <x:v>0</x:v>
      </x:c>
      <x:c r="Z346"/>
      <x:c r="AA346"/>
      <x:c r="AB346">
        <x:f>IF(('Quantification_Results'!Y346&lt;&gt;1),"",IF(('Quantification_Results'!AA346=""),IF(ISNUMBER('Quantification_Results'!Z346),IF(('Quantification_Results'!Z346&lt;'Quantification_Config'!$S$12),"",IF(('Quantification_Results'!Z346&gt;'Quantification_Config'!$T$12),"",'Quantification_Results'!Z346)),""),IF(ISNUMBER('Quantification_Results'!AA346),IF(('Quantification_Results'!AA346&lt;'Quantification_Config'!$S$12),"",IF(('Quantification_Results'!AA346&gt;'Quantification_Config'!$T$12),"",'Quantification_Results'!AA346)),"")))</x:f>
      </x:c>
      <x:c r="AC346">
        <x:f>IF(ISNUMBER('Quantification_Results'!AB346),IFERROR(ROUND(((('Quantification_Results'!AB346-'Quantification_Config'!$S$12)/('Quantification_Config'!$T$12-'Quantification_Config'!$S$12))*100),'Quantification_Config'!$U$2),""),"")</x:f>
      </x:c>
      <x:c r="AD346" t="inlineStr">
        <x:is>
          <x:t xml:space="preserve"/>
        </x:is>
      </x:c>
      <x:c r="AE346" t="inlineStr">
        <x:is>
          <x:t xml:space="preserve"/>
        </x:is>
      </x:c>
      <x:c r="AF346" t="inlineStr">
        <x:is>
          <x:t xml:space="preserve"/>
        </x:is>
      </x:c>
      <x:c r="AG346" t="inlineStr">
        <x:is>
          <x:t xml:space="preserve"/>
        </x:is>
      </x:c>
      <x:c r="AH346" t="inlineStr">
        <x:is>
          <x:t xml:space="preserve">EMPTY</x:t>
        </x:is>
      </x:c>
      <x:c r="AI346">
        <x:f>IF((COUNT('Quantification_Results'!AC346)=1),IFERROR(ROUND((SUM(('Quantification_Results'!AC346*'Quantification_Config'!$R$12))/SUM('Quantification_Config'!$R$12)),'Quantification_Config'!$U$2),""),"")</x:f>
      </x:c>
      <x:c r="AJ346">
        <x:f>IF((COUNT('Quantification_Results'!AI346)=1),IFERROR(ROUND((SUM(('Quantification_Results'!AI346*'Quantification_Config'!$R$11))/SUM('Quantification_Config'!$R$11)),'Quantification_Config'!$U$2),""),"")</x:f>
      </x:c>
      <x:c r="AK346" t="n">
        <x:v>1</x:v>
      </x:c>
      <x:c r="AL346" t="n">
        <x:v>5</x:v>
      </x:c>
      <x:c r="AM346"/>
      <x:c r="AN346" t="n">
        <x:f>IF(('Quantification_Results'!AK346&lt;&gt;1),"",IF(('Quantification_Results'!AM346=""),IF(ISNUMBER('Quantification_Results'!AL346),IF(('Quantification_Results'!AL346&lt;'Quantification_Config'!$S$15),"",IF(('Quantification_Results'!AL346&gt;'Quantification_Config'!$T$15),"",'Quantification_Results'!AL346)),""),IF(ISNUMBER('Quantification_Results'!AM346),IF(('Quantification_Results'!AM346&lt;'Quantification_Config'!$S$15),"",IF(('Quantification_Results'!AM346&gt;'Quantification_Config'!$T$15),"",'Quantification_Results'!AM346)),"")))</x:f>
        <x:v>5</x:v>
      </x:c>
      <x:c r="AO346" t="n">
        <x:f>IF(ISNUMBER('Quantification_Results'!AN346),IFERROR(ROUND(((('Quantification_Results'!AN346-'Quantification_Config'!$S$15)/('Quantification_Config'!$T$15-'Quantification_Config'!$S$15))*100),'Quantification_Config'!$U$2),""),"")</x:f>
        <x:v>50</x:v>
      </x:c>
      <x:c r="AP346" t="inlineStr">
        <x:is>
          <x:t xml:space="preserve">SYSTEM-TEST-ONLY-NO-NETWORK-NOT-AN-EDUCATIONAL-EVALUATION</x:t>
        </x:is>
      </x:c>
      <x:c r="AQ346" t="inlineStr">
        <x:is>
          <x:t xml:space="preserve"/>
        </x:is>
      </x:c>
      <x:c r="AR346" t="inlineStr">
        <x:is>
          <x:t xml:space="preserve">NONE</x:t>
        </x:is>
      </x:c>
      <x:c r="AS346" t="inlineStr">
        <x:is>
          <x:t xml:space="preserve"/>
        </x:is>
      </x:c>
      <x:c r="AT346" t="inlineStr">
        <x:is>
          <x:t xml:space="preserve">SUCCESS</x:t>
        </x:is>
      </x:c>
      <x:c r="AU346" t="n">
        <x:f>IF((COUNT('Quantification_Results'!AO346)=1),IFERROR(ROUND((SUM(('Quantification_Results'!AO346*'Quantification_Config'!$R$15))/SUM('Quantification_Config'!$R$15)),'Quantification_Config'!$U$2),""),"")</x:f>
        <x:v>50</x:v>
      </x:c>
      <x:c r="AV346" t="n">
        <x:f>IF((COUNT('Quantification_Results'!AU346)=1),IFERROR(ROUND((SUM(('Quantification_Results'!AU346*'Quantification_Config'!$R$14))/SUM('Quantification_Config'!$R$14)),'Quantification_Config'!$U$2),""),"")</x:f>
        <x:v>50</x:v>
      </x:c>
      <x:c r="AW346" t="n">
        <x:v>1</x:v>
      </x:c>
      <x:c r="AX346" t="n">
        <x:v>5</x:v>
      </x:c>
      <x:c r="AY346"/>
      <x:c r="AZ346" t="n">
        <x:f>IF(('Quantification_Results'!AW346&lt;&gt;1),"",IF(('Quantification_Results'!AY346=""),IF(ISNUMBER('Quantification_Results'!AX346),IF(('Quantification_Results'!AX346&lt;'Quantification_Config'!$S$19),"",IF(('Quantification_Results'!AX346&gt;'Quantification_Config'!$T$19),"",'Quantification_Results'!AX346)),""),IF(ISNUMBER('Quantification_Results'!AY346),IF(('Quantification_Results'!AY346&lt;'Quantification_Config'!$S$19),"",IF(('Quantification_Results'!AY346&gt;'Quantification_Config'!$T$19),"",'Quantification_Results'!AY346)),"")))</x:f>
        <x:v>5</x:v>
      </x:c>
      <x:c r="BA346" t="n">
        <x:f>IF(ISNUMBER('Quantification_Results'!AZ346),IFERROR(ROUND(((('Quantification_Results'!AZ346-'Quantification_Config'!$S$19)/('Quantification_Config'!$T$19-'Quantification_Config'!$S$19))*100),'Quantification_Config'!$U$2),""),"")</x:f>
        <x:v>50</x:v>
      </x:c>
      <x:c r="BB346" t="inlineStr">
        <x:is>
          <x:t xml:space="preserve">SYSTEM-TEST-ONLY-NO-NETWORK-NOT-AN-EDUCATIONAL-EVALUATION</x:t>
        </x:is>
      </x:c>
      <x:c r="BC346" t="inlineStr">
        <x:is>
          <x:t xml:space="preserve"/>
        </x:is>
      </x:c>
      <x:c r="BD346" t="inlineStr">
        <x:is>
          <x:t xml:space="preserve">NONE</x:t>
        </x:is>
      </x:c>
      <x:c r="BE346" t="inlineStr">
        <x:is>
          <x:t xml:space="preserve"/>
        </x:is>
      </x:c>
      <x:c r="BF346" t="inlineStr">
        <x:is>
          <x:t xml:space="preserve">SUCCESS</x:t>
        </x:is>
      </x:c>
      <x:c r="BG346" t="n">
        <x:f>IF((COUNT('Quantification_Results'!BA346)=1),IFERROR(ROUND((SUM(('Quantification_Results'!BA346*'Quantification_Config'!$R$19))/SUM('Quantification_Config'!$R$19)),'Quantification_Config'!$U$2),""),"")</x:f>
        <x:v>50</x:v>
      </x:c>
      <x:c r="BH346" t="n">
        <x:f>IF((COUNT('Quantification_Results'!BG346)=1),IFERROR(ROUND((SUM(('Quantification_Results'!BG346*'Quantification_Config'!$R$18))/SUM('Quantification_Config'!$R$18)),'Quantification_Config'!$U$2),""),"")</x:f>
        <x:v>50</x:v>
      </x:c>
      <x:c r="BI346">
        <x:f>IF((COUNT('Quantification_Results'!L346,'Quantification_Results'!X346,'Quantification_Results'!AJ346,'Quantification_Results'!AV346,'Quantification_Results'!BH346)=5),IFERROR(ROUND((SUM(('Quantification_Results'!L346*'Quantification_Config'!$R$4),('Quantification_Results'!X346*'Quantification_Config'!$R$7),('Quantification_Results'!AJ346*'Quantification_Config'!$R$10),('Quantification_Results'!AV346*'Quantification_Config'!$R$13),('Quantification_Results'!BH346*'Quantification_Config'!$R$16))/SUM('Quantification_Config'!$R$4,'Quantification_Config'!$R$7,'Quantification_Config'!$R$10,'Quantification_Config'!$R$13,'Quantification_Config'!$R$16)),'Quantification_Config'!$U$2),""),"")</x:f>
      </x:c>
    </x:row>
    <x:row r="347">
      <x:c r="A347" t="n">
        <x:v>1</x:v>
      </x:c>
      <x:c r="B347" t="n">
        <x:v>5</x:v>
      </x:c>
      <x:c r="C347"/>
      <x:c r="D347" t="n">
        <x:f>IF(('Quantification_Results'!A347&lt;&gt;1),"",IF(('Quantification_Results'!C347=""),IF(ISNUMBER('Quantification_Results'!B347),IF(('Quantification_Results'!B347&lt;'Quantification_Config'!$S$6),"",IF(('Quantification_Results'!B347&gt;'Quantification_Config'!$T$6),"",'Quantification_Results'!B347)),""),IF(ISNUMBER('Quantification_Results'!C347),IF(('Quantification_Results'!C347&lt;'Quantification_Config'!$S$6),"",IF(('Quantification_Results'!C347&gt;'Quantification_Config'!$T$6),"",'Quantification_Results'!C347)),"")))</x:f>
        <x:v>5</x:v>
      </x:c>
      <x:c r="E347" t="n">
        <x:f>IF(ISNUMBER('Quantification_Results'!D347),IFERROR(ROUND(((('Quantification_Results'!D347-'Quantification_Config'!$S$6)/('Quantification_Config'!$T$6-'Quantification_Config'!$S$6))*100),'Quantification_Config'!$U$2),""),"")</x:f>
        <x:v>50</x:v>
      </x:c>
      <x:c r="F347" t="inlineStr">
        <x:is>
          <x:t xml:space="preserve">SYSTEM-TEST-ONLY-NO-NETWORK-NOT-AN-EDUCATIONAL-EVALUATION</x:t>
        </x:is>
      </x:c>
      <x:c r="G347" t="inlineStr">
        <x:is>
          <x:t xml:space="preserve"/>
        </x:is>
      </x:c>
      <x:c r="H347" t="inlineStr">
        <x:is>
          <x:t xml:space="preserve">NONE</x:t>
        </x:is>
      </x:c>
      <x:c r="I347" t="inlineStr">
        <x:is>
          <x:t xml:space="preserve"/>
        </x:is>
      </x:c>
      <x:c r="J347" t="inlineStr">
        <x:is>
          <x:t xml:space="preserve">SUCCESS</x:t>
        </x:is>
      </x:c>
      <x:c r="K347" t="n">
        <x:f>IF((COUNT('Quantification_Results'!E347)=1),IFERROR(ROUND((SUM(('Quantification_Results'!E347*'Quantification_Config'!$R$6))/SUM('Quantification_Config'!$R$6)),'Quantification_Config'!$U$2),""),"")</x:f>
        <x:v>50</x:v>
      </x:c>
      <x:c r="L347" t="n">
        <x:f>IF((COUNT('Quantification_Results'!K347)=1),IFERROR(ROUND((SUM(('Quantification_Results'!K347*'Quantification_Config'!$R$5))/SUM('Quantification_Config'!$R$5)),'Quantification_Config'!$U$2),""),"")</x:f>
        <x:v>50</x:v>
      </x:c>
      <x:c r="M347" t="n">
        <x:v>0</x:v>
      </x:c>
      <x:c r="N347"/>
      <x:c r="O347"/>
      <x:c r="P347">
        <x:f>IF(('Quantification_Results'!M347&lt;&gt;1),"",IF(('Quantification_Results'!O347=""),IF(ISNUMBER('Quantification_Results'!N347),IF(('Quantification_Results'!N347&lt;'Quantification_Config'!$S$9),"",IF(('Quantification_Results'!N347&gt;'Quantification_Config'!$T$9),"",'Quantification_Results'!N347)),""),IF(ISNUMBER('Quantification_Results'!O347),IF(('Quantification_Results'!O347&lt;'Quantification_Config'!$S$9),"",IF(('Quantification_Results'!O347&gt;'Quantification_Config'!$T$9),"",'Quantification_Results'!O347)),"")))</x:f>
      </x:c>
      <x:c r="Q347">
        <x:f>IF(ISNUMBER('Quantification_Results'!P347),IFERROR(ROUND(((('Quantification_Results'!P347-'Quantification_Config'!$S$9)/('Quantification_Config'!$T$9-'Quantification_Config'!$S$9))*100),'Quantification_Config'!$U$2),""),"")</x:f>
      </x:c>
      <x:c r="R347" t="inlineStr">
        <x:is>
          <x:t xml:space="preserve"/>
        </x:is>
      </x:c>
      <x:c r="S347" t="inlineStr">
        <x:is>
          <x:t xml:space="preserve"/>
        </x:is>
      </x:c>
      <x:c r="T347" t="inlineStr">
        <x:is>
          <x:t xml:space="preserve"/>
        </x:is>
      </x:c>
      <x:c r="U347" t="inlineStr">
        <x:is>
          <x:t xml:space="preserve"/>
        </x:is>
      </x:c>
      <x:c r="V347" t="inlineStr">
        <x:is>
          <x:t xml:space="preserve">EMPTY</x:t>
        </x:is>
      </x:c>
      <x:c r="W347">
        <x:f>IF((COUNT('Quantification_Results'!Q347)=1),IFERROR(ROUND((SUM(('Quantification_Results'!Q347*'Quantification_Config'!$R$9))/SUM('Quantification_Config'!$R$9)),'Quantification_Config'!$U$2),""),"")</x:f>
      </x:c>
      <x:c r="X347">
        <x:f>IF((COUNT('Quantification_Results'!W347)=1),IFERROR(ROUND((SUM(('Quantification_Results'!W347*'Quantification_Config'!$R$8))/SUM('Quantification_Config'!$R$8)),'Quantification_Config'!$U$2),""),"")</x:f>
      </x:c>
      <x:c r="Y347" t="n">
        <x:v>0</x:v>
      </x:c>
      <x:c r="Z347"/>
      <x:c r="AA347"/>
      <x:c r="AB347">
        <x:f>IF(('Quantification_Results'!Y347&lt;&gt;1),"",IF(('Quantification_Results'!AA347=""),IF(ISNUMBER('Quantification_Results'!Z347),IF(('Quantification_Results'!Z347&lt;'Quantification_Config'!$S$12),"",IF(('Quantification_Results'!Z347&gt;'Quantification_Config'!$T$12),"",'Quantification_Results'!Z347)),""),IF(ISNUMBER('Quantification_Results'!AA347),IF(('Quantification_Results'!AA347&lt;'Quantification_Config'!$S$12),"",IF(('Quantification_Results'!AA347&gt;'Quantification_Config'!$T$12),"",'Quantification_Results'!AA347)),"")))</x:f>
      </x:c>
      <x:c r="AC347">
        <x:f>IF(ISNUMBER('Quantification_Results'!AB347),IFERROR(ROUND(((('Quantification_Results'!AB347-'Quantification_Config'!$S$12)/('Quantification_Config'!$T$12-'Quantification_Config'!$S$12))*100),'Quantification_Config'!$U$2),""),"")</x:f>
      </x:c>
      <x:c r="AD347" t="inlineStr">
        <x:is>
          <x:t xml:space="preserve"/>
        </x:is>
      </x:c>
      <x:c r="AE347" t="inlineStr">
        <x:is>
          <x:t xml:space="preserve"/>
        </x:is>
      </x:c>
      <x:c r="AF347" t="inlineStr">
        <x:is>
          <x:t xml:space="preserve"/>
        </x:is>
      </x:c>
      <x:c r="AG347" t="inlineStr">
        <x:is>
          <x:t xml:space="preserve"/>
        </x:is>
      </x:c>
      <x:c r="AH347" t="inlineStr">
        <x:is>
          <x:t xml:space="preserve">EMPTY</x:t>
        </x:is>
      </x:c>
      <x:c r="AI347">
        <x:f>IF((COUNT('Quantification_Results'!AC347)=1),IFERROR(ROUND((SUM(('Quantification_Results'!AC347*'Quantification_Config'!$R$12))/SUM('Quantification_Config'!$R$12)),'Quantification_Config'!$U$2),""),"")</x:f>
      </x:c>
      <x:c r="AJ347">
        <x:f>IF((COUNT('Quantification_Results'!AI347)=1),IFERROR(ROUND((SUM(('Quantification_Results'!AI347*'Quantification_Config'!$R$11))/SUM('Quantification_Config'!$R$11)),'Quantification_Config'!$U$2),""),"")</x:f>
      </x:c>
      <x:c r="AK347" t="n">
        <x:v>1</x:v>
      </x:c>
      <x:c r="AL347" t="n">
        <x:v>5</x:v>
      </x:c>
      <x:c r="AM347"/>
      <x:c r="AN347" t="n">
        <x:f>IF(('Quantification_Results'!AK347&lt;&gt;1),"",IF(('Quantification_Results'!AM347=""),IF(ISNUMBER('Quantification_Results'!AL347),IF(('Quantification_Results'!AL347&lt;'Quantification_Config'!$S$15),"",IF(('Quantification_Results'!AL347&gt;'Quantification_Config'!$T$15),"",'Quantification_Results'!AL347)),""),IF(ISNUMBER('Quantification_Results'!AM347),IF(('Quantification_Results'!AM347&lt;'Quantification_Config'!$S$15),"",IF(('Quantification_Results'!AM347&gt;'Quantification_Config'!$T$15),"",'Quantification_Results'!AM347)),"")))</x:f>
        <x:v>5</x:v>
      </x:c>
      <x:c r="AO347" t="n">
        <x:f>IF(ISNUMBER('Quantification_Results'!AN347),IFERROR(ROUND(((('Quantification_Results'!AN347-'Quantification_Config'!$S$15)/('Quantification_Config'!$T$15-'Quantification_Config'!$S$15))*100),'Quantification_Config'!$U$2),""),"")</x:f>
        <x:v>50</x:v>
      </x:c>
      <x:c r="AP347" t="inlineStr">
        <x:is>
          <x:t xml:space="preserve">SYSTEM-TEST-ONLY-NO-NETWORK-NOT-AN-EDUCATIONAL-EVALUATION</x:t>
        </x:is>
      </x:c>
      <x:c r="AQ347" t="inlineStr">
        <x:is>
          <x:t xml:space="preserve"/>
        </x:is>
      </x:c>
      <x:c r="AR347" t="inlineStr">
        <x:is>
          <x:t xml:space="preserve">NONE</x:t>
        </x:is>
      </x:c>
      <x:c r="AS347" t="inlineStr">
        <x:is>
          <x:t xml:space="preserve"/>
        </x:is>
      </x:c>
      <x:c r="AT347" t="inlineStr">
        <x:is>
          <x:t xml:space="preserve">SUCCESS</x:t>
        </x:is>
      </x:c>
      <x:c r="AU347" t="n">
        <x:f>IF((COUNT('Quantification_Results'!AO347)=1),IFERROR(ROUND((SUM(('Quantification_Results'!AO347*'Quantification_Config'!$R$15))/SUM('Quantification_Config'!$R$15)),'Quantification_Config'!$U$2),""),"")</x:f>
        <x:v>50</x:v>
      </x:c>
      <x:c r="AV347" t="n">
        <x:f>IF((COUNT('Quantification_Results'!AU347)=1),IFERROR(ROUND((SUM(('Quantification_Results'!AU347*'Quantification_Config'!$R$14))/SUM('Quantification_Config'!$R$14)),'Quantification_Config'!$U$2),""),"")</x:f>
        <x:v>50</x:v>
      </x:c>
      <x:c r="AW347" t="n">
        <x:v>0</x:v>
      </x:c>
      <x:c r="AX347"/>
      <x:c r="AY347"/>
      <x:c r="AZ347">
        <x:f>IF(('Quantification_Results'!AW347&lt;&gt;1),"",IF(('Quantification_Results'!AY347=""),IF(ISNUMBER('Quantification_Results'!AX347),IF(('Quantification_Results'!AX347&lt;'Quantification_Config'!$S$19),"",IF(('Quantification_Results'!AX347&gt;'Quantification_Config'!$T$19),"",'Quantification_Results'!AX347)),""),IF(ISNUMBER('Quantification_Results'!AY347),IF(('Quantification_Results'!AY347&lt;'Quantification_Config'!$S$19),"",IF(('Quantification_Results'!AY347&gt;'Quantification_Config'!$T$19),"",'Quantification_Results'!AY347)),"")))</x:f>
      </x:c>
      <x:c r="BA347">
        <x:f>IF(ISNUMBER('Quantification_Results'!AZ347),IFERROR(ROUND(((('Quantification_Results'!AZ347-'Quantification_Config'!$S$19)/('Quantification_Config'!$T$19-'Quantification_Config'!$S$19))*100),'Quantification_Config'!$U$2),""),"")</x:f>
      </x:c>
      <x:c r="BB347" t="inlineStr">
        <x:is>
          <x:t xml:space="preserve"/>
        </x:is>
      </x:c>
      <x:c r="BC347" t="inlineStr">
        <x:is>
          <x:t xml:space="preserve"/>
        </x:is>
      </x:c>
      <x:c r="BD347" t="inlineStr">
        <x:is>
          <x:t xml:space="preserve"/>
        </x:is>
      </x:c>
      <x:c r="BE347" t="inlineStr">
        <x:is>
          <x:t xml:space="preserve"/>
        </x:is>
      </x:c>
      <x:c r="BF347" t="inlineStr">
        <x:is>
          <x:t xml:space="preserve">EMPTY</x:t>
        </x:is>
      </x:c>
      <x:c r="BG347">
        <x:f>IF((COUNT('Quantification_Results'!BA347)=1),IFERROR(ROUND((SUM(('Quantification_Results'!BA347*'Quantification_Config'!$R$19))/SUM('Quantification_Config'!$R$19)),'Quantification_Config'!$U$2),""),"")</x:f>
      </x:c>
      <x:c r="BH347">
        <x:f>IF((COUNT('Quantification_Results'!BG347)=1),IFERROR(ROUND((SUM(('Quantification_Results'!BG347*'Quantification_Config'!$R$18))/SUM('Quantification_Config'!$R$18)),'Quantification_Config'!$U$2),""),"")</x:f>
      </x:c>
      <x:c r="BI347">
        <x:f>IF((COUNT('Quantification_Results'!L347,'Quantification_Results'!X347,'Quantification_Results'!AJ347,'Quantification_Results'!AV347,'Quantification_Results'!BH347)=5),IFERROR(ROUND((SUM(('Quantification_Results'!L347*'Quantification_Config'!$R$4),('Quantification_Results'!X347*'Quantification_Config'!$R$7),('Quantification_Results'!AJ347*'Quantification_Config'!$R$10),('Quantification_Results'!AV347*'Quantification_Config'!$R$13),('Quantification_Results'!BH347*'Quantification_Config'!$R$16))/SUM('Quantification_Config'!$R$4,'Quantification_Config'!$R$7,'Quantification_Config'!$R$10,'Quantification_Config'!$R$13,'Quantification_Config'!$R$16)),'Quantification_Config'!$U$2),""),"")</x:f>
      </x:c>
    </x:row>
    <x:row r="348">
      <x:c r="A348" t="n">
        <x:v>1</x:v>
      </x:c>
      <x:c r="B348" t="n">
        <x:v>5</x:v>
      </x:c>
      <x:c r="C348"/>
      <x:c r="D348" t="n">
        <x:f>IF(('Quantification_Results'!A348&lt;&gt;1),"",IF(('Quantification_Results'!C348=""),IF(ISNUMBER('Quantification_Results'!B348),IF(('Quantification_Results'!B348&lt;'Quantification_Config'!$S$6),"",IF(('Quantification_Results'!B348&gt;'Quantification_Config'!$T$6),"",'Quantification_Results'!B348)),""),IF(ISNUMBER('Quantification_Results'!C348),IF(('Quantification_Results'!C348&lt;'Quantification_Config'!$S$6),"",IF(('Quantification_Results'!C348&gt;'Quantification_Config'!$T$6),"",'Quantification_Results'!C348)),"")))</x:f>
        <x:v>5</x:v>
      </x:c>
      <x:c r="E348" t="n">
        <x:f>IF(ISNUMBER('Quantification_Results'!D348),IFERROR(ROUND(((('Quantification_Results'!D348-'Quantification_Config'!$S$6)/('Quantification_Config'!$T$6-'Quantification_Config'!$S$6))*100),'Quantification_Config'!$U$2),""),"")</x:f>
        <x:v>50</x:v>
      </x:c>
      <x:c r="F348" t="inlineStr">
        <x:is>
          <x:t xml:space="preserve">SYSTEM-TEST-ONLY-NO-NETWORK-NOT-AN-EDUCATIONAL-EVALUATION</x:t>
        </x:is>
      </x:c>
      <x:c r="G348" t="inlineStr">
        <x:is>
          <x:t xml:space="preserve"/>
        </x:is>
      </x:c>
      <x:c r="H348" t="inlineStr">
        <x:is>
          <x:t xml:space="preserve">NONE</x:t>
        </x:is>
      </x:c>
      <x:c r="I348" t="inlineStr">
        <x:is>
          <x:t xml:space="preserve"/>
        </x:is>
      </x:c>
      <x:c r="J348" t="inlineStr">
        <x:is>
          <x:t xml:space="preserve">SUCCESS</x:t>
        </x:is>
      </x:c>
      <x:c r="K348" t="n">
        <x:f>IF((COUNT('Quantification_Results'!E348)=1),IFERROR(ROUND((SUM(('Quantification_Results'!E348*'Quantification_Config'!$R$6))/SUM('Quantification_Config'!$R$6)),'Quantification_Config'!$U$2),""),"")</x:f>
        <x:v>50</x:v>
      </x:c>
      <x:c r="L348" t="n">
        <x:f>IF((COUNT('Quantification_Results'!K348)=1),IFERROR(ROUND((SUM(('Quantification_Results'!K348*'Quantification_Config'!$R$5))/SUM('Quantification_Config'!$R$5)),'Quantification_Config'!$U$2),""),"")</x:f>
        <x:v>50</x:v>
      </x:c>
      <x:c r="M348" t="n">
        <x:v>0</x:v>
      </x:c>
      <x:c r="N348"/>
      <x:c r="O348"/>
      <x:c r="P348">
        <x:f>IF(('Quantification_Results'!M348&lt;&gt;1),"",IF(('Quantification_Results'!O348=""),IF(ISNUMBER('Quantification_Results'!N348),IF(('Quantification_Results'!N348&lt;'Quantification_Config'!$S$9),"",IF(('Quantification_Results'!N348&gt;'Quantification_Config'!$T$9),"",'Quantification_Results'!N348)),""),IF(ISNUMBER('Quantification_Results'!O348),IF(('Quantification_Results'!O348&lt;'Quantification_Config'!$S$9),"",IF(('Quantification_Results'!O348&gt;'Quantification_Config'!$T$9),"",'Quantification_Results'!O348)),"")))</x:f>
      </x:c>
      <x:c r="Q348">
        <x:f>IF(ISNUMBER('Quantification_Results'!P348),IFERROR(ROUND(((('Quantification_Results'!P348-'Quantification_Config'!$S$9)/('Quantification_Config'!$T$9-'Quantification_Config'!$S$9))*100),'Quantification_Config'!$U$2),""),"")</x:f>
      </x:c>
      <x:c r="R348" t="inlineStr">
        <x:is>
          <x:t xml:space="preserve"/>
        </x:is>
      </x:c>
      <x:c r="S348" t="inlineStr">
        <x:is>
          <x:t xml:space="preserve"/>
        </x:is>
      </x:c>
      <x:c r="T348" t="inlineStr">
        <x:is>
          <x:t xml:space="preserve"/>
        </x:is>
      </x:c>
      <x:c r="U348" t="inlineStr">
        <x:is>
          <x:t xml:space="preserve"/>
        </x:is>
      </x:c>
      <x:c r="V348" t="inlineStr">
        <x:is>
          <x:t xml:space="preserve">EMPTY</x:t>
        </x:is>
      </x:c>
      <x:c r="W348">
        <x:f>IF((COUNT('Quantification_Results'!Q348)=1),IFERROR(ROUND((SUM(('Quantification_Results'!Q348*'Quantification_Config'!$R$9))/SUM('Quantification_Config'!$R$9)),'Quantification_Config'!$U$2),""),"")</x:f>
      </x:c>
      <x:c r="X348">
        <x:f>IF((COUNT('Quantification_Results'!W348)=1),IFERROR(ROUND((SUM(('Quantification_Results'!W348*'Quantification_Config'!$R$8))/SUM('Quantification_Config'!$R$8)),'Quantification_Config'!$U$2),""),"")</x:f>
      </x:c>
      <x:c r="Y348" t="n">
        <x:v>0</x:v>
      </x:c>
      <x:c r="Z348"/>
      <x:c r="AA348"/>
      <x:c r="AB348">
        <x:f>IF(('Quantification_Results'!Y348&lt;&gt;1),"",IF(('Quantification_Results'!AA348=""),IF(ISNUMBER('Quantification_Results'!Z348),IF(('Quantification_Results'!Z348&lt;'Quantification_Config'!$S$12),"",IF(('Quantification_Results'!Z348&gt;'Quantification_Config'!$T$12),"",'Quantification_Results'!Z348)),""),IF(ISNUMBER('Quantification_Results'!AA348),IF(('Quantification_Results'!AA348&lt;'Quantification_Config'!$S$12),"",IF(('Quantification_Results'!AA348&gt;'Quantification_Config'!$T$12),"",'Quantification_Results'!AA348)),"")))</x:f>
      </x:c>
      <x:c r="AC348">
        <x:f>IF(ISNUMBER('Quantification_Results'!AB348),IFERROR(ROUND(((('Quantification_Results'!AB348-'Quantification_Config'!$S$12)/('Quantification_Config'!$T$12-'Quantification_Config'!$S$12))*100),'Quantification_Config'!$U$2),""),"")</x:f>
      </x:c>
      <x:c r="AD348" t="inlineStr">
        <x:is>
          <x:t xml:space="preserve"/>
        </x:is>
      </x:c>
      <x:c r="AE348" t="inlineStr">
        <x:is>
          <x:t xml:space="preserve"/>
        </x:is>
      </x:c>
      <x:c r="AF348" t="inlineStr">
        <x:is>
          <x:t xml:space="preserve"/>
        </x:is>
      </x:c>
      <x:c r="AG348" t="inlineStr">
        <x:is>
          <x:t xml:space="preserve"/>
        </x:is>
      </x:c>
      <x:c r="AH348" t="inlineStr">
        <x:is>
          <x:t xml:space="preserve">EMPTY</x:t>
        </x:is>
      </x:c>
      <x:c r="AI348">
        <x:f>IF((COUNT('Quantification_Results'!AC348)=1),IFERROR(ROUND((SUM(('Quantification_Results'!AC348*'Quantification_Config'!$R$12))/SUM('Quantification_Config'!$R$12)),'Quantification_Config'!$U$2),""),"")</x:f>
      </x:c>
      <x:c r="AJ348">
        <x:f>IF((COUNT('Quantification_Results'!AI348)=1),IFERROR(ROUND((SUM(('Quantification_Results'!AI348*'Quantification_Config'!$R$11))/SUM('Quantification_Config'!$R$11)),'Quantification_Config'!$U$2),""),"")</x:f>
      </x:c>
      <x:c r="AK348" t="n">
        <x:v>1</x:v>
      </x:c>
      <x:c r="AL348" t="n">
        <x:v>5</x:v>
      </x:c>
      <x:c r="AM348"/>
      <x:c r="AN348" t="n">
        <x:f>IF(('Quantification_Results'!AK348&lt;&gt;1),"",IF(('Quantification_Results'!AM348=""),IF(ISNUMBER('Quantification_Results'!AL348),IF(('Quantification_Results'!AL348&lt;'Quantification_Config'!$S$15),"",IF(('Quantification_Results'!AL348&gt;'Quantification_Config'!$T$15),"",'Quantification_Results'!AL348)),""),IF(ISNUMBER('Quantification_Results'!AM348),IF(('Quantification_Results'!AM348&lt;'Quantification_Config'!$S$15),"",IF(('Quantification_Results'!AM348&gt;'Quantification_Config'!$T$15),"",'Quantification_Results'!AM348)),"")))</x:f>
        <x:v>5</x:v>
      </x:c>
      <x:c r="AO348" t="n">
        <x:f>IF(ISNUMBER('Quantification_Results'!AN348),IFERROR(ROUND(((('Quantification_Results'!AN348-'Quantification_Config'!$S$15)/('Quantification_Config'!$T$15-'Quantification_Config'!$S$15))*100),'Quantification_Config'!$U$2),""),"")</x:f>
        <x:v>50</x:v>
      </x:c>
      <x:c r="AP348" t="inlineStr">
        <x:is>
          <x:t xml:space="preserve">SYSTEM-TEST-ONLY-NO-NETWORK-NOT-AN-EDUCATIONAL-EVALUATION</x:t>
        </x:is>
      </x:c>
      <x:c r="AQ348" t="inlineStr">
        <x:is>
          <x:t xml:space="preserve"/>
        </x:is>
      </x:c>
      <x:c r="AR348" t="inlineStr">
        <x:is>
          <x:t xml:space="preserve">NONE</x:t>
        </x:is>
      </x:c>
      <x:c r="AS348" t="inlineStr">
        <x:is>
          <x:t xml:space="preserve"/>
        </x:is>
      </x:c>
      <x:c r="AT348" t="inlineStr">
        <x:is>
          <x:t xml:space="preserve">SUCCESS</x:t>
        </x:is>
      </x:c>
      <x:c r="AU348" t="n">
        <x:f>IF((COUNT('Quantification_Results'!AO348)=1),IFERROR(ROUND((SUM(('Quantification_Results'!AO348*'Quantification_Config'!$R$15))/SUM('Quantification_Config'!$R$15)),'Quantification_Config'!$U$2),""),"")</x:f>
        <x:v>50</x:v>
      </x:c>
      <x:c r="AV348" t="n">
        <x:f>IF((COUNT('Quantification_Results'!AU348)=1),IFERROR(ROUND((SUM(('Quantification_Results'!AU348*'Quantification_Config'!$R$14))/SUM('Quantification_Config'!$R$14)),'Quantification_Config'!$U$2),""),"")</x:f>
        <x:v>50</x:v>
      </x:c>
      <x:c r="AW348" t="n">
        <x:v>1</x:v>
      </x:c>
      <x:c r="AX348" t="n">
        <x:v>5</x:v>
      </x:c>
      <x:c r="AY348"/>
      <x:c r="AZ348" t="n">
        <x:f>IF(('Quantification_Results'!AW348&lt;&gt;1),"",IF(('Quantification_Results'!AY348=""),IF(ISNUMBER('Quantification_Results'!AX348),IF(('Quantification_Results'!AX348&lt;'Quantification_Config'!$S$19),"",IF(('Quantification_Results'!AX348&gt;'Quantification_Config'!$T$19),"",'Quantification_Results'!AX348)),""),IF(ISNUMBER('Quantification_Results'!AY348),IF(('Quantification_Results'!AY348&lt;'Quantification_Config'!$S$19),"",IF(('Quantification_Results'!AY348&gt;'Quantification_Config'!$T$19),"",'Quantification_Results'!AY348)),"")))</x:f>
        <x:v>5</x:v>
      </x:c>
      <x:c r="BA348" t="n">
        <x:f>IF(ISNUMBER('Quantification_Results'!AZ348),IFERROR(ROUND(((('Quantification_Results'!AZ348-'Quantification_Config'!$S$19)/('Quantification_Config'!$T$19-'Quantification_Config'!$S$19))*100),'Quantification_Config'!$U$2),""),"")</x:f>
        <x:v>50</x:v>
      </x:c>
      <x:c r="BB348" t="inlineStr">
        <x:is>
          <x:t xml:space="preserve">SYSTEM-TEST-ONLY-NO-NETWORK-NOT-AN-EDUCATIONAL-EVALUATION</x:t>
        </x:is>
      </x:c>
      <x:c r="BC348" t="inlineStr">
        <x:is>
          <x:t xml:space="preserve"/>
        </x:is>
      </x:c>
      <x:c r="BD348" t="inlineStr">
        <x:is>
          <x:t xml:space="preserve">NONE</x:t>
        </x:is>
      </x:c>
      <x:c r="BE348" t="inlineStr">
        <x:is>
          <x:t xml:space="preserve"/>
        </x:is>
      </x:c>
      <x:c r="BF348" t="inlineStr">
        <x:is>
          <x:t xml:space="preserve">SUCCESS</x:t>
        </x:is>
      </x:c>
      <x:c r="BG348" t="n">
        <x:f>IF((COUNT('Quantification_Results'!BA348)=1),IFERROR(ROUND((SUM(('Quantification_Results'!BA348*'Quantification_Config'!$R$19))/SUM('Quantification_Config'!$R$19)),'Quantification_Config'!$U$2),""),"")</x:f>
        <x:v>50</x:v>
      </x:c>
      <x:c r="BH348" t="n">
        <x:f>IF((COUNT('Quantification_Results'!BG348)=1),IFERROR(ROUND((SUM(('Quantification_Results'!BG348*'Quantification_Config'!$R$18))/SUM('Quantification_Config'!$R$18)),'Quantification_Config'!$U$2),""),"")</x:f>
        <x:v>50</x:v>
      </x:c>
      <x:c r="BI348">
        <x:f>IF((COUNT('Quantification_Results'!L348,'Quantification_Results'!X348,'Quantification_Results'!AJ348,'Quantification_Results'!AV348,'Quantification_Results'!BH348)=5),IFERROR(ROUND((SUM(('Quantification_Results'!L348*'Quantification_Config'!$R$4),('Quantification_Results'!X348*'Quantification_Config'!$R$7),('Quantification_Results'!AJ348*'Quantification_Config'!$R$10),('Quantification_Results'!AV348*'Quantification_Config'!$R$13),('Quantification_Results'!BH348*'Quantification_Config'!$R$16))/SUM('Quantification_Config'!$R$4,'Quantification_Config'!$R$7,'Quantification_Config'!$R$10,'Quantification_Config'!$R$13,'Quantification_Config'!$R$16)),'Quantification_Config'!$U$2),""),"")</x:f>
      </x:c>
    </x:row>
    <x:row r="349">
      <x:c r="A349" t="n">
        <x:v>1</x:v>
      </x:c>
      <x:c r="B349" t="n">
        <x:v>5</x:v>
      </x:c>
      <x:c r="C349"/>
      <x:c r="D349" t="n">
        <x:f>IF(('Quantification_Results'!A349&lt;&gt;1),"",IF(('Quantification_Results'!C349=""),IF(ISNUMBER('Quantification_Results'!B349),IF(('Quantification_Results'!B349&lt;'Quantification_Config'!$S$6),"",IF(('Quantification_Results'!B349&gt;'Quantification_Config'!$T$6),"",'Quantification_Results'!B349)),""),IF(ISNUMBER('Quantification_Results'!C349),IF(('Quantification_Results'!C349&lt;'Quantification_Config'!$S$6),"",IF(('Quantification_Results'!C349&gt;'Quantification_Config'!$T$6),"",'Quantification_Results'!C349)),"")))</x:f>
        <x:v>5</x:v>
      </x:c>
      <x:c r="E349" t="n">
        <x:f>IF(ISNUMBER('Quantification_Results'!D349),IFERROR(ROUND(((('Quantification_Results'!D349-'Quantification_Config'!$S$6)/('Quantification_Config'!$T$6-'Quantification_Config'!$S$6))*100),'Quantification_Config'!$U$2),""),"")</x:f>
        <x:v>50</x:v>
      </x:c>
      <x:c r="F349" t="inlineStr">
        <x:is>
          <x:t xml:space="preserve">SYSTEM-TEST-ONLY-NO-NETWORK-NOT-AN-EDUCATIONAL-EVALUATION</x:t>
        </x:is>
      </x:c>
      <x:c r="G349" t="inlineStr">
        <x:is>
          <x:t xml:space="preserve"/>
        </x:is>
      </x:c>
      <x:c r="H349" t="inlineStr">
        <x:is>
          <x:t xml:space="preserve">NONE</x:t>
        </x:is>
      </x:c>
      <x:c r="I349" t="inlineStr">
        <x:is>
          <x:t xml:space="preserve"/>
        </x:is>
      </x:c>
      <x:c r="J349" t="inlineStr">
        <x:is>
          <x:t xml:space="preserve">SUCCESS</x:t>
        </x:is>
      </x:c>
      <x:c r="K349" t="n">
        <x:f>IF((COUNT('Quantification_Results'!E349)=1),IFERROR(ROUND((SUM(('Quantification_Results'!E349*'Quantification_Config'!$R$6))/SUM('Quantification_Config'!$R$6)),'Quantification_Config'!$U$2),""),"")</x:f>
        <x:v>50</x:v>
      </x:c>
      <x:c r="L349" t="n">
        <x:f>IF((COUNT('Quantification_Results'!K349)=1),IFERROR(ROUND((SUM(('Quantification_Results'!K349*'Quantification_Config'!$R$5))/SUM('Quantification_Config'!$R$5)),'Quantification_Config'!$U$2),""),"")</x:f>
        <x:v>50</x:v>
      </x:c>
      <x:c r="M349" t="n">
        <x:v>1</x:v>
      </x:c>
      <x:c r="N349" t="n">
        <x:v>5</x:v>
      </x:c>
      <x:c r="O349"/>
      <x:c r="P349" t="n">
        <x:f>IF(('Quantification_Results'!M349&lt;&gt;1),"",IF(('Quantification_Results'!O349=""),IF(ISNUMBER('Quantification_Results'!N349),IF(('Quantification_Results'!N349&lt;'Quantification_Config'!$S$9),"",IF(('Quantification_Results'!N349&gt;'Quantification_Config'!$T$9),"",'Quantification_Results'!N349)),""),IF(ISNUMBER('Quantification_Results'!O349),IF(('Quantification_Results'!O349&lt;'Quantification_Config'!$S$9),"",IF(('Quantification_Results'!O349&gt;'Quantification_Config'!$T$9),"",'Quantification_Results'!O349)),"")))</x:f>
        <x:v>5</x:v>
      </x:c>
      <x:c r="Q349" t="n">
        <x:f>IF(ISNUMBER('Quantification_Results'!P349),IFERROR(ROUND(((('Quantification_Results'!P349-'Quantification_Config'!$S$9)/('Quantification_Config'!$T$9-'Quantification_Config'!$S$9))*100),'Quantification_Config'!$U$2),""),"")</x:f>
        <x:v>50</x:v>
      </x:c>
      <x:c r="R349" t="inlineStr">
        <x:is>
          <x:t xml:space="preserve">SYSTEM-TEST-ONLY-NO-NETWORK-NOT-AN-EDUCATIONAL-EVALUATION</x:t>
        </x:is>
      </x:c>
      <x:c r="S349" t="inlineStr">
        <x:is>
          <x:t xml:space="preserve"/>
        </x:is>
      </x:c>
      <x:c r="T349" t="inlineStr">
        <x:is>
          <x:t xml:space="preserve">NONE</x:t>
        </x:is>
      </x:c>
      <x:c r="U349" t="inlineStr">
        <x:is>
          <x:t xml:space="preserve"/>
        </x:is>
      </x:c>
      <x:c r="V349" t="inlineStr">
        <x:is>
          <x:t xml:space="preserve">SUCCESS</x:t>
        </x:is>
      </x:c>
      <x:c r="W349" t="n">
        <x:f>IF((COUNT('Quantification_Results'!Q349)=1),IFERROR(ROUND((SUM(('Quantification_Results'!Q349*'Quantification_Config'!$R$9))/SUM('Quantification_Config'!$R$9)),'Quantification_Config'!$U$2),""),"")</x:f>
        <x:v>50</x:v>
      </x:c>
      <x:c r="X349" t="n">
        <x:f>IF((COUNT('Quantification_Results'!W349)=1),IFERROR(ROUND((SUM(('Quantification_Results'!W349*'Quantification_Config'!$R$8))/SUM('Quantification_Config'!$R$8)),'Quantification_Config'!$U$2),""),"")</x:f>
        <x:v>50</x:v>
      </x:c>
      <x:c r="Y349" t="n">
        <x:v>0</x:v>
      </x:c>
      <x:c r="Z349"/>
      <x:c r="AA349"/>
      <x:c r="AB349">
        <x:f>IF(('Quantification_Results'!Y349&lt;&gt;1),"",IF(('Quantification_Results'!AA349=""),IF(ISNUMBER('Quantification_Results'!Z349),IF(('Quantification_Results'!Z349&lt;'Quantification_Config'!$S$12),"",IF(('Quantification_Results'!Z349&gt;'Quantification_Config'!$T$12),"",'Quantification_Results'!Z349)),""),IF(ISNUMBER('Quantification_Results'!AA349),IF(('Quantification_Results'!AA349&lt;'Quantification_Config'!$S$12),"",IF(('Quantification_Results'!AA349&gt;'Quantification_Config'!$T$12),"",'Quantification_Results'!AA349)),"")))</x:f>
      </x:c>
      <x:c r="AC349">
        <x:f>IF(ISNUMBER('Quantification_Results'!AB349),IFERROR(ROUND(((('Quantification_Results'!AB349-'Quantification_Config'!$S$12)/('Quantification_Config'!$T$12-'Quantification_Config'!$S$12))*100),'Quantification_Config'!$U$2),""),"")</x:f>
      </x:c>
      <x:c r="AD349" t="inlineStr">
        <x:is>
          <x:t xml:space="preserve"/>
        </x:is>
      </x:c>
      <x:c r="AE349" t="inlineStr">
        <x:is>
          <x:t xml:space="preserve"/>
        </x:is>
      </x:c>
      <x:c r="AF349" t="inlineStr">
        <x:is>
          <x:t xml:space="preserve"/>
        </x:is>
      </x:c>
      <x:c r="AG349" t="inlineStr">
        <x:is>
          <x:t xml:space="preserve"/>
        </x:is>
      </x:c>
      <x:c r="AH349" t="inlineStr">
        <x:is>
          <x:t xml:space="preserve">EMPTY</x:t>
        </x:is>
      </x:c>
      <x:c r="AI349">
        <x:f>IF((COUNT('Quantification_Results'!AC349)=1),IFERROR(ROUND((SUM(('Quantification_Results'!AC349*'Quantification_Config'!$R$12))/SUM('Quantification_Config'!$R$12)),'Quantification_Config'!$U$2),""),"")</x:f>
      </x:c>
      <x:c r="AJ349">
        <x:f>IF((COUNT('Quantification_Results'!AI349)=1),IFERROR(ROUND((SUM(('Quantification_Results'!AI349*'Quantification_Config'!$R$11))/SUM('Quantification_Config'!$R$11)),'Quantification_Config'!$U$2),""),"")</x:f>
      </x:c>
      <x:c r="AK349" t="n">
        <x:v>1</x:v>
      </x:c>
      <x:c r="AL349" t="n">
        <x:v>5</x:v>
      </x:c>
      <x:c r="AM349"/>
      <x:c r="AN349" t="n">
        <x:f>IF(('Quantification_Results'!AK349&lt;&gt;1),"",IF(('Quantification_Results'!AM349=""),IF(ISNUMBER('Quantification_Results'!AL349),IF(('Quantification_Results'!AL349&lt;'Quantification_Config'!$S$15),"",IF(('Quantification_Results'!AL349&gt;'Quantification_Config'!$T$15),"",'Quantification_Results'!AL349)),""),IF(ISNUMBER('Quantification_Results'!AM349),IF(('Quantification_Results'!AM349&lt;'Quantification_Config'!$S$15),"",IF(('Quantification_Results'!AM349&gt;'Quantification_Config'!$T$15),"",'Quantification_Results'!AM349)),"")))</x:f>
        <x:v>5</x:v>
      </x:c>
      <x:c r="AO349" t="n">
        <x:f>IF(ISNUMBER('Quantification_Results'!AN349),IFERROR(ROUND(((('Quantification_Results'!AN349-'Quantification_Config'!$S$15)/('Quantification_Config'!$T$15-'Quantification_Config'!$S$15))*100),'Quantification_Config'!$U$2),""),"")</x:f>
        <x:v>50</x:v>
      </x:c>
      <x:c r="AP349" t="inlineStr">
        <x:is>
          <x:t xml:space="preserve">SYSTEM-TEST-ONLY-NO-NETWORK-NOT-AN-EDUCATIONAL-EVALUATION</x:t>
        </x:is>
      </x:c>
      <x:c r="AQ349" t="inlineStr">
        <x:is>
          <x:t xml:space="preserve"/>
        </x:is>
      </x:c>
      <x:c r="AR349" t="inlineStr">
        <x:is>
          <x:t xml:space="preserve">NONE</x:t>
        </x:is>
      </x:c>
      <x:c r="AS349" t="inlineStr">
        <x:is>
          <x:t xml:space="preserve"/>
        </x:is>
      </x:c>
      <x:c r="AT349" t="inlineStr">
        <x:is>
          <x:t xml:space="preserve">SUCCESS</x:t>
        </x:is>
      </x:c>
      <x:c r="AU349" t="n">
        <x:f>IF((COUNT('Quantification_Results'!AO349)=1),IFERROR(ROUND((SUM(('Quantification_Results'!AO349*'Quantification_Config'!$R$15))/SUM('Quantification_Config'!$R$15)),'Quantification_Config'!$U$2),""),"")</x:f>
        <x:v>50</x:v>
      </x:c>
      <x:c r="AV349" t="n">
        <x:f>IF((COUNT('Quantification_Results'!AU349)=1),IFERROR(ROUND((SUM(('Quantification_Results'!AU349*'Quantification_Config'!$R$14))/SUM('Quantification_Config'!$R$14)),'Quantification_Config'!$U$2),""),"")</x:f>
        <x:v>50</x:v>
      </x:c>
      <x:c r="AW349" t="n">
        <x:v>1</x:v>
      </x:c>
      <x:c r="AX349" t="n">
        <x:v>5</x:v>
      </x:c>
      <x:c r="AY349"/>
      <x:c r="AZ349" t="n">
        <x:f>IF(('Quantification_Results'!AW349&lt;&gt;1),"",IF(('Quantification_Results'!AY349=""),IF(ISNUMBER('Quantification_Results'!AX349),IF(('Quantification_Results'!AX349&lt;'Quantification_Config'!$S$19),"",IF(('Quantification_Results'!AX349&gt;'Quantification_Config'!$T$19),"",'Quantification_Results'!AX349)),""),IF(ISNUMBER('Quantification_Results'!AY349),IF(('Quantification_Results'!AY349&lt;'Quantification_Config'!$S$19),"",IF(('Quantification_Results'!AY349&gt;'Quantification_Config'!$T$19),"",'Quantification_Results'!AY349)),"")))</x:f>
        <x:v>5</x:v>
      </x:c>
      <x:c r="BA349" t="n">
        <x:f>IF(ISNUMBER('Quantification_Results'!AZ349),IFERROR(ROUND(((('Quantification_Results'!AZ349-'Quantification_Config'!$S$19)/('Quantification_Config'!$T$19-'Quantification_Config'!$S$19))*100),'Quantification_Config'!$U$2),""),"")</x:f>
        <x:v>50</x:v>
      </x:c>
      <x:c r="BB349" t="inlineStr">
        <x:is>
          <x:t xml:space="preserve">SYSTEM-TEST-ONLY-NO-NETWORK-NOT-AN-EDUCATIONAL-EVALUATION</x:t>
        </x:is>
      </x:c>
      <x:c r="BC349" t="inlineStr">
        <x:is>
          <x:t xml:space="preserve"/>
        </x:is>
      </x:c>
      <x:c r="BD349" t="inlineStr">
        <x:is>
          <x:t xml:space="preserve">NONE</x:t>
        </x:is>
      </x:c>
      <x:c r="BE349" t="inlineStr">
        <x:is>
          <x:t xml:space="preserve"/>
        </x:is>
      </x:c>
      <x:c r="BF349" t="inlineStr">
        <x:is>
          <x:t xml:space="preserve">SUCCESS</x:t>
        </x:is>
      </x:c>
      <x:c r="BG349" t="n">
        <x:f>IF((COUNT('Quantification_Results'!BA349)=1),IFERROR(ROUND((SUM(('Quantification_Results'!BA349*'Quantification_Config'!$R$19))/SUM('Quantification_Config'!$R$19)),'Quantification_Config'!$U$2),""),"")</x:f>
        <x:v>50</x:v>
      </x:c>
      <x:c r="BH349" t="n">
        <x:f>IF((COUNT('Quantification_Results'!BG349)=1),IFERROR(ROUND((SUM(('Quantification_Results'!BG349*'Quantification_Config'!$R$18))/SUM('Quantification_Config'!$R$18)),'Quantification_Config'!$U$2),""),"")</x:f>
        <x:v>50</x:v>
      </x:c>
      <x:c r="BI349">
        <x:f>IF((COUNT('Quantification_Results'!L349,'Quantification_Results'!X349,'Quantification_Results'!AJ349,'Quantification_Results'!AV349,'Quantification_Results'!BH349)=5),IFERROR(ROUND((SUM(('Quantification_Results'!L349*'Quantification_Config'!$R$4),('Quantification_Results'!X349*'Quantification_Config'!$R$7),('Quantification_Results'!AJ349*'Quantification_Config'!$R$10),('Quantification_Results'!AV349*'Quantification_Config'!$R$13),('Quantification_Results'!BH349*'Quantification_Config'!$R$16))/SUM('Quantification_Config'!$R$4,'Quantification_Config'!$R$7,'Quantification_Config'!$R$10,'Quantification_Config'!$R$13,'Quantification_Config'!$R$16)),'Quantification_Config'!$U$2),""),"")</x:f>
      </x:c>
    </x:row>
    <x:row r="350">
      <x:c r="A350" t="n">
        <x:v>1</x:v>
      </x:c>
      <x:c r="B350" t="n">
        <x:v>5</x:v>
      </x:c>
      <x:c r="C350"/>
      <x:c r="D350" t="n">
        <x:f>IF(('Quantification_Results'!A350&lt;&gt;1),"",IF(('Quantification_Results'!C350=""),IF(ISNUMBER('Quantification_Results'!B350),IF(('Quantification_Results'!B350&lt;'Quantification_Config'!$S$6),"",IF(('Quantification_Results'!B350&gt;'Quantification_Config'!$T$6),"",'Quantification_Results'!B350)),""),IF(ISNUMBER('Quantification_Results'!C350),IF(('Quantification_Results'!C350&lt;'Quantification_Config'!$S$6),"",IF(('Quantification_Results'!C350&gt;'Quantification_Config'!$T$6),"",'Quantification_Results'!C350)),"")))</x:f>
        <x:v>5</x:v>
      </x:c>
      <x:c r="E350" t="n">
        <x:f>IF(ISNUMBER('Quantification_Results'!D350),IFERROR(ROUND(((('Quantification_Results'!D350-'Quantification_Config'!$S$6)/('Quantification_Config'!$T$6-'Quantification_Config'!$S$6))*100),'Quantification_Config'!$U$2),""),"")</x:f>
        <x:v>50</x:v>
      </x:c>
      <x:c r="F350" t="inlineStr">
        <x:is>
          <x:t xml:space="preserve">SYSTEM-TEST-ONLY-NO-NETWORK-NOT-AN-EDUCATIONAL-EVALUATION</x:t>
        </x:is>
      </x:c>
      <x:c r="G350" t="inlineStr">
        <x:is>
          <x:t xml:space="preserve"/>
        </x:is>
      </x:c>
      <x:c r="H350" t="inlineStr">
        <x:is>
          <x:t xml:space="preserve">NONE</x:t>
        </x:is>
      </x:c>
      <x:c r="I350" t="inlineStr">
        <x:is>
          <x:t xml:space="preserve"/>
        </x:is>
      </x:c>
      <x:c r="J350" t="inlineStr">
        <x:is>
          <x:t xml:space="preserve">SUCCESS</x:t>
        </x:is>
      </x:c>
      <x:c r="K350" t="n">
        <x:f>IF((COUNT('Quantification_Results'!E350)=1),IFERROR(ROUND((SUM(('Quantification_Results'!E350*'Quantification_Config'!$R$6))/SUM('Quantification_Config'!$R$6)),'Quantification_Config'!$U$2),""),"")</x:f>
        <x:v>50</x:v>
      </x:c>
      <x:c r="L350" t="n">
        <x:f>IF((COUNT('Quantification_Results'!K350)=1),IFERROR(ROUND((SUM(('Quantification_Results'!K350*'Quantification_Config'!$R$5))/SUM('Quantification_Config'!$R$5)),'Quantification_Config'!$U$2),""),"")</x:f>
        <x:v>50</x:v>
      </x:c>
      <x:c r="M350" t="n">
        <x:v>1</x:v>
      </x:c>
      <x:c r="N350" t="n">
        <x:v>5</x:v>
      </x:c>
      <x:c r="O350"/>
      <x:c r="P350" t="n">
        <x:f>IF(('Quantification_Results'!M350&lt;&gt;1),"",IF(('Quantification_Results'!O350=""),IF(ISNUMBER('Quantification_Results'!N350),IF(('Quantification_Results'!N350&lt;'Quantification_Config'!$S$9),"",IF(('Quantification_Results'!N350&gt;'Quantification_Config'!$T$9),"",'Quantification_Results'!N350)),""),IF(ISNUMBER('Quantification_Results'!O350),IF(('Quantification_Results'!O350&lt;'Quantification_Config'!$S$9),"",IF(('Quantification_Results'!O350&gt;'Quantification_Config'!$T$9),"",'Quantification_Results'!O350)),"")))</x:f>
        <x:v>5</x:v>
      </x:c>
      <x:c r="Q350" t="n">
        <x:f>IF(ISNUMBER('Quantification_Results'!P350),IFERROR(ROUND(((('Quantification_Results'!P350-'Quantification_Config'!$S$9)/('Quantification_Config'!$T$9-'Quantification_Config'!$S$9))*100),'Quantification_Config'!$U$2),""),"")</x:f>
        <x:v>50</x:v>
      </x:c>
      <x:c r="R350" t="inlineStr">
        <x:is>
          <x:t xml:space="preserve">SYSTEM-TEST-ONLY-NO-NETWORK-NOT-AN-EDUCATIONAL-EVALUATION</x:t>
        </x:is>
      </x:c>
      <x:c r="S350" t="inlineStr">
        <x:is>
          <x:t xml:space="preserve"/>
        </x:is>
      </x:c>
      <x:c r="T350" t="inlineStr">
        <x:is>
          <x:t xml:space="preserve">NONE</x:t>
        </x:is>
      </x:c>
      <x:c r="U350" t="inlineStr">
        <x:is>
          <x:t xml:space="preserve"/>
        </x:is>
      </x:c>
      <x:c r="V350" t="inlineStr">
        <x:is>
          <x:t xml:space="preserve">SUCCESS</x:t>
        </x:is>
      </x:c>
      <x:c r="W350" t="n">
        <x:f>IF((COUNT('Quantification_Results'!Q350)=1),IFERROR(ROUND((SUM(('Quantification_Results'!Q350*'Quantification_Config'!$R$9))/SUM('Quantification_Config'!$R$9)),'Quantification_Config'!$U$2),""),"")</x:f>
        <x:v>50</x:v>
      </x:c>
      <x:c r="X350" t="n">
        <x:f>IF((COUNT('Quantification_Results'!W350)=1),IFERROR(ROUND((SUM(('Quantification_Results'!W350*'Quantification_Config'!$R$8))/SUM('Quantification_Config'!$R$8)),'Quantification_Config'!$U$2),""),"")</x:f>
        <x:v>50</x:v>
      </x:c>
      <x:c r="Y350" t="n">
        <x:v>0</x:v>
      </x:c>
      <x:c r="Z350"/>
      <x:c r="AA350"/>
      <x:c r="AB350">
        <x:f>IF(('Quantification_Results'!Y350&lt;&gt;1),"",IF(('Quantification_Results'!AA350=""),IF(ISNUMBER('Quantification_Results'!Z350),IF(('Quantification_Results'!Z350&lt;'Quantification_Config'!$S$12),"",IF(('Quantification_Results'!Z350&gt;'Quantification_Config'!$T$12),"",'Quantification_Results'!Z350)),""),IF(ISNUMBER('Quantification_Results'!AA350),IF(('Quantification_Results'!AA350&lt;'Quantification_Config'!$S$12),"",IF(('Quantification_Results'!AA350&gt;'Quantification_Config'!$T$12),"",'Quantification_Results'!AA350)),"")))</x:f>
      </x:c>
      <x:c r="AC350">
        <x:f>IF(ISNUMBER('Quantification_Results'!AB350),IFERROR(ROUND(((('Quantification_Results'!AB350-'Quantification_Config'!$S$12)/('Quantification_Config'!$T$12-'Quantification_Config'!$S$12))*100),'Quantification_Config'!$U$2),""),"")</x:f>
      </x:c>
      <x:c r="AD350" t="inlineStr">
        <x:is>
          <x:t xml:space="preserve"/>
        </x:is>
      </x:c>
      <x:c r="AE350" t="inlineStr">
        <x:is>
          <x:t xml:space="preserve"/>
        </x:is>
      </x:c>
      <x:c r="AF350" t="inlineStr">
        <x:is>
          <x:t xml:space="preserve"/>
        </x:is>
      </x:c>
      <x:c r="AG350" t="inlineStr">
        <x:is>
          <x:t xml:space="preserve"/>
        </x:is>
      </x:c>
      <x:c r="AH350" t="inlineStr">
        <x:is>
          <x:t xml:space="preserve">EMPTY</x:t>
        </x:is>
      </x:c>
      <x:c r="AI350">
        <x:f>IF((COUNT('Quantification_Results'!AC350)=1),IFERROR(ROUND((SUM(('Quantification_Results'!AC350*'Quantification_Config'!$R$12))/SUM('Quantification_Config'!$R$12)),'Quantification_Config'!$U$2),""),"")</x:f>
      </x:c>
      <x:c r="AJ350">
        <x:f>IF((COUNT('Quantification_Results'!AI350)=1),IFERROR(ROUND((SUM(('Quantification_Results'!AI350*'Quantification_Config'!$R$11))/SUM('Quantification_Config'!$R$11)),'Quantification_Config'!$U$2),""),"")</x:f>
      </x:c>
      <x:c r="AK350" t="n">
        <x:v>1</x:v>
      </x:c>
      <x:c r="AL350" t="n">
        <x:v>5</x:v>
      </x:c>
      <x:c r="AM350"/>
      <x:c r="AN350" t="n">
        <x:f>IF(('Quantification_Results'!AK350&lt;&gt;1),"",IF(('Quantification_Results'!AM350=""),IF(ISNUMBER('Quantification_Results'!AL350),IF(('Quantification_Results'!AL350&lt;'Quantification_Config'!$S$15),"",IF(('Quantification_Results'!AL350&gt;'Quantification_Config'!$T$15),"",'Quantification_Results'!AL350)),""),IF(ISNUMBER('Quantification_Results'!AM350),IF(('Quantification_Results'!AM350&lt;'Quantification_Config'!$S$15),"",IF(('Quantification_Results'!AM350&gt;'Quantification_Config'!$T$15),"",'Quantification_Results'!AM350)),"")))</x:f>
        <x:v>5</x:v>
      </x:c>
      <x:c r="AO350" t="n">
        <x:f>IF(ISNUMBER('Quantification_Results'!AN350),IFERROR(ROUND(((('Quantification_Results'!AN350-'Quantification_Config'!$S$15)/('Quantification_Config'!$T$15-'Quantification_Config'!$S$15))*100),'Quantification_Config'!$U$2),""),"")</x:f>
        <x:v>50</x:v>
      </x:c>
      <x:c r="AP350" t="inlineStr">
        <x:is>
          <x:t xml:space="preserve">SYSTEM-TEST-ONLY-NO-NETWORK-NOT-AN-EDUCATIONAL-EVALUATION</x:t>
        </x:is>
      </x:c>
      <x:c r="AQ350" t="inlineStr">
        <x:is>
          <x:t xml:space="preserve"/>
        </x:is>
      </x:c>
      <x:c r="AR350" t="inlineStr">
        <x:is>
          <x:t xml:space="preserve">NONE</x:t>
        </x:is>
      </x:c>
      <x:c r="AS350" t="inlineStr">
        <x:is>
          <x:t xml:space="preserve"/>
        </x:is>
      </x:c>
      <x:c r="AT350" t="inlineStr">
        <x:is>
          <x:t xml:space="preserve">SUCCESS</x:t>
        </x:is>
      </x:c>
      <x:c r="AU350" t="n">
        <x:f>IF((COUNT('Quantification_Results'!AO350)=1),IFERROR(ROUND((SUM(('Quantification_Results'!AO350*'Quantification_Config'!$R$15))/SUM('Quantification_Config'!$R$15)),'Quantification_Config'!$U$2),""),"")</x:f>
        <x:v>50</x:v>
      </x:c>
      <x:c r="AV350" t="n">
        <x:f>IF((COUNT('Quantification_Results'!AU350)=1),IFERROR(ROUND((SUM(('Quantification_Results'!AU350*'Quantification_Config'!$R$14))/SUM('Quantification_Config'!$R$14)),'Quantification_Config'!$U$2),""),"")</x:f>
        <x:v>50</x:v>
      </x:c>
      <x:c r="AW350" t="n">
        <x:v>1</x:v>
      </x:c>
      <x:c r="AX350" t="n">
        <x:v>5</x:v>
      </x:c>
      <x:c r="AY350"/>
      <x:c r="AZ350" t="n">
        <x:f>IF(('Quantification_Results'!AW350&lt;&gt;1),"",IF(('Quantification_Results'!AY350=""),IF(ISNUMBER('Quantification_Results'!AX350),IF(('Quantification_Results'!AX350&lt;'Quantification_Config'!$S$19),"",IF(('Quantification_Results'!AX350&gt;'Quantification_Config'!$T$19),"",'Quantification_Results'!AX350)),""),IF(ISNUMBER('Quantification_Results'!AY350),IF(('Quantification_Results'!AY350&lt;'Quantification_Config'!$S$19),"",IF(('Quantification_Results'!AY350&gt;'Quantification_Config'!$T$19),"",'Quantification_Results'!AY350)),"")))</x:f>
        <x:v>5</x:v>
      </x:c>
      <x:c r="BA350" t="n">
        <x:f>IF(ISNUMBER('Quantification_Results'!AZ350),IFERROR(ROUND(((('Quantification_Results'!AZ350-'Quantification_Config'!$S$19)/('Quantification_Config'!$T$19-'Quantification_Config'!$S$19))*100),'Quantification_Config'!$U$2),""),"")</x:f>
        <x:v>50</x:v>
      </x:c>
      <x:c r="BB350" t="inlineStr">
        <x:is>
          <x:t xml:space="preserve">SYSTEM-TEST-ONLY-NO-NETWORK-NOT-AN-EDUCATIONAL-EVALUATION</x:t>
        </x:is>
      </x:c>
      <x:c r="BC350" t="inlineStr">
        <x:is>
          <x:t xml:space="preserve"/>
        </x:is>
      </x:c>
      <x:c r="BD350" t="inlineStr">
        <x:is>
          <x:t xml:space="preserve">NONE</x:t>
        </x:is>
      </x:c>
      <x:c r="BE350" t="inlineStr">
        <x:is>
          <x:t xml:space="preserve"/>
        </x:is>
      </x:c>
      <x:c r="BF350" t="inlineStr">
        <x:is>
          <x:t xml:space="preserve">SUCCESS</x:t>
        </x:is>
      </x:c>
      <x:c r="BG350" t="n">
        <x:f>IF((COUNT('Quantification_Results'!BA350)=1),IFERROR(ROUND((SUM(('Quantification_Results'!BA350*'Quantification_Config'!$R$19))/SUM('Quantification_Config'!$R$19)),'Quantification_Config'!$U$2),""),"")</x:f>
        <x:v>50</x:v>
      </x:c>
      <x:c r="BH350" t="n">
        <x:f>IF((COUNT('Quantification_Results'!BG350)=1),IFERROR(ROUND((SUM(('Quantification_Results'!BG350*'Quantification_Config'!$R$18))/SUM('Quantification_Config'!$R$18)),'Quantification_Config'!$U$2),""),"")</x:f>
        <x:v>50</x:v>
      </x:c>
      <x:c r="BI350">
        <x:f>IF((COUNT('Quantification_Results'!L350,'Quantification_Results'!X350,'Quantification_Results'!AJ350,'Quantification_Results'!AV350,'Quantification_Results'!BH350)=5),IFERROR(ROUND((SUM(('Quantification_Results'!L350*'Quantification_Config'!$R$4),('Quantification_Results'!X350*'Quantification_Config'!$R$7),('Quantification_Results'!AJ350*'Quantification_Config'!$R$10),('Quantification_Results'!AV350*'Quantification_Config'!$R$13),('Quantification_Results'!BH350*'Quantification_Config'!$R$16))/SUM('Quantification_Config'!$R$4,'Quantification_Config'!$R$7,'Quantification_Config'!$R$10,'Quantification_Config'!$R$13,'Quantification_Config'!$R$16)),'Quantification_Config'!$U$2),""),"")</x:f>
      </x:c>
    </x:row>
    <x:row r="351">
      <x:c r="A351" t="n">
        <x:v>1</x:v>
      </x:c>
      <x:c r="B351" t="n">
        <x:v>5</x:v>
      </x:c>
      <x:c r="C351"/>
      <x:c r="D351" t="n">
        <x:f>IF(('Quantification_Results'!A351&lt;&gt;1),"",IF(('Quantification_Results'!C351=""),IF(ISNUMBER('Quantification_Results'!B351),IF(('Quantification_Results'!B351&lt;'Quantification_Config'!$S$6),"",IF(('Quantification_Results'!B351&gt;'Quantification_Config'!$T$6),"",'Quantification_Results'!B351)),""),IF(ISNUMBER('Quantification_Results'!C351),IF(('Quantification_Results'!C351&lt;'Quantification_Config'!$S$6),"",IF(('Quantification_Results'!C351&gt;'Quantification_Config'!$T$6),"",'Quantification_Results'!C351)),"")))</x:f>
        <x:v>5</x:v>
      </x:c>
      <x:c r="E351" t="n">
        <x:f>IF(ISNUMBER('Quantification_Results'!D351),IFERROR(ROUND(((('Quantification_Results'!D351-'Quantification_Config'!$S$6)/('Quantification_Config'!$T$6-'Quantification_Config'!$S$6))*100),'Quantification_Config'!$U$2),""),"")</x:f>
        <x:v>50</x:v>
      </x:c>
      <x:c r="F351" t="inlineStr">
        <x:is>
          <x:t xml:space="preserve">SYSTEM-TEST-ONLY-NO-NETWORK-NOT-AN-EDUCATIONAL-EVALUATION</x:t>
        </x:is>
      </x:c>
      <x:c r="G351" t="inlineStr">
        <x:is>
          <x:t xml:space="preserve"/>
        </x:is>
      </x:c>
      <x:c r="H351" t="inlineStr">
        <x:is>
          <x:t xml:space="preserve">NONE</x:t>
        </x:is>
      </x:c>
      <x:c r="I351" t="inlineStr">
        <x:is>
          <x:t xml:space="preserve"/>
        </x:is>
      </x:c>
      <x:c r="J351" t="inlineStr">
        <x:is>
          <x:t xml:space="preserve">SUCCESS</x:t>
        </x:is>
      </x:c>
      <x:c r="K351" t="n">
        <x:f>IF((COUNT('Quantification_Results'!E351)=1),IFERROR(ROUND((SUM(('Quantification_Results'!E351*'Quantification_Config'!$R$6))/SUM('Quantification_Config'!$R$6)),'Quantification_Config'!$U$2),""),"")</x:f>
        <x:v>50</x:v>
      </x:c>
      <x:c r="L351" t="n">
        <x:f>IF((COUNT('Quantification_Results'!K351)=1),IFERROR(ROUND((SUM(('Quantification_Results'!K351*'Quantification_Config'!$R$5))/SUM('Quantification_Config'!$R$5)),'Quantification_Config'!$U$2),""),"")</x:f>
        <x:v>50</x:v>
      </x:c>
      <x:c r="M351" t="n">
        <x:v>1</x:v>
      </x:c>
      <x:c r="N351" t="n">
        <x:v>5</x:v>
      </x:c>
      <x:c r="O351"/>
      <x:c r="P351" t="n">
        <x:f>IF(('Quantification_Results'!M351&lt;&gt;1),"",IF(('Quantification_Results'!O351=""),IF(ISNUMBER('Quantification_Results'!N351),IF(('Quantification_Results'!N351&lt;'Quantification_Config'!$S$9),"",IF(('Quantification_Results'!N351&gt;'Quantification_Config'!$T$9),"",'Quantification_Results'!N351)),""),IF(ISNUMBER('Quantification_Results'!O351),IF(('Quantification_Results'!O351&lt;'Quantification_Config'!$S$9),"",IF(('Quantification_Results'!O351&gt;'Quantification_Config'!$T$9),"",'Quantification_Results'!O351)),"")))</x:f>
        <x:v>5</x:v>
      </x:c>
      <x:c r="Q351" t="n">
        <x:f>IF(ISNUMBER('Quantification_Results'!P351),IFERROR(ROUND(((('Quantification_Results'!P351-'Quantification_Config'!$S$9)/('Quantification_Config'!$T$9-'Quantification_Config'!$S$9))*100),'Quantification_Config'!$U$2),""),"")</x:f>
        <x:v>50</x:v>
      </x:c>
      <x:c r="R351" t="inlineStr">
        <x:is>
          <x:t xml:space="preserve">SYSTEM-TEST-ONLY-NO-NETWORK-NOT-AN-EDUCATIONAL-EVALUATION</x:t>
        </x:is>
      </x:c>
      <x:c r="S351" t="inlineStr">
        <x:is>
          <x:t xml:space="preserve"/>
        </x:is>
      </x:c>
      <x:c r="T351" t="inlineStr">
        <x:is>
          <x:t xml:space="preserve">NONE</x:t>
        </x:is>
      </x:c>
      <x:c r="U351" t="inlineStr">
        <x:is>
          <x:t xml:space="preserve"/>
        </x:is>
      </x:c>
      <x:c r="V351" t="inlineStr">
        <x:is>
          <x:t xml:space="preserve">SUCCESS</x:t>
        </x:is>
      </x:c>
      <x:c r="W351" t="n">
        <x:f>IF((COUNT('Quantification_Results'!Q351)=1),IFERROR(ROUND((SUM(('Quantification_Results'!Q351*'Quantification_Config'!$R$9))/SUM('Quantification_Config'!$R$9)),'Quantification_Config'!$U$2),""),"")</x:f>
        <x:v>50</x:v>
      </x:c>
      <x:c r="X351" t="n">
        <x:f>IF((COUNT('Quantification_Results'!W351)=1),IFERROR(ROUND((SUM(('Quantification_Results'!W351*'Quantification_Config'!$R$8))/SUM('Quantification_Config'!$R$8)),'Quantification_Config'!$U$2),""),"")</x:f>
        <x:v>50</x:v>
      </x:c>
      <x:c r="Y351" t="n">
        <x:v>0</x:v>
      </x:c>
      <x:c r="Z351"/>
      <x:c r="AA351"/>
      <x:c r="AB351">
        <x:f>IF(('Quantification_Results'!Y351&lt;&gt;1),"",IF(('Quantification_Results'!AA351=""),IF(ISNUMBER('Quantification_Results'!Z351),IF(('Quantification_Results'!Z351&lt;'Quantification_Config'!$S$12),"",IF(('Quantification_Results'!Z351&gt;'Quantification_Config'!$T$12),"",'Quantification_Results'!Z351)),""),IF(ISNUMBER('Quantification_Results'!AA351),IF(('Quantification_Results'!AA351&lt;'Quantification_Config'!$S$12),"",IF(('Quantification_Results'!AA351&gt;'Quantification_Config'!$T$12),"",'Quantification_Results'!AA351)),"")))</x:f>
      </x:c>
      <x:c r="AC351">
        <x:f>IF(ISNUMBER('Quantification_Results'!AB351),IFERROR(ROUND(((('Quantification_Results'!AB351-'Quantification_Config'!$S$12)/('Quantification_Config'!$T$12-'Quantification_Config'!$S$12))*100),'Quantification_Config'!$U$2),""),"")</x:f>
      </x:c>
      <x:c r="AD351" t="inlineStr">
        <x:is>
          <x:t xml:space="preserve"/>
        </x:is>
      </x:c>
      <x:c r="AE351" t="inlineStr">
        <x:is>
          <x:t xml:space="preserve"/>
        </x:is>
      </x:c>
      <x:c r="AF351" t="inlineStr">
        <x:is>
          <x:t xml:space="preserve"/>
        </x:is>
      </x:c>
      <x:c r="AG351" t="inlineStr">
        <x:is>
          <x:t xml:space="preserve"/>
        </x:is>
      </x:c>
      <x:c r="AH351" t="inlineStr">
        <x:is>
          <x:t xml:space="preserve">EMPTY</x:t>
        </x:is>
      </x:c>
      <x:c r="AI351">
        <x:f>IF((COUNT('Quantification_Results'!AC351)=1),IFERROR(ROUND((SUM(('Quantification_Results'!AC351*'Quantification_Config'!$R$12))/SUM('Quantification_Config'!$R$12)),'Quantification_Config'!$U$2),""),"")</x:f>
      </x:c>
      <x:c r="AJ351">
        <x:f>IF((COUNT('Quantification_Results'!AI351)=1),IFERROR(ROUND((SUM(('Quantification_Results'!AI351*'Quantification_Config'!$R$11))/SUM('Quantification_Config'!$R$11)),'Quantification_Config'!$U$2),""),"")</x:f>
      </x:c>
      <x:c r="AK351" t="n">
        <x:v>1</x:v>
      </x:c>
      <x:c r="AL351" t="n">
        <x:v>5</x:v>
      </x:c>
      <x:c r="AM351"/>
      <x:c r="AN351" t="n">
        <x:f>IF(('Quantification_Results'!AK351&lt;&gt;1),"",IF(('Quantification_Results'!AM351=""),IF(ISNUMBER('Quantification_Results'!AL351),IF(('Quantification_Results'!AL351&lt;'Quantification_Config'!$S$15),"",IF(('Quantification_Results'!AL351&gt;'Quantification_Config'!$T$15),"",'Quantification_Results'!AL351)),""),IF(ISNUMBER('Quantification_Results'!AM351),IF(('Quantification_Results'!AM351&lt;'Quantification_Config'!$S$15),"",IF(('Quantification_Results'!AM351&gt;'Quantification_Config'!$T$15),"",'Quantification_Results'!AM351)),"")))</x:f>
        <x:v>5</x:v>
      </x:c>
      <x:c r="AO351" t="n">
        <x:f>IF(ISNUMBER('Quantification_Results'!AN351),IFERROR(ROUND(((('Quantification_Results'!AN351-'Quantification_Config'!$S$15)/('Quantification_Config'!$T$15-'Quantification_Config'!$S$15))*100),'Quantification_Config'!$U$2),""),"")</x:f>
        <x:v>50</x:v>
      </x:c>
      <x:c r="AP351" t="inlineStr">
        <x:is>
          <x:t xml:space="preserve">SYSTEM-TEST-ONLY-NO-NETWORK-NOT-AN-EDUCATIONAL-EVALUATION</x:t>
        </x:is>
      </x:c>
      <x:c r="AQ351" t="inlineStr">
        <x:is>
          <x:t xml:space="preserve"/>
        </x:is>
      </x:c>
      <x:c r="AR351" t="inlineStr">
        <x:is>
          <x:t xml:space="preserve">NONE</x:t>
        </x:is>
      </x:c>
      <x:c r="AS351" t="inlineStr">
        <x:is>
          <x:t xml:space="preserve"/>
        </x:is>
      </x:c>
      <x:c r="AT351" t="inlineStr">
        <x:is>
          <x:t xml:space="preserve">SUCCESS</x:t>
        </x:is>
      </x:c>
      <x:c r="AU351" t="n">
        <x:f>IF((COUNT('Quantification_Results'!AO351)=1),IFERROR(ROUND((SUM(('Quantification_Results'!AO351*'Quantification_Config'!$R$15))/SUM('Quantification_Config'!$R$15)),'Quantification_Config'!$U$2),""),"")</x:f>
        <x:v>50</x:v>
      </x:c>
      <x:c r="AV351" t="n">
        <x:f>IF((COUNT('Quantification_Results'!AU351)=1),IFERROR(ROUND((SUM(('Quantification_Results'!AU351*'Quantification_Config'!$R$14))/SUM('Quantification_Config'!$R$14)),'Quantification_Config'!$U$2),""),"")</x:f>
        <x:v>50</x:v>
      </x:c>
      <x:c r="AW351" t="n">
        <x:v>1</x:v>
      </x:c>
      <x:c r="AX351" t="n">
        <x:v>5</x:v>
      </x:c>
      <x:c r="AY351"/>
      <x:c r="AZ351" t="n">
        <x:f>IF(('Quantification_Results'!AW351&lt;&gt;1),"",IF(('Quantification_Results'!AY351=""),IF(ISNUMBER('Quantification_Results'!AX351),IF(('Quantification_Results'!AX351&lt;'Quantification_Config'!$S$19),"",IF(('Quantification_Results'!AX351&gt;'Quantification_Config'!$T$19),"",'Quantification_Results'!AX351)),""),IF(ISNUMBER('Quantification_Results'!AY351),IF(('Quantification_Results'!AY351&lt;'Quantification_Config'!$S$19),"",IF(('Quantification_Results'!AY351&gt;'Quantification_Config'!$T$19),"",'Quantification_Results'!AY351)),"")))</x:f>
        <x:v>5</x:v>
      </x:c>
      <x:c r="BA351" t="n">
        <x:f>IF(ISNUMBER('Quantification_Results'!AZ351),IFERROR(ROUND(((('Quantification_Results'!AZ351-'Quantification_Config'!$S$19)/('Quantification_Config'!$T$19-'Quantification_Config'!$S$19))*100),'Quantification_Config'!$U$2),""),"")</x:f>
        <x:v>50</x:v>
      </x:c>
      <x:c r="BB351" t="inlineStr">
        <x:is>
          <x:t xml:space="preserve">SYSTEM-TEST-ONLY-NO-NETWORK-NOT-AN-EDUCATIONAL-EVALUATION</x:t>
        </x:is>
      </x:c>
      <x:c r="BC351" t="inlineStr">
        <x:is>
          <x:t xml:space="preserve"/>
        </x:is>
      </x:c>
      <x:c r="BD351" t="inlineStr">
        <x:is>
          <x:t xml:space="preserve">NONE</x:t>
        </x:is>
      </x:c>
      <x:c r="BE351" t="inlineStr">
        <x:is>
          <x:t xml:space="preserve"/>
        </x:is>
      </x:c>
      <x:c r="BF351" t="inlineStr">
        <x:is>
          <x:t xml:space="preserve">SUCCESS</x:t>
        </x:is>
      </x:c>
      <x:c r="BG351" t="n">
        <x:f>IF((COUNT('Quantification_Results'!BA351)=1),IFERROR(ROUND((SUM(('Quantification_Results'!BA351*'Quantification_Config'!$R$19))/SUM('Quantification_Config'!$R$19)),'Quantification_Config'!$U$2),""),"")</x:f>
        <x:v>50</x:v>
      </x:c>
      <x:c r="BH351" t="n">
        <x:f>IF((COUNT('Quantification_Results'!BG351)=1),IFERROR(ROUND((SUM(('Quantification_Results'!BG351*'Quantification_Config'!$R$18))/SUM('Quantification_Config'!$R$18)),'Quantification_Config'!$U$2),""),"")</x:f>
        <x:v>50</x:v>
      </x:c>
      <x:c r="BI351">
        <x:f>IF((COUNT('Quantification_Results'!L351,'Quantification_Results'!X351,'Quantification_Results'!AJ351,'Quantification_Results'!AV351,'Quantification_Results'!BH351)=5),IFERROR(ROUND((SUM(('Quantification_Results'!L351*'Quantification_Config'!$R$4),('Quantification_Results'!X351*'Quantification_Config'!$R$7),('Quantification_Results'!AJ351*'Quantification_Config'!$R$10),('Quantification_Results'!AV351*'Quantification_Config'!$R$13),('Quantification_Results'!BH351*'Quantification_Config'!$R$16))/SUM('Quantification_Config'!$R$4,'Quantification_Config'!$R$7,'Quantification_Config'!$R$10,'Quantification_Config'!$R$13,'Quantification_Config'!$R$16)),'Quantification_Config'!$U$2),""),"")</x:f>
      </x:c>
    </x:row>
    <x:row r="352">
      <x:c r="A352" t="n">
        <x:v>1</x:v>
      </x:c>
      <x:c r="B352" t="n">
        <x:v>5</x:v>
      </x:c>
      <x:c r="C352"/>
      <x:c r="D352" t="n">
        <x:f>IF(('Quantification_Results'!A352&lt;&gt;1),"",IF(('Quantification_Results'!C352=""),IF(ISNUMBER('Quantification_Results'!B352),IF(('Quantification_Results'!B352&lt;'Quantification_Config'!$S$6),"",IF(('Quantification_Results'!B352&gt;'Quantification_Config'!$T$6),"",'Quantification_Results'!B352)),""),IF(ISNUMBER('Quantification_Results'!C352),IF(('Quantification_Results'!C352&lt;'Quantification_Config'!$S$6),"",IF(('Quantification_Results'!C352&gt;'Quantification_Config'!$T$6),"",'Quantification_Results'!C352)),"")))</x:f>
        <x:v>5</x:v>
      </x:c>
      <x:c r="E352" t="n">
        <x:f>IF(ISNUMBER('Quantification_Results'!D352),IFERROR(ROUND(((('Quantification_Results'!D352-'Quantification_Config'!$S$6)/('Quantification_Config'!$T$6-'Quantification_Config'!$S$6))*100),'Quantification_Config'!$U$2),""),"")</x:f>
        <x:v>50</x:v>
      </x:c>
      <x:c r="F352" t="inlineStr">
        <x:is>
          <x:t xml:space="preserve">SYSTEM-TEST-ONLY-NO-NETWORK-NOT-AN-EDUCATIONAL-EVALUATION</x:t>
        </x:is>
      </x:c>
      <x:c r="G352" t="inlineStr">
        <x:is>
          <x:t xml:space="preserve"/>
        </x:is>
      </x:c>
      <x:c r="H352" t="inlineStr">
        <x:is>
          <x:t xml:space="preserve">NONE</x:t>
        </x:is>
      </x:c>
      <x:c r="I352" t="inlineStr">
        <x:is>
          <x:t xml:space="preserve"/>
        </x:is>
      </x:c>
      <x:c r="J352" t="inlineStr">
        <x:is>
          <x:t xml:space="preserve">SUCCESS</x:t>
        </x:is>
      </x:c>
      <x:c r="K352" t="n">
        <x:f>IF((COUNT('Quantification_Results'!E352)=1),IFERROR(ROUND((SUM(('Quantification_Results'!E352*'Quantification_Config'!$R$6))/SUM('Quantification_Config'!$R$6)),'Quantification_Config'!$U$2),""),"")</x:f>
        <x:v>50</x:v>
      </x:c>
      <x:c r="L352" t="n">
        <x:f>IF((COUNT('Quantification_Results'!K352)=1),IFERROR(ROUND((SUM(('Quantification_Results'!K352*'Quantification_Config'!$R$5))/SUM('Quantification_Config'!$R$5)),'Quantification_Config'!$U$2),""),"")</x:f>
        <x:v>50</x:v>
      </x:c>
      <x:c r="M352" t="n">
        <x:v>1</x:v>
      </x:c>
      <x:c r="N352" t="n">
        <x:v>5</x:v>
      </x:c>
      <x:c r="O352"/>
      <x:c r="P352" t="n">
        <x:f>IF(('Quantification_Results'!M352&lt;&gt;1),"",IF(('Quantification_Results'!O352=""),IF(ISNUMBER('Quantification_Results'!N352),IF(('Quantification_Results'!N352&lt;'Quantification_Config'!$S$9),"",IF(('Quantification_Results'!N352&gt;'Quantification_Config'!$T$9),"",'Quantification_Results'!N352)),""),IF(ISNUMBER('Quantification_Results'!O352),IF(('Quantification_Results'!O352&lt;'Quantification_Config'!$S$9),"",IF(('Quantification_Results'!O352&gt;'Quantification_Config'!$T$9),"",'Quantification_Results'!O352)),"")))</x:f>
        <x:v>5</x:v>
      </x:c>
      <x:c r="Q352" t="n">
        <x:f>IF(ISNUMBER('Quantification_Results'!P352),IFERROR(ROUND(((('Quantification_Results'!P352-'Quantification_Config'!$S$9)/('Quantification_Config'!$T$9-'Quantification_Config'!$S$9))*100),'Quantification_Config'!$U$2),""),"")</x:f>
        <x:v>50</x:v>
      </x:c>
      <x:c r="R352" t="inlineStr">
        <x:is>
          <x:t xml:space="preserve">SYSTEM-TEST-ONLY-NO-NETWORK-NOT-AN-EDUCATIONAL-EVALUATION</x:t>
        </x:is>
      </x:c>
      <x:c r="S352" t="inlineStr">
        <x:is>
          <x:t xml:space="preserve"/>
        </x:is>
      </x:c>
      <x:c r="T352" t="inlineStr">
        <x:is>
          <x:t xml:space="preserve">NONE</x:t>
        </x:is>
      </x:c>
      <x:c r="U352" t="inlineStr">
        <x:is>
          <x:t xml:space="preserve"/>
        </x:is>
      </x:c>
      <x:c r="V352" t="inlineStr">
        <x:is>
          <x:t xml:space="preserve">SUCCESS</x:t>
        </x:is>
      </x:c>
      <x:c r="W352" t="n">
        <x:f>IF((COUNT('Quantification_Results'!Q352)=1),IFERROR(ROUND((SUM(('Quantification_Results'!Q352*'Quantification_Config'!$R$9))/SUM('Quantification_Config'!$R$9)),'Quantification_Config'!$U$2),""),"")</x:f>
        <x:v>50</x:v>
      </x:c>
      <x:c r="X352" t="n">
        <x:f>IF((COUNT('Quantification_Results'!W352)=1),IFERROR(ROUND((SUM(('Quantification_Results'!W352*'Quantification_Config'!$R$8))/SUM('Quantification_Config'!$R$8)),'Quantification_Config'!$U$2),""),"")</x:f>
        <x:v>50</x:v>
      </x:c>
      <x:c r="Y352" t="n">
        <x:v>0</x:v>
      </x:c>
      <x:c r="Z352"/>
      <x:c r="AA352"/>
      <x:c r="AB352">
        <x:f>IF(('Quantification_Results'!Y352&lt;&gt;1),"",IF(('Quantification_Results'!AA352=""),IF(ISNUMBER('Quantification_Results'!Z352),IF(('Quantification_Results'!Z352&lt;'Quantification_Config'!$S$12),"",IF(('Quantification_Results'!Z352&gt;'Quantification_Config'!$T$12),"",'Quantification_Results'!Z352)),""),IF(ISNUMBER('Quantification_Results'!AA352),IF(('Quantification_Results'!AA352&lt;'Quantification_Config'!$S$12),"",IF(('Quantification_Results'!AA352&gt;'Quantification_Config'!$T$12),"",'Quantification_Results'!AA352)),"")))</x:f>
      </x:c>
      <x:c r="AC352">
        <x:f>IF(ISNUMBER('Quantification_Results'!AB352),IFERROR(ROUND(((('Quantification_Results'!AB352-'Quantification_Config'!$S$12)/('Quantification_Config'!$T$12-'Quantification_Config'!$S$12))*100),'Quantification_Config'!$U$2),""),"")</x:f>
      </x:c>
      <x:c r="AD352" t="inlineStr">
        <x:is>
          <x:t xml:space="preserve"/>
        </x:is>
      </x:c>
      <x:c r="AE352" t="inlineStr">
        <x:is>
          <x:t xml:space="preserve"/>
        </x:is>
      </x:c>
      <x:c r="AF352" t="inlineStr">
        <x:is>
          <x:t xml:space="preserve"/>
        </x:is>
      </x:c>
      <x:c r="AG352" t="inlineStr">
        <x:is>
          <x:t xml:space="preserve"/>
        </x:is>
      </x:c>
      <x:c r="AH352" t="inlineStr">
        <x:is>
          <x:t xml:space="preserve">EMPTY</x:t>
        </x:is>
      </x:c>
      <x:c r="AI352">
        <x:f>IF((COUNT('Quantification_Results'!AC352)=1),IFERROR(ROUND((SUM(('Quantification_Results'!AC352*'Quantification_Config'!$R$12))/SUM('Quantification_Config'!$R$12)),'Quantification_Config'!$U$2),""),"")</x:f>
      </x:c>
      <x:c r="AJ352">
        <x:f>IF((COUNT('Quantification_Results'!AI352)=1),IFERROR(ROUND((SUM(('Quantification_Results'!AI352*'Quantification_Config'!$R$11))/SUM('Quantification_Config'!$R$11)),'Quantification_Config'!$U$2),""),"")</x:f>
      </x:c>
      <x:c r="AK352" t="n">
        <x:v>1</x:v>
      </x:c>
      <x:c r="AL352" t="n">
        <x:v>5</x:v>
      </x:c>
      <x:c r="AM352"/>
      <x:c r="AN352" t="n">
        <x:f>IF(('Quantification_Results'!AK352&lt;&gt;1),"",IF(('Quantification_Results'!AM352=""),IF(ISNUMBER('Quantification_Results'!AL352),IF(('Quantification_Results'!AL352&lt;'Quantification_Config'!$S$15),"",IF(('Quantification_Results'!AL352&gt;'Quantification_Config'!$T$15),"",'Quantification_Results'!AL352)),""),IF(ISNUMBER('Quantification_Results'!AM352),IF(('Quantification_Results'!AM352&lt;'Quantification_Config'!$S$15),"",IF(('Quantification_Results'!AM352&gt;'Quantification_Config'!$T$15),"",'Quantification_Results'!AM352)),"")))</x:f>
        <x:v>5</x:v>
      </x:c>
      <x:c r="AO352" t="n">
        <x:f>IF(ISNUMBER('Quantification_Results'!AN352),IFERROR(ROUND(((('Quantification_Results'!AN352-'Quantification_Config'!$S$15)/('Quantification_Config'!$T$15-'Quantification_Config'!$S$15))*100),'Quantification_Config'!$U$2),""),"")</x:f>
        <x:v>50</x:v>
      </x:c>
      <x:c r="AP352" t="inlineStr">
        <x:is>
          <x:t xml:space="preserve">SYSTEM-TEST-ONLY-NO-NETWORK-NOT-AN-EDUCATIONAL-EVALUATION</x:t>
        </x:is>
      </x:c>
      <x:c r="AQ352" t="inlineStr">
        <x:is>
          <x:t xml:space="preserve"/>
        </x:is>
      </x:c>
      <x:c r="AR352" t="inlineStr">
        <x:is>
          <x:t xml:space="preserve">NONE</x:t>
        </x:is>
      </x:c>
      <x:c r="AS352" t="inlineStr">
        <x:is>
          <x:t xml:space="preserve"/>
        </x:is>
      </x:c>
      <x:c r="AT352" t="inlineStr">
        <x:is>
          <x:t xml:space="preserve">SUCCESS</x:t>
        </x:is>
      </x:c>
      <x:c r="AU352" t="n">
        <x:f>IF((COUNT('Quantification_Results'!AO352)=1),IFERROR(ROUND((SUM(('Quantification_Results'!AO352*'Quantification_Config'!$R$15))/SUM('Quantification_Config'!$R$15)),'Quantification_Config'!$U$2),""),"")</x:f>
        <x:v>50</x:v>
      </x:c>
      <x:c r="AV352" t="n">
        <x:f>IF((COUNT('Quantification_Results'!AU352)=1),IFERROR(ROUND((SUM(('Quantification_Results'!AU352*'Quantification_Config'!$R$14))/SUM('Quantification_Config'!$R$14)),'Quantification_Config'!$U$2),""),"")</x:f>
        <x:v>50</x:v>
      </x:c>
      <x:c r="AW352" t="n">
        <x:v>1</x:v>
      </x:c>
      <x:c r="AX352" t="n">
        <x:v>5</x:v>
      </x:c>
      <x:c r="AY352"/>
      <x:c r="AZ352" t="n">
        <x:f>IF(('Quantification_Results'!AW352&lt;&gt;1),"",IF(('Quantification_Results'!AY352=""),IF(ISNUMBER('Quantification_Results'!AX352),IF(('Quantification_Results'!AX352&lt;'Quantification_Config'!$S$19),"",IF(('Quantification_Results'!AX352&gt;'Quantification_Config'!$T$19),"",'Quantification_Results'!AX352)),""),IF(ISNUMBER('Quantification_Results'!AY352),IF(('Quantification_Results'!AY352&lt;'Quantification_Config'!$S$19),"",IF(('Quantification_Results'!AY352&gt;'Quantification_Config'!$T$19),"",'Quantification_Results'!AY352)),"")))</x:f>
        <x:v>5</x:v>
      </x:c>
      <x:c r="BA352" t="n">
        <x:f>IF(ISNUMBER('Quantification_Results'!AZ352),IFERROR(ROUND(((('Quantification_Results'!AZ352-'Quantification_Config'!$S$19)/('Quantification_Config'!$T$19-'Quantification_Config'!$S$19))*100),'Quantification_Config'!$U$2),""),"")</x:f>
        <x:v>50</x:v>
      </x:c>
      <x:c r="BB352" t="inlineStr">
        <x:is>
          <x:t xml:space="preserve">SYSTEM-TEST-ONLY-NO-NETWORK-NOT-AN-EDUCATIONAL-EVALUATION</x:t>
        </x:is>
      </x:c>
      <x:c r="BC352" t="inlineStr">
        <x:is>
          <x:t xml:space="preserve"/>
        </x:is>
      </x:c>
      <x:c r="BD352" t="inlineStr">
        <x:is>
          <x:t xml:space="preserve">NONE</x:t>
        </x:is>
      </x:c>
      <x:c r="BE352" t="inlineStr">
        <x:is>
          <x:t xml:space="preserve"/>
        </x:is>
      </x:c>
      <x:c r="BF352" t="inlineStr">
        <x:is>
          <x:t xml:space="preserve">SUCCESS</x:t>
        </x:is>
      </x:c>
      <x:c r="BG352" t="n">
        <x:f>IF((COUNT('Quantification_Results'!BA352)=1),IFERROR(ROUND((SUM(('Quantification_Results'!BA352*'Quantification_Config'!$R$19))/SUM('Quantification_Config'!$R$19)),'Quantification_Config'!$U$2),""),"")</x:f>
        <x:v>50</x:v>
      </x:c>
      <x:c r="BH352" t="n">
        <x:f>IF((COUNT('Quantification_Results'!BG352)=1),IFERROR(ROUND((SUM(('Quantification_Results'!BG352*'Quantification_Config'!$R$18))/SUM('Quantification_Config'!$R$18)),'Quantification_Config'!$U$2),""),"")</x:f>
        <x:v>50</x:v>
      </x:c>
      <x:c r="BI352">
        <x:f>IF((COUNT('Quantification_Results'!L352,'Quantification_Results'!X352,'Quantification_Results'!AJ352,'Quantification_Results'!AV352,'Quantification_Results'!BH352)=5),IFERROR(ROUND((SUM(('Quantification_Results'!L352*'Quantification_Config'!$R$4),('Quantification_Results'!X352*'Quantification_Config'!$R$7),('Quantification_Results'!AJ352*'Quantification_Config'!$R$10),('Quantification_Results'!AV352*'Quantification_Config'!$R$13),('Quantification_Results'!BH352*'Quantification_Config'!$R$16))/SUM('Quantification_Config'!$R$4,'Quantification_Config'!$R$7,'Quantification_Config'!$R$10,'Quantification_Config'!$R$13,'Quantification_Config'!$R$16)),'Quantification_Config'!$U$2),""),"")</x:f>
      </x:c>
    </x:row>
    <x:row r="353">
      <x:c r="A353" t="n">
        <x:v>1</x:v>
      </x:c>
      <x:c r="B353" t="n">
        <x:v>5</x:v>
      </x:c>
      <x:c r="C353"/>
      <x:c r="D353" t="n">
        <x:f>IF(('Quantification_Results'!A353&lt;&gt;1),"",IF(('Quantification_Results'!C353=""),IF(ISNUMBER('Quantification_Results'!B353),IF(('Quantification_Results'!B353&lt;'Quantification_Config'!$S$6),"",IF(('Quantification_Results'!B353&gt;'Quantification_Config'!$T$6),"",'Quantification_Results'!B353)),""),IF(ISNUMBER('Quantification_Results'!C353),IF(('Quantification_Results'!C353&lt;'Quantification_Config'!$S$6),"",IF(('Quantification_Results'!C353&gt;'Quantification_Config'!$T$6),"",'Quantification_Results'!C353)),"")))</x:f>
        <x:v>5</x:v>
      </x:c>
      <x:c r="E353" t="n">
        <x:f>IF(ISNUMBER('Quantification_Results'!D353),IFERROR(ROUND(((('Quantification_Results'!D353-'Quantification_Config'!$S$6)/('Quantification_Config'!$T$6-'Quantification_Config'!$S$6))*100),'Quantification_Config'!$U$2),""),"")</x:f>
        <x:v>50</x:v>
      </x:c>
      <x:c r="F353" t="inlineStr">
        <x:is>
          <x:t xml:space="preserve">SYSTEM-TEST-ONLY-NO-NETWORK-NOT-AN-EDUCATIONAL-EVALUATION</x:t>
        </x:is>
      </x:c>
      <x:c r="G353" t="inlineStr">
        <x:is>
          <x:t xml:space="preserve"/>
        </x:is>
      </x:c>
      <x:c r="H353" t="inlineStr">
        <x:is>
          <x:t xml:space="preserve">NONE</x:t>
        </x:is>
      </x:c>
      <x:c r="I353" t="inlineStr">
        <x:is>
          <x:t xml:space="preserve"/>
        </x:is>
      </x:c>
      <x:c r="J353" t="inlineStr">
        <x:is>
          <x:t xml:space="preserve">SUCCESS</x:t>
        </x:is>
      </x:c>
      <x:c r="K353" t="n">
        <x:f>IF((COUNT('Quantification_Results'!E353)=1),IFERROR(ROUND((SUM(('Quantification_Results'!E353*'Quantification_Config'!$R$6))/SUM('Quantification_Config'!$R$6)),'Quantification_Config'!$U$2),""),"")</x:f>
        <x:v>50</x:v>
      </x:c>
      <x:c r="L353" t="n">
        <x:f>IF((COUNT('Quantification_Results'!K353)=1),IFERROR(ROUND((SUM(('Quantification_Results'!K353*'Quantification_Config'!$R$5))/SUM('Quantification_Config'!$R$5)),'Quantification_Config'!$U$2),""),"")</x:f>
        <x:v>50</x:v>
      </x:c>
      <x:c r="M353" t="n">
        <x:v>1</x:v>
      </x:c>
      <x:c r="N353" t="n">
        <x:v>5</x:v>
      </x:c>
      <x:c r="O353"/>
      <x:c r="P353" t="n">
        <x:f>IF(('Quantification_Results'!M353&lt;&gt;1),"",IF(('Quantification_Results'!O353=""),IF(ISNUMBER('Quantification_Results'!N353),IF(('Quantification_Results'!N353&lt;'Quantification_Config'!$S$9),"",IF(('Quantification_Results'!N353&gt;'Quantification_Config'!$T$9),"",'Quantification_Results'!N353)),""),IF(ISNUMBER('Quantification_Results'!O353),IF(('Quantification_Results'!O353&lt;'Quantification_Config'!$S$9),"",IF(('Quantification_Results'!O353&gt;'Quantification_Config'!$T$9),"",'Quantification_Results'!O353)),"")))</x:f>
        <x:v>5</x:v>
      </x:c>
      <x:c r="Q353" t="n">
        <x:f>IF(ISNUMBER('Quantification_Results'!P353),IFERROR(ROUND(((('Quantification_Results'!P353-'Quantification_Config'!$S$9)/('Quantification_Config'!$T$9-'Quantification_Config'!$S$9))*100),'Quantification_Config'!$U$2),""),"")</x:f>
        <x:v>50</x:v>
      </x:c>
      <x:c r="R353" t="inlineStr">
        <x:is>
          <x:t xml:space="preserve">SYSTEM-TEST-ONLY-NO-NETWORK-NOT-AN-EDUCATIONAL-EVALUATION</x:t>
        </x:is>
      </x:c>
      <x:c r="S353" t="inlineStr">
        <x:is>
          <x:t xml:space="preserve"/>
        </x:is>
      </x:c>
      <x:c r="T353" t="inlineStr">
        <x:is>
          <x:t xml:space="preserve">NONE</x:t>
        </x:is>
      </x:c>
      <x:c r="U353" t="inlineStr">
        <x:is>
          <x:t xml:space="preserve"/>
        </x:is>
      </x:c>
      <x:c r="V353" t="inlineStr">
        <x:is>
          <x:t xml:space="preserve">SUCCESS</x:t>
        </x:is>
      </x:c>
      <x:c r="W353" t="n">
        <x:f>IF((COUNT('Quantification_Results'!Q353)=1),IFERROR(ROUND((SUM(('Quantification_Results'!Q353*'Quantification_Config'!$R$9))/SUM('Quantification_Config'!$R$9)),'Quantification_Config'!$U$2),""),"")</x:f>
        <x:v>50</x:v>
      </x:c>
      <x:c r="X353" t="n">
        <x:f>IF((COUNT('Quantification_Results'!W353)=1),IFERROR(ROUND((SUM(('Quantification_Results'!W353*'Quantification_Config'!$R$8))/SUM('Quantification_Config'!$R$8)),'Quantification_Config'!$U$2),""),"")</x:f>
        <x:v>50</x:v>
      </x:c>
      <x:c r="Y353" t="n">
        <x:v>1</x:v>
      </x:c>
      <x:c r="Z353" t="n">
        <x:v>5</x:v>
      </x:c>
      <x:c r="AA353"/>
      <x:c r="AB353" t="n">
        <x:f>IF(('Quantification_Results'!Y353&lt;&gt;1),"",IF(('Quantification_Results'!AA353=""),IF(ISNUMBER('Quantification_Results'!Z353),IF(('Quantification_Results'!Z353&lt;'Quantification_Config'!$S$12),"",IF(('Quantification_Results'!Z353&gt;'Quantification_Config'!$T$12),"",'Quantification_Results'!Z353)),""),IF(ISNUMBER('Quantification_Results'!AA353),IF(('Quantification_Results'!AA353&lt;'Quantification_Config'!$S$12),"",IF(('Quantification_Results'!AA353&gt;'Quantification_Config'!$T$12),"",'Quantification_Results'!AA353)),"")))</x:f>
        <x:v>5</x:v>
      </x:c>
      <x:c r="AC353" t="n">
        <x:f>IF(ISNUMBER('Quantification_Results'!AB353),IFERROR(ROUND(((('Quantification_Results'!AB353-'Quantification_Config'!$S$12)/('Quantification_Config'!$T$12-'Quantification_Config'!$S$12))*100),'Quantification_Config'!$U$2),""),"")</x:f>
        <x:v>50</x:v>
      </x:c>
      <x:c r="AD353" t="inlineStr">
        <x:is>
          <x:t xml:space="preserve">SYSTEM-TEST-ONLY-NO-NETWORK-NOT-AN-EDUCATIONAL-EVALUATION</x:t>
        </x:is>
      </x:c>
      <x:c r="AE353" t="inlineStr">
        <x:is>
          <x:t xml:space="preserve"/>
        </x:is>
      </x:c>
      <x:c r="AF353" t="inlineStr">
        <x:is>
          <x:t xml:space="preserve">NONE</x:t>
        </x:is>
      </x:c>
      <x:c r="AG353" t="inlineStr">
        <x:is>
          <x:t xml:space="preserve"/>
        </x:is>
      </x:c>
      <x:c r="AH353" t="inlineStr">
        <x:is>
          <x:t xml:space="preserve">SUCCESS</x:t>
        </x:is>
      </x:c>
      <x:c r="AI353" t="n">
        <x:f>IF((COUNT('Quantification_Results'!AC353)=1),IFERROR(ROUND((SUM(('Quantification_Results'!AC353*'Quantification_Config'!$R$12))/SUM('Quantification_Config'!$R$12)),'Quantification_Config'!$U$2),""),"")</x:f>
        <x:v>50</x:v>
      </x:c>
      <x:c r="AJ353" t="n">
        <x:f>IF((COUNT('Quantification_Results'!AI353)=1),IFERROR(ROUND((SUM(('Quantification_Results'!AI353*'Quantification_Config'!$R$11))/SUM('Quantification_Config'!$R$11)),'Quantification_Config'!$U$2),""),"")</x:f>
        <x:v>50</x:v>
      </x:c>
      <x:c r="AK353" t="n">
        <x:v>1</x:v>
      </x:c>
      <x:c r="AL353" t="n">
        <x:v>5</x:v>
      </x:c>
      <x:c r="AM353"/>
      <x:c r="AN353" t="n">
        <x:f>IF(('Quantification_Results'!AK353&lt;&gt;1),"",IF(('Quantification_Results'!AM353=""),IF(ISNUMBER('Quantification_Results'!AL353),IF(('Quantification_Results'!AL353&lt;'Quantification_Config'!$S$15),"",IF(('Quantification_Results'!AL353&gt;'Quantification_Config'!$T$15),"",'Quantification_Results'!AL353)),""),IF(ISNUMBER('Quantification_Results'!AM353),IF(('Quantification_Results'!AM353&lt;'Quantification_Config'!$S$15),"",IF(('Quantification_Results'!AM353&gt;'Quantification_Config'!$T$15),"",'Quantification_Results'!AM353)),"")))</x:f>
        <x:v>5</x:v>
      </x:c>
      <x:c r="AO353" t="n">
        <x:f>IF(ISNUMBER('Quantification_Results'!AN353),IFERROR(ROUND(((('Quantification_Results'!AN353-'Quantification_Config'!$S$15)/('Quantification_Config'!$T$15-'Quantification_Config'!$S$15))*100),'Quantification_Config'!$U$2),""),"")</x:f>
        <x:v>50</x:v>
      </x:c>
      <x:c r="AP353" t="inlineStr">
        <x:is>
          <x:t xml:space="preserve">SYSTEM-TEST-ONLY-NO-NETWORK-NOT-AN-EDUCATIONAL-EVALUATION</x:t>
        </x:is>
      </x:c>
      <x:c r="AQ353" t="inlineStr">
        <x:is>
          <x:t xml:space="preserve"/>
        </x:is>
      </x:c>
      <x:c r="AR353" t="inlineStr">
        <x:is>
          <x:t xml:space="preserve">NONE</x:t>
        </x:is>
      </x:c>
      <x:c r="AS353" t="inlineStr">
        <x:is>
          <x:t xml:space="preserve"/>
        </x:is>
      </x:c>
      <x:c r="AT353" t="inlineStr">
        <x:is>
          <x:t xml:space="preserve">SUCCESS</x:t>
        </x:is>
      </x:c>
      <x:c r="AU353" t="n">
        <x:f>IF((COUNT('Quantification_Results'!AO353)=1),IFERROR(ROUND((SUM(('Quantification_Results'!AO353*'Quantification_Config'!$R$15))/SUM('Quantification_Config'!$R$15)),'Quantification_Config'!$U$2),""),"")</x:f>
        <x:v>50</x:v>
      </x:c>
      <x:c r="AV353" t="n">
        <x:f>IF((COUNT('Quantification_Results'!AU353)=1),IFERROR(ROUND((SUM(('Quantification_Results'!AU353*'Quantification_Config'!$R$14))/SUM('Quantification_Config'!$R$14)),'Quantification_Config'!$U$2),""),"")</x:f>
        <x:v>50</x:v>
      </x:c>
      <x:c r="AW353" t="n">
        <x:v>1</x:v>
      </x:c>
      <x:c r="AX353" t="n">
        <x:v>5</x:v>
      </x:c>
      <x:c r="AY353"/>
      <x:c r="AZ353" t="n">
        <x:f>IF(('Quantification_Results'!AW353&lt;&gt;1),"",IF(('Quantification_Results'!AY353=""),IF(ISNUMBER('Quantification_Results'!AX353),IF(('Quantification_Results'!AX353&lt;'Quantification_Config'!$S$19),"",IF(('Quantification_Results'!AX353&gt;'Quantification_Config'!$T$19),"",'Quantification_Results'!AX353)),""),IF(ISNUMBER('Quantification_Results'!AY353),IF(('Quantification_Results'!AY353&lt;'Quantification_Config'!$S$19),"",IF(('Quantification_Results'!AY353&gt;'Quantification_Config'!$T$19),"",'Quantification_Results'!AY353)),"")))</x:f>
        <x:v>5</x:v>
      </x:c>
      <x:c r="BA353" t="n">
        <x:f>IF(ISNUMBER('Quantification_Results'!AZ353),IFERROR(ROUND(((('Quantification_Results'!AZ353-'Quantification_Config'!$S$19)/('Quantification_Config'!$T$19-'Quantification_Config'!$S$19))*100),'Quantification_Config'!$U$2),""),"")</x:f>
        <x:v>50</x:v>
      </x:c>
      <x:c r="BB353" t="inlineStr">
        <x:is>
          <x:t xml:space="preserve">SYSTEM-TEST-ONLY-NO-NETWORK-NOT-AN-EDUCATIONAL-EVALUATION</x:t>
        </x:is>
      </x:c>
      <x:c r="BC353" t="inlineStr">
        <x:is>
          <x:t xml:space="preserve"/>
        </x:is>
      </x:c>
      <x:c r="BD353" t="inlineStr">
        <x:is>
          <x:t xml:space="preserve">NONE</x:t>
        </x:is>
      </x:c>
      <x:c r="BE353" t="inlineStr">
        <x:is>
          <x:t xml:space="preserve"/>
        </x:is>
      </x:c>
      <x:c r="BF353" t="inlineStr">
        <x:is>
          <x:t xml:space="preserve">SUCCESS</x:t>
        </x:is>
      </x:c>
      <x:c r="BG353" t="n">
        <x:f>IF((COUNT('Quantification_Results'!BA353)=1),IFERROR(ROUND((SUM(('Quantification_Results'!BA353*'Quantification_Config'!$R$19))/SUM('Quantification_Config'!$R$19)),'Quantification_Config'!$U$2),""),"")</x:f>
        <x:v>50</x:v>
      </x:c>
      <x:c r="BH353" t="n">
        <x:f>IF((COUNT('Quantification_Results'!BG353)=1),IFERROR(ROUND((SUM(('Quantification_Results'!BG353*'Quantification_Config'!$R$18))/SUM('Quantification_Config'!$R$18)),'Quantification_Config'!$U$2),""),"")</x:f>
        <x:v>50</x:v>
      </x:c>
      <x:c r="BI353" t="n">
        <x:f>IF((COUNT('Quantification_Results'!L353,'Quantification_Results'!X353,'Quantification_Results'!AJ353,'Quantification_Results'!AV353,'Quantification_Results'!BH353)=5),IFERROR(ROUND((SUM(('Quantification_Results'!L353*'Quantification_Config'!$R$4),('Quantification_Results'!X353*'Quantification_Config'!$R$7),('Quantification_Results'!AJ353*'Quantification_Config'!$R$10),('Quantification_Results'!AV353*'Quantification_Config'!$R$13),('Quantification_Results'!BH353*'Quantification_Config'!$R$16))/SUM('Quantification_Config'!$R$4,'Quantification_Config'!$R$7,'Quantification_Config'!$R$10,'Quantification_Config'!$R$13,'Quantification_Config'!$R$16)),'Quantification_Config'!$U$2),""),"")</x:f>
        <x:v>50</x:v>
      </x:c>
    </x:row>
    <x:row r="354">
      <x:c r="A354" t="n">
        <x:v>1</x:v>
      </x:c>
      <x:c r="B354" t="n">
        <x:v>5</x:v>
      </x:c>
      <x:c r="C354"/>
      <x:c r="D354" t="n">
        <x:f>IF(('Quantification_Results'!A354&lt;&gt;1),"",IF(('Quantification_Results'!C354=""),IF(ISNUMBER('Quantification_Results'!B354),IF(('Quantification_Results'!B354&lt;'Quantification_Config'!$S$6),"",IF(('Quantification_Results'!B354&gt;'Quantification_Config'!$T$6),"",'Quantification_Results'!B354)),""),IF(ISNUMBER('Quantification_Results'!C354),IF(('Quantification_Results'!C354&lt;'Quantification_Config'!$S$6),"",IF(('Quantification_Results'!C354&gt;'Quantification_Config'!$T$6),"",'Quantification_Results'!C354)),"")))</x:f>
        <x:v>5</x:v>
      </x:c>
      <x:c r="E354" t="n">
        <x:f>IF(ISNUMBER('Quantification_Results'!D354),IFERROR(ROUND(((('Quantification_Results'!D354-'Quantification_Config'!$S$6)/('Quantification_Config'!$T$6-'Quantification_Config'!$S$6))*100),'Quantification_Config'!$U$2),""),"")</x:f>
        <x:v>50</x:v>
      </x:c>
      <x:c r="F354" t="inlineStr">
        <x:is>
          <x:t xml:space="preserve">SYSTEM-TEST-ONLY-NO-NETWORK-NOT-AN-EDUCATIONAL-EVALUATION</x:t>
        </x:is>
      </x:c>
      <x:c r="G354" t="inlineStr">
        <x:is>
          <x:t xml:space="preserve"/>
        </x:is>
      </x:c>
      <x:c r="H354" t="inlineStr">
        <x:is>
          <x:t xml:space="preserve">NONE</x:t>
        </x:is>
      </x:c>
      <x:c r="I354" t="inlineStr">
        <x:is>
          <x:t xml:space="preserve"/>
        </x:is>
      </x:c>
      <x:c r="J354" t="inlineStr">
        <x:is>
          <x:t xml:space="preserve">SUCCESS</x:t>
        </x:is>
      </x:c>
      <x:c r="K354" t="n">
        <x:f>IF((COUNT('Quantification_Results'!E354)=1),IFERROR(ROUND((SUM(('Quantification_Results'!E354*'Quantification_Config'!$R$6))/SUM('Quantification_Config'!$R$6)),'Quantification_Config'!$U$2),""),"")</x:f>
        <x:v>50</x:v>
      </x:c>
      <x:c r="L354" t="n">
        <x:f>IF((COUNT('Quantification_Results'!K354)=1),IFERROR(ROUND((SUM(('Quantification_Results'!K354*'Quantification_Config'!$R$5))/SUM('Quantification_Config'!$R$5)),'Quantification_Config'!$U$2),""),"")</x:f>
        <x:v>50</x:v>
      </x:c>
      <x:c r="M354" t="n">
        <x:v>1</x:v>
      </x:c>
      <x:c r="N354" t="n">
        <x:v>5</x:v>
      </x:c>
      <x:c r="O354"/>
      <x:c r="P354" t="n">
        <x:f>IF(('Quantification_Results'!M354&lt;&gt;1),"",IF(('Quantification_Results'!O354=""),IF(ISNUMBER('Quantification_Results'!N354),IF(('Quantification_Results'!N354&lt;'Quantification_Config'!$S$9),"",IF(('Quantification_Results'!N354&gt;'Quantification_Config'!$T$9),"",'Quantification_Results'!N354)),""),IF(ISNUMBER('Quantification_Results'!O354),IF(('Quantification_Results'!O354&lt;'Quantification_Config'!$S$9),"",IF(('Quantification_Results'!O354&gt;'Quantification_Config'!$T$9),"",'Quantification_Results'!O354)),"")))</x:f>
        <x:v>5</x:v>
      </x:c>
      <x:c r="Q354" t="n">
        <x:f>IF(ISNUMBER('Quantification_Results'!P354),IFERROR(ROUND(((('Quantification_Results'!P354-'Quantification_Config'!$S$9)/('Quantification_Config'!$T$9-'Quantification_Config'!$S$9))*100),'Quantification_Config'!$U$2),""),"")</x:f>
        <x:v>50</x:v>
      </x:c>
      <x:c r="R354" t="inlineStr">
        <x:is>
          <x:t xml:space="preserve">SYSTEM-TEST-ONLY-NO-NETWORK-NOT-AN-EDUCATIONAL-EVALUATION</x:t>
        </x:is>
      </x:c>
      <x:c r="S354" t="inlineStr">
        <x:is>
          <x:t xml:space="preserve"/>
        </x:is>
      </x:c>
      <x:c r="T354" t="inlineStr">
        <x:is>
          <x:t xml:space="preserve">NONE</x:t>
        </x:is>
      </x:c>
      <x:c r="U354" t="inlineStr">
        <x:is>
          <x:t xml:space="preserve"/>
        </x:is>
      </x:c>
      <x:c r="V354" t="inlineStr">
        <x:is>
          <x:t xml:space="preserve">SUCCESS</x:t>
        </x:is>
      </x:c>
      <x:c r="W354" t="n">
        <x:f>IF((COUNT('Quantification_Results'!Q354)=1),IFERROR(ROUND((SUM(('Quantification_Results'!Q354*'Quantification_Config'!$R$9))/SUM('Quantification_Config'!$R$9)),'Quantification_Config'!$U$2),""),"")</x:f>
        <x:v>50</x:v>
      </x:c>
      <x:c r="X354" t="n">
        <x:f>IF((COUNT('Quantification_Results'!W354)=1),IFERROR(ROUND((SUM(('Quantification_Results'!W354*'Quantification_Config'!$R$8))/SUM('Quantification_Config'!$R$8)),'Quantification_Config'!$U$2),""),"")</x:f>
        <x:v>50</x:v>
      </x:c>
      <x:c r="Y354" t="n">
        <x:v>0</x:v>
      </x:c>
      <x:c r="Z354"/>
      <x:c r="AA354"/>
      <x:c r="AB354">
        <x:f>IF(('Quantification_Results'!Y354&lt;&gt;1),"",IF(('Quantification_Results'!AA354=""),IF(ISNUMBER('Quantification_Results'!Z354),IF(('Quantification_Results'!Z354&lt;'Quantification_Config'!$S$12),"",IF(('Quantification_Results'!Z354&gt;'Quantification_Config'!$T$12),"",'Quantification_Results'!Z354)),""),IF(ISNUMBER('Quantification_Results'!AA354),IF(('Quantification_Results'!AA354&lt;'Quantification_Config'!$S$12),"",IF(('Quantification_Results'!AA354&gt;'Quantification_Config'!$T$12),"",'Quantification_Results'!AA354)),"")))</x:f>
      </x:c>
      <x:c r="AC354">
        <x:f>IF(ISNUMBER('Quantification_Results'!AB354),IFERROR(ROUND(((('Quantification_Results'!AB354-'Quantification_Config'!$S$12)/('Quantification_Config'!$T$12-'Quantification_Config'!$S$12))*100),'Quantification_Config'!$U$2),""),"")</x:f>
      </x:c>
      <x:c r="AD354" t="inlineStr">
        <x:is>
          <x:t xml:space="preserve"/>
        </x:is>
      </x:c>
      <x:c r="AE354" t="inlineStr">
        <x:is>
          <x:t xml:space="preserve"/>
        </x:is>
      </x:c>
      <x:c r="AF354" t="inlineStr">
        <x:is>
          <x:t xml:space="preserve"/>
        </x:is>
      </x:c>
      <x:c r="AG354" t="inlineStr">
        <x:is>
          <x:t xml:space="preserve"/>
        </x:is>
      </x:c>
      <x:c r="AH354" t="inlineStr">
        <x:is>
          <x:t xml:space="preserve">EMPTY</x:t>
        </x:is>
      </x:c>
      <x:c r="AI354">
        <x:f>IF((COUNT('Quantification_Results'!AC354)=1),IFERROR(ROUND((SUM(('Quantification_Results'!AC354*'Quantification_Config'!$R$12))/SUM('Quantification_Config'!$R$12)),'Quantification_Config'!$U$2),""),"")</x:f>
      </x:c>
      <x:c r="AJ354">
        <x:f>IF((COUNT('Quantification_Results'!AI354)=1),IFERROR(ROUND((SUM(('Quantification_Results'!AI354*'Quantification_Config'!$R$11))/SUM('Quantification_Config'!$R$11)),'Quantification_Config'!$U$2),""),"")</x:f>
      </x:c>
      <x:c r="AK354" t="n">
        <x:v>1</x:v>
      </x:c>
      <x:c r="AL354" t="n">
        <x:v>5</x:v>
      </x:c>
      <x:c r="AM354"/>
      <x:c r="AN354" t="n">
        <x:f>IF(('Quantification_Results'!AK354&lt;&gt;1),"",IF(('Quantification_Results'!AM354=""),IF(ISNUMBER('Quantification_Results'!AL354),IF(('Quantification_Results'!AL354&lt;'Quantification_Config'!$S$15),"",IF(('Quantification_Results'!AL354&gt;'Quantification_Config'!$T$15),"",'Quantification_Results'!AL354)),""),IF(ISNUMBER('Quantification_Results'!AM354),IF(('Quantification_Results'!AM354&lt;'Quantification_Config'!$S$15),"",IF(('Quantification_Results'!AM354&gt;'Quantification_Config'!$T$15),"",'Quantification_Results'!AM354)),"")))</x:f>
        <x:v>5</x:v>
      </x:c>
      <x:c r="AO354" t="n">
        <x:f>IF(ISNUMBER('Quantification_Results'!AN354),IFERROR(ROUND(((('Quantification_Results'!AN354-'Quantification_Config'!$S$15)/('Quantification_Config'!$T$15-'Quantification_Config'!$S$15))*100),'Quantification_Config'!$U$2),""),"")</x:f>
        <x:v>50</x:v>
      </x:c>
      <x:c r="AP354" t="inlineStr">
        <x:is>
          <x:t xml:space="preserve">SYSTEM-TEST-ONLY-NO-NETWORK-NOT-AN-EDUCATIONAL-EVALUATION</x:t>
        </x:is>
      </x:c>
      <x:c r="AQ354" t="inlineStr">
        <x:is>
          <x:t xml:space="preserve"/>
        </x:is>
      </x:c>
      <x:c r="AR354" t="inlineStr">
        <x:is>
          <x:t xml:space="preserve">NONE</x:t>
        </x:is>
      </x:c>
      <x:c r="AS354" t="inlineStr">
        <x:is>
          <x:t xml:space="preserve"/>
        </x:is>
      </x:c>
      <x:c r="AT354" t="inlineStr">
        <x:is>
          <x:t xml:space="preserve">SUCCESS</x:t>
        </x:is>
      </x:c>
      <x:c r="AU354" t="n">
        <x:f>IF((COUNT('Quantification_Results'!AO354)=1),IFERROR(ROUND((SUM(('Quantification_Results'!AO354*'Quantification_Config'!$R$15))/SUM('Quantification_Config'!$R$15)),'Quantification_Config'!$U$2),""),"")</x:f>
        <x:v>50</x:v>
      </x:c>
      <x:c r="AV354" t="n">
        <x:f>IF((COUNT('Quantification_Results'!AU354)=1),IFERROR(ROUND((SUM(('Quantification_Results'!AU354*'Quantification_Config'!$R$14))/SUM('Quantification_Config'!$R$14)),'Quantification_Config'!$U$2),""),"")</x:f>
        <x:v>50</x:v>
      </x:c>
      <x:c r="AW354" t="n">
        <x:v>1</x:v>
      </x:c>
      <x:c r="AX354" t="n">
        <x:v>5</x:v>
      </x:c>
      <x:c r="AY354"/>
      <x:c r="AZ354" t="n">
        <x:f>IF(('Quantification_Results'!AW354&lt;&gt;1),"",IF(('Quantification_Results'!AY354=""),IF(ISNUMBER('Quantification_Results'!AX354),IF(('Quantification_Results'!AX354&lt;'Quantification_Config'!$S$19),"",IF(('Quantification_Results'!AX354&gt;'Quantification_Config'!$T$19),"",'Quantification_Results'!AX354)),""),IF(ISNUMBER('Quantification_Results'!AY354),IF(('Quantification_Results'!AY354&lt;'Quantification_Config'!$S$19),"",IF(('Quantification_Results'!AY354&gt;'Quantification_Config'!$T$19),"",'Quantification_Results'!AY354)),"")))</x:f>
        <x:v>5</x:v>
      </x:c>
      <x:c r="BA354" t="n">
        <x:f>IF(ISNUMBER('Quantification_Results'!AZ354),IFERROR(ROUND(((('Quantification_Results'!AZ354-'Quantification_Config'!$S$19)/('Quantification_Config'!$T$19-'Quantification_Config'!$S$19))*100),'Quantification_Config'!$U$2),""),"")</x:f>
        <x:v>50</x:v>
      </x:c>
      <x:c r="BB354" t="inlineStr">
        <x:is>
          <x:t xml:space="preserve">SYSTEM-TEST-ONLY-NO-NETWORK-NOT-AN-EDUCATIONAL-EVALUATION</x:t>
        </x:is>
      </x:c>
      <x:c r="BC354" t="inlineStr">
        <x:is>
          <x:t xml:space="preserve"/>
        </x:is>
      </x:c>
      <x:c r="BD354" t="inlineStr">
        <x:is>
          <x:t xml:space="preserve">NONE</x:t>
        </x:is>
      </x:c>
      <x:c r="BE354" t="inlineStr">
        <x:is>
          <x:t xml:space="preserve"/>
        </x:is>
      </x:c>
      <x:c r="BF354" t="inlineStr">
        <x:is>
          <x:t xml:space="preserve">SUCCESS</x:t>
        </x:is>
      </x:c>
      <x:c r="BG354" t="n">
        <x:f>IF((COUNT('Quantification_Results'!BA354)=1),IFERROR(ROUND((SUM(('Quantification_Results'!BA354*'Quantification_Config'!$R$19))/SUM('Quantification_Config'!$R$19)),'Quantification_Config'!$U$2),""),"")</x:f>
        <x:v>50</x:v>
      </x:c>
      <x:c r="BH354" t="n">
        <x:f>IF((COUNT('Quantification_Results'!BG354)=1),IFERROR(ROUND((SUM(('Quantification_Results'!BG354*'Quantification_Config'!$R$18))/SUM('Quantification_Config'!$R$18)),'Quantification_Config'!$U$2),""),"")</x:f>
        <x:v>50</x:v>
      </x:c>
      <x:c r="BI354">
        <x:f>IF((COUNT('Quantification_Results'!L354,'Quantification_Results'!X354,'Quantification_Results'!AJ354,'Quantification_Results'!AV354,'Quantification_Results'!BH354)=5),IFERROR(ROUND((SUM(('Quantification_Results'!L354*'Quantification_Config'!$R$4),('Quantification_Results'!X354*'Quantification_Config'!$R$7),('Quantification_Results'!AJ354*'Quantification_Config'!$R$10),('Quantification_Results'!AV354*'Quantification_Config'!$R$13),('Quantification_Results'!BH354*'Quantification_Config'!$R$16))/SUM('Quantification_Config'!$R$4,'Quantification_Config'!$R$7,'Quantification_Config'!$R$10,'Quantification_Config'!$R$13,'Quantification_Config'!$R$16)),'Quantification_Config'!$U$2),""),"")</x:f>
      </x:c>
    </x:row>
    <x:row r="355">
      <x:c r="A355" t="n">
        <x:v>1</x:v>
      </x:c>
      <x:c r="B355" t="n">
        <x:v>5</x:v>
      </x:c>
      <x:c r="C355"/>
      <x:c r="D355" t="n">
        <x:f>IF(('Quantification_Results'!A355&lt;&gt;1),"",IF(('Quantification_Results'!C355=""),IF(ISNUMBER('Quantification_Results'!B355),IF(('Quantification_Results'!B355&lt;'Quantification_Config'!$S$6),"",IF(('Quantification_Results'!B355&gt;'Quantification_Config'!$T$6),"",'Quantification_Results'!B355)),""),IF(ISNUMBER('Quantification_Results'!C355),IF(('Quantification_Results'!C355&lt;'Quantification_Config'!$S$6),"",IF(('Quantification_Results'!C355&gt;'Quantification_Config'!$T$6),"",'Quantification_Results'!C355)),"")))</x:f>
        <x:v>5</x:v>
      </x:c>
      <x:c r="E355" t="n">
        <x:f>IF(ISNUMBER('Quantification_Results'!D355),IFERROR(ROUND(((('Quantification_Results'!D355-'Quantification_Config'!$S$6)/('Quantification_Config'!$T$6-'Quantification_Config'!$S$6))*100),'Quantification_Config'!$U$2),""),"")</x:f>
        <x:v>50</x:v>
      </x:c>
      <x:c r="F355" t="inlineStr">
        <x:is>
          <x:t xml:space="preserve">SYSTEM-TEST-ONLY-NO-NETWORK-NOT-AN-EDUCATIONAL-EVALUATION</x:t>
        </x:is>
      </x:c>
      <x:c r="G355" t="inlineStr">
        <x:is>
          <x:t xml:space="preserve"/>
        </x:is>
      </x:c>
      <x:c r="H355" t="inlineStr">
        <x:is>
          <x:t xml:space="preserve">NONE</x:t>
        </x:is>
      </x:c>
      <x:c r="I355" t="inlineStr">
        <x:is>
          <x:t xml:space="preserve"/>
        </x:is>
      </x:c>
      <x:c r="J355" t="inlineStr">
        <x:is>
          <x:t xml:space="preserve">SUCCESS</x:t>
        </x:is>
      </x:c>
      <x:c r="K355" t="n">
        <x:f>IF((COUNT('Quantification_Results'!E355)=1),IFERROR(ROUND((SUM(('Quantification_Results'!E355*'Quantification_Config'!$R$6))/SUM('Quantification_Config'!$R$6)),'Quantification_Config'!$U$2),""),"")</x:f>
        <x:v>50</x:v>
      </x:c>
      <x:c r="L355" t="n">
        <x:f>IF((COUNT('Quantification_Results'!K355)=1),IFERROR(ROUND((SUM(('Quantification_Results'!K355*'Quantification_Config'!$R$5))/SUM('Quantification_Config'!$R$5)),'Quantification_Config'!$U$2),""),"")</x:f>
        <x:v>50</x:v>
      </x:c>
      <x:c r="M355" t="n">
        <x:v>1</x:v>
      </x:c>
      <x:c r="N355" t="n">
        <x:v>5</x:v>
      </x:c>
      <x:c r="O355"/>
      <x:c r="P355" t="n">
        <x:f>IF(('Quantification_Results'!M355&lt;&gt;1),"",IF(('Quantification_Results'!O355=""),IF(ISNUMBER('Quantification_Results'!N355),IF(('Quantification_Results'!N355&lt;'Quantification_Config'!$S$9),"",IF(('Quantification_Results'!N355&gt;'Quantification_Config'!$T$9),"",'Quantification_Results'!N355)),""),IF(ISNUMBER('Quantification_Results'!O355),IF(('Quantification_Results'!O355&lt;'Quantification_Config'!$S$9),"",IF(('Quantification_Results'!O355&gt;'Quantification_Config'!$T$9),"",'Quantification_Results'!O355)),"")))</x:f>
        <x:v>5</x:v>
      </x:c>
      <x:c r="Q355" t="n">
        <x:f>IF(ISNUMBER('Quantification_Results'!P355),IFERROR(ROUND(((('Quantification_Results'!P355-'Quantification_Config'!$S$9)/('Quantification_Config'!$T$9-'Quantification_Config'!$S$9))*100),'Quantification_Config'!$U$2),""),"")</x:f>
        <x:v>50</x:v>
      </x:c>
      <x:c r="R355" t="inlineStr">
        <x:is>
          <x:t xml:space="preserve">SYSTEM-TEST-ONLY-NO-NETWORK-NOT-AN-EDUCATIONAL-EVALUATION</x:t>
        </x:is>
      </x:c>
      <x:c r="S355" t="inlineStr">
        <x:is>
          <x:t xml:space="preserve"/>
        </x:is>
      </x:c>
      <x:c r="T355" t="inlineStr">
        <x:is>
          <x:t xml:space="preserve">NONE</x:t>
        </x:is>
      </x:c>
      <x:c r="U355" t="inlineStr">
        <x:is>
          <x:t xml:space="preserve"/>
        </x:is>
      </x:c>
      <x:c r="V355" t="inlineStr">
        <x:is>
          <x:t xml:space="preserve">SUCCESS</x:t>
        </x:is>
      </x:c>
      <x:c r="W355" t="n">
        <x:f>IF((COUNT('Quantification_Results'!Q355)=1),IFERROR(ROUND((SUM(('Quantification_Results'!Q355*'Quantification_Config'!$R$9))/SUM('Quantification_Config'!$R$9)),'Quantification_Config'!$U$2),""),"")</x:f>
        <x:v>50</x:v>
      </x:c>
      <x:c r="X355" t="n">
        <x:f>IF((COUNT('Quantification_Results'!W355)=1),IFERROR(ROUND((SUM(('Quantification_Results'!W355*'Quantification_Config'!$R$8))/SUM('Quantification_Config'!$R$8)),'Quantification_Config'!$U$2),""),"")</x:f>
        <x:v>50</x:v>
      </x:c>
      <x:c r="Y355" t="n">
        <x:v>0</x:v>
      </x:c>
      <x:c r="Z355"/>
      <x:c r="AA355"/>
      <x:c r="AB355">
        <x:f>IF(('Quantification_Results'!Y355&lt;&gt;1),"",IF(('Quantification_Results'!AA355=""),IF(ISNUMBER('Quantification_Results'!Z355),IF(('Quantification_Results'!Z355&lt;'Quantification_Config'!$S$12),"",IF(('Quantification_Results'!Z355&gt;'Quantification_Config'!$T$12),"",'Quantification_Results'!Z355)),""),IF(ISNUMBER('Quantification_Results'!AA355),IF(('Quantification_Results'!AA355&lt;'Quantification_Config'!$S$12),"",IF(('Quantification_Results'!AA355&gt;'Quantification_Config'!$T$12),"",'Quantification_Results'!AA355)),"")))</x:f>
      </x:c>
      <x:c r="AC355">
        <x:f>IF(ISNUMBER('Quantification_Results'!AB355),IFERROR(ROUND(((('Quantification_Results'!AB355-'Quantification_Config'!$S$12)/('Quantification_Config'!$T$12-'Quantification_Config'!$S$12))*100),'Quantification_Config'!$U$2),""),"")</x:f>
      </x:c>
      <x:c r="AD355" t="inlineStr">
        <x:is>
          <x:t xml:space="preserve"/>
        </x:is>
      </x:c>
      <x:c r="AE355" t="inlineStr">
        <x:is>
          <x:t xml:space="preserve"/>
        </x:is>
      </x:c>
      <x:c r="AF355" t="inlineStr">
        <x:is>
          <x:t xml:space="preserve"/>
        </x:is>
      </x:c>
      <x:c r="AG355" t="inlineStr">
        <x:is>
          <x:t xml:space="preserve"/>
        </x:is>
      </x:c>
      <x:c r="AH355" t="inlineStr">
        <x:is>
          <x:t xml:space="preserve">EMPTY</x:t>
        </x:is>
      </x:c>
      <x:c r="AI355">
        <x:f>IF((COUNT('Quantification_Results'!AC355)=1),IFERROR(ROUND((SUM(('Quantification_Results'!AC355*'Quantification_Config'!$R$12))/SUM('Quantification_Config'!$R$12)),'Quantification_Config'!$U$2),""),"")</x:f>
      </x:c>
      <x:c r="AJ355">
        <x:f>IF((COUNT('Quantification_Results'!AI355)=1),IFERROR(ROUND((SUM(('Quantification_Results'!AI355*'Quantification_Config'!$R$11))/SUM('Quantification_Config'!$R$11)),'Quantification_Config'!$U$2),""),"")</x:f>
      </x:c>
      <x:c r="AK355" t="n">
        <x:v>1</x:v>
      </x:c>
      <x:c r="AL355" t="n">
        <x:v>5</x:v>
      </x:c>
      <x:c r="AM355"/>
      <x:c r="AN355" t="n">
        <x:f>IF(('Quantification_Results'!AK355&lt;&gt;1),"",IF(('Quantification_Results'!AM355=""),IF(ISNUMBER('Quantification_Results'!AL355),IF(('Quantification_Results'!AL355&lt;'Quantification_Config'!$S$15),"",IF(('Quantification_Results'!AL355&gt;'Quantification_Config'!$T$15),"",'Quantification_Results'!AL355)),""),IF(ISNUMBER('Quantification_Results'!AM355),IF(('Quantification_Results'!AM355&lt;'Quantification_Config'!$S$15),"",IF(('Quantification_Results'!AM355&gt;'Quantification_Config'!$T$15),"",'Quantification_Results'!AM355)),"")))</x:f>
        <x:v>5</x:v>
      </x:c>
      <x:c r="AO355" t="n">
        <x:f>IF(ISNUMBER('Quantification_Results'!AN355),IFERROR(ROUND(((('Quantification_Results'!AN355-'Quantification_Config'!$S$15)/('Quantification_Config'!$T$15-'Quantification_Config'!$S$15))*100),'Quantification_Config'!$U$2),""),"")</x:f>
        <x:v>50</x:v>
      </x:c>
      <x:c r="AP355" t="inlineStr">
        <x:is>
          <x:t xml:space="preserve">SYSTEM-TEST-ONLY-NO-NETWORK-NOT-AN-EDUCATIONAL-EVALUATION</x:t>
        </x:is>
      </x:c>
      <x:c r="AQ355" t="inlineStr">
        <x:is>
          <x:t xml:space="preserve"/>
        </x:is>
      </x:c>
      <x:c r="AR355" t="inlineStr">
        <x:is>
          <x:t xml:space="preserve">NONE</x:t>
        </x:is>
      </x:c>
      <x:c r="AS355" t="inlineStr">
        <x:is>
          <x:t xml:space="preserve"/>
        </x:is>
      </x:c>
      <x:c r="AT355" t="inlineStr">
        <x:is>
          <x:t xml:space="preserve">SUCCESS</x:t>
        </x:is>
      </x:c>
      <x:c r="AU355" t="n">
        <x:f>IF((COUNT('Quantification_Results'!AO355)=1),IFERROR(ROUND((SUM(('Quantification_Results'!AO355*'Quantification_Config'!$R$15))/SUM('Quantification_Config'!$R$15)),'Quantification_Config'!$U$2),""),"")</x:f>
        <x:v>50</x:v>
      </x:c>
      <x:c r="AV355" t="n">
        <x:f>IF((COUNT('Quantification_Results'!AU355)=1),IFERROR(ROUND((SUM(('Quantification_Results'!AU355*'Quantification_Config'!$R$14))/SUM('Quantification_Config'!$R$14)),'Quantification_Config'!$U$2),""),"")</x:f>
        <x:v>50</x:v>
      </x:c>
      <x:c r="AW355" t="n">
        <x:v>1</x:v>
      </x:c>
      <x:c r="AX355" t="n">
        <x:v>5</x:v>
      </x:c>
      <x:c r="AY355"/>
      <x:c r="AZ355" t="n">
        <x:f>IF(('Quantification_Results'!AW355&lt;&gt;1),"",IF(('Quantification_Results'!AY355=""),IF(ISNUMBER('Quantification_Results'!AX355),IF(('Quantification_Results'!AX355&lt;'Quantification_Config'!$S$19),"",IF(('Quantification_Results'!AX355&gt;'Quantification_Config'!$T$19),"",'Quantification_Results'!AX355)),""),IF(ISNUMBER('Quantification_Results'!AY355),IF(('Quantification_Results'!AY355&lt;'Quantification_Config'!$S$19),"",IF(('Quantification_Results'!AY355&gt;'Quantification_Config'!$T$19),"",'Quantification_Results'!AY355)),"")))</x:f>
        <x:v>5</x:v>
      </x:c>
      <x:c r="BA355" t="n">
        <x:f>IF(ISNUMBER('Quantification_Results'!AZ355),IFERROR(ROUND(((('Quantification_Results'!AZ355-'Quantification_Config'!$S$19)/('Quantification_Config'!$T$19-'Quantification_Config'!$S$19))*100),'Quantification_Config'!$U$2),""),"")</x:f>
        <x:v>50</x:v>
      </x:c>
      <x:c r="BB355" t="inlineStr">
        <x:is>
          <x:t xml:space="preserve">SYSTEM-TEST-ONLY-NO-NETWORK-NOT-AN-EDUCATIONAL-EVALUATION</x:t>
        </x:is>
      </x:c>
      <x:c r="BC355" t="inlineStr">
        <x:is>
          <x:t xml:space="preserve"/>
        </x:is>
      </x:c>
      <x:c r="BD355" t="inlineStr">
        <x:is>
          <x:t xml:space="preserve">NONE</x:t>
        </x:is>
      </x:c>
      <x:c r="BE355" t="inlineStr">
        <x:is>
          <x:t xml:space="preserve"/>
        </x:is>
      </x:c>
      <x:c r="BF355" t="inlineStr">
        <x:is>
          <x:t xml:space="preserve">SUCCESS</x:t>
        </x:is>
      </x:c>
      <x:c r="BG355" t="n">
        <x:f>IF((COUNT('Quantification_Results'!BA355)=1),IFERROR(ROUND((SUM(('Quantification_Results'!BA355*'Quantification_Config'!$R$19))/SUM('Quantification_Config'!$R$19)),'Quantification_Config'!$U$2),""),"")</x:f>
        <x:v>50</x:v>
      </x:c>
      <x:c r="BH355" t="n">
        <x:f>IF((COUNT('Quantification_Results'!BG355)=1),IFERROR(ROUND((SUM(('Quantification_Results'!BG355*'Quantification_Config'!$R$18))/SUM('Quantification_Config'!$R$18)),'Quantification_Config'!$U$2),""),"")</x:f>
        <x:v>50</x:v>
      </x:c>
      <x:c r="BI355">
        <x:f>IF((COUNT('Quantification_Results'!L355,'Quantification_Results'!X355,'Quantification_Results'!AJ355,'Quantification_Results'!AV355,'Quantification_Results'!BH355)=5),IFERROR(ROUND((SUM(('Quantification_Results'!L355*'Quantification_Config'!$R$4),('Quantification_Results'!X355*'Quantification_Config'!$R$7),('Quantification_Results'!AJ355*'Quantification_Config'!$R$10),('Quantification_Results'!AV355*'Quantification_Config'!$R$13),('Quantification_Results'!BH355*'Quantification_Config'!$R$16))/SUM('Quantification_Config'!$R$4,'Quantification_Config'!$R$7,'Quantification_Config'!$R$10,'Quantification_Config'!$R$13,'Quantification_Config'!$R$16)),'Quantification_Config'!$U$2),""),"")</x:f>
      </x:c>
    </x:row>
    <x:row r="356">
      <x:c r="A356" t="n">
        <x:v>1</x:v>
      </x:c>
      <x:c r="B356" t="n">
        <x:v>5</x:v>
      </x:c>
      <x:c r="C356"/>
      <x:c r="D356" t="n">
        <x:f>IF(('Quantification_Results'!A356&lt;&gt;1),"",IF(('Quantification_Results'!C356=""),IF(ISNUMBER('Quantification_Results'!B356),IF(('Quantification_Results'!B356&lt;'Quantification_Config'!$S$6),"",IF(('Quantification_Results'!B356&gt;'Quantification_Config'!$T$6),"",'Quantification_Results'!B356)),""),IF(ISNUMBER('Quantification_Results'!C356),IF(('Quantification_Results'!C356&lt;'Quantification_Config'!$S$6),"",IF(('Quantification_Results'!C356&gt;'Quantification_Config'!$T$6),"",'Quantification_Results'!C356)),"")))</x:f>
        <x:v>5</x:v>
      </x:c>
      <x:c r="E356" t="n">
        <x:f>IF(ISNUMBER('Quantification_Results'!D356),IFERROR(ROUND(((('Quantification_Results'!D356-'Quantification_Config'!$S$6)/('Quantification_Config'!$T$6-'Quantification_Config'!$S$6))*100),'Quantification_Config'!$U$2),""),"")</x:f>
        <x:v>50</x:v>
      </x:c>
      <x:c r="F356" t="inlineStr">
        <x:is>
          <x:t xml:space="preserve">SYSTEM-TEST-ONLY-NO-NETWORK-NOT-AN-EDUCATIONAL-EVALUATION</x:t>
        </x:is>
      </x:c>
      <x:c r="G356" t="inlineStr">
        <x:is>
          <x:t xml:space="preserve"/>
        </x:is>
      </x:c>
      <x:c r="H356" t="inlineStr">
        <x:is>
          <x:t xml:space="preserve">NONE</x:t>
        </x:is>
      </x:c>
      <x:c r="I356" t="inlineStr">
        <x:is>
          <x:t xml:space="preserve"/>
        </x:is>
      </x:c>
      <x:c r="J356" t="inlineStr">
        <x:is>
          <x:t xml:space="preserve">SUCCESS</x:t>
        </x:is>
      </x:c>
      <x:c r="K356" t="n">
        <x:f>IF((COUNT('Quantification_Results'!E356)=1),IFERROR(ROUND((SUM(('Quantification_Results'!E356*'Quantification_Config'!$R$6))/SUM('Quantification_Config'!$R$6)),'Quantification_Config'!$U$2),""),"")</x:f>
        <x:v>50</x:v>
      </x:c>
      <x:c r="L356" t="n">
        <x:f>IF((COUNT('Quantification_Results'!K356)=1),IFERROR(ROUND((SUM(('Quantification_Results'!K356*'Quantification_Config'!$R$5))/SUM('Quantification_Config'!$R$5)),'Quantification_Config'!$U$2),""),"")</x:f>
        <x:v>50</x:v>
      </x:c>
      <x:c r="M356" t="n">
        <x:v>0</x:v>
      </x:c>
      <x:c r="N356"/>
      <x:c r="O356"/>
      <x:c r="P356">
        <x:f>IF(('Quantification_Results'!M356&lt;&gt;1),"",IF(('Quantification_Results'!O356=""),IF(ISNUMBER('Quantification_Results'!N356),IF(('Quantification_Results'!N356&lt;'Quantification_Config'!$S$9),"",IF(('Quantification_Results'!N356&gt;'Quantification_Config'!$T$9),"",'Quantification_Results'!N356)),""),IF(ISNUMBER('Quantification_Results'!O356),IF(('Quantification_Results'!O356&lt;'Quantification_Config'!$S$9),"",IF(('Quantification_Results'!O356&gt;'Quantification_Config'!$T$9),"",'Quantification_Results'!O356)),"")))</x:f>
      </x:c>
      <x:c r="Q356">
        <x:f>IF(ISNUMBER('Quantification_Results'!P356),IFERROR(ROUND(((('Quantification_Results'!P356-'Quantification_Config'!$S$9)/('Quantification_Config'!$T$9-'Quantification_Config'!$S$9))*100),'Quantification_Config'!$U$2),""),"")</x:f>
      </x:c>
      <x:c r="R356" t="inlineStr">
        <x:is>
          <x:t xml:space="preserve"/>
        </x:is>
      </x:c>
      <x:c r="S356" t="inlineStr">
        <x:is>
          <x:t xml:space="preserve"/>
        </x:is>
      </x:c>
      <x:c r="T356" t="inlineStr">
        <x:is>
          <x:t xml:space="preserve"/>
        </x:is>
      </x:c>
      <x:c r="U356" t="inlineStr">
        <x:is>
          <x:t xml:space="preserve"/>
        </x:is>
      </x:c>
      <x:c r="V356" t="inlineStr">
        <x:is>
          <x:t xml:space="preserve">EMPTY</x:t>
        </x:is>
      </x:c>
      <x:c r="W356">
        <x:f>IF((COUNT('Quantification_Results'!Q356)=1),IFERROR(ROUND((SUM(('Quantification_Results'!Q356*'Quantification_Config'!$R$9))/SUM('Quantification_Config'!$R$9)),'Quantification_Config'!$U$2),""),"")</x:f>
      </x:c>
      <x:c r="X356">
        <x:f>IF((COUNT('Quantification_Results'!W356)=1),IFERROR(ROUND((SUM(('Quantification_Results'!W356*'Quantification_Config'!$R$8))/SUM('Quantification_Config'!$R$8)),'Quantification_Config'!$U$2),""),"")</x:f>
      </x:c>
      <x:c r="Y356" t="n">
        <x:v>1</x:v>
      </x:c>
      <x:c r="Z356" t="n">
        <x:v>5</x:v>
      </x:c>
      <x:c r="AA356"/>
      <x:c r="AB356" t="n">
        <x:f>IF(('Quantification_Results'!Y356&lt;&gt;1),"",IF(('Quantification_Results'!AA356=""),IF(ISNUMBER('Quantification_Results'!Z356),IF(('Quantification_Results'!Z356&lt;'Quantification_Config'!$S$12),"",IF(('Quantification_Results'!Z356&gt;'Quantification_Config'!$T$12),"",'Quantification_Results'!Z356)),""),IF(ISNUMBER('Quantification_Results'!AA356),IF(('Quantification_Results'!AA356&lt;'Quantification_Config'!$S$12),"",IF(('Quantification_Results'!AA356&gt;'Quantification_Config'!$T$12),"",'Quantification_Results'!AA356)),"")))</x:f>
        <x:v>5</x:v>
      </x:c>
      <x:c r="AC356" t="n">
        <x:f>IF(ISNUMBER('Quantification_Results'!AB356),IFERROR(ROUND(((('Quantification_Results'!AB356-'Quantification_Config'!$S$12)/('Quantification_Config'!$T$12-'Quantification_Config'!$S$12))*100),'Quantification_Config'!$U$2),""),"")</x:f>
        <x:v>50</x:v>
      </x:c>
      <x:c r="AD356" t="inlineStr">
        <x:is>
          <x:t xml:space="preserve">SYSTEM-TEST-ONLY-NO-NETWORK-NOT-AN-EDUCATIONAL-EVALUATION</x:t>
        </x:is>
      </x:c>
      <x:c r="AE356" t="inlineStr">
        <x:is>
          <x:t xml:space="preserve"/>
        </x:is>
      </x:c>
      <x:c r="AF356" t="inlineStr">
        <x:is>
          <x:t xml:space="preserve">NONE</x:t>
        </x:is>
      </x:c>
      <x:c r="AG356" t="inlineStr">
        <x:is>
          <x:t xml:space="preserve"/>
        </x:is>
      </x:c>
      <x:c r="AH356" t="inlineStr">
        <x:is>
          <x:t xml:space="preserve">SUCCESS</x:t>
        </x:is>
      </x:c>
      <x:c r="AI356" t="n">
        <x:f>IF((COUNT('Quantification_Results'!AC356)=1),IFERROR(ROUND((SUM(('Quantification_Results'!AC356*'Quantification_Config'!$R$12))/SUM('Quantification_Config'!$R$12)),'Quantification_Config'!$U$2),""),"")</x:f>
        <x:v>50</x:v>
      </x:c>
      <x:c r="AJ356" t="n">
        <x:f>IF((COUNT('Quantification_Results'!AI356)=1),IFERROR(ROUND((SUM(('Quantification_Results'!AI356*'Quantification_Config'!$R$11))/SUM('Quantification_Config'!$R$11)),'Quantification_Config'!$U$2),""),"")</x:f>
        <x:v>50</x:v>
      </x:c>
      <x:c r="AK356" t="n">
        <x:v>1</x:v>
      </x:c>
      <x:c r="AL356" t="n">
        <x:v>5</x:v>
      </x:c>
      <x:c r="AM356"/>
      <x:c r="AN356" t="n">
        <x:f>IF(('Quantification_Results'!AK356&lt;&gt;1),"",IF(('Quantification_Results'!AM356=""),IF(ISNUMBER('Quantification_Results'!AL356),IF(('Quantification_Results'!AL356&lt;'Quantification_Config'!$S$15),"",IF(('Quantification_Results'!AL356&gt;'Quantification_Config'!$T$15),"",'Quantification_Results'!AL356)),""),IF(ISNUMBER('Quantification_Results'!AM356),IF(('Quantification_Results'!AM356&lt;'Quantification_Config'!$S$15),"",IF(('Quantification_Results'!AM356&gt;'Quantification_Config'!$T$15),"",'Quantification_Results'!AM356)),"")))</x:f>
        <x:v>5</x:v>
      </x:c>
      <x:c r="AO356" t="n">
        <x:f>IF(ISNUMBER('Quantification_Results'!AN356),IFERROR(ROUND(((('Quantification_Results'!AN356-'Quantification_Config'!$S$15)/('Quantification_Config'!$T$15-'Quantification_Config'!$S$15))*100),'Quantification_Config'!$U$2),""),"")</x:f>
        <x:v>50</x:v>
      </x:c>
      <x:c r="AP356" t="inlineStr">
        <x:is>
          <x:t xml:space="preserve">SYSTEM-TEST-ONLY-NO-NETWORK-NOT-AN-EDUCATIONAL-EVALUATION</x:t>
        </x:is>
      </x:c>
      <x:c r="AQ356" t="inlineStr">
        <x:is>
          <x:t xml:space="preserve"/>
        </x:is>
      </x:c>
      <x:c r="AR356" t="inlineStr">
        <x:is>
          <x:t xml:space="preserve">NONE</x:t>
        </x:is>
      </x:c>
      <x:c r="AS356" t="inlineStr">
        <x:is>
          <x:t xml:space="preserve"/>
        </x:is>
      </x:c>
      <x:c r="AT356" t="inlineStr">
        <x:is>
          <x:t xml:space="preserve">SUCCESS</x:t>
        </x:is>
      </x:c>
      <x:c r="AU356" t="n">
        <x:f>IF((COUNT('Quantification_Results'!AO356)=1),IFERROR(ROUND((SUM(('Quantification_Results'!AO356*'Quantification_Config'!$R$15))/SUM('Quantification_Config'!$R$15)),'Quantification_Config'!$U$2),""),"")</x:f>
        <x:v>50</x:v>
      </x:c>
      <x:c r="AV356" t="n">
        <x:f>IF((COUNT('Quantification_Results'!AU356)=1),IFERROR(ROUND((SUM(('Quantification_Results'!AU356*'Quantification_Config'!$R$14))/SUM('Quantification_Config'!$R$14)),'Quantification_Config'!$U$2),""),"")</x:f>
        <x:v>50</x:v>
      </x:c>
      <x:c r="AW356" t="n">
        <x:v>0</x:v>
      </x:c>
      <x:c r="AX356"/>
      <x:c r="AY356"/>
      <x:c r="AZ356">
        <x:f>IF(('Quantification_Results'!AW356&lt;&gt;1),"",IF(('Quantification_Results'!AY356=""),IF(ISNUMBER('Quantification_Results'!AX356),IF(('Quantification_Results'!AX356&lt;'Quantification_Config'!$S$19),"",IF(('Quantification_Results'!AX356&gt;'Quantification_Config'!$T$19),"",'Quantification_Results'!AX356)),""),IF(ISNUMBER('Quantification_Results'!AY356),IF(('Quantification_Results'!AY356&lt;'Quantification_Config'!$S$19),"",IF(('Quantification_Results'!AY356&gt;'Quantification_Config'!$T$19),"",'Quantification_Results'!AY356)),"")))</x:f>
      </x:c>
      <x:c r="BA356">
        <x:f>IF(ISNUMBER('Quantification_Results'!AZ356),IFERROR(ROUND(((('Quantification_Results'!AZ356-'Quantification_Config'!$S$19)/('Quantification_Config'!$T$19-'Quantification_Config'!$S$19))*100),'Quantification_Config'!$U$2),""),"")</x:f>
      </x:c>
      <x:c r="BB356" t="inlineStr">
        <x:is>
          <x:t xml:space="preserve"/>
        </x:is>
      </x:c>
      <x:c r="BC356" t="inlineStr">
        <x:is>
          <x:t xml:space="preserve"/>
        </x:is>
      </x:c>
      <x:c r="BD356" t="inlineStr">
        <x:is>
          <x:t xml:space="preserve"/>
        </x:is>
      </x:c>
      <x:c r="BE356" t="inlineStr">
        <x:is>
          <x:t xml:space="preserve"/>
        </x:is>
      </x:c>
      <x:c r="BF356" t="inlineStr">
        <x:is>
          <x:t xml:space="preserve">EMPTY</x:t>
        </x:is>
      </x:c>
      <x:c r="BG356">
        <x:f>IF((COUNT('Quantification_Results'!BA356)=1),IFERROR(ROUND((SUM(('Quantification_Results'!BA356*'Quantification_Config'!$R$19))/SUM('Quantification_Config'!$R$19)),'Quantification_Config'!$U$2),""),"")</x:f>
      </x:c>
      <x:c r="BH356">
        <x:f>IF((COUNT('Quantification_Results'!BG356)=1),IFERROR(ROUND((SUM(('Quantification_Results'!BG356*'Quantification_Config'!$R$18))/SUM('Quantification_Config'!$R$18)),'Quantification_Config'!$U$2),""),"")</x:f>
      </x:c>
      <x:c r="BI356">
        <x:f>IF((COUNT('Quantification_Results'!L356,'Quantification_Results'!X356,'Quantification_Results'!AJ356,'Quantification_Results'!AV356,'Quantification_Results'!BH356)=5),IFERROR(ROUND((SUM(('Quantification_Results'!L356*'Quantification_Config'!$R$4),('Quantification_Results'!X356*'Quantification_Config'!$R$7),('Quantification_Results'!AJ356*'Quantification_Config'!$R$10),('Quantification_Results'!AV356*'Quantification_Config'!$R$13),('Quantification_Results'!BH356*'Quantification_Config'!$R$16))/SUM('Quantification_Config'!$R$4,'Quantification_Config'!$R$7,'Quantification_Config'!$R$10,'Quantification_Config'!$R$13,'Quantification_Config'!$R$16)),'Quantification_Config'!$U$2),""),"")</x:f>
      </x:c>
    </x:row>
    <x:row r="357">
      <x:c r="A357" t="n">
        <x:v>1</x:v>
      </x:c>
      <x:c r="B357" t="n">
        <x:v>5</x:v>
      </x:c>
      <x:c r="C357"/>
      <x:c r="D357" t="n">
        <x:f>IF(('Quantification_Results'!A357&lt;&gt;1),"",IF(('Quantification_Results'!C357=""),IF(ISNUMBER('Quantification_Results'!B357),IF(('Quantification_Results'!B357&lt;'Quantification_Config'!$S$6),"",IF(('Quantification_Results'!B357&gt;'Quantification_Config'!$T$6),"",'Quantification_Results'!B357)),""),IF(ISNUMBER('Quantification_Results'!C357),IF(('Quantification_Results'!C357&lt;'Quantification_Config'!$S$6),"",IF(('Quantification_Results'!C357&gt;'Quantification_Config'!$T$6),"",'Quantification_Results'!C357)),"")))</x:f>
        <x:v>5</x:v>
      </x:c>
      <x:c r="E357" t="n">
        <x:f>IF(ISNUMBER('Quantification_Results'!D357),IFERROR(ROUND(((('Quantification_Results'!D357-'Quantification_Config'!$S$6)/('Quantification_Config'!$T$6-'Quantification_Config'!$S$6))*100),'Quantification_Config'!$U$2),""),"")</x:f>
        <x:v>50</x:v>
      </x:c>
      <x:c r="F357" t="inlineStr">
        <x:is>
          <x:t xml:space="preserve">SYSTEM-TEST-ONLY-NO-NETWORK-NOT-AN-EDUCATIONAL-EVALUATION</x:t>
        </x:is>
      </x:c>
      <x:c r="G357" t="inlineStr">
        <x:is>
          <x:t xml:space="preserve"/>
        </x:is>
      </x:c>
      <x:c r="H357" t="inlineStr">
        <x:is>
          <x:t xml:space="preserve">NONE</x:t>
        </x:is>
      </x:c>
      <x:c r="I357" t="inlineStr">
        <x:is>
          <x:t xml:space="preserve"/>
        </x:is>
      </x:c>
      <x:c r="J357" t="inlineStr">
        <x:is>
          <x:t xml:space="preserve">SUCCESS</x:t>
        </x:is>
      </x:c>
      <x:c r="K357" t="n">
        <x:f>IF((COUNT('Quantification_Results'!E357)=1),IFERROR(ROUND((SUM(('Quantification_Results'!E357*'Quantification_Config'!$R$6))/SUM('Quantification_Config'!$R$6)),'Quantification_Config'!$U$2),""),"")</x:f>
        <x:v>50</x:v>
      </x:c>
      <x:c r="L357" t="n">
        <x:f>IF((COUNT('Quantification_Results'!K357)=1),IFERROR(ROUND((SUM(('Quantification_Results'!K357*'Quantification_Config'!$R$5))/SUM('Quantification_Config'!$R$5)),'Quantification_Config'!$U$2),""),"")</x:f>
        <x:v>50</x:v>
      </x:c>
      <x:c r="M357" t="n">
        <x:v>1</x:v>
      </x:c>
      <x:c r="N357" t="n">
        <x:v>5</x:v>
      </x:c>
      <x:c r="O357"/>
      <x:c r="P357" t="n">
        <x:f>IF(('Quantification_Results'!M357&lt;&gt;1),"",IF(('Quantification_Results'!O357=""),IF(ISNUMBER('Quantification_Results'!N357),IF(('Quantification_Results'!N357&lt;'Quantification_Config'!$S$9),"",IF(('Quantification_Results'!N357&gt;'Quantification_Config'!$T$9),"",'Quantification_Results'!N357)),""),IF(ISNUMBER('Quantification_Results'!O357),IF(('Quantification_Results'!O357&lt;'Quantification_Config'!$S$9),"",IF(('Quantification_Results'!O357&gt;'Quantification_Config'!$T$9),"",'Quantification_Results'!O357)),"")))</x:f>
        <x:v>5</x:v>
      </x:c>
      <x:c r="Q357" t="n">
        <x:f>IF(ISNUMBER('Quantification_Results'!P357),IFERROR(ROUND(((('Quantification_Results'!P357-'Quantification_Config'!$S$9)/('Quantification_Config'!$T$9-'Quantification_Config'!$S$9))*100),'Quantification_Config'!$U$2),""),"")</x:f>
        <x:v>50</x:v>
      </x:c>
      <x:c r="R357" t="inlineStr">
        <x:is>
          <x:t xml:space="preserve">SYSTEM-TEST-ONLY-NO-NETWORK-NOT-AN-EDUCATIONAL-EVALUATION</x:t>
        </x:is>
      </x:c>
      <x:c r="S357" t="inlineStr">
        <x:is>
          <x:t xml:space="preserve"/>
        </x:is>
      </x:c>
      <x:c r="T357" t="inlineStr">
        <x:is>
          <x:t xml:space="preserve">NONE</x:t>
        </x:is>
      </x:c>
      <x:c r="U357" t="inlineStr">
        <x:is>
          <x:t xml:space="preserve"/>
        </x:is>
      </x:c>
      <x:c r="V357" t="inlineStr">
        <x:is>
          <x:t xml:space="preserve">SUCCESS</x:t>
        </x:is>
      </x:c>
      <x:c r="W357" t="n">
        <x:f>IF((COUNT('Quantification_Results'!Q357)=1),IFERROR(ROUND((SUM(('Quantification_Results'!Q357*'Quantification_Config'!$R$9))/SUM('Quantification_Config'!$R$9)),'Quantification_Config'!$U$2),""),"")</x:f>
        <x:v>50</x:v>
      </x:c>
      <x:c r="X357" t="n">
        <x:f>IF((COUNT('Quantification_Results'!W357)=1),IFERROR(ROUND((SUM(('Quantification_Results'!W357*'Quantification_Config'!$R$8))/SUM('Quantification_Config'!$R$8)),'Quantification_Config'!$U$2),""),"")</x:f>
        <x:v>50</x:v>
      </x:c>
      <x:c r="Y357" t="n">
        <x:v>1</x:v>
      </x:c>
      <x:c r="Z357" t="n">
        <x:v>5</x:v>
      </x:c>
      <x:c r="AA357"/>
      <x:c r="AB357" t="n">
        <x:f>IF(('Quantification_Results'!Y357&lt;&gt;1),"",IF(('Quantification_Results'!AA357=""),IF(ISNUMBER('Quantification_Results'!Z357),IF(('Quantification_Results'!Z357&lt;'Quantification_Config'!$S$12),"",IF(('Quantification_Results'!Z357&gt;'Quantification_Config'!$T$12),"",'Quantification_Results'!Z357)),""),IF(ISNUMBER('Quantification_Results'!AA357),IF(('Quantification_Results'!AA357&lt;'Quantification_Config'!$S$12),"",IF(('Quantification_Results'!AA357&gt;'Quantification_Config'!$T$12),"",'Quantification_Results'!AA357)),"")))</x:f>
        <x:v>5</x:v>
      </x:c>
      <x:c r="AC357" t="n">
        <x:f>IF(ISNUMBER('Quantification_Results'!AB357),IFERROR(ROUND(((('Quantification_Results'!AB357-'Quantification_Config'!$S$12)/('Quantification_Config'!$T$12-'Quantification_Config'!$S$12))*100),'Quantification_Config'!$U$2),""),"")</x:f>
        <x:v>50</x:v>
      </x:c>
      <x:c r="AD357" t="inlineStr">
        <x:is>
          <x:t xml:space="preserve">SYSTEM-TEST-ONLY-NO-NETWORK-NOT-AN-EDUCATIONAL-EVALUATION</x:t>
        </x:is>
      </x:c>
      <x:c r="AE357" t="inlineStr">
        <x:is>
          <x:t xml:space="preserve"/>
        </x:is>
      </x:c>
      <x:c r="AF357" t="inlineStr">
        <x:is>
          <x:t xml:space="preserve">NONE</x:t>
        </x:is>
      </x:c>
      <x:c r="AG357" t="inlineStr">
        <x:is>
          <x:t xml:space="preserve"/>
        </x:is>
      </x:c>
      <x:c r="AH357" t="inlineStr">
        <x:is>
          <x:t xml:space="preserve">SUCCESS</x:t>
        </x:is>
      </x:c>
      <x:c r="AI357" t="n">
        <x:f>IF((COUNT('Quantification_Results'!AC357)=1),IFERROR(ROUND((SUM(('Quantification_Results'!AC357*'Quantification_Config'!$R$12))/SUM('Quantification_Config'!$R$12)),'Quantification_Config'!$U$2),""),"")</x:f>
        <x:v>50</x:v>
      </x:c>
      <x:c r="AJ357" t="n">
        <x:f>IF((COUNT('Quantification_Results'!AI357)=1),IFERROR(ROUND((SUM(('Quantification_Results'!AI357*'Quantification_Config'!$R$11))/SUM('Quantification_Config'!$R$11)),'Quantification_Config'!$U$2),""),"")</x:f>
        <x:v>50</x:v>
      </x:c>
      <x:c r="AK357" t="n">
        <x:v>1</x:v>
      </x:c>
      <x:c r="AL357" t="n">
        <x:v>5</x:v>
      </x:c>
      <x:c r="AM357"/>
      <x:c r="AN357" t="n">
        <x:f>IF(('Quantification_Results'!AK357&lt;&gt;1),"",IF(('Quantification_Results'!AM357=""),IF(ISNUMBER('Quantification_Results'!AL357),IF(('Quantification_Results'!AL357&lt;'Quantification_Config'!$S$15),"",IF(('Quantification_Results'!AL357&gt;'Quantification_Config'!$T$15),"",'Quantification_Results'!AL357)),""),IF(ISNUMBER('Quantification_Results'!AM357),IF(('Quantification_Results'!AM357&lt;'Quantification_Config'!$S$15),"",IF(('Quantification_Results'!AM357&gt;'Quantification_Config'!$T$15),"",'Quantification_Results'!AM357)),"")))</x:f>
        <x:v>5</x:v>
      </x:c>
      <x:c r="AO357" t="n">
        <x:f>IF(ISNUMBER('Quantification_Results'!AN357),IFERROR(ROUND(((('Quantification_Results'!AN357-'Quantification_Config'!$S$15)/('Quantification_Config'!$T$15-'Quantification_Config'!$S$15))*100),'Quantification_Config'!$U$2),""),"")</x:f>
        <x:v>50</x:v>
      </x:c>
      <x:c r="AP357" t="inlineStr">
        <x:is>
          <x:t xml:space="preserve">SYSTEM-TEST-ONLY-NO-NETWORK-NOT-AN-EDUCATIONAL-EVALUATION</x:t>
        </x:is>
      </x:c>
      <x:c r="AQ357" t="inlineStr">
        <x:is>
          <x:t xml:space="preserve"/>
        </x:is>
      </x:c>
      <x:c r="AR357" t="inlineStr">
        <x:is>
          <x:t xml:space="preserve">NONE</x:t>
        </x:is>
      </x:c>
      <x:c r="AS357" t="inlineStr">
        <x:is>
          <x:t xml:space="preserve"/>
        </x:is>
      </x:c>
      <x:c r="AT357" t="inlineStr">
        <x:is>
          <x:t xml:space="preserve">SUCCESS</x:t>
        </x:is>
      </x:c>
      <x:c r="AU357" t="n">
        <x:f>IF((COUNT('Quantification_Results'!AO357)=1),IFERROR(ROUND((SUM(('Quantification_Results'!AO357*'Quantification_Config'!$R$15))/SUM('Quantification_Config'!$R$15)),'Quantification_Config'!$U$2),""),"")</x:f>
        <x:v>50</x:v>
      </x:c>
      <x:c r="AV357" t="n">
        <x:f>IF((COUNT('Quantification_Results'!AU357)=1),IFERROR(ROUND((SUM(('Quantification_Results'!AU357*'Quantification_Config'!$R$14))/SUM('Quantification_Config'!$R$14)),'Quantification_Config'!$U$2),""),"")</x:f>
        <x:v>50</x:v>
      </x:c>
      <x:c r="AW357" t="n">
        <x:v>1</x:v>
      </x:c>
      <x:c r="AX357" t="n">
        <x:v>5</x:v>
      </x:c>
      <x:c r="AY357"/>
      <x:c r="AZ357" t="n">
        <x:f>IF(('Quantification_Results'!AW357&lt;&gt;1),"",IF(('Quantification_Results'!AY357=""),IF(ISNUMBER('Quantification_Results'!AX357),IF(('Quantification_Results'!AX357&lt;'Quantification_Config'!$S$19),"",IF(('Quantification_Results'!AX357&gt;'Quantification_Config'!$T$19),"",'Quantification_Results'!AX357)),""),IF(ISNUMBER('Quantification_Results'!AY357),IF(('Quantification_Results'!AY357&lt;'Quantification_Config'!$S$19),"",IF(('Quantification_Results'!AY357&gt;'Quantification_Config'!$T$19),"",'Quantification_Results'!AY357)),"")))</x:f>
        <x:v>5</x:v>
      </x:c>
      <x:c r="BA357" t="n">
        <x:f>IF(ISNUMBER('Quantification_Results'!AZ357),IFERROR(ROUND(((('Quantification_Results'!AZ357-'Quantification_Config'!$S$19)/('Quantification_Config'!$T$19-'Quantification_Config'!$S$19))*100),'Quantification_Config'!$U$2),""),"")</x:f>
        <x:v>50</x:v>
      </x:c>
      <x:c r="BB357" t="inlineStr">
        <x:is>
          <x:t xml:space="preserve">SYSTEM-TEST-ONLY-NO-NETWORK-NOT-AN-EDUCATIONAL-EVALUATION</x:t>
        </x:is>
      </x:c>
      <x:c r="BC357" t="inlineStr">
        <x:is>
          <x:t xml:space="preserve"/>
        </x:is>
      </x:c>
      <x:c r="BD357" t="inlineStr">
        <x:is>
          <x:t xml:space="preserve">NONE</x:t>
        </x:is>
      </x:c>
      <x:c r="BE357" t="inlineStr">
        <x:is>
          <x:t xml:space="preserve"/>
        </x:is>
      </x:c>
      <x:c r="BF357" t="inlineStr">
        <x:is>
          <x:t xml:space="preserve">SUCCESS</x:t>
        </x:is>
      </x:c>
      <x:c r="BG357" t="n">
        <x:f>IF((COUNT('Quantification_Results'!BA357)=1),IFERROR(ROUND((SUM(('Quantification_Results'!BA357*'Quantification_Config'!$R$19))/SUM('Quantification_Config'!$R$19)),'Quantification_Config'!$U$2),""),"")</x:f>
        <x:v>50</x:v>
      </x:c>
      <x:c r="BH357" t="n">
        <x:f>IF((COUNT('Quantification_Results'!BG357)=1),IFERROR(ROUND((SUM(('Quantification_Results'!BG357*'Quantification_Config'!$R$18))/SUM('Quantification_Config'!$R$18)),'Quantification_Config'!$U$2),""),"")</x:f>
        <x:v>50</x:v>
      </x:c>
      <x:c r="BI357" t="n">
        <x:f>IF((COUNT('Quantification_Results'!L357,'Quantification_Results'!X357,'Quantification_Results'!AJ357,'Quantification_Results'!AV357,'Quantification_Results'!BH357)=5),IFERROR(ROUND((SUM(('Quantification_Results'!L357*'Quantification_Config'!$R$4),('Quantification_Results'!X357*'Quantification_Config'!$R$7),('Quantification_Results'!AJ357*'Quantification_Config'!$R$10),('Quantification_Results'!AV357*'Quantification_Config'!$R$13),('Quantification_Results'!BH357*'Quantification_Config'!$R$16))/SUM('Quantification_Config'!$R$4,'Quantification_Config'!$R$7,'Quantification_Config'!$R$10,'Quantification_Config'!$R$13,'Quantification_Config'!$R$16)),'Quantification_Config'!$U$2),""),"")</x:f>
        <x:v>50</x:v>
      </x:c>
    </x:row>
    <x:row r="358">
      <x:c r="A358" t="n">
        <x:v>1</x:v>
      </x:c>
      <x:c r="B358" t="n">
        <x:v>5</x:v>
      </x:c>
      <x:c r="C358"/>
      <x:c r="D358" t="n">
        <x:f>IF(('Quantification_Results'!A358&lt;&gt;1),"",IF(('Quantification_Results'!C358=""),IF(ISNUMBER('Quantification_Results'!B358),IF(('Quantification_Results'!B358&lt;'Quantification_Config'!$S$6),"",IF(('Quantification_Results'!B358&gt;'Quantification_Config'!$T$6),"",'Quantification_Results'!B358)),""),IF(ISNUMBER('Quantification_Results'!C358),IF(('Quantification_Results'!C358&lt;'Quantification_Config'!$S$6),"",IF(('Quantification_Results'!C358&gt;'Quantification_Config'!$T$6),"",'Quantification_Results'!C358)),"")))</x:f>
        <x:v>5</x:v>
      </x:c>
      <x:c r="E358" t="n">
        <x:f>IF(ISNUMBER('Quantification_Results'!D358),IFERROR(ROUND(((('Quantification_Results'!D358-'Quantification_Config'!$S$6)/('Quantification_Config'!$T$6-'Quantification_Config'!$S$6))*100),'Quantification_Config'!$U$2),""),"")</x:f>
        <x:v>50</x:v>
      </x:c>
      <x:c r="F358" t="inlineStr">
        <x:is>
          <x:t xml:space="preserve">SYSTEM-TEST-ONLY-NO-NETWORK-NOT-AN-EDUCATIONAL-EVALUATION</x:t>
        </x:is>
      </x:c>
      <x:c r="G358" t="inlineStr">
        <x:is>
          <x:t xml:space="preserve"/>
        </x:is>
      </x:c>
      <x:c r="H358" t="inlineStr">
        <x:is>
          <x:t xml:space="preserve">NONE</x:t>
        </x:is>
      </x:c>
      <x:c r="I358" t="inlineStr">
        <x:is>
          <x:t xml:space="preserve"/>
        </x:is>
      </x:c>
      <x:c r="J358" t="inlineStr">
        <x:is>
          <x:t xml:space="preserve">SUCCESS</x:t>
        </x:is>
      </x:c>
      <x:c r="K358" t="n">
        <x:f>IF((COUNT('Quantification_Results'!E358)=1),IFERROR(ROUND((SUM(('Quantification_Results'!E358*'Quantification_Config'!$R$6))/SUM('Quantification_Config'!$R$6)),'Quantification_Config'!$U$2),""),"")</x:f>
        <x:v>50</x:v>
      </x:c>
      <x:c r="L358" t="n">
        <x:f>IF((COUNT('Quantification_Results'!K358)=1),IFERROR(ROUND((SUM(('Quantification_Results'!K358*'Quantification_Config'!$R$5))/SUM('Quantification_Config'!$R$5)),'Quantification_Config'!$U$2),""),"")</x:f>
        <x:v>50</x:v>
      </x:c>
      <x:c r="M358" t="n">
        <x:v>0</x:v>
      </x:c>
      <x:c r="N358"/>
      <x:c r="O358"/>
      <x:c r="P358">
        <x:f>IF(('Quantification_Results'!M358&lt;&gt;1),"",IF(('Quantification_Results'!O358=""),IF(ISNUMBER('Quantification_Results'!N358),IF(('Quantification_Results'!N358&lt;'Quantification_Config'!$S$9),"",IF(('Quantification_Results'!N358&gt;'Quantification_Config'!$T$9),"",'Quantification_Results'!N358)),""),IF(ISNUMBER('Quantification_Results'!O358),IF(('Quantification_Results'!O358&lt;'Quantification_Config'!$S$9),"",IF(('Quantification_Results'!O358&gt;'Quantification_Config'!$T$9),"",'Quantification_Results'!O358)),"")))</x:f>
      </x:c>
      <x:c r="Q358">
        <x:f>IF(ISNUMBER('Quantification_Results'!P358),IFERROR(ROUND(((('Quantification_Results'!P358-'Quantification_Config'!$S$9)/('Quantification_Config'!$T$9-'Quantification_Config'!$S$9))*100),'Quantification_Config'!$U$2),""),"")</x:f>
      </x:c>
      <x:c r="R358" t="inlineStr">
        <x:is>
          <x:t xml:space="preserve"/>
        </x:is>
      </x:c>
      <x:c r="S358" t="inlineStr">
        <x:is>
          <x:t xml:space="preserve"/>
        </x:is>
      </x:c>
      <x:c r="T358" t="inlineStr">
        <x:is>
          <x:t xml:space="preserve"/>
        </x:is>
      </x:c>
      <x:c r="U358" t="inlineStr">
        <x:is>
          <x:t xml:space="preserve"/>
        </x:is>
      </x:c>
      <x:c r="V358" t="inlineStr">
        <x:is>
          <x:t xml:space="preserve">EMPTY</x:t>
        </x:is>
      </x:c>
      <x:c r="W358">
        <x:f>IF((COUNT('Quantification_Results'!Q358)=1),IFERROR(ROUND((SUM(('Quantification_Results'!Q358*'Quantification_Config'!$R$9))/SUM('Quantification_Config'!$R$9)),'Quantification_Config'!$U$2),""),"")</x:f>
      </x:c>
      <x:c r="X358">
        <x:f>IF((COUNT('Quantification_Results'!W358)=1),IFERROR(ROUND((SUM(('Quantification_Results'!W358*'Quantification_Config'!$R$8))/SUM('Quantification_Config'!$R$8)),'Quantification_Config'!$U$2),""),"")</x:f>
      </x:c>
      <x:c r="Y358" t="n">
        <x:v>0</x:v>
      </x:c>
      <x:c r="Z358"/>
      <x:c r="AA358"/>
      <x:c r="AB358">
        <x:f>IF(('Quantification_Results'!Y358&lt;&gt;1),"",IF(('Quantification_Results'!AA358=""),IF(ISNUMBER('Quantification_Results'!Z358),IF(('Quantification_Results'!Z358&lt;'Quantification_Config'!$S$12),"",IF(('Quantification_Results'!Z358&gt;'Quantification_Config'!$T$12),"",'Quantification_Results'!Z358)),""),IF(ISNUMBER('Quantification_Results'!AA358),IF(('Quantification_Results'!AA358&lt;'Quantification_Config'!$S$12),"",IF(('Quantification_Results'!AA358&gt;'Quantification_Config'!$T$12),"",'Quantification_Results'!AA358)),"")))</x:f>
      </x:c>
      <x:c r="AC358">
        <x:f>IF(ISNUMBER('Quantification_Results'!AB358),IFERROR(ROUND(((('Quantification_Results'!AB358-'Quantification_Config'!$S$12)/('Quantification_Config'!$T$12-'Quantification_Config'!$S$12))*100),'Quantification_Config'!$U$2),""),"")</x:f>
      </x:c>
      <x:c r="AD358" t="inlineStr">
        <x:is>
          <x:t xml:space="preserve"/>
        </x:is>
      </x:c>
      <x:c r="AE358" t="inlineStr">
        <x:is>
          <x:t xml:space="preserve"/>
        </x:is>
      </x:c>
      <x:c r="AF358" t="inlineStr">
        <x:is>
          <x:t xml:space="preserve"/>
        </x:is>
      </x:c>
      <x:c r="AG358" t="inlineStr">
        <x:is>
          <x:t xml:space="preserve"/>
        </x:is>
      </x:c>
      <x:c r="AH358" t="inlineStr">
        <x:is>
          <x:t xml:space="preserve">EMPTY</x:t>
        </x:is>
      </x:c>
      <x:c r="AI358">
        <x:f>IF((COUNT('Quantification_Results'!AC358)=1),IFERROR(ROUND((SUM(('Quantification_Results'!AC358*'Quantification_Config'!$R$12))/SUM('Quantification_Config'!$R$12)),'Quantification_Config'!$U$2),""),"")</x:f>
      </x:c>
      <x:c r="AJ358">
        <x:f>IF((COUNT('Quantification_Results'!AI358)=1),IFERROR(ROUND((SUM(('Quantification_Results'!AI358*'Quantification_Config'!$R$11))/SUM('Quantification_Config'!$R$11)),'Quantification_Config'!$U$2),""),"")</x:f>
      </x:c>
      <x:c r="AK358" t="n">
        <x:v>1</x:v>
      </x:c>
      <x:c r="AL358" t="n">
        <x:v>5</x:v>
      </x:c>
      <x:c r="AM358"/>
      <x:c r="AN358" t="n">
        <x:f>IF(('Quantification_Results'!AK358&lt;&gt;1),"",IF(('Quantification_Results'!AM358=""),IF(ISNUMBER('Quantification_Results'!AL358),IF(('Quantification_Results'!AL358&lt;'Quantification_Config'!$S$15),"",IF(('Quantification_Results'!AL358&gt;'Quantification_Config'!$T$15),"",'Quantification_Results'!AL358)),""),IF(ISNUMBER('Quantification_Results'!AM358),IF(('Quantification_Results'!AM358&lt;'Quantification_Config'!$S$15),"",IF(('Quantification_Results'!AM358&gt;'Quantification_Config'!$T$15),"",'Quantification_Results'!AM358)),"")))</x:f>
        <x:v>5</x:v>
      </x:c>
      <x:c r="AO358" t="n">
        <x:f>IF(ISNUMBER('Quantification_Results'!AN358),IFERROR(ROUND(((('Quantification_Results'!AN358-'Quantification_Config'!$S$15)/('Quantification_Config'!$T$15-'Quantification_Config'!$S$15))*100),'Quantification_Config'!$U$2),""),"")</x:f>
        <x:v>50</x:v>
      </x:c>
      <x:c r="AP358" t="inlineStr">
        <x:is>
          <x:t xml:space="preserve">SYSTEM-TEST-ONLY-NO-NETWORK-NOT-AN-EDUCATIONAL-EVALUATION</x:t>
        </x:is>
      </x:c>
      <x:c r="AQ358" t="inlineStr">
        <x:is>
          <x:t xml:space="preserve"/>
        </x:is>
      </x:c>
      <x:c r="AR358" t="inlineStr">
        <x:is>
          <x:t xml:space="preserve">NONE</x:t>
        </x:is>
      </x:c>
      <x:c r="AS358" t="inlineStr">
        <x:is>
          <x:t xml:space="preserve"/>
        </x:is>
      </x:c>
      <x:c r="AT358" t="inlineStr">
        <x:is>
          <x:t xml:space="preserve">SUCCESS</x:t>
        </x:is>
      </x:c>
      <x:c r="AU358" t="n">
        <x:f>IF((COUNT('Quantification_Results'!AO358)=1),IFERROR(ROUND((SUM(('Quantification_Results'!AO358*'Quantification_Config'!$R$15))/SUM('Quantification_Config'!$R$15)),'Quantification_Config'!$U$2),""),"")</x:f>
        <x:v>50</x:v>
      </x:c>
      <x:c r="AV358" t="n">
        <x:f>IF((COUNT('Quantification_Results'!AU358)=1),IFERROR(ROUND((SUM(('Quantification_Results'!AU358*'Quantification_Config'!$R$14))/SUM('Quantification_Config'!$R$14)),'Quantification_Config'!$U$2),""),"")</x:f>
        <x:v>50</x:v>
      </x:c>
      <x:c r="AW358" t="n">
        <x:v>1</x:v>
      </x:c>
      <x:c r="AX358" t="n">
        <x:v>5</x:v>
      </x:c>
      <x:c r="AY358"/>
      <x:c r="AZ358" t="n">
        <x:f>IF(('Quantification_Results'!AW358&lt;&gt;1),"",IF(('Quantification_Results'!AY358=""),IF(ISNUMBER('Quantification_Results'!AX358),IF(('Quantification_Results'!AX358&lt;'Quantification_Config'!$S$19),"",IF(('Quantification_Results'!AX358&gt;'Quantification_Config'!$T$19),"",'Quantification_Results'!AX358)),""),IF(ISNUMBER('Quantification_Results'!AY358),IF(('Quantification_Results'!AY358&lt;'Quantification_Config'!$S$19),"",IF(('Quantification_Results'!AY358&gt;'Quantification_Config'!$T$19),"",'Quantification_Results'!AY358)),"")))</x:f>
        <x:v>5</x:v>
      </x:c>
      <x:c r="BA358" t="n">
        <x:f>IF(ISNUMBER('Quantification_Results'!AZ358),IFERROR(ROUND(((('Quantification_Results'!AZ358-'Quantification_Config'!$S$19)/('Quantification_Config'!$T$19-'Quantification_Config'!$S$19))*100),'Quantification_Config'!$U$2),""),"")</x:f>
        <x:v>50</x:v>
      </x:c>
      <x:c r="BB358" t="inlineStr">
        <x:is>
          <x:t xml:space="preserve">SYSTEM-TEST-ONLY-NO-NETWORK-NOT-AN-EDUCATIONAL-EVALUATION</x:t>
        </x:is>
      </x:c>
      <x:c r="BC358" t="inlineStr">
        <x:is>
          <x:t xml:space="preserve"/>
        </x:is>
      </x:c>
      <x:c r="BD358" t="inlineStr">
        <x:is>
          <x:t xml:space="preserve">NONE</x:t>
        </x:is>
      </x:c>
      <x:c r="BE358" t="inlineStr">
        <x:is>
          <x:t xml:space="preserve"/>
        </x:is>
      </x:c>
      <x:c r="BF358" t="inlineStr">
        <x:is>
          <x:t xml:space="preserve">SUCCESS</x:t>
        </x:is>
      </x:c>
      <x:c r="BG358" t="n">
        <x:f>IF((COUNT('Quantification_Results'!BA358)=1),IFERROR(ROUND((SUM(('Quantification_Results'!BA358*'Quantification_Config'!$R$19))/SUM('Quantification_Config'!$R$19)),'Quantification_Config'!$U$2),""),"")</x:f>
        <x:v>50</x:v>
      </x:c>
      <x:c r="BH358" t="n">
        <x:f>IF((COUNT('Quantification_Results'!BG358)=1),IFERROR(ROUND((SUM(('Quantification_Results'!BG358*'Quantification_Config'!$R$18))/SUM('Quantification_Config'!$R$18)),'Quantification_Config'!$U$2),""),"")</x:f>
        <x:v>50</x:v>
      </x:c>
      <x:c r="BI358">
        <x:f>IF((COUNT('Quantification_Results'!L358,'Quantification_Results'!X358,'Quantification_Results'!AJ358,'Quantification_Results'!AV358,'Quantification_Results'!BH358)=5),IFERROR(ROUND((SUM(('Quantification_Results'!L358*'Quantification_Config'!$R$4),('Quantification_Results'!X358*'Quantification_Config'!$R$7),('Quantification_Results'!AJ358*'Quantification_Config'!$R$10),('Quantification_Results'!AV358*'Quantification_Config'!$R$13),('Quantification_Results'!BH358*'Quantification_Config'!$R$16))/SUM('Quantification_Config'!$R$4,'Quantification_Config'!$R$7,'Quantification_Config'!$R$10,'Quantification_Config'!$R$13,'Quantification_Config'!$R$16)),'Quantification_Config'!$U$2),""),"")</x:f>
      </x:c>
    </x:row>
    <x:row r="359">
      <x:c r="A359" t="n">
        <x:v>1</x:v>
      </x:c>
      <x:c r="B359" t="n">
        <x:v>5</x:v>
      </x:c>
      <x:c r="C359"/>
      <x:c r="D359" t="n">
        <x:f>IF(('Quantification_Results'!A359&lt;&gt;1),"",IF(('Quantification_Results'!C359=""),IF(ISNUMBER('Quantification_Results'!B359),IF(('Quantification_Results'!B359&lt;'Quantification_Config'!$S$6),"",IF(('Quantification_Results'!B359&gt;'Quantification_Config'!$T$6),"",'Quantification_Results'!B359)),""),IF(ISNUMBER('Quantification_Results'!C359),IF(('Quantification_Results'!C359&lt;'Quantification_Config'!$S$6),"",IF(('Quantification_Results'!C359&gt;'Quantification_Config'!$T$6),"",'Quantification_Results'!C359)),"")))</x:f>
        <x:v>5</x:v>
      </x:c>
      <x:c r="E359" t="n">
        <x:f>IF(ISNUMBER('Quantification_Results'!D359),IFERROR(ROUND(((('Quantification_Results'!D359-'Quantification_Config'!$S$6)/('Quantification_Config'!$T$6-'Quantification_Config'!$S$6))*100),'Quantification_Config'!$U$2),""),"")</x:f>
        <x:v>50</x:v>
      </x:c>
      <x:c r="F359" t="inlineStr">
        <x:is>
          <x:t xml:space="preserve">SYSTEM-TEST-ONLY-NO-NETWORK-NOT-AN-EDUCATIONAL-EVALUATION</x:t>
        </x:is>
      </x:c>
      <x:c r="G359" t="inlineStr">
        <x:is>
          <x:t xml:space="preserve"/>
        </x:is>
      </x:c>
      <x:c r="H359" t="inlineStr">
        <x:is>
          <x:t xml:space="preserve">NONE</x:t>
        </x:is>
      </x:c>
      <x:c r="I359" t="inlineStr">
        <x:is>
          <x:t xml:space="preserve"/>
        </x:is>
      </x:c>
      <x:c r="J359" t="inlineStr">
        <x:is>
          <x:t xml:space="preserve">SUCCESS</x:t>
        </x:is>
      </x:c>
      <x:c r="K359" t="n">
        <x:f>IF((COUNT('Quantification_Results'!E359)=1),IFERROR(ROUND((SUM(('Quantification_Results'!E359*'Quantification_Config'!$R$6))/SUM('Quantification_Config'!$R$6)),'Quantification_Config'!$U$2),""),"")</x:f>
        <x:v>50</x:v>
      </x:c>
      <x:c r="L359" t="n">
        <x:f>IF((COUNT('Quantification_Results'!K359)=1),IFERROR(ROUND((SUM(('Quantification_Results'!K359*'Quantification_Config'!$R$5))/SUM('Quantification_Config'!$R$5)),'Quantification_Config'!$U$2),""),"")</x:f>
        <x:v>50</x:v>
      </x:c>
      <x:c r="M359" t="n">
        <x:v>1</x:v>
      </x:c>
      <x:c r="N359" t="n">
        <x:v>5</x:v>
      </x:c>
      <x:c r="O359"/>
      <x:c r="P359" t="n">
        <x:f>IF(('Quantification_Results'!M359&lt;&gt;1),"",IF(('Quantification_Results'!O359=""),IF(ISNUMBER('Quantification_Results'!N359),IF(('Quantification_Results'!N359&lt;'Quantification_Config'!$S$9),"",IF(('Quantification_Results'!N359&gt;'Quantification_Config'!$T$9),"",'Quantification_Results'!N359)),""),IF(ISNUMBER('Quantification_Results'!O359),IF(('Quantification_Results'!O359&lt;'Quantification_Config'!$S$9),"",IF(('Quantification_Results'!O359&gt;'Quantification_Config'!$T$9),"",'Quantification_Results'!O359)),"")))</x:f>
        <x:v>5</x:v>
      </x:c>
      <x:c r="Q359" t="n">
        <x:f>IF(ISNUMBER('Quantification_Results'!P359),IFERROR(ROUND(((('Quantification_Results'!P359-'Quantification_Config'!$S$9)/('Quantification_Config'!$T$9-'Quantification_Config'!$S$9))*100),'Quantification_Config'!$U$2),""),"")</x:f>
        <x:v>50</x:v>
      </x:c>
      <x:c r="R359" t="inlineStr">
        <x:is>
          <x:t xml:space="preserve">SYSTEM-TEST-ONLY-NO-NETWORK-NOT-AN-EDUCATIONAL-EVALUATION</x:t>
        </x:is>
      </x:c>
      <x:c r="S359" t="inlineStr">
        <x:is>
          <x:t xml:space="preserve"/>
        </x:is>
      </x:c>
      <x:c r="T359" t="inlineStr">
        <x:is>
          <x:t xml:space="preserve">NONE</x:t>
        </x:is>
      </x:c>
      <x:c r="U359" t="inlineStr">
        <x:is>
          <x:t xml:space="preserve"/>
        </x:is>
      </x:c>
      <x:c r="V359" t="inlineStr">
        <x:is>
          <x:t xml:space="preserve">SUCCESS</x:t>
        </x:is>
      </x:c>
      <x:c r="W359" t="n">
        <x:f>IF((COUNT('Quantification_Results'!Q359)=1),IFERROR(ROUND((SUM(('Quantification_Results'!Q359*'Quantification_Config'!$R$9))/SUM('Quantification_Config'!$R$9)),'Quantification_Config'!$U$2),""),"")</x:f>
        <x:v>50</x:v>
      </x:c>
      <x:c r="X359" t="n">
        <x:f>IF((COUNT('Quantification_Results'!W359)=1),IFERROR(ROUND((SUM(('Quantification_Results'!W359*'Quantification_Config'!$R$8))/SUM('Quantification_Config'!$R$8)),'Quantification_Config'!$U$2),""),"")</x:f>
        <x:v>50</x:v>
      </x:c>
      <x:c r="Y359" t="n">
        <x:v>1</x:v>
      </x:c>
      <x:c r="Z359" t="n">
        <x:v>5</x:v>
      </x:c>
      <x:c r="AA359"/>
      <x:c r="AB359" t="n">
        <x:f>IF(('Quantification_Results'!Y359&lt;&gt;1),"",IF(('Quantification_Results'!AA359=""),IF(ISNUMBER('Quantification_Results'!Z359),IF(('Quantification_Results'!Z359&lt;'Quantification_Config'!$S$12),"",IF(('Quantification_Results'!Z359&gt;'Quantification_Config'!$T$12),"",'Quantification_Results'!Z359)),""),IF(ISNUMBER('Quantification_Results'!AA359),IF(('Quantification_Results'!AA359&lt;'Quantification_Config'!$S$12),"",IF(('Quantification_Results'!AA359&gt;'Quantification_Config'!$T$12),"",'Quantification_Results'!AA359)),"")))</x:f>
        <x:v>5</x:v>
      </x:c>
      <x:c r="AC359" t="n">
        <x:f>IF(ISNUMBER('Quantification_Results'!AB359),IFERROR(ROUND(((('Quantification_Results'!AB359-'Quantification_Config'!$S$12)/('Quantification_Config'!$T$12-'Quantification_Config'!$S$12))*100),'Quantification_Config'!$U$2),""),"")</x:f>
        <x:v>50</x:v>
      </x:c>
      <x:c r="AD359" t="inlineStr">
        <x:is>
          <x:t xml:space="preserve">SYSTEM-TEST-ONLY-NO-NETWORK-NOT-AN-EDUCATIONAL-EVALUATION</x:t>
        </x:is>
      </x:c>
      <x:c r="AE359" t="inlineStr">
        <x:is>
          <x:t xml:space="preserve"/>
        </x:is>
      </x:c>
      <x:c r="AF359" t="inlineStr">
        <x:is>
          <x:t xml:space="preserve">NONE</x:t>
        </x:is>
      </x:c>
      <x:c r="AG359" t="inlineStr">
        <x:is>
          <x:t xml:space="preserve"/>
        </x:is>
      </x:c>
      <x:c r="AH359" t="inlineStr">
        <x:is>
          <x:t xml:space="preserve">SUCCESS</x:t>
        </x:is>
      </x:c>
      <x:c r="AI359" t="n">
        <x:f>IF((COUNT('Quantification_Results'!AC359)=1),IFERROR(ROUND((SUM(('Quantification_Results'!AC359*'Quantification_Config'!$R$12))/SUM('Quantification_Config'!$R$12)),'Quantification_Config'!$U$2),""),"")</x:f>
        <x:v>50</x:v>
      </x:c>
      <x:c r="AJ359" t="n">
        <x:f>IF((COUNT('Quantification_Results'!AI359)=1),IFERROR(ROUND((SUM(('Quantification_Results'!AI359*'Quantification_Config'!$R$11))/SUM('Quantification_Config'!$R$11)),'Quantification_Config'!$U$2),""),"")</x:f>
        <x:v>50</x:v>
      </x:c>
      <x:c r="AK359" t="n">
        <x:v>1</x:v>
      </x:c>
      <x:c r="AL359" t="n">
        <x:v>5</x:v>
      </x:c>
      <x:c r="AM359"/>
      <x:c r="AN359" t="n">
        <x:f>IF(('Quantification_Results'!AK359&lt;&gt;1),"",IF(('Quantification_Results'!AM359=""),IF(ISNUMBER('Quantification_Results'!AL359),IF(('Quantification_Results'!AL359&lt;'Quantification_Config'!$S$15),"",IF(('Quantification_Results'!AL359&gt;'Quantification_Config'!$T$15),"",'Quantification_Results'!AL359)),""),IF(ISNUMBER('Quantification_Results'!AM359),IF(('Quantification_Results'!AM359&lt;'Quantification_Config'!$S$15),"",IF(('Quantification_Results'!AM359&gt;'Quantification_Config'!$T$15),"",'Quantification_Results'!AM359)),"")))</x:f>
        <x:v>5</x:v>
      </x:c>
      <x:c r="AO359" t="n">
        <x:f>IF(ISNUMBER('Quantification_Results'!AN359),IFERROR(ROUND(((('Quantification_Results'!AN359-'Quantification_Config'!$S$15)/('Quantification_Config'!$T$15-'Quantification_Config'!$S$15))*100),'Quantification_Config'!$U$2),""),"")</x:f>
        <x:v>50</x:v>
      </x:c>
      <x:c r="AP359" t="inlineStr">
        <x:is>
          <x:t xml:space="preserve">SYSTEM-TEST-ONLY-NO-NETWORK-NOT-AN-EDUCATIONAL-EVALUATION</x:t>
        </x:is>
      </x:c>
      <x:c r="AQ359" t="inlineStr">
        <x:is>
          <x:t xml:space="preserve"/>
        </x:is>
      </x:c>
      <x:c r="AR359" t="inlineStr">
        <x:is>
          <x:t xml:space="preserve">NONE</x:t>
        </x:is>
      </x:c>
      <x:c r="AS359" t="inlineStr">
        <x:is>
          <x:t xml:space="preserve"/>
        </x:is>
      </x:c>
      <x:c r="AT359" t="inlineStr">
        <x:is>
          <x:t xml:space="preserve">SUCCESS</x:t>
        </x:is>
      </x:c>
      <x:c r="AU359" t="n">
        <x:f>IF((COUNT('Quantification_Results'!AO359)=1),IFERROR(ROUND((SUM(('Quantification_Results'!AO359*'Quantification_Config'!$R$15))/SUM('Quantification_Config'!$R$15)),'Quantification_Config'!$U$2),""),"")</x:f>
        <x:v>50</x:v>
      </x:c>
      <x:c r="AV359" t="n">
        <x:f>IF((COUNT('Quantification_Results'!AU359)=1),IFERROR(ROUND((SUM(('Quantification_Results'!AU359*'Quantification_Config'!$R$14))/SUM('Quantification_Config'!$R$14)),'Quantification_Config'!$U$2),""),"")</x:f>
        <x:v>50</x:v>
      </x:c>
      <x:c r="AW359" t="n">
        <x:v>1</x:v>
      </x:c>
      <x:c r="AX359" t="n">
        <x:v>5</x:v>
      </x:c>
      <x:c r="AY359"/>
      <x:c r="AZ359" t="n">
        <x:f>IF(('Quantification_Results'!AW359&lt;&gt;1),"",IF(('Quantification_Results'!AY359=""),IF(ISNUMBER('Quantification_Results'!AX359),IF(('Quantification_Results'!AX359&lt;'Quantification_Config'!$S$19),"",IF(('Quantification_Results'!AX359&gt;'Quantification_Config'!$T$19),"",'Quantification_Results'!AX359)),""),IF(ISNUMBER('Quantification_Results'!AY359),IF(('Quantification_Results'!AY359&lt;'Quantification_Config'!$S$19),"",IF(('Quantification_Results'!AY359&gt;'Quantification_Config'!$T$19),"",'Quantification_Results'!AY359)),"")))</x:f>
        <x:v>5</x:v>
      </x:c>
      <x:c r="BA359" t="n">
        <x:f>IF(ISNUMBER('Quantification_Results'!AZ359),IFERROR(ROUND(((('Quantification_Results'!AZ359-'Quantification_Config'!$S$19)/('Quantification_Config'!$T$19-'Quantification_Config'!$S$19))*100),'Quantification_Config'!$U$2),""),"")</x:f>
        <x:v>50</x:v>
      </x:c>
      <x:c r="BB359" t="inlineStr">
        <x:is>
          <x:t xml:space="preserve">SYSTEM-TEST-ONLY-NO-NETWORK-NOT-AN-EDUCATIONAL-EVALUATION</x:t>
        </x:is>
      </x:c>
      <x:c r="BC359" t="inlineStr">
        <x:is>
          <x:t xml:space="preserve"/>
        </x:is>
      </x:c>
      <x:c r="BD359" t="inlineStr">
        <x:is>
          <x:t xml:space="preserve">NONE</x:t>
        </x:is>
      </x:c>
      <x:c r="BE359" t="inlineStr">
        <x:is>
          <x:t xml:space="preserve"/>
        </x:is>
      </x:c>
      <x:c r="BF359" t="inlineStr">
        <x:is>
          <x:t xml:space="preserve">SUCCESS</x:t>
        </x:is>
      </x:c>
      <x:c r="BG359" t="n">
        <x:f>IF((COUNT('Quantification_Results'!BA359)=1),IFERROR(ROUND((SUM(('Quantification_Results'!BA359*'Quantification_Config'!$R$19))/SUM('Quantification_Config'!$R$19)),'Quantification_Config'!$U$2),""),"")</x:f>
        <x:v>50</x:v>
      </x:c>
      <x:c r="BH359" t="n">
        <x:f>IF((COUNT('Quantification_Results'!BG359)=1),IFERROR(ROUND((SUM(('Quantification_Results'!BG359*'Quantification_Config'!$R$18))/SUM('Quantification_Config'!$R$18)),'Quantification_Config'!$U$2),""),"")</x:f>
        <x:v>50</x:v>
      </x:c>
      <x:c r="BI359" t="n">
        <x:f>IF((COUNT('Quantification_Results'!L359,'Quantification_Results'!X359,'Quantification_Results'!AJ359,'Quantification_Results'!AV359,'Quantification_Results'!BH359)=5),IFERROR(ROUND((SUM(('Quantification_Results'!L359*'Quantification_Config'!$R$4),('Quantification_Results'!X359*'Quantification_Config'!$R$7),('Quantification_Results'!AJ359*'Quantification_Config'!$R$10),('Quantification_Results'!AV359*'Quantification_Config'!$R$13),('Quantification_Results'!BH359*'Quantification_Config'!$R$16))/SUM('Quantification_Config'!$R$4,'Quantification_Config'!$R$7,'Quantification_Config'!$R$10,'Quantification_Config'!$R$13,'Quantification_Config'!$R$16)),'Quantification_Config'!$U$2),""),"")</x:f>
        <x:v>50</x:v>
      </x:c>
    </x:row>
    <x:row r="360">
      <x:c r="A360" t="n">
        <x:v>1</x:v>
      </x:c>
      <x:c r="B360" t="n">
        <x:v>5</x:v>
      </x:c>
      <x:c r="C360"/>
      <x:c r="D360" t="n">
        <x:f>IF(('Quantification_Results'!A360&lt;&gt;1),"",IF(('Quantification_Results'!C360=""),IF(ISNUMBER('Quantification_Results'!B360),IF(('Quantification_Results'!B360&lt;'Quantification_Config'!$S$6),"",IF(('Quantification_Results'!B360&gt;'Quantification_Config'!$T$6),"",'Quantification_Results'!B360)),""),IF(ISNUMBER('Quantification_Results'!C360),IF(('Quantification_Results'!C360&lt;'Quantification_Config'!$S$6),"",IF(('Quantification_Results'!C360&gt;'Quantification_Config'!$T$6),"",'Quantification_Results'!C360)),"")))</x:f>
        <x:v>5</x:v>
      </x:c>
      <x:c r="E360" t="n">
        <x:f>IF(ISNUMBER('Quantification_Results'!D360),IFERROR(ROUND(((('Quantification_Results'!D360-'Quantification_Config'!$S$6)/('Quantification_Config'!$T$6-'Quantification_Config'!$S$6))*100),'Quantification_Config'!$U$2),""),"")</x:f>
        <x:v>50</x:v>
      </x:c>
      <x:c r="F360" t="inlineStr">
        <x:is>
          <x:t xml:space="preserve">SYSTEM-TEST-ONLY-NO-NETWORK-NOT-AN-EDUCATIONAL-EVALUATION</x:t>
        </x:is>
      </x:c>
      <x:c r="G360" t="inlineStr">
        <x:is>
          <x:t xml:space="preserve"/>
        </x:is>
      </x:c>
      <x:c r="H360" t="inlineStr">
        <x:is>
          <x:t xml:space="preserve">NONE</x:t>
        </x:is>
      </x:c>
      <x:c r="I360" t="inlineStr">
        <x:is>
          <x:t xml:space="preserve"/>
        </x:is>
      </x:c>
      <x:c r="J360" t="inlineStr">
        <x:is>
          <x:t xml:space="preserve">SUCCESS</x:t>
        </x:is>
      </x:c>
      <x:c r="K360" t="n">
        <x:f>IF((COUNT('Quantification_Results'!E360)=1),IFERROR(ROUND((SUM(('Quantification_Results'!E360*'Quantification_Config'!$R$6))/SUM('Quantification_Config'!$R$6)),'Quantification_Config'!$U$2),""),"")</x:f>
        <x:v>50</x:v>
      </x:c>
      <x:c r="L360" t="n">
        <x:f>IF((COUNT('Quantification_Results'!K360)=1),IFERROR(ROUND((SUM(('Quantification_Results'!K360*'Quantification_Config'!$R$5))/SUM('Quantification_Config'!$R$5)),'Quantification_Config'!$U$2),""),"")</x:f>
        <x:v>50</x:v>
      </x:c>
      <x:c r="M360" t="n">
        <x:v>1</x:v>
      </x:c>
      <x:c r="N360" t="n">
        <x:v>5</x:v>
      </x:c>
      <x:c r="O360"/>
      <x:c r="P360" t="n">
        <x:f>IF(('Quantification_Results'!M360&lt;&gt;1),"",IF(('Quantification_Results'!O360=""),IF(ISNUMBER('Quantification_Results'!N360),IF(('Quantification_Results'!N360&lt;'Quantification_Config'!$S$9),"",IF(('Quantification_Results'!N360&gt;'Quantification_Config'!$T$9),"",'Quantification_Results'!N360)),""),IF(ISNUMBER('Quantification_Results'!O360),IF(('Quantification_Results'!O360&lt;'Quantification_Config'!$S$9),"",IF(('Quantification_Results'!O360&gt;'Quantification_Config'!$T$9),"",'Quantification_Results'!O360)),"")))</x:f>
        <x:v>5</x:v>
      </x:c>
      <x:c r="Q360" t="n">
        <x:f>IF(ISNUMBER('Quantification_Results'!P360),IFERROR(ROUND(((('Quantification_Results'!P360-'Quantification_Config'!$S$9)/('Quantification_Config'!$T$9-'Quantification_Config'!$S$9))*100),'Quantification_Config'!$U$2),""),"")</x:f>
        <x:v>50</x:v>
      </x:c>
      <x:c r="R360" t="inlineStr">
        <x:is>
          <x:t xml:space="preserve">SYSTEM-TEST-ONLY-NO-NETWORK-NOT-AN-EDUCATIONAL-EVALUATION</x:t>
        </x:is>
      </x:c>
      <x:c r="S360" t="inlineStr">
        <x:is>
          <x:t xml:space="preserve"/>
        </x:is>
      </x:c>
      <x:c r="T360" t="inlineStr">
        <x:is>
          <x:t xml:space="preserve">NONE</x:t>
        </x:is>
      </x:c>
      <x:c r="U360" t="inlineStr">
        <x:is>
          <x:t xml:space="preserve"/>
        </x:is>
      </x:c>
      <x:c r="V360" t="inlineStr">
        <x:is>
          <x:t xml:space="preserve">SUCCESS</x:t>
        </x:is>
      </x:c>
      <x:c r="W360" t="n">
        <x:f>IF((COUNT('Quantification_Results'!Q360)=1),IFERROR(ROUND((SUM(('Quantification_Results'!Q360*'Quantification_Config'!$R$9))/SUM('Quantification_Config'!$R$9)),'Quantification_Config'!$U$2),""),"")</x:f>
        <x:v>50</x:v>
      </x:c>
      <x:c r="X360" t="n">
        <x:f>IF((COUNT('Quantification_Results'!W360)=1),IFERROR(ROUND((SUM(('Quantification_Results'!W360*'Quantification_Config'!$R$8))/SUM('Quantification_Config'!$R$8)),'Quantification_Config'!$U$2),""),"")</x:f>
        <x:v>50</x:v>
      </x:c>
      <x:c r="Y360" t="n">
        <x:v>0</x:v>
      </x:c>
      <x:c r="Z360"/>
      <x:c r="AA360"/>
      <x:c r="AB360">
        <x:f>IF(('Quantification_Results'!Y360&lt;&gt;1),"",IF(('Quantification_Results'!AA360=""),IF(ISNUMBER('Quantification_Results'!Z360),IF(('Quantification_Results'!Z360&lt;'Quantification_Config'!$S$12),"",IF(('Quantification_Results'!Z360&gt;'Quantification_Config'!$T$12),"",'Quantification_Results'!Z360)),""),IF(ISNUMBER('Quantification_Results'!AA360),IF(('Quantification_Results'!AA360&lt;'Quantification_Config'!$S$12),"",IF(('Quantification_Results'!AA360&gt;'Quantification_Config'!$T$12),"",'Quantification_Results'!AA360)),"")))</x:f>
      </x:c>
      <x:c r="AC360">
        <x:f>IF(ISNUMBER('Quantification_Results'!AB360),IFERROR(ROUND(((('Quantification_Results'!AB360-'Quantification_Config'!$S$12)/('Quantification_Config'!$T$12-'Quantification_Config'!$S$12))*100),'Quantification_Config'!$U$2),""),"")</x:f>
      </x:c>
      <x:c r="AD360" t="inlineStr">
        <x:is>
          <x:t xml:space="preserve"/>
        </x:is>
      </x:c>
      <x:c r="AE360" t="inlineStr">
        <x:is>
          <x:t xml:space="preserve"/>
        </x:is>
      </x:c>
      <x:c r="AF360" t="inlineStr">
        <x:is>
          <x:t xml:space="preserve"/>
        </x:is>
      </x:c>
      <x:c r="AG360" t="inlineStr">
        <x:is>
          <x:t xml:space="preserve"/>
        </x:is>
      </x:c>
      <x:c r="AH360" t="inlineStr">
        <x:is>
          <x:t xml:space="preserve">EMPTY</x:t>
        </x:is>
      </x:c>
      <x:c r="AI360">
        <x:f>IF((COUNT('Quantification_Results'!AC360)=1),IFERROR(ROUND((SUM(('Quantification_Results'!AC360*'Quantification_Config'!$R$12))/SUM('Quantification_Config'!$R$12)),'Quantification_Config'!$U$2),""),"")</x:f>
      </x:c>
      <x:c r="AJ360">
        <x:f>IF((COUNT('Quantification_Results'!AI360)=1),IFERROR(ROUND((SUM(('Quantification_Results'!AI360*'Quantification_Config'!$R$11))/SUM('Quantification_Config'!$R$11)),'Quantification_Config'!$U$2),""),"")</x:f>
      </x:c>
      <x:c r="AK360" t="n">
        <x:v>1</x:v>
      </x:c>
      <x:c r="AL360" t="n">
        <x:v>5</x:v>
      </x:c>
      <x:c r="AM360"/>
      <x:c r="AN360" t="n">
        <x:f>IF(('Quantification_Results'!AK360&lt;&gt;1),"",IF(('Quantification_Results'!AM360=""),IF(ISNUMBER('Quantification_Results'!AL360),IF(('Quantification_Results'!AL360&lt;'Quantification_Config'!$S$15),"",IF(('Quantification_Results'!AL360&gt;'Quantification_Config'!$T$15),"",'Quantification_Results'!AL360)),""),IF(ISNUMBER('Quantification_Results'!AM360),IF(('Quantification_Results'!AM360&lt;'Quantification_Config'!$S$15),"",IF(('Quantification_Results'!AM360&gt;'Quantification_Config'!$T$15),"",'Quantification_Results'!AM360)),"")))</x:f>
        <x:v>5</x:v>
      </x:c>
      <x:c r="AO360" t="n">
        <x:f>IF(ISNUMBER('Quantification_Results'!AN360),IFERROR(ROUND(((('Quantification_Results'!AN360-'Quantification_Config'!$S$15)/('Quantification_Config'!$T$15-'Quantification_Config'!$S$15))*100),'Quantification_Config'!$U$2),""),"")</x:f>
        <x:v>50</x:v>
      </x:c>
      <x:c r="AP360" t="inlineStr">
        <x:is>
          <x:t xml:space="preserve">SYSTEM-TEST-ONLY-NO-NETWORK-NOT-AN-EDUCATIONAL-EVALUATION</x:t>
        </x:is>
      </x:c>
      <x:c r="AQ360" t="inlineStr">
        <x:is>
          <x:t xml:space="preserve"/>
        </x:is>
      </x:c>
      <x:c r="AR360" t="inlineStr">
        <x:is>
          <x:t xml:space="preserve">NONE</x:t>
        </x:is>
      </x:c>
      <x:c r="AS360" t="inlineStr">
        <x:is>
          <x:t xml:space="preserve"/>
        </x:is>
      </x:c>
      <x:c r="AT360" t="inlineStr">
        <x:is>
          <x:t xml:space="preserve">SUCCESS</x:t>
        </x:is>
      </x:c>
      <x:c r="AU360" t="n">
        <x:f>IF((COUNT('Quantification_Results'!AO360)=1),IFERROR(ROUND((SUM(('Quantification_Results'!AO360*'Quantification_Config'!$R$15))/SUM('Quantification_Config'!$R$15)),'Quantification_Config'!$U$2),""),"")</x:f>
        <x:v>50</x:v>
      </x:c>
      <x:c r="AV360" t="n">
        <x:f>IF((COUNT('Quantification_Results'!AU360)=1),IFERROR(ROUND((SUM(('Quantification_Results'!AU360*'Quantification_Config'!$R$14))/SUM('Quantification_Config'!$R$14)),'Quantification_Config'!$U$2),""),"")</x:f>
        <x:v>50</x:v>
      </x:c>
      <x:c r="AW360" t="n">
        <x:v>1</x:v>
      </x:c>
      <x:c r="AX360" t="n">
        <x:v>5</x:v>
      </x:c>
      <x:c r="AY360"/>
      <x:c r="AZ360" t="n">
        <x:f>IF(('Quantification_Results'!AW360&lt;&gt;1),"",IF(('Quantification_Results'!AY360=""),IF(ISNUMBER('Quantification_Results'!AX360),IF(('Quantification_Results'!AX360&lt;'Quantification_Config'!$S$19),"",IF(('Quantification_Results'!AX360&gt;'Quantification_Config'!$T$19),"",'Quantification_Results'!AX360)),""),IF(ISNUMBER('Quantification_Results'!AY360),IF(('Quantification_Results'!AY360&lt;'Quantification_Config'!$S$19),"",IF(('Quantification_Results'!AY360&gt;'Quantification_Config'!$T$19),"",'Quantification_Results'!AY360)),"")))</x:f>
        <x:v>5</x:v>
      </x:c>
      <x:c r="BA360" t="n">
        <x:f>IF(ISNUMBER('Quantification_Results'!AZ360),IFERROR(ROUND(((('Quantification_Results'!AZ360-'Quantification_Config'!$S$19)/('Quantification_Config'!$T$19-'Quantification_Config'!$S$19))*100),'Quantification_Config'!$U$2),""),"")</x:f>
        <x:v>50</x:v>
      </x:c>
      <x:c r="BB360" t="inlineStr">
        <x:is>
          <x:t xml:space="preserve">SYSTEM-TEST-ONLY-NO-NETWORK-NOT-AN-EDUCATIONAL-EVALUATION</x:t>
        </x:is>
      </x:c>
      <x:c r="BC360" t="inlineStr">
        <x:is>
          <x:t xml:space="preserve"/>
        </x:is>
      </x:c>
      <x:c r="BD360" t="inlineStr">
        <x:is>
          <x:t xml:space="preserve">NONE</x:t>
        </x:is>
      </x:c>
      <x:c r="BE360" t="inlineStr">
        <x:is>
          <x:t xml:space="preserve"/>
        </x:is>
      </x:c>
      <x:c r="BF360" t="inlineStr">
        <x:is>
          <x:t xml:space="preserve">SUCCESS</x:t>
        </x:is>
      </x:c>
      <x:c r="BG360" t="n">
        <x:f>IF((COUNT('Quantification_Results'!BA360)=1),IFERROR(ROUND((SUM(('Quantification_Results'!BA360*'Quantification_Config'!$R$19))/SUM('Quantification_Config'!$R$19)),'Quantification_Config'!$U$2),""),"")</x:f>
        <x:v>50</x:v>
      </x:c>
      <x:c r="BH360" t="n">
        <x:f>IF((COUNT('Quantification_Results'!BG360)=1),IFERROR(ROUND((SUM(('Quantification_Results'!BG360*'Quantification_Config'!$R$18))/SUM('Quantification_Config'!$R$18)),'Quantification_Config'!$U$2),""),"")</x:f>
        <x:v>50</x:v>
      </x:c>
      <x:c r="BI360">
        <x:f>IF((COUNT('Quantification_Results'!L360,'Quantification_Results'!X360,'Quantification_Results'!AJ360,'Quantification_Results'!AV360,'Quantification_Results'!BH360)=5),IFERROR(ROUND((SUM(('Quantification_Results'!L360*'Quantification_Config'!$R$4),('Quantification_Results'!X360*'Quantification_Config'!$R$7),('Quantification_Results'!AJ360*'Quantification_Config'!$R$10),('Quantification_Results'!AV360*'Quantification_Config'!$R$13),('Quantification_Results'!BH360*'Quantification_Config'!$R$16))/SUM('Quantification_Config'!$R$4,'Quantification_Config'!$R$7,'Quantification_Config'!$R$10,'Quantification_Config'!$R$13,'Quantification_Config'!$R$16)),'Quantification_Config'!$U$2),""),"")</x:f>
      </x:c>
    </x:row>
    <x:row r="361">
      <x:c r="A361" t="n">
        <x:v>1</x:v>
      </x:c>
      <x:c r="B361" t="n">
        <x:v>5</x:v>
      </x:c>
      <x:c r="C361"/>
      <x:c r="D361" t="n">
        <x:f>IF(('Quantification_Results'!A361&lt;&gt;1),"",IF(('Quantification_Results'!C361=""),IF(ISNUMBER('Quantification_Results'!B361),IF(('Quantification_Results'!B361&lt;'Quantification_Config'!$S$6),"",IF(('Quantification_Results'!B361&gt;'Quantification_Config'!$T$6),"",'Quantification_Results'!B361)),""),IF(ISNUMBER('Quantification_Results'!C361),IF(('Quantification_Results'!C361&lt;'Quantification_Config'!$S$6),"",IF(('Quantification_Results'!C361&gt;'Quantification_Config'!$T$6),"",'Quantification_Results'!C361)),"")))</x:f>
        <x:v>5</x:v>
      </x:c>
      <x:c r="E361" t="n">
        <x:f>IF(ISNUMBER('Quantification_Results'!D361),IFERROR(ROUND(((('Quantification_Results'!D361-'Quantification_Config'!$S$6)/('Quantification_Config'!$T$6-'Quantification_Config'!$S$6))*100),'Quantification_Config'!$U$2),""),"")</x:f>
        <x:v>50</x:v>
      </x:c>
      <x:c r="F361" t="inlineStr">
        <x:is>
          <x:t xml:space="preserve">SYSTEM-TEST-ONLY-NO-NETWORK-NOT-AN-EDUCATIONAL-EVALUATION</x:t>
        </x:is>
      </x:c>
      <x:c r="G361" t="inlineStr">
        <x:is>
          <x:t xml:space="preserve"/>
        </x:is>
      </x:c>
      <x:c r="H361" t="inlineStr">
        <x:is>
          <x:t xml:space="preserve">NONE</x:t>
        </x:is>
      </x:c>
      <x:c r="I361" t="inlineStr">
        <x:is>
          <x:t xml:space="preserve"/>
        </x:is>
      </x:c>
      <x:c r="J361" t="inlineStr">
        <x:is>
          <x:t xml:space="preserve">SUCCESS</x:t>
        </x:is>
      </x:c>
      <x:c r="K361" t="n">
        <x:f>IF((COUNT('Quantification_Results'!E361)=1),IFERROR(ROUND((SUM(('Quantification_Results'!E361*'Quantification_Config'!$R$6))/SUM('Quantification_Config'!$R$6)),'Quantification_Config'!$U$2),""),"")</x:f>
        <x:v>50</x:v>
      </x:c>
      <x:c r="L361" t="n">
        <x:f>IF((COUNT('Quantification_Results'!K361)=1),IFERROR(ROUND((SUM(('Quantification_Results'!K361*'Quantification_Config'!$R$5))/SUM('Quantification_Config'!$R$5)),'Quantification_Config'!$U$2),""),"")</x:f>
        <x:v>50</x:v>
      </x:c>
      <x:c r="M361" t="n">
        <x:v>1</x:v>
      </x:c>
      <x:c r="N361" t="n">
        <x:v>5</x:v>
      </x:c>
      <x:c r="O361"/>
      <x:c r="P361" t="n">
        <x:f>IF(('Quantification_Results'!M361&lt;&gt;1),"",IF(('Quantification_Results'!O361=""),IF(ISNUMBER('Quantification_Results'!N361),IF(('Quantification_Results'!N361&lt;'Quantification_Config'!$S$9),"",IF(('Quantification_Results'!N361&gt;'Quantification_Config'!$T$9),"",'Quantification_Results'!N361)),""),IF(ISNUMBER('Quantification_Results'!O361),IF(('Quantification_Results'!O361&lt;'Quantification_Config'!$S$9),"",IF(('Quantification_Results'!O361&gt;'Quantification_Config'!$T$9),"",'Quantification_Results'!O361)),"")))</x:f>
        <x:v>5</x:v>
      </x:c>
      <x:c r="Q361" t="n">
        <x:f>IF(ISNUMBER('Quantification_Results'!P361),IFERROR(ROUND(((('Quantification_Results'!P361-'Quantification_Config'!$S$9)/('Quantification_Config'!$T$9-'Quantification_Config'!$S$9))*100),'Quantification_Config'!$U$2),""),"")</x:f>
        <x:v>50</x:v>
      </x:c>
      <x:c r="R361" t="inlineStr">
        <x:is>
          <x:t xml:space="preserve">SYSTEM-TEST-ONLY-NO-NETWORK-NOT-AN-EDUCATIONAL-EVALUATION</x:t>
        </x:is>
      </x:c>
      <x:c r="S361" t="inlineStr">
        <x:is>
          <x:t xml:space="preserve"/>
        </x:is>
      </x:c>
      <x:c r="T361" t="inlineStr">
        <x:is>
          <x:t xml:space="preserve">NONE</x:t>
        </x:is>
      </x:c>
      <x:c r="U361" t="inlineStr">
        <x:is>
          <x:t xml:space="preserve"/>
        </x:is>
      </x:c>
      <x:c r="V361" t="inlineStr">
        <x:is>
          <x:t xml:space="preserve">SUCCESS</x:t>
        </x:is>
      </x:c>
      <x:c r="W361" t="n">
        <x:f>IF((COUNT('Quantification_Results'!Q361)=1),IFERROR(ROUND((SUM(('Quantification_Results'!Q361*'Quantification_Config'!$R$9))/SUM('Quantification_Config'!$R$9)),'Quantification_Config'!$U$2),""),"")</x:f>
        <x:v>50</x:v>
      </x:c>
      <x:c r="X361" t="n">
        <x:f>IF((COUNT('Quantification_Results'!W361)=1),IFERROR(ROUND((SUM(('Quantification_Results'!W361*'Quantification_Config'!$R$8))/SUM('Quantification_Config'!$R$8)),'Quantification_Config'!$U$2),""),"")</x:f>
        <x:v>50</x:v>
      </x:c>
      <x:c r="Y361" t="n">
        <x:v>0</x:v>
      </x:c>
      <x:c r="Z361"/>
      <x:c r="AA361"/>
      <x:c r="AB361">
        <x:f>IF(('Quantification_Results'!Y361&lt;&gt;1),"",IF(('Quantification_Results'!AA361=""),IF(ISNUMBER('Quantification_Results'!Z361),IF(('Quantification_Results'!Z361&lt;'Quantification_Config'!$S$12),"",IF(('Quantification_Results'!Z361&gt;'Quantification_Config'!$T$12),"",'Quantification_Results'!Z361)),""),IF(ISNUMBER('Quantification_Results'!AA361),IF(('Quantification_Results'!AA361&lt;'Quantification_Config'!$S$12),"",IF(('Quantification_Results'!AA361&gt;'Quantification_Config'!$T$12),"",'Quantification_Results'!AA361)),"")))</x:f>
      </x:c>
      <x:c r="AC361">
        <x:f>IF(ISNUMBER('Quantification_Results'!AB361),IFERROR(ROUND(((('Quantification_Results'!AB361-'Quantification_Config'!$S$12)/('Quantification_Config'!$T$12-'Quantification_Config'!$S$12))*100),'Quantification_Config'!$U$2),""),"")</x:f>
      </x:c>
      <x:c r="AD361" t="inlineStr">
        <x:is>
          <x:t xml:space="preserve"/>
        </x:is>
      </x:c>
      <x:c r="AE361" t="inlineStr">
        <x:is>
          <x:t xml:space="preserve"/>
        </x:is>
      </x:c>
      <x:c r="AF361" t="inlineStr">
        <x:is>
          <x:t xml:space="preserve"/>
        </x:is>
      </x:c>
      <x:c r="AG361" t="inlineStr">
        <x:is>
          <x:t xml:space="preserve"/>
        </x:is>
      </x:c>
      <x:c r="AH361" t="inlineStr">
        <x:is>
          <x:t xml:space="preserve">EMPTY</x:t>
        </x:is>
      </x:c>
      <x:c r="AI361">
        <x:f>IF((COUNT('Quantification_Results'!AC361)=1),IFERROR(ROUND((SUM(('Quantification_Results'!AC361*'Quantification_Config'!$R$12))/SUM('Quantification_Config'!$R$12)),'Quantification_Config'!$U$2),""),"")</x:f>
      </x:c>
      <x:c r="AJ361">
        <x:f>IF((COUNT('Quantification_Results'!AI361)=1),IFERROR(ROUND((SUM(('Quantification_Results'!AI361*'Quantification_Config'!$R$11))/SUM('Quantification_Config'!$R$11)),'Quantification_Config'!$U$2),""),"")</x:f>
      </x:c>
      <x:c r="AK361" t="n">
        <x:v>1</x:v>
      </x:c>
      <x:c r="AL361" t="n">
        <x:v>5</x:v>
      </x:c>
      <x:c r="AM361"/>
      <x:c r="AN361" t="n">
        <x:f>IF(('Quantification_Results'!AK361&lt;&gt;1),"",IF(('Quantification_Results'!AM361=""),IF(ISNUMBER('Quantification_Results'!AL361),IF(('Quantification_Results'!AL361&lt;'Quantification_Config'!$S$15),"",IF(('Quantification_Results'!AL361&gt;'Quantification_Config'!$T$15),"",'Quantification_Results'!AL361)),""),IF(ISNUMBER('Quantification_Results'!AM361),IF(('Quantification_Results'!AM361&lt;'Quantification_Config'!$S$15),"",IF(('Quantification_Results'!AM361&gt;'Quantification_Config'!$T$15),"",'Quantification_Results'!AM361)),"")))</x:f>
        <x:v>5</x:v>
      </x:c>
      <x:c r="AO361" t="n">
        <x:f>IF(ISNUMBER('Quantification_Results'!AN361),IFERROR(ROUND(((('Quantification_Results'!AN361-'Quantification_Config'!$S$15)/('Quantification_Config'!$T$15-'Quantification_Config'!$S$15))*100),'Quantification_Config'!$U$2),""),"")</x:f>
        <x:v>50</x:v>
      </x:c>
      <x:c r="AP361" t="inlineStr">
        <x:is>
          <x:t xml:space="preserve">SYSTEM-TEST-ONLY-NO-NETWORK-NOT-AN-EDUCATIONAL-EVALUATION</x:t>
        </x:is>
      </x:c>
      <x:c r="AQ361" t="inlineStr">
        <x:is>
          <x:t xml:space="preserve"/>
        </x:is>
      </x:c>
      <x:c r="AR361" t="inlineStr">
        <x:is>
          <x:t xml:space="preserve">NONE</x:t>
        </x:is>
      </x:c>
      <x:c r="AS361" t="inlineStr">
        <x:is>
          <x:t xml:space="preserve"/>
        </x:is>
      </x:c>
      <x:c r="AT361" t="inlineStr">
        <x:is>
          <x:t xml:space="preserve">SUCCESS</x:t>
        </x:is>
      </x:c>
      <x:c r="AU361" t="n">
        <x:f>IF((COUNT('Quantification_Results'!AO361)=1),IFERROR(ROUND((SUM(('Quantification_Results'!AO361*'Quantification_Config'!$R$15))/SUM('Quantification_Config'!$R$15)),'Quantification_Config'!$U$2),""),"")</x:f>
        <x:v>50</x:v>
      </x:c>
      <x:c r="AV361" t="n">
        <x:f>IF((COUNT('Quantification_Results'!AU361)=1),IFERROR(ROUND((SUM(('Quantification_Results'!AU361*'Quantification_Config'!$R$14))/SUM('Quantification_Config'!$R$14)),'Quantification_Config'!$U$2),""),"")</x:f>
        <x:v>50</x:v>
      </x:c>
      <x:c r="AW361" t="n">
        <x:v>1</x:v>
      </x:c>
      <x:c r="AX361" t="n">
        <x:v>5</x:v>
      </x:c>
      <x:c r="AY361"/>
      <x:c r="AZ361" t="n">
        <x:f>IF(('Quantification_Results'!AW361&lt;&gt;1),"",IF(('Quantification_Results'!AY361=""),IF(ISNUMBER('Quantification_Results'!AX361),IF(('Quantification_Results'!AX361&lt;'Quantification_Config'!$S$19),"",IF(('Quantification_Results'!AX361&gt;'Quantification_Config'!$T$19),"",'Quantification_Results'!AX361)),""),IF(ISNUMBER('Quantification_Results'!AY361),IF(('Quantification_Results'!AY361&lt;'Quantification_Config'!$S$19),"",IF(('Quantification_Results'!AY361&gt;'Quantification_Config'!$T$19),"",'Quantification_Results'!AY361)),"")))</x:f>
        <x:v>5</x:v>
      </x:c>
      <x:c r="BA361" t="n">
        <x:f>IF(ISNUMBER('Quantification_Results'!AZ361),IFERROR(ROUND(((('Quantification_Results'!AZ361-'Quantification_Config'!$S$19)/('Quantification_Config'!$T$19-'Quantification_Config'!$S$19))*100),'Quantification_Config'!$U$2),""),"")</x:f>
        <x:v>50</x:v>
      </x:c>
      <x:c r="BB361" t="inlineStr">
        <x:is>
          <x:t xml:space="preserve">SYSTEM-TEST-ONLY-NO-NETWORK-NOT-AN-EDUCATIONAL-EVALUATION</x:t>
        </x:is>
      </x:c>
      <x:c r="BC361" t="inlineStr">
        <x:is>
          <x:t xml:space="preserve"/>
        </x:is>
      </x:c>
      <x:c r="BD361" t="inlineStr">
        <x:is>
          <x:t xml:space="preserve">NONE</x:t>
        </x:is>
      </x:c>
      <x:c r="BE361" t="inlineStr">
        <x:is>
          <x:t xml:space="preserve"/>
        </x:is>
      </x:c>
      <x:c r="BF361" t="inlineStr">
        <x:is>
          <x:t xml:space="preserve">SUCCESS</x:t>
        </x:is>
      </x:c>
      <x:c r="BG361" t="n">
        <x:f>IF((COUNT('Quantification_Results'!BA361)=1),IFERROR(ROUND((SUM(('Quantification_Results'!BA361*'Quantification_Config'!$R$19))/SUM('Quantification_Config'!$R$19)),'Quantification_Config'!$U$2),""),"")</x:f>
        <x:v>50</x:v>
      </x:c>
      <x:c r="BH361" t="n">
        <x:f>IF((COUNT('Quantification_Results'!BG361)=1),IFERROR(ROUND((SUM(('Quantification_Results'!BG361*'Quantification_Config'!$R$18))/SUM('Quantification_Config'!$R$18)),'Quantification_Config'!$U$2),""),"")</x:f>
        <x:v>50</x:v>
      </x:c>
      <x:c r="BI361">
        <x:f>IF((COUNT('Quantification_Results'!L361,'Quantification_Results'!X361,'Quantification_Results'!AJ361,'Quantification_Results'!AV361,'Quantification_Results'!BH361)=5),IFERROR(ROUND((SUM(('Quantification_Results'!L361*'Quantification_Config'!$R$4),('Quantification_Results'!X361*'Quantification_Config'!$R$7),('Quantification_Results'!AJ361*'Quantification_Config'!$R$10),('Quantification_Results'!AV361*'Quantification_Config'!$R$13),('Quantification_Results'!BH361*'Quantification_Config'!$R$16))/SUM('Quantification_Config'!$R$4,'Quantification_Config'!$R$7,'Quantification_Config'!$R$10,'Quantification_Config'!$R$13,'Quantification_Config'!$R$16)),'Quantification_Config'!$U$2),""),"")</x:f>
      </x:c>
    </x:row>
    <x:row r="362">
      <x:c r="A362" t="n">
        <x:v>1</x:v>
      </x:c>
      <x:c r="B362" t="n">
        <x:v>5</x:v>
      </x:c>
      <x:c r="C362"/>
      <x:c r="D362" t="n">
        <x:f>IF(('Quantification_Results'!A362&lt;&gt;1),"",IF(('Quantification_Results'!C362=""),IF(ISNUMBER('Quantification_Results'!B362),IF(('Quantification_Results'!B362&lt;'Quantification_Config'!$S$6),"",IF(('Quantification_Results'!B362&gt;'Quantification_Config'!$T$6),"",'Quantification_Results'!B362)),""),IF(ISNUMBER('Quantification_Results'!C362),IF(('Quantification_Results'!C362&lt;'Quantification_Config'!$S$6),"",IF(('Quantification_Results'!C362&gt;'Quantification_Config'!$T$6),"",'Quantification_Results'!C362)),"")))</x:f>
        <x:v>5</x:v>
      </x:c>
      <x:c r="E362" t="n">
        <x:f>IF(ISNUMBER('Quantification_Results'!D362),IFERROR(ROUND(((('Quantification_Results'!D362-'Quantification_Config'!$S$6)/('Quantification_Config'!$T$6-'Quantification_Config'!$S$6))*100),'Quantification_Config'!$U$2),""),"")</x:f>
        <x:v>50</x:v>
      </x:c>
      <x:c r="F362" t="inlineStr">
        <x:is>
          <x:t xml:space="preserve">SYSTEM-TEST-ONLY-NO-NETWORK-NOT-AN-EDUCATIONAL-EVALUATION</x:t>
        </x:is>
      </x:c>
      <x:c r="G362" t="inlineStr">
        <x:is>
          <x:t xml:space="preserve"/>
        </x:is>
      </x:c>
      <x:c r="H362" t="inlineStr">
        <x:is>
          <x:t xml:space="preserve">NONE</x:t>
        </x:is>
      </x:c>
      <x:c r="I362" t="inlineStr">
        <x:is>
          <x:t xml:space="preserve"/>
        </x:is>
      </x:c>
      <x:c r="J362" t="inlineStr">
        <x:is>
          <x:t xml:space="preserve">SUCCESS</x:t>
        </x:is>
      </x:c>
      <x:c r="K362" t="n">
        <x:f>IF((COUNT('Quantification_Results'!E362)=1),IFERROR(ROUND((SUM(('Quantification_Results'!E362*'Quantification_Config'!$R$6))/SUM('Quantification_Config'!$R$6)),'Quantification_Config'!$U$2),""),"")</x:f>
        <x:v>50</x:v>
      </x:c>
      <x:c r="L362" t="n">
        <x:f>IF((COUNT('Quantification_Results'!K362)=1),IFERROR(ROUND((SUM(('Quantification_Results'!K362*'Quantification_Config'!$R$5))/SUM('Quantification_Config'!$R$5)),'Quantification_Config'!$U$2),""),"")</x:f>
        <x:v>50</x:v>
      </x:c>
      <x:c r="M362" t="n">
        <x:v>1</x:v>
      </x:c>
      <x:c r="N362" t="n">
        <x:v>5</x:v>
      </x:c>
      <x:c r="O362"/>
      <x:c r="P362" t="n">
        <x:f>IF(('Quantification_Results'!M362&lt;&gt;1),"",IF(('Quantification_Results'!O362=""),IF(ISNUMBER('Quantification_Results'!N362),IF(('Quantification_Results'!N362&lt;'Quantification_Config'!$S$9),"",IF(('Quantification_Results'!N362&gt;'Quantification_Config'!$T$9),"",'Quantification_Results'!N362)),""),IF(ISNUMBER('Quantification_Results'!O362),IF(('Quantification_Results'!O362&lt;'Quantification_Config'!$S$9),"",IF(('Quantification_Results'!O362&gt;'Quantification_Config'!$T$9),"",'Quantification_Results'!O362)),"")))</x:f>
        <x:v>5</x:v>
      </x:c>
      <x:c r="Q362" t="n">
        <x:f>IF(ISNUMBER('Quantification_Results'!P362),IFERROR(ROUND(((('Quantification_Results'!P362-'Quantification_Config'!$S$9)/('Quantification_Config'!$T$9-'Quantification_Config'!$S$9))*100),'Quantification_Config'!$U$2),""),"")</x:f>
        <x:v>50</x:v>
      </x:c>
      <x:c r="R362" t="inlineStr">
        <x:is>
          <x:t xml:space="preserve">SYSTEM-TEST-ONLY-NO-NETWORK-NOT-AN-EDUCATIONAL-EVALUATION</x:t>
        </x:is>
      </x:c>
      <x:c r="S362" t="inlineStr">
        <x:is>
          <x:t xml:space="preserve"/>
        </x:is>
      </x:c>
      <x:c r="T362" t="inlineStr">
        <x:is>
          <x:t xml:space="preserve">NONE</x:t>
        </x:is>
      </x:c>
      <x:c r="U362" t="inlineStr">
        <x:is>
          <x:t xml:space="preserve"/>
        </x:is>
      </x:c>
      <x:c r="V362" t="inlineStr">
        <x:is>
          <x:t xml:space="preserve">SUCCESS</x:t>
        </x:is>
      </x:c>
      <x:c r="W362" t="n">
        <x:f>IF((COUNT('Quantification_Results'!Q362)=1),IFERROR(ROUND((SUM(('Quantification_Results'!Q362*'Quantification_Config'!$R$9))/SUM('Quantification_Config'!$R$9)),'Quantification_Config'!$U$2),""),"")</x:f>
        <x:v>50</x:v>
      </x:c>
      <x:c r="X362" t="n">
        <x:f>IF((COUNT('Quantification_Results'!W362)=1),IFERROR(ROUND((SUM(('Quantification_Results'!W362*'Quantification_Config'!$R$8))/SUM('Quantification_Config'!$R$8)),'Quantification_Config'!$U$2),""),"")</x:f>
        <x:v>50</x:v>
      </x:c>
      <x:c r="Y362" t="n">
        <x:v>0</x:v>
      </x:c>
      <x:c r="Z362"/>
      <x:c r="AA362"/>
      <x:c r="AB362">
        <x:f>IF(('Quantification_Results'!Y362&lt;&gt;1),"",IF(('Quantification_Results'!AA362=""),IF(ISNUMBER('Quantification_Results'!Z362),IF(('Quantification_Results'!Z362&lt;'Quantification_Config'!$S$12),"",IF(('Quantification_Results'!Z362&gt;'Quantification_Config'!$T$12),"",'Quantification_Results'!Z362)),""),IF(ISNUMBER('Quantification_Results'!AA362),IF(('Quantification_Results'!AA362&lt;'Quantification_Config'!$S$12),"",IF(('Quantification_Results'!AA362&gt;'Quantification_Config'!$T$12),"",'Quantification_Results'!AA362)),"")))</x:f>
      </x:c>
      <x:c r="AC362">
        <x:f>IF(ISNUMBER('Quantification_Results'!AB362),IFERROR(ROUND(((('Quantification_Results'!AB362-'Quantification_Config'!$S$12)/('Quantification_Config'!$T$12-'Quantification_Config'!$S$12))*100),'Quantification_Config'!$U$2),""),"")</x:f>
      </x:c>
      <x:c r="AD362" t="inlineStr">
        <x:is>
          <x:t xml:space="preserve"/>
        </x:is>
      </x:c>
      <x:c r="AE362" t="inlineStr">
        <x:is>
          <x:t xml:space="preserve"/>
        </x:is>
      </x:c>
      <x:c r="AF362" t="inlineStr">
        <x:is>
          <x:t xml:space="preserve"/>
        </x:is>
      </x:c>
      <x:c r="AG362" t="inlineStr">
        <x:is>
          <x:t xml:space="preserve"/>
        </x:is>
      </x:c>
      <x:c r="AH362" t="inlineStr">
        <x:is>
          <x:t xml:space="preserve">EMPTY</x:t>
        </x:is>
      </x:c>
      <x:c r="AI362">
        <x:f>IF((COUNT('Quantification_Results'!AC362)=1),IFERROR(ROUND((SUM(('Quantification_Results'!AC362*'Quantification_Config'!$R$12))/SUM('Quantification_Config'!$R$12)),'Quantification_Config'!$U$2),""),"")</x:f>
      </x:c>
      <x:c r="AJ362">
        <x:f>IF((COUNT('Quantification_Results'!AI362)=1),IFERROR(ROUND((SUM(('Quantification_Results'!AI362*'Quantification_Config'!$R$11))/SUM('Quantification_Config'!$R$11)),'Quantification_Config'!$U$2),""),"")</x:f>
      </x:c>
      <x:c r="AK362" t="n">
        <x:v>1</x:v>
      </x:c>
      <x:c r="AL362" t="n">
        <x:v>5</x:v>
      </x:c>
      <x:c r="AM362"/>
      <x:c r="AN362" t="n">
        <x:f>IF(('Quantification_Results'!AK362&lt;&gt;1),"",IF(('Quantification_Results'!AM362=""),IF(ISNUMBER('Quantification_Results'!AL362),IF(('Quantification_Results'!AL362&lt;'Quantification_Config'!$S$15),"",IF(('Quantification_Results'!AL362&gt;'Quantification_Config'!$T$15),"",'Quantification_Results'!AL362)),""),IF(ISNUMBER('Quantification_Results'!AM362),IF(('Quantification_Results'!AM362&lt;'Quantification_Config'!$S$15),"",IF(('Quantification_Results'!AM362&gt;'Quantification_Config'!$T$15),"",'Quantification_Results'!AM362)),"")))</x:f>
        <x:v>5</x:v>
      </x:c>
      <x:c r="AO362" t="n">
        <x:f>IF(ISNUMBER('Quantification_Results'!AN362),IFERROR(ROUND(((('Quantification_Results'!AN362-'Quantification_Config'!$S$15)/('Quantification_Config'!$T$15-'Quantification_Config'!$S$15))*100),'Quantification_Config'!$U$2),""),"")</x:f>
        <x:v>50</x:v>
      </x:c>
      <x:c r="AP362" t="inlineStr">
        <x:is>
          <x:t xml:space="preserve">SYSTEM-TEST-ONLY-NO-NETWORK-NOT-AN-EDUCATIONAL-EVALUATION</x:t>
        </x:is>
      </x:c>
      <x:c r="AQ362" t="inlineStr">
        <x:is>
          <x:t xml:space="preserve"/>
        </x:is>
      </x:c>
      <x:c r="AR362" t="inlineStr">
        <x:is>
          <x:t xml:space="preserve">NONE</x:t>
        </x:is>
      </x:c>
      <x:c r="AS362" t="inlineStr">
        <x:is>
          <x:t xml:space="preserve"/>
        </x:is>
      </x:c>
      <x:c r="AT362" t="inlineStr">
        <x:is>
          <x:t xml:space="preserve">SUCCESS</x:t>
        </x:is>
      </x:c>
      <x:c r="AU362" t="n">
        <x:f>IF((COUNT('Quantification_Results'!AO362)=1),IFERROR(ROUND((SUM(('Quantification_Results'!AO362*'Quantification_Config'!$R$15))/SUM('Quantification_Config'!$R$15)),'Quantification_Config'!$U$2),""),"")</x:f>
        <x:v>50</x:v>
      </x:c>
      <x:c r="AV362" t="n">
        <x:f>IF((COUNT('Quantification_Results'!AU362)=1),IFERROR(ROUND((SUM(('Quantification_Results'!AU362*'Quantification_Config'!$R$14))/SUM('Quantification_Config'!$R$14)),'Quantification_Config'!$U$2),""),"")</x:f>
        <x:v>50</x:v>
      </x:c>
      <x:c r="AW362" t="n">
        <x:v>1</x:v>
      </x:c>
      <x:c r="AX362" t="n">
        <x:v>5</x:v>
      </x:c>
      <x:c r="AY362"/>
      <x:c r="AZ362" t="n">
        <x:f>IF(('Quantification_Results'!AW362&lt;&gt;1),"",IF(('Quantification_Results'!AY362=""),IF(ISNUMBER('Quantification_Results'!AX362),IF(('Quantification_Results'!AX362&lt;'Quantification_Config'!$S$19),"",IF(('Quantification_Results'!AX362&gt;'Quantification_Config'!$T$19),"",'Quantification_Results'!AX362)),""),IF(ISNUMBER('Quantification_Results'!AY362),IF(('Quantification_Results'!AY362&lt;'Quantification_Config'!$S$19),"",IF(('Quantification_Results'!AY362&gt;'Quantification_Config'!$T$19),"",'Quantification_Results'!AY362)),"")))</x:f>
        <x:v>5</x:v>
      </x:c>
      <x:c r="BA362" t="n">
        <x:f>IF(ISNUMBER('Quantification_Results'!AZ362),IFERROR(ROUND(((('Quantification_Results'!AZ362-'Quantification_Config'!$S$19)/('Quantification_Config'!$T$19-'Quantification_Config'!$S$19))*100),'Quantification_Config'!$U$2),""),"")</x:f>
        <x:v>50</x:v>
      </x:c>
      <x:c r="BB362" t="inlineStr">
        <x:is>
          <x:t xml:space="preserve">SYSTEM-TEST-ONLY-NO-NETWORK-NOT-AN-EDUCATIONAL-EVALUATION</x:t>
        </x:is>
      </x:c>
      <x:c r="BC362" t="inlineStr">
        <x:is>
          <x:t xml:space="preserve"/>
        </x:is>
      </x:c>
      <x:c r="BD362" t="inlineStr">
        <x:is>
          <x:t xml:space="preserve">NONE</x:t>
        </x:is>
      </x:c>
      <x:c r="BE362" t="inlineStr">
        <x:is>
          <x:t xml:space="preserve"/>
        </x:is>
      </x:c>
      <x:c r="BF362" t="inlineStr">
        <x:is>
          <x:t xml:space="preserve">SUCCESS</x:t>
        </x:is>
      </x:c>
      <x:c r="BG362" t="n">
        <x:f>IF((COUNT('Quantification_Results'!BA362)=1),IFERROR(ROUND((SUM(('Quantification_Results'!BA362*'Quantification_Config'!$R$19))/SUM('Quantification_Config'!$R$19)),'Quantification_Config'!$U$2),""),"")</x:f>
        <x:v>50</x:v>
      </x:c>
      <x:c r="BH362" t="n">
        <x:f>IF((COUNT('Quantification_Results'!BG362)=1),IFERROR(ROUND((SUM(('Quantification_Results'!BG362*'Quantification_Config'!$R$18))/SUM('Quantification_Config'!$R$18)),'Quantification_Config'!$U$2),""),"")</x:f>
        <x:v>50</x:v>
      </x:c>
      <x:c r="BI362">
        <x:f>IF((COUNT('Quantification_Results'!L362,'Quantification_Results'!X362,'Quantification_Results'!AJ362,'Quantification_Results'!AV362,'Quantification_Results'!BH362)=5),IFERROR(ROUND((SUM(('Quantification_Results'!L362*'Quantification_Config'!$R$4),('Quantification_Results'!X362*'Quantification_Config'!$R$7),('Quantification_Results'!AJ362*'Quantification_Config'!$R$10),('Quantification_Results'!AV362*'Quantification_Config'!$R$13),('Quantification_Results'!BH362*'Quantification_Config'!$R$16))/SUM('Quantification_Config'!$R$4,'Quantification_Config'!$R$7,'Quantification_Config'!$R$10,'Quantification_Config'!$R$13,'Quantification_Config'!$R$16)),'Quantification_Config'!$U$2),""),"")</x:f>
      </x:c>
    </x:row>
    <x:row r="363">
      <x:c r="A363" t="n">
        <x:v>1</x:v>
      </x:c>
      <x:c r="B363" t="n">
        <x:v>5</x:v>
      </x:c>
      <x:c r="C363"/>
      <x:c r="D363" t="n">
        <x:f>IF(('Quantification_Results'!A363&lt;&gt;1),"",IF(('Quantification_Results'!C363=""),IF(ISNUMBER('Quantification_Results'!B363),IF(('Quantification_Results'!B363&lt;'Quantification_Config'!$S$6),"",IF(('Quantification_Results'!B363&gt;'Quantification_Config'!$T$6),"",'Quantification_Results'!B363)),""),IF(ISNUMBER('Quantification_Results'!C363),IF(('Quantification_Results'!C363&lt;'Quantification_Config'!$S$6),"",IF(('Quantification_Results'!C363&gt;'Quantification_Config'!$T$6),"",'Quantification_Results'!C363)),"")))</x:f>
        <x:v>5</x:v>
      </x:c>
      <x:c r="E363" t="n">
        <x:f>IF(ISNUMBER('Quantification_Results'!D363),IFERROR(ROUND(((('Quantification_Results'!D363-'Quantification_Config'!$S$6)/('Quantification_Config'!$T$6-'Quantification_Config'!$S$6))*100),'Quantification_Config'!$U$2),""),"")</x:f>
        <x:v>50</x:v>
      </x:c>
      <x:c r="F363" t="inlineStr">
        <x:is>
          <x:t xml:space="preserve">SYSTEM-TEST-ONLY-NO-NETWORK-NOT-AN-EDUCATIONAL-EVALUATION</x:t>
        </x:is>
      </x:c>
      <x:c r="G363" t="inlineStr">
        <x:is>
          <x:t xml:space="preserve"/>
        </x:is>
      </x:c>
      <x:c r="H363" t="inlineStr">
        <x:is>
          <x:t xml:space="preserve">NONE</x:t>
        </x:is>
      </x:c>
      <x:c r="I363" t="inlineStr">
        <x:is>
          <x:t xml:space="preserve"/>
        </x:is>
      </x:c>
      <x:c r="J363" t="inlineStr">
        <x:is>
          <x:t xml:space="preserve">SUCCESS</x:t>
        </x:is>
      </x:c>
      <x:c r="K363" t="n">
        <x:f>IF((COUNT('Quantification_Results'!E363)=1),IFERROR(ROUND((SUM(('Quantification_Results'!E363*'Quantification_Config'!$R$6))/SUM('Quantification_Config'!$R$6)),'Quantification_Config'!$U$2),""),"")</x:f>
        <x:v>50</x:v>
      </x:c>
      <x:c r="L363" t="n">
        <x:f>IF((COUNT('Quantification_Results'!K363)=1),IFERROR(ROUND((SUM(('Quantification_Results'!K363*'Quantification_Config'!$R$5))/SUM('Quantification_Config'!$R$5)),'Quantification_Config'!$U$2),""),"")</x:f>
        <x:v>50</x:v>
      </x:c>
      <x:c r="M363" t="n">
        <x:v>0</x:v>
      </x:c>
      <x:c r="N363"/>
      <x:c r="O363"/>
      <x:c r="P363">
        <x:f>IF(('Quantification_Results'!M363&lt;&gt;1),"",IF(('Quantification_Results'!O363=""),IF(ISNUMBER('Quantification_Results'!N363),IF(('Quantification_Results'!N363&lt;'Quantification_Config'!$S$9),"",IF(('Quantification_Results'!N363&gt;'Quantification_Config'!$T$9),"",'Quantification_Results'!N363)),""),IF(ISNUMBER('Quantification_Results'!O363),IF(('Quantification_Results'!O363&lt;'Quantification_Config'!$S$9),"",IF(('Quantification_Results'!O363&gt;'Quantification_Config'!$T$9),"",'Quantification_Results'!O363)),"")))</x:f>
      </x:c>
      <x:c r="Q363">
        <x:f>IF(ISNUMBER('Quantification_Results'!P363),IFERROR(ROUND(((('Quantification_Results'!P363-'Quantification_Config'!$S$9)/('Quantification_Config'!$T$9-'Quantification_Config'!$S$9))*100),'Quantification_Config'!$U$2),""),"")</x:f>
      </x:c>
      <x:c r="R363" t="inlineStr">
        <x:is>
          <x:t xml:space="preserve"/>
        </x:is>
      </x:c>
      <x:c r="S363" t="inlineStr">
        <x:is>
          <x:t xml:space="preserve"/>
        </x:is>
      </x:c>
      <x:c r="T363" t="inlineStr">
        <x:is>
          <x:t xml:space="preserve"/>
        </x:is>
      </x:c>
      <x:c r="U363" t="inlineStr">
        <x:is>
          <x:t xml:space="preserve"/>
        </x:is>
      </x:c>
      <x:c r="V363" t="inlineStr">
        <x:is>
          <x:t xml:space="preserve">EMPTY</x:t>
        </x:is>
      </x:c>
      <x:c r="W363">
        <x:f>IF((COUNT('Quantification_Results'!Q363)=1),IFERROR(ROUND((SUM(('Quantification_Results'!Q363*'Quantification_Config'!$R$9))/SUM('Quantification_Config'!$R$9)),'Quantification_Config'!$U$2),""),"")</x:f>
      </x:c>
      <x:c r="X363">
        <x:f>IF((COUNT('Quantification_Results'!W363)=1),IFERROR(ROUND((SUM(('Quantification_Results'!W363*'Quantification_Config'!$R$8))/SUM('Quantification_Config'!$R$8)),'Quantification_Config'!$U$2),""),"")</x:f>
      </x:c>
      <x:c r="Y363" t="n">
        <x:v>0</x:v>
      </x:c>
      <x:c r="Z363"/>
      <x:c r="AA363"/>
      <x:c r="AB363">
        <x:f>IF(('Quantification_Results'!Y363&lt;&gt;1),"",IF(('Quantification_Results'!AA363=""),IF(ISNUMBER('Quantification_Results'!Z363),IF(('Quantification_Results'!Z363&lt;'Quantification_Config'!$S$12),"",IF(('Quantification_Results'!Z363&gt;'Quantification_Config'!$T$12),"",'Quantification_Results'!Z363)),""),IF(ISNUMBER('Quantification_Results'!AA363),IF(('Quantification_Results'!AA363&lt;'Quantification_Config'!$S$12),"",IF(('Quantification_Results'!AA363&gt;'Quantification_Config'!$T$12),"",'Quantification_Results'!AA363)),"")))</x:f>
      </x:c>
      <x:c r="AC363">
        <x:f>IF(ISNUMBER('Quantification_Results'!AB363),IFERROR(ROUND(((('Quantification_Results'!AB363-'Quantification_Config'!$S$12)/('Quantification_Config'!$T$12-'Quantification_Config'!$S$12))*100),'Quantification_Config'!$U$2),""),"")</x:f>
      </x:c>
      <x:c r="AD363" t="inlineStr">
        <x:is>
          <x:t xml:space="preserve"/>
        </x:is>
      </x:c>
      <x:c r="AE363" t="inlineStr">
        <x:is>
          <x:t xml:space="preserve"/>
        </x:is>
      </x:c>
      <x:c r="AF363" t="inlineStr">
        <x:is>
          <x:t xml:space="preserve"/>
        </x:is>
      </x:c>
      <x:c r="AG363" t="inlineStr">
        <x:is>
          <x:t xml:space="preserve"/>
        </x:is>
      </x:c>
      <x:c r="AH363" t="inlineStr">
        <x:is>
          <x:t xml:space="preserve">EMPTY</x:t>
        </x:is>
      </x:c>
      <x:c r="AI363">
        <x:f>IF((COUNT('Quantification_Results'!AC363)=1),IFERROR(ROUND((SUM(('Quantification_Results'!AC363*'Quantification_Config'!$R$12))/SUM('Quantification_Config'!$R$12)),'Quantification_Config'!$U$2),""),"")</x:f>
      </x:c>
      <x:c r="AJ363">
        <x:f>IF((COUNT('Quantification_Results'!AI363)=1),IFERROR(ROUND((SUM(('Quantification_Results'!AI363*'Quantification_Config'!$R$11))/SUM('Quantification_Config'!$R$11)),'Quantification_Config'!$U$2),""),"")</x:f>
      </x:c>
      <x:c r="AK363" t="n">
        <x:v>1</x:v>
      </x:c>
      <x:c r="AL363" t="n">
        <x:v>5</x:v>
      </x:c>
      <x:c r="AM363"/>
      <x:c r="AN363" t="n">
        <x:f>IF(('Quantification_Results'!AK363&lt;&gt;1),"",IF(('Quantification_Results'!AM363=""),IF(ISNUMBER('Quantification_Results'!AL363),IF(('Quantification_Results'!AL363&lt;'Quantification_Config'!$S$15),"",IF(('Quantification_Results'!AL363&gt;'Quantification_Config'!$T$15),"",'Quantification_Results'!AL363)),""),IF(ISNUMBER('Quantification_Results'!AM363),IF(('Quantification_Results'!AM363&lt;'Quantification_Config'!$S$15),"",IF(('Quantification_Results'!AM363&gt;'Quantification_Config'!$T$15),"",'Quantification_Results'!AM363)),"")))</x:f>
        <x:v>5</x:v>
      </x:c>
      <x:c r="AO363" t="n">
        <x:f>IF(ISNUMBER('Quantification_Results'!AN363),IFERROR(ROUND(((('Quantification_Results'!AN363-'Quantification_Config'!$S$15)/('Quantification_Config'!$T$15-'Quantification_Config'!$S$15))*100),'Quantification_Config'!$U$2),""),"")</x:f>
        <x:v>50</x:v>
      </x:c>
      <x:c r="AP363" t="inlineStr">
        <x:is>
          <x:t xml:space="preserve">SYSTEM-TEST-ONLY-NO-NETWORK-NOT-AN-EDUCATIONAL-EVALUATION</x:t>
        </x:is>
      </x:c>
      <x:c r="AQ363" t="inlineStr">
        <x:is>
          <x:t xml:space="preserve"/>
        </x:is>
      </x:c>
      <x:c r="AR363" t="inlineStr">
        <x:is>
          <x:t xml:space="preserve">NONE</x:t>
        </x:is>
      </x:c>
      <x:c r="AS363" t="inlineStr">
        <x:is>
          <x:t xml:space="preserve"/>
        </x:is>
      </x:c>
      <x:c r="AT363" t="inlineStr">
        <x:is>
          <x:t xml:space="preserve">SUCCESS</x:t>
        </x:is>
      </x:c>
      <x:c r="AU363" t="n">
        <x:f>IF((COUNT('Quantification_Results'!AO363)=1),IFERROR(ROUND((SUM(('Quantification_Results'!AO363*'Quantification_Config'!$R$15))/SUM('Quantification_Config'!$R$15)),'Quantification_Config'!$U$2),""),"")</x:f>
        <x:v>50</x:v>
      </x:c>
      <x:c r="AV363" t="n">
        <x:f>IF((COUNT('Quantification_Results'!AU363)=1),IFERROR(ROUND((SUM(('Quantification_Results'!AU363*'Quantification_Config'!$R$14))/SUM('Quantification_Config'!$R$14)),'Quantification_Config'!$U$2),""),"")</x:f>
        <x:v>50</x:v>
      </x:c>
      <x:c r="AW363" t="n">
        <x:v>0</x:v>
      </x:c>
      <x:c r="AX363"/>
      <x:c r="AY363"/>
      <x:c r="AZ363">
        <x:f>IF(('Quantification_Results'!AW363&lt;&gt;1),"",IF(('Quantification_Results'!AY363=""),IF(ISNUMBER('Quantification_Results'!AX363),IF(('Quantification_Results'!AX363&lt;'Quantification_Config'!$S$19),"",IF(('Quantification_Results'!AX363&gt;'Quantification_Config'!$T$19),"",'Quantification_Results'!AX363)),""),IF(ISNUMBER('Quantification_Results'!AY363),IF(('Quantification_Results'!AY363&lt;'Quantification_Config'!$S$19),"",IF(('Quantification_Results'!AY363&gt;'Quantification_Config'!$T$19),"",'Quantification_Results'!AY363)),"")))</x:f>
      </x:c>
      <x:c r="BA363">
        <x:f>IF(ISNUMBER('Quantification_Results'!AZ363),IFERROR(ROUND(((('Quantification_Results'!AZ363-'Quantification_Config'!$S$19)/('Quantification_Config'!$T$19-'Quantification_Config'!$S$19))*100),'Quantification_Config'!$U$2),""),"")</x:f>
      </x:c>
      <x:c r="BB363" t="inlineStr">
        <x:is>
          <x:t xml:space="preserve"/>
        </x:is>
      </x:c>
      <x:c r="BC363" t="inlineStr">
        <x:is>
          <x:t xml:space="preserve"/>
        </x:is>
      </x:c>
      <x:c r="BD363" t="inlineStr">
        <x:is>
          <x:t xml:space="preserve"/>
        </x:is>
      </x:c>
      <x:c r="BE363" t="inlineStr">
        <x:is>
          <x:t xml:space="preserve"/>
        </x:is>
      </x:c>
      <x:c r="BF363" t="inlineStr">
        <x:is>
          <x:t xml:space="preserve">EMPTY</x:t>
        </x:is>
      </x:c>
      <x:c r="BG363">
        <x:f>IF((COUNT('Quantification_Results'!BA363)=1),IFERROR(ROUND((SUM(('Quantification_Results'!BA363*'Quantification_Config'!$R$19))/SUM('Quantification_Config'!$R$19)),'Quantification_Config'!$U$2),""),"")</x:f>
      </x:c>
      <x:c r="BH363">
        <x:f>IF((COUNT('Quantification_Results'!BG363)=1),IFERROR(ROUND((SUM(('Quantification_Results'!BG363*'Quantification_Config'!$R$18))/SUM('Quantification_Config'!$R$18)),'Quantification_Config'!$U$2),""),"")</x:f>
      </x:c>
      <x:c r="BI363">
        <x:f>IF((COUNT('Quantification_Results'!L363,'Quantification_Results'!X363,'Quantification_Results'!AJ363,'Quantification_Results'!AV363,'Quantification_Results'!BH363)=5),IFERROR(ROUND((SUM(('Quantification_Results'!L363*'Quantification_Config'!$R$4),('Quantification_Results'!X363*'Quantification_Config'!$R$7),('Quantification_Results'!AJ363*'Quantification_Config'!$R$10),('Quantification_Results'!AV363*'Quantification_Config'!$R$13),('Quantification_Results'!BH363*'Quantification_Config'!$R$16))/SUM('Quantification_Config'!$R$4,'Quantification_Config'!$R$7,'Quantification_Config'!$R$10,'Quantification_Config'!$R$13,'Quantification_Config'!$R$16)),'Quantification_Config'!$U$2),""),"")</x:f>
      </x:c>
    </x:row>
    <x:row r="364">
      <x:c r="A364" t="n">
        <x:v>1</x:v>
      </x:c>
      <x:c r="B364" t="n">
        <x:v>5</x:v>
      </x:c>
      <x:c r="C364"/>
      <x:c r="D364" t="n">
        <x:f>IF(('Quantification_Results'!A364&lt;&gt;1),"",IF(('Quantification_Results'!C364=""),IF(ISNUMBER('Quantification_Results'!B364),IF(('Quantification_Results'!B364&lt;'Quantification_Config'!$S$6),"",IF(('Quantification_Results'!B364&gt;'Quantification_Config'!$T$6),"",'Quantification_Results'!B364)),""),IF(ISNUMBER('Quantification_Results'!C364),IF(('Quantification_Results'!C364&lt;'Quantification_Config'!$S$6),"",IF(('Quantification_Results'!C364&gt;'Quantification_Config'!$T$6),"",'Quantification_Results'!C364)),"")))</x:f>
        <x:v>5</x:v>
      </x:c>
      <x:c r="E364" t="n">
        <x:f>IF(ISNUMBER('Quantification_Results'!D364),IFERROR(ROUND(((('Quantification_Results'!D364-'Quantification_Config'!$S$6)/('Quantification_Config'!$T$6-'Quantification_Config'!$S$6))*100),'Quantification_Config'!$U$2),""),"")</x:f>
        <x:v>50</x:v>
      </x:c>
      <x:c r="F364" t="inlineStr">
        <x:is>
          <x:t xml:space="preserve">SYSTEM-TEST-ONLY-NO-NETWORK-NOT-AN-EDUCATIONAL-EVALUATION</x:t>
        </x:is>
      </x:c>
      <x:c r="G364" t="inlineStr">
        <x:is>
          <x:t xml:space="preserve"/>
        </x:is>
      </x:c>
      <x:c r="H364" t="inlineStr">
        <x:is>
          <x:t xml:space="preserve">NONE</x:t>
        </x:is>
      </x:c>
      <x:c r="I364" t="inlineStr">
        <x:is>
          <x:t xml:space="preserve"/>
        </x:is>
      </x:c>
      <x:c r="J364" t="inlineStr">
        <x:is>
          <x:t xml:space="preserve">SUCCESS</x:t>
        </x:is>
      </x:c>
      <x:c r="K364" t="n">
        <x:f>IF((COUNT('Quantification_Results'!E364)=1),IFERROR(ROUND((SUM(('Quantification_Results'!E364*'Quantification_Config'!$R$6))/SUM('Quantification_Config'!$R$6)),'Quantification_Config'!$U$2),""),"")</x:f>
        <x:v>50</x:v>
      </x:c>
      <x:c r="L364" t="n">
        <x:f>IF((COUNT('Quantification_Results'!K364)=1),IFERROR(ROUND((SUM(('Quantification_Results'!K364*'Quantification_Config'!$R$5))/SUM('Quantification_Config'!$R$5)),'Quantification_Config'!$U$2),""),"")</x:f>
        <x:v>50</x:v>
      </x:c>
      <x:c r="M364" t="n">
        <x:v>1</x:v>
      </x:c>
      <x:c r="N364" t="n">
        <x:v>5</x:v>
      </x:c>
      <x:c r="O364"/>
      <x:c r="P364" t="n">
        <x:f>IF(('Quantification_Results'!M364&lt;&gt;1),"",IF(('Quantification_Results'!O364=""),IF(ISNUMBER('Quantification_Results'!N364),IF(('Quantification_Results'!N364&lt;'Quantification_Config'!$S$9),"",IF(('Quantification_Results'!N364&gt;'Quantification_Config'!$T$9),"",'Quantification_Results'!N364)),""),IF(ISNUMBER('Quantification_Results'!O364),IF(('Quantification_Results'!O364&lt;'Quantification_Config'!$S$9),"",IF(('Quantification_Results'!O364&gt;'Quantification_Config'!$T$9),"",'Quantification_Results'!O364)),"")))</x:f>
        <x:v>5</x:v>
      </x:c>
      <x:c r="Q364" t="n">
        <x:f>IF(ISNUMBER('Quantification_Results'!P364),IFERROR(ROUND(((('Quantification_Results'!P364-'Quantification_Config'!$S$9)/('Quantification_Config'!$T$9-'Quantification_Config'!$S$9))*100),'Quantification_Config'!$U$2),""),"")</x:f>
        <x:v>50</x:v>
      </x:c>
      <x:c r="R364" t="inlineStr">
        <x:is>
          <x:t xml:space="preserve">SYSTEM-TEST-ONLY-NO-NETWORK-NOT-AN-EDUCATIONAL-EVALUATION</x:t>
        </x:is>
      </x:c>
      <x:c r="S364" t="inlineStr">
        <x:is>
          <x:t xml:space="preserve"/>
        </x:is>
      </x:c>
      <x:c r="T364" t="inlineStr">
        <x:is>
          <x:t xml:space="preserve">NONE</x:t>
        </x:is>
      </x:c>
      <x:c r="U364" t="inlineStr">
        <x:is>
          <x:t xml:space="preserve"/>
        </x:is>
      </x:c>
      <x:c r="V364" t="inlineStr">
        <x:is>
          <x:t xml:space="preserve">SUCCESS</x:t>
        </x:is>
      </x:c>
      <x:c r="W364" t="n">
        <x:f>IF((COUNT('Quantification_Results'!Q364)=1),IFERROR(ROUND((SUM(('Quantification_Results'!Q364*'Quantification_Config'!$R$9))/SUM('Quantification_Config'!$R$9)),'Quantification_Config'!$U$2),""),"")</x:f>
        <x:v>50</x:v>
      </x:c>
      <x:c r="X364" t="n">
        <x:f>IF((COUNT('Quantification_Results'!W364)=1),IFERROR(ROUND((SUM(('Quantification_Results'!W364*'Quantification_Config'!$R$8))/SUM('Quantification_Config'!$R$8)),'Quantification_Config'!$U$2),""),"")</x:f>
        <x:v>50</x:v>
      </x:c>
      <x:c r="Y364" t="n">
        <x:v>0</x:v>
      </x:c>
      <x:c r="Z364"/>
      <x:c r="AA364"/>
      <x:c r="AB364">
        <x:f>IF(('Quantification_Results'!Y364&lt;&gt;1),"",IF(('Quantification_Results'!AA364=""),IF(ISNUMBER('Quantification_Results'!Z364),IF(('Quantification_Results'!Z364&lt;'Quantification_Config'!$S$12),"",IF(('Quantification_Results'!Z364&gt;'Quantification_Config'!$T$12),"",'Quantification_Results'!Z364)),""),IF(ISNUMBER('Quantification_Results'!AA364),IF(('Quantification_Results'!AA364&lt;'Quantification_Config'!$S$12),"",IF(('Quantification_Results'!AA364&gt;'Quantification_Config'!$T$12),"",'Quantification_Results'!AA364)),"")))</x:f>
      </x:c>
      <x:c r="AC364">
        <x:f>IF(ISNUMBER('Quantification_Results'!AB364),IFERROR(ROUND(((('Quantification_Results'!AB364-'Quantification_Config'!$S$12)/('Quantification_Config'!$T$12-'Quantification_Config'!$S$12))*100),'Quantification_Config'!$U$2),""),"")</x:f>
      </x:c>
      <x:c r="AD364" t="inlineStr">
        <x:is>
          <x:t xml:space="preserve"/>
        </x:is>
      </x:c>
      <x:c r="AE364" t="inlineStr">
        <x:is>
          <x:t xml:space="preserve"/>
        </x:is>
      </x:c>
      <x:c r="AF364" t="inlineStr">
        <x:is>
          <x:t xml:space="preserve"/>
        </x:is>
      </x:c>
      <x:c r="AG364" t="inlineStr">
        <x:is>
          <x:t xml:space="preserve"/>
        </x:is>
      </x:c>
      <x:c r="AH364" t="inlineStr">
        <x:is>
          <x:t xml:space="preserve">EMPTY</x:t>
        </x:is>
      </x:c>
      <x:c r="AI364">
        <x:f>IF((COUNT('Quantification_Results'!AC364)=1),IFERROR(ROUND((SUM(('Quantification_Results'!AC364*'Quantification_Config'!$R$12))/SUM('Quantification_Config'!$R$12)),'Quantification_Config'!$U$2),""),"")</x:f>
      </x:c>
      <x:c r="AJ364">
        <x:f>IF((COUNT('Quantification_Results'!AI364)=1),IFERROR(ROUND((SUM(('Quantification_Results'!AI364*'Quantification_Config'!$R$11))/SUM('Quantification_Config'!$R$11)),'Quantification_Config'!$U$2),""),"")</x:f>
      </x:c>
      <x:c r="AK364" t="n">
        <x:v>1</x:v>
      </x:c>
      <x:c r="AL364" t="n">
        <x:v>5</x:v>
      </x:c>
      <x:c r="AM364"/>
      <x:c r="AN364" t="n">
        <x:f>IF(('Quantification_Results'!AK364&lt;&gt;1),"",IF(('Quantification_Results'!AM364=""),IF(ISNUMBER('Quantification_Results'!AL364),IF(('Quantification_Results'!AL364&lt;'Quantification_Config'!$S$15),"",IF(('Quantification_Results'!AL364&gt;'Quantification_Config'!$T$15),"",'Quantification_Results'!AL364)),""),IF(ISNUMBER('Quantification_Results'!AM364),IF(('Quantification_Results'!AM364&lt;'Quantification_Config'!$S$15),"",IF(('Quantification_Results'!AM364&gt;'Quantification_Config'!$T$15),"",'Quantification_Results'!AM364)),"")))</x:f>
        <x:v>5</x:v>
      </x:c>
      <x:c r="AO364" t="n">
        <x:f>IF(ISNUMBER('Quantification_Results'!AN364),IFERROR(ROUND(((('Quantification_Results'!AN364-'Quantification_Config'!$S$15)/('Quantification_Config'!$T$15-'Quantification_Config'!$S$15))*100),'Quantification_Config'!$U$2),""),"")</x:f>
        <x:v>50</x:v>
      </x:c>
      <x:c r="AP364" t="inlineStr">
        <x:is>
          <x:t xml:space="preserve">SYSTEM-TEST-ONLY-NO-NETWORK-NOT-AN-EDUCATIONAL-EVALUATION</x:t>
        </x:is>
      </x:c>
      <x:c r="AQ364" t="inlineStr">
        <x:is>
          <x:t xml:space="preserve"/>
        </x:is>
      </x:c>
      <x:c r="AR364" t="inlineStr">
        <x:is>
          <x:t xml:space="preserve">NONE</x:t>
        </x:is>
      </x:c>
      <x:c r="AS364" t="inlineStr">
        <x:is>
          <x:t xml:space="preserve"/>
        </x:is>
      </x:c>
      <x:c r="AT364" t="inlineStr">
        <x:is>
          <x:t xml:space="preserve">SUCCESS</x:t>
        </x:is>
      </x:c>
      <x:c r="AU364" t="n">
        <x:f>IF((COUNT('Quantification_Results'!AO364)=1),IFERROR(ROUND((SUM(('Quantification_Results'!AO364*'Quantification_Config'!$R$15))/SUM('Quantification_Config'!$R$15)),'Quantification_Config'!$U$2),""),"")</x:f>
        <x:v>50</x:v>
      </x:c>
      <x:c r="AV364" t="n">
        <x:f>IF((COUNT('Quantification_Results'!AU364)=1),IFERROR(ROUND((SUM(('Quantification_Results'!AU364*'Quantification_Config'!$R$14))/SUM('Quantification_Config'!$R$14)),'Quantification_Config'!$U$2),""),"")</x:f>
        <x:v>50</x:v>
      </x:c>
      <x:c r="AW364" t="n">
        <x:v>1</x:v>
      </x:c>
      <x:c r="AX364" t="n">
        <x:v>5</x:v>
      </x:c>
      <x:c r="AY364"/>
      <x:c r="AZ364" t="n">
        <x:f>IF(('Quantification_Results'!AW364&lt;&gt;1),"",IF(('Quantification_Results'!AY364=""),IF(ISNUMBER('Quantification_Results'!AX364),IF(('Quantification_Results'!AX364&lt;'Quantification_Config'!$S$19),"",IF(('Quantification_Results'!AX364&gt;'Quantification_Config'!$T$19),"",'Quantification_Results'!AX364)),""),IF(ISNUMBER('Quantification_Results'!AY364),IF(('Quantification_Results'!AY364&lt;'Quantification_Config'!$S$19),"",IF(('Quantification_Results'!AY364&gt;'Quantification_Config'!$T$19),"",'Quantification_Results'!AY364)),"")))</x:f>
        <x:v>5</x:v>
      </x:c>
      <x:c r="BA364" t="n">
        <x:f>IF(ISNUMBER('Quantification_Results'!AZ364),IFERROR(ROUND(((('Quantification_Results'!AZ364-'Quantification_Config'!$S$19)/('Quantification_Config'!$T$19-'Quantification_Config'!$S$19))*100),'Quantification_Config'!$U$2),""),"")</x:f>
        <x:v>50</x:v>
      </x:c>
      <x:c r="BB364" t="inlineStr">
        <x:is>
          <x:t xml:space="preserve">SYSTEM-TEST-ONLY-NO-NETWORK-NOT-AN-EDUCATIONAL-EVALUATION</x:t>
        </x:is>
      </x:c>
      <x:c r="BC364" t="inlineStr">
        <x:is>
          <x:t xml:space="preserve"/>
        </x:is>
      </x:c>
      <x:c r="BD364" t="inlineStr">
        <x:is>
          <x:t xml:space="preserve">NONE</x:t>
        </x:is>
      </x:c>
      <x:c r="BE364" t="inlineStr">
        <x:is>
          <x:t xml:space="preserve"/>
        </x:is>
      </x:c>
      <x:c r="BF364" t="inlineStr">
        <x:is>
          <x:t xml:space="preserve">SUCCESS</x:t>
        </x:is>
      </x:c>
      <x:c r="BG364" t="n">
        <x:f>IF((COUNT('Quantification_Results'!BA364)=1),IFERROR(ROUND((SUM(('Quantification_Results'!BA364*'Quantification_Config'!$R$19))/SUM('Quantification_Config'!$R$19)),'Quantification_Config'!$U$2),""),"")</x:f>
        <x:v>50</x:v>
      </x:c>
      <x:c r="BH364" t="n">
        <x:f>IF((COUNT('Quantification_Results'!BG364)=1),IFERROR(ROUND((SUM(('Quantification_Results'!BG364*'Quantification_Config'!$R$18))/SUM('Quantification_Config'!$R$18)),'Quantification_Config'!$U$2),""),"")</x:f>
        <x:v>50</x:v>
      </x:c>
      <x:c r="BI364">
        <x:f>IF((COUNT('Quantification_Results'!L364,'Quantification_Results'!X364,'Quantification_Results'!AJ364,'Quantification_Results'!AV364,'Quantification_Results'!BH364)=5),IFERROR(ROUND((SUM(('Quantification_Results'!L364*'Quantification_Config'!$R$4),('Quantification_Results'!X364*'Quantification_Config'!$R$7),('Quantification_Results'!AJ364*'Quantification_Config'!$R$10),('Quantification_Results'!AV364*'Quantification_Config'!$R$13),('Quantification_Results'!BH364*'Quantification_Config'!$R$16))/SUM('Quantification_Config'!$R$4,'Quantification_Config'!$R$7,'Quantification_Config'!$R$10,'Quantification_Config'!$R$13,'Quantification_Config'!$R$16)),'Quantification_Config'!$U$2),""),"")</x:f>
      </x:c>
    </x:row>
    <x:row r="365">
      <x:c r="A365" t="n">
        <x:v>1</x:v>
      </x:c>
      <x:c r="B365" t="n">
        <x:v>5</x:v>
      </x:c>
      <x:c r="C365"/>
      <x:c r="D365" t="n">
        <x:f>IF(('Quantification_Results'!A365&lt;&gt;1),"",IF(('Quantification_Results'!C365=""),IF(ISNUMBER('Quantification_Results'!B365),IF(('Quantification_Results'!B365&lt;'Quantification_Config'!$S$6),"",IF(('Quantification_Results'!B365&gt;'Quantification_Config'!$T$6),"",'Quantification_Results'!B365)),""),IF(ISNUMBER('Quantification_Results'!C365),IF(('Quantification_Results'!C365&lt;'Quantification_Config'!$S$6),"",IF(('Quantification_Results'!C365&gt;'Quantification_Config'!$T$6),"",'Quantification_Results'!C365)),"")))</x:f>
        <x:v>5</x:v>
      </x:c>
      <x:c r="E365" t="n">
        <x:f>IF(ISNUMBER('Quantification_Results'!D365),IFERROR(ROUND(((('Quantification_Results'!D365-'Quantification_Config'!$S$6)/('Quantification_Config'!$T$6-'Quantification_Config'!$S$6))*100),'Quantification_Config'!$U$2),""),"")</x:f>
        <x:v>50</x:v>
      </x:c>
      <x:c r="F365" t="inlineStr">
        <x:is>
          <x:t xml:space="preserve">SYSTEM-TEST-ONLY-NO-NETWORK-NOT-AN-EDUCATIONAL-EVALUATION</x:t>
        </x:is>
      </x:c>
      <x:c r="G365" t="inlineStr">
        <x:is>
          <x:t xml:space="preserve"/>
        </x:is>
      </x:c>
      <x:c r="H365" t="inlineStr">
        <x:is>
          <x:t xml:space="preserve">NONE</x:t>
        </x:is>
      </x:c>
      <x:c r="I365" t="inlineStr">
        <x:is>
          <x:t xml:space="preserve"/>
        </x:is>
      </x:c>
      <x:c r="J365" t="inlineStr">
        <x:is>
          <x:t xml:space="preserve">SUCCESS</x:t>
        </x:is>
      </x:c>
      <x:c r="K365" t="n">
        <x:f>IF((COUNT('Quantification_Results'!E365)=1),IFERROR(ROUND((SUM(('Quantification_Results'!E365*'Quantification_Config'!$R$6))/SUM('Quantification_Config'!$R$6)),'Quantification_Config'!$U$2),""),"")</x:f>
        <x:v>50</x:v>
      </x:c>
      <x:c r="L365" t="n">
        <x:f>IF((COUNT('Quantification_Results'!K365)=1),IFERROR(ROUND((SUM(('Quantification_Results'!K365*'Quantification_Config'!$R$5))/SUM('Quantification_Config'!$R$5)),'Quantification_Config'!$U$2),""),"")</x:f>
        <x:v>50</x:v>
      </x:c>
      <x:c r="M365" t="n">
        <x:v>1</x:v>
      </x:c>
      <x:c r="N365" t="n">
        <x:v>5</x:v>
      </x:c>
      <x:c r="O365"/>
      <x:c r="P365" t="n">
        <x:f>IF(('Quantification_Results'!M365&lt;&gt;1),"",IF(('Quantification_Results'!O365=""),IF(ISNUMBER('Quantification_Results'!N365),IF(('Quantification_Results'!N365&lt;'Quantification_Config'!$S$9),"",IF(('Quantification_Results'!N365&gt;'Quantification_Config'!$T$9),"",'Quantification_Results'!N365)),""),IF(ISNUMBER('Quantification_Results'!O365),IF(('Quantification_Results'!O365&lt;'Quantification_Config'!$S$9),"",IF(('Quantification_Results'!O365&gt;'Quantification_Config'!$T$9),"",'Quantification_Results'!O365)),"")))</x:f>
        <x:v>5</x:v>
      </x:c>
      <x:c r="Q365" t="n">
        <x:f>IF(ISNUMBER('Quantification_Results'!P365),IFERROR(ROUND(((('Quantification_Results'!P365-'Quantification_Config'!$S$9)/('Quantification_Config'!$T$9-'Quantification_Config'!$S$9))*100),'Quantification_Config'!$U$2),""),"")</x:f>
        <x:v>50</x:v>
      </x:c>
      <x:c r="R365" t="inlineStr">
        <x:is>
          <x:t xml:space="preserve">SYSTEM-TEST-ONLY-NO-NETWORK-NOT-AN-EDUCATIONAL-EVALUATION</x:t>
        </x:is>
      </x:c>
      <x:c r="S365" t="inlineStr">
        <x:is>
          <x:t xml:space="preserve"/>
        </x:is>
      </x:c>
      <x:c r="T365" t="inlineStr">
        <x:is>
          <x:t xml:space="preserve">NONE</x:t>
        </x:is>
      </x:c>
      <x:c r="U365" t="inlineStr">
        <x:is>
          <x:t xml:space="preserve"/>
        </x:is>
      </x:c>
      <x:c r="V365" t="inlineStr">
        <x:is>
          <x:t xml:space="preserve">SUCCESS</x:t>
        </x:is>
      </x:c>
      <x:c r="W365" t="n">
        <x:f>IF((COUNT('Quantification_Results'!Q365)=1),IFERROR(ROUND((SUM(('Quantification_Results'!Q365*'Quantification_Config'!$R$9))/SUM('Quantification_Config'!$R$9)),'Quantification_Config'!$U$2),""),"")</x:f>
        <x:v>50</x:v>
      </x:c>
      <x:c r="X365" t="n">
        <x:f>IF((COUNT('Quantification_Results'!W365)=1),IFERROR(ROUND((SUM(('Quantification_Results'!W365*'Quantification_Config'!$R$8))/SUM('Quantification_Config'!$R$8)),'Quantification_Config'!$U$2),""),"")</x:f>
        <x:v>50</x:v>
      </x:c>
      <x:c r="Y365" t="n">
        <x:v>0</x:v>
      </x:c>
      <x:c r="Z365"/>
      <x:c r="AA365"/>
      <x:c r="AB365">
        <x:f>IF(('Quantification_Results'!Y365&lt;&gt;1),"",IF(('Quantification_Results'!AA365=""),IF(ISNUMBER('Quantification_Results'!Z365),IF(('Quantification_Results'!Z365&lt;'Quantification_Config'!$S$12),"",IF(('Quantification_Results'!Z365&gt;'Quantification_Config'!$T$12),"",'Quantification_Results'!Z365)),""),IF(ISNUMBER('Quantification_Results'!AA365),IF(('Quantification_Results'!AA365&lt;'Quantification_Config'!$S$12),"",IF(('Quantification_Results'!AA365&gt;'Quantification_Config'!$T$12),"",'Quantification_Results'!AA365)),"")))</x:f>
      </x:c>
      <x:c r="AC365">
        <x:f>IF(ISNUMBER('Quantification_Results'!AB365),IFERROR(ROUND(((('Quantification_Results'!AB365-'Quantification_Config'!$S$12)/('Quantification_Config'!$T$12-'Quantification_Config'!$S$12))*100),'Quantification_Config'!$U$2),""),"")</x:f>
      </x:c>
      <x:c r="AD365" t="inlineStr">
        <x:is>
          <x:t xml:space="preserve"/>
        </x:is>
      </x:c>
      <x:c r="AE365" t="inlineStr">
        <x:is>
          <x:t xml:space="preserve"/>
        </x:is>
      </x:c>
      <x:c r="AF365" t="inlineStr">
        <x:is>
          <x:t xml:space="preserve"/>
        </x:is>
      </x:c>
      <x:c r="AG365" t="inlineStr">
        <x:is>
          <x:t xml:space="preserve"/>
        </x:is>
      </x:c>
      <x:c r="AH365" t="inlineStr">
        <x:is>
          <x:t xml:space="preserve">EMPTY</x:t>
        </x:is>
      </x:c>
      <x:c r="AI365">
        <x:f>IF((COUNT('Quantification_Results'!AC365)=1),IFERROR(ROUND((SUM(('Quantification_Results'!AC365*'Quantification_Config'!$R$12))/SUM('Quantification_Config'!$R$12)),'Quantification_Config'!$U$2),""),"")</x:f>
      </x:c>
      <x:c r="AJ365">
        <x:f>IF((COUNT('Quantification_Results'!AI365)=1),IFERROR(ROUND((SUM(('Quantification_Results'!AI365*'Quantification_Config'!$R$11))/SUM('Quantification_Config'!$R$11)),'Quantification_Config'!$U$2),""),"")</x:f>
      </x:c>
      <x:c r="AK365" t="n">
        <x:v>1</x:v>
      </x:c>
      <x:c r="AL365" t="n">
        <x:v>5</x:v>
      </x:c>
      <x:c r="AM365"/>
      <x:c r="AN365" t="n">
        <x:f>IF(('Quantification_Results'!AK365&lt;&gt;1),"",IF(('Quantification_Results'!AM365=""),IF(ISNUMBER('Quantification_Results'!AL365),IF(('Quantification_Results'!AL365&lt;'Quantification_Config'!$S$15),"",IF(('Quantification_Results'!AL365&gt;'Quantification_Config'!$T$15),"",'Quantification_Results'!AL365)),""),IF(ISNUMBER('Quantification_Results'!AM365),IF(('Quantification_Results'!AM365&lt;'Quantification_Config'!$S$15),"",IF(('Quantification_Results'!AM365&gt;'Quantification_Config'!$T$15),"",'Quantification_Results'!AM365)),"")))</x:f>
        <x:v>5</x:v>
      </x:c>
      <x:c r="AO365" t="n">
        <x:f>IF(ISNUMBER('Quantification_Results'!AN365),IFERROR(ROUND(((('Quantification_Results'!AN365-'Quantification_Config'!$S$15)/('Quantification_Config'!$T$15-'Quantification_Config'!$S$15))*100),'Quantification_Config'!$U$2),""),"")</x:f>
        <x:v>50</x:v>
      </x:c>
      <x:c r="AP365" t="inlineStr">
        <x:is>
          <x:t xml:space="preserve">SYSTEM-TEST-ONLY-NO-NETWORK-NOT-AN-EDUCATIONAL-EVALUATION</x:t>
        </x:is>
      </x:c>
      <x:c r="AQ365" t="inlineStr">
        <x:is>
          <x:t xml:space="preserve"/>
        </x:is>
      </x:c>
      <x:c r="AR365" t="inlineStr">
        <x:is>
          <x:t xml:space="preserve">NONE</x:t>
        </x:is>
      </x:c>
      <x:c r="AS365" t="inlineStr">
        <x:is>
          <x:t xml:space="preserve"/>
        </x:is>
      </x:c>
      <x:c r="AT365" t="inlineStr">
        <x:is>
          <x:t xml:space="preserve">SUCCESS</x:t>
        </x:is>
      </x:c>
      <x:c r="AU365" t="n">
        <x:f>IF((COUNT('Quantification_Results'!AO365)=1),IFERROR(ROUND((SUM(('Quantification_Results'!AO365*'Quantification_Config'!$R$15))/SUM('Quantification_Config'!$R$15)),'Quantification_Config'!$U$2),""),"")</x:f>
        <x:v>50</x:v>
      </x:c>
      <x:c r="AV365" t="n">
        <x:f>IF((COUNT('Quantification_Results'!AU365)=1),IFERROR(ROUND((SUM(('Quantification_Results'!AU365*'Quantification_Config'!$R$14))/SUM('Quantification_Config'!$R$14)),'Quantification_Config'!$U$2),""),"")</x:f>
        <x:v>50</x:v>
      </x:c>
      <x:c r="AW365" t="n">
        <x:v>1</x:v>
      </x:c>
      <x:c r="AX365" t="n">
        <x:v>5</x:v>
      </x:c>
      <x:c r="AY365"/>
      <x:c r="AZ365" t="n">
        <x:f>IF(('Quantification_Results'!AW365&lt;&gt;1),"",IF(('Quantification_Results'!AY365=""),IF(ISNUMBER('Quantification_Results'!AX365),IF(('Quantification_Results'!AX365&lt;'Quantification_Config'!$S$19),"",IF(('Quantification_Results'!AX365&gt;'Quantification_Config'!$T$19),"",'Quantification_Results'!AX365)),""),IF(ISNUMBER('Quantification_Results'!AY365),IF(('Quantification_Results'!AY365&lt;'Quantification_Config'!$S$19),"",IF(('Quantification_Results'!AY365&gt;'Quantification_Config'!$T$19),"",'Quantification_Results'!AY365)),"")))</x:f>
        <x:v>5</x:v>
      </x:c>
      <x:c r="BA365" t="n">
        <x:f>IF(ISNUMBER('Quantification_Results'!AZ365),IFERROR(ROUND(((('Quantification_Results'!AZ365-'Quantification_Config'!$S$19)/('Quantification_Config'!$T$19-'Quantification_Config'!$S$19))*100),'Quantification_Config'!$U$2),""),"")</x:f>
        <x:v>50</x:v>
      </x:c>
      <x:c r="BB365" t="inlineStr">
        <x:is>
          <x:t xml:space="preserve">SYSTEM-TEST-ONLY-NO-NETWORK-NOT-AN-EDUCATIONAL-EVALUATION</x:t>
        </x:is>
      </x:c>
      <x:c r="BC365" t="inlineStr">
        <x:is>
          <x:t xml:space="preserve"/>
        </x:is>
      </x:c>
      <x:c r="BD365" t="inlineStr">
        <x:is>
          <x:t xml:space="preserve">NONE</x:t>
        </x:is>
      </x:c>
      <x:c r="BE365" t="inlineStr">
        <x:is>
          <x:t xml:space="preserve"/>
        </x:is>
      </x:c>
      <x:c r="BF365" t="inlineStr">
        <x:is>
          <x:t xml:space="preserve">SUCCESS</x:t>
        </x:is>
      </x:c>
      <x:c r="BG365" t="n">
        <x:f>IF((COUNT('Quantification_Results'!BA365)=1),IFERROR(ROUND((SUM(('Quantification_Results'!BA365*'Quantification_Config'!$R$19))/SUM('Quantification_Config'!$R$19)),'Quantification_Config'!$U$2),""),"")</x:f>
        <x:v>50</x:v>
      </x:c>
      <x:c r="BH365" t="n">
        <x:f>IF((COUNT('Quantification_Results'!BG365)=1),IFERROR(ROUND((SUM(('Quantification_Results'!BG365*'Quantification_Config'!$R$18))/SUM('Quantification_Config'!$R$18)),'Quantification_Config'!$U$2),""),"")</x:f>
        <x:v>50</x:v>
      </x:c>
      <x:c r="BI365">
        <x:f>IF((COUNT('Quantification_Results'!L365,'Quantification_Results'!X365,'Quantification_Results'!AJ365,'Quantification_Results'!AV365,'Quantification_Results'!BH365)=5),IFERROR(ROUND((SUM(('Quantification_Results'!L365*'Quantification_Config'!$R$4),('Quantification_Results'!X365*'Quantification_Config'!$R$7),('Quantification_Results'!AJ365*'Quantification_Config'!$R$10),('Quantification_Results'!AV365*'Quantification_Config'!$R$13),('Quantification_Results'!BH365*'Quantification_Config'!$R$16))/SUM('Quantification_Config'!$R$4,'Quantification_Config'!$R$7,'Quantification_Config'!$R$10,'Quantification_Config'!$R$13,'Quantification_Config'!$R$16)),'Quantification_Config'!$U$2),""),"")</x:f>
      </x:c>
    </x:row>
    <x:row r="366">
      <x:c r="A366" t="n">
        <x:v>1</x:v>
      </x:c>
      <x:c r="B366" t="n">
        <x:v>5</x:v>
      </x:c>
      <x:c r="C366"/>
      <x:c r="D366" t="n">
        <x:f>IF(('Quantification_Results'!A366&lt;&gt;1),"",IF(('Quantification_Results'!C366=""),IF(ISNUMBER('Quantification_Results'!B366),IF(('Quantification_Results'!B366&lt;'Quantification_Config'!$S$6),"",IF(('Quantification_Results'!B366&gt;'Quantification_Config'!$T$6),"",'Quantification_Results'!B366)),""),IF(ISNUMBER('Quantification_Results'!C366),IF(('Quantification_Results'!C366&lt;'Quantification_Config'!$S$6),"",IF(('Quantification_Results'!C366&gt;'Quantification_Config'!$T$6),"",'Quantification_Results'!C366)),"")))</x:f>
        <x:v>5</x:v>
      </x:c>
      <x:c r="E366" t="n">
        <x:f>IF(ISNUMBER('Quantification_Results'!D366),IFERROR(ROUND(((('Quantification_Results'!D366-'Quantification_Config'!$S$6)/('Quantification_Config'!$T$6-'Quantification_Config'!$S$6))*100),'Quantification_Config'!$U$2),""),"")</x:f>
        <x:v>50</x:v>
      </x:c>
      <x:c r="F366" t="inlineStr">
        <x:is>
          <x:t xml:space="preserve">SYSTEM-TEST-ONLY-NO-NETWORK-NOT-AN-EDUCATIONAL-EVALUATION</x:t>
        </x:is>
      </x:c>
      <x:c r="G366" t="inlineStr">
        <x:is>
          <x:t xml:space="preserve"/>
        </x:is>
      </x:c>
      <x:c r="H366" t="inlineStr">
        <x:is>
          <x:t xml:space="preserve">NONE</x:t>
        </x:is>
      </x:c>
      <x:c r="I366" t="inlineStr">
        <x:is>
          <x:t xml:space="preserve"/>
        </x:is>
      </x:c>
      <x:c r="J366" t="inlineStr">
        <x:is>
          <x:t xml:space="preserve">SUCCESS</x:t>
        </x:is>
      </x:c>
      <x:c r="K366" t="n">
        <x:f>IF((COUNT('Quantification_Results'!E366)=1),IFERROR(ROUND((SUM(('Quantification_Results'!E366*'Quantification_Config'!$R$6))/SUM('Quantification_Config'!$R$6)),'Quantification_Config'!$U$2),""),"")</x:f>
        <x:v>50</x:v>
      </x:c>
      <x:c r="L366" t="n">
        <x:f>IF((COUNT('Quantification_Results'!K366)=1),IFERROR(ROUND((SUM(('Quantification_Results'!K366*'Quantification_Config'!$R$5))/SUM('Quantification_Config'!$R$5)),'Quantification_Config'!$U$2),""),"")</x:f>
        <x:v>50</x:v>
      </x:c>
      <x:c r="M366" t="n">
        <x:v>0</x:v>
      </x:c>
      <x:c r="N366"/>
      <x:c r="O366"/>
      <x:c r="P366">
        <x:f>IF(('Quantification_Results'!M366&lt;&gt;1),"",IF(('Quantification_Results'!O366=""),IF(ISNUMBER('Quantification_Results'!N366),IF(('Quantification_Results'!N366&lt;'Quantification_Config'!$S$9),"",IF(('Quantification_Results'!N366&gt;'Quantification_Config'!$T$9),"",'Quantification_Results'!N366)),""),IF(ISNUMBER('Quantification_Results'!O366),IF(('Quantification_Results'!O366&lt;'Quantification_Config'!$S$9),"",IF(('Quantification_Results'!O366&gt;'Quantification_Config'!$T$9),"",'Quantification_Results'!O366)),"")))</x:f>
      </x:c>
      <x:c r="Q366">
        <x:f>IF(ISNUMBER('Quantification_Results'!P366),IFERROR(ROUND(((('Quantification_Results'!P366-'Quantification_Config'!$S$9)/('Quantification_Config'!$T$9-'Quantification_Config'!$S$9))*100),'Quantification_Config'!$U$2),""),"")</x:f>
      </x:c>
      <x:c r="R366" t="inlineStr">
        <x:is>
          <x:t xml:space="preserve"/>
        </x:is>
      </x:c>
      <x:c r="S366" t="inlineStr">
        <x:is>
          <x:t xml:space="preserve"/>
        </x:is>
      </x:c>
      <x:c r="T366" t="inlineStr">
        <x:is>
          <x:t xml:space="preserve"/>
        </x:is>
      </x:c>
      <x:c r="U366" t="inlineStr">
        <x:is>
          <x:t xml:space="preserve"/>
        </x:is>
      </x:c>
      <x:c r="V366" t="inlineStr">
        <x:is>
          <x:t xml:space="preserve">EMPTY</x:t>
        </x:is>
      </x:c>
      <x:c r="W366">
        <x:f>IF((COUNT('Quantification_Results'!Q366)=1),IFERROR(ROUND((SUM(('Quantification_Results'!Q366*'Quantification_Config'!$R$9))/SUM('Quantification_Config'!$R$9)),'Quantification_Config'!$U$2),""),"")</x:f>
      </x:c>
      <x:c r="X366">
        <x:f>IF((COUNT('Quantification_Results'!W366)=1),IFERROR(ROUND((SUM(('Quantification_Results'!W366*'Quantification_Config'!$R$8))/SUM('Quantification_Config'!$R$8)),'Quantification_Config'!$U$2),""),"")</x:f>
      </x:c>
      <x:c r="Y366" t="n">
        <x:v>0</x:v>
      </x:c>
      <x:c r="Z366"/>
      <x:c r="AA366"/>
      <x:c r="AB366">
        <x:f>IF(('Quantification_Results'!Y366&lt;&gt;1),"",IF(('Quantification_Results'!AA366=""),IF(ISNUMBER('Quantification_Results'!Z366),IF(('Quantification_Results'!Z366&lt;'Quantification_Config'!$S$12),"",IF(('Quantification_Results'!Z366&gt;'Quantification_Config'!$T$12),"",'Quantification_Results'!Z366)),""),IF(ISNUMBER('Quantification_Results'!AA366),IF(('Quantification_Results'!AA366&lt;'Quantification_Config'!$S$12),"",IF(('Quantification_Results'!AA366&gt;'Quantification_Config'!$T$12),"",'Quantification_Results'!AA366)),"")))</x:f>
      </x:c>
      <x:c r="AC366">
        <x:f>IF(ISNUMBER('Quantification_Results'!AB366),IFERROR(ROUND(((('Quantification_Results'!AB366-'Quantification_Config'!$S$12)/('Quantification_Config'!$T$12-'Quantification_Config'!$S$12))*100),'Quantification_Config'!$U$2),""),"")</x:f>
      </x:c>
      <x:c r="AD366" t="inlineStr">
        <x:is>
          <x:t xml:space="preserve"/>
        </x:is>
      </x:c>
      <x:c r="AE366" t="inlineStr">
        <x:is>
          <x:t xml:space="preserve"/>
        </x:is>
      </x:c>
      <x:c r="AF366" t="inlineStr">
        <x:is>
          <x:t xml:space="preserve"/>
        </x:is>
      </x:c>
      <x:c r="AG366" t="inlineStr">
        <x:is>
          <x:t xml:space="preserve"/>
        </x:is>
      </x:c>
      <x:c r="AH366" t="inlineStr">
        <x:is>
          <x:t xml:space="preserve">EMPTY</x:t>
        </x:is>
      </x:c>
      <x:c r="AI366">
        <x:f>IF((COUNT('Quantification_Results'!AC366)=1),IFERROR(ROUND((SUM(('Quantification_Results'!AC366*'Quantification_Config'!$R$12))/SUM('Quantification_Config'!$R$12)),'Quantification_Config'!$U$2),""),"")</x:f>
      </x:c>
      <x:c r="AJ366">
        <x:f>IF((COUNT('Quantification_Results'!AI366)=1),IFERROR(ROUND((SUM(('Quantification_Results'!AI366*'Quantification_Config'!$R$11))/SUM('Quantification_Config'!$R$11)),'Quantification_Config'!$U$2),""),"")</x:f>
      </x:c>
      <x:c r="AK366" t="n">
        <x:v>1</x:v>
      </x:c>
      <x:c r="AL366" t="n">
        <x:v>5</x:v>
      </x:c>
      <x:c r="AM366"/>
      <x:c r="AN366" t="n">
        <x:f>IF(('Quantification_Results'!AK366&lt;&gt;1),"",IF(('Quantification_Results'!AM366=""),IF(ISNUMBER('Quantification_Results'!AL366),IF(('Quantification_Results'!AL366&lt;'Quantification_Config'!$S$15),"",IF(('Quantification_Results'!AL366&gt;'Quantification_Config'!$T$15),"",'Quantification_Results'!AL366)),""),IF(ISNUMBER('Quantification_Results'!AM366),IF(('Quantification_Results'!AM366&lt;'Quantification_Config'!$S$15),"",IF(('Quantification_Results'!AM366&gt;'Quantification_Config'!$T$15),"",'Quantification_Results'!AM366)),"")))</x:f>
        <x:v>5</x:v>
      </x:c>
      <x:c r="AO366" t="n">
        <x:f>IF(ISNUMBER('Quantification_Results'!AN366),IFERROR(ROUND(((('Quantification_Results'!AN366-'Quantification_Config'!$S$15)/('Quantification_Config'!$T$15-'Quantification_Config'!$S$15))*100),'Quantification_Config'!$U$2),""),"")</x:f>
        <x:v>50</x:v>
      </x:c>
      <x:c r="AP366" t="inlineStr">
        <x:is>
          <x:t xml:space="preserve">SYSTEM-TEST-ONLY-NO-NETWORK-NOT-AN-EDUCATIONAL-EVALUATION</x:t>
        </x:is>
      </x:c>
      <x:c r="AQ366" t="inlineStr">
        <x:is>
          <x:t xml:space="preserve"/>
        </x:is>
      </x:c>
      <x:c r="AR366" t="inlineStr">
        <x:is>
          <x:t xml:space="preserve">NONE</x:t>
        </x:is>
      </x:c>
      <x:c r="AS366" t="inlineStr">
        <x:is>
          <x:t xml:space="preserve"/>
        </x:is>
      </x:c>
      <x:c r="AT366" t="inlineStr">
        <x:is>
          <x:t xml:space="preserve">SUCCESS</x:t>
        </x:is>
      </x:c>
      <x:c r="AU366" t="n">
        <x:f>IF((COUNT('Quantification_Results'!AO366)=1),IFERROR(ROUND((SUM(('Quantification_Results'!AO366*'Quantification_Config'!$R$15))/SUM('Quantification_Config'!$R$15)),'Quantification_Config'!$U$2),""),"")</x:f>
        <x:v>50</x:v>
      </x:c>
      <x:c r="AV366" t="n">
        <x:f>IF((COUNT('Quantification_Results'!AU366)=1),IFERROR(ROUND((SUM(('Quantification_Results'!AU366*'Quantification_Config'!$R$14))/SUM('Quantification_Config'!$R$14)),'Quantification_Config'!$U$2),""),"")</x:f>
        <x:v>50</x:v>
      </x:c>
      <x:c r="AW366" t="n">
        <x:v>1</x:v>
      </x:c>
      <x:c r="AX366" t="n">
        <x:v>5</x:v>
      </x:c>
      <x:c r="AY366"/>
      <x:c r="AZ366" t="n">
        <x:f>IF(('Quantification_Results'!AW366&lt;&gt;1),"",IF(('Quantification_Results'!AY366=""),IF(ISNUMBER('Quantification_Results'!AX366),IF(('Quantification_Results'!AX366&lt;'Quantification_Config'!$S$19),"",IF(('Quantification_Results'!AX366&gt;'Quantification_Config'!$T$19),"",'Quantification_Results'!AX366)),""),IF(ISNUMBER('Quantification_Results'!AY366),IF(('Quantification_Results'!AY366&lt;'Quantification_Config'!$S$19),"",IF(('Quantification_Results'!AY366&gt;'Quantification_Config'!$T$19),"",'Quantification_Results'!AY366)),"")))</x:f>
        <x:v>5</x:v>
      </x:c>
      <x:c r="BA366" t="n">
        <x:f>IF(ISNUMBER('Quantification_Results'!AZ366),IFERROR(ROUND(((('Quantification_Results'!AZ366-'Quantification_Config'!$S$19)/('Quantification_Config'!$T$19-'Quantification_Config'!$S$19))*100),'Quantification_Config'!$U$2),""),"")</x:f>
        <x:v>50</x:v>
      </x:c>
      <x:c r="BB366" t="inlineStr">
        <x:is>
          <x:t xml:space="preserve">SYSTEM-TEST-ONLY-NO-NETWORK-NOT-AN-EDUCATIONAL-EVALUATION</x:t>
        </x:is>
      </x:c>
      <x:c r="BC366" t="inlineStr">
        <x:is>
          <x:t xml:space="preserve"/>
        </x:is>
      </x:c>
      <x:c r="BD366" t="inlineStr">
        <x:is>
          <x:t xml:space="preserve">NONE</x:t>
        </x:is>
      </x:c>
      <x:c r="BE366" t="inlineStr">
        <x:is>
          <x:t xml:space="preserve"/>
        </x:is>
      </x:c>
      <x:c r="BF366" t="inlineStr">
        <x:is>
          <x:t xml:space="preserve">SUCCESS</x:t>
        </x:is>
      </x:c>
      <x:c r="BG366" t="n">
        <x:f>IF((COUNT('Quantification_Results'!BA366)=1),IFERROR(ROUND((SUM(('Quantification_Results'!BA366*'Quantification_Config'!$R$19))/SUM('Quantification_Config'!$R$19)),'Quantification_Config'!$U$2),""),"")</x:f>
        <x:v>50</x:v>
      </x:c>
      <x:c r="BH366" t="n">
        <x:f>IF((COUNT('Quantification_Results'!BG366)=1),IFERROR(ROUND((SUM(('Quantification_Results'!BG366*'Quantification_Config'!$R$18))/SUM('Quantification_Config'!$R$18)),'Quantification_Config'!$U$2),""),"")</x:f>
        <x:v>50</x:v>
      </x:c>
      <x:c r="BI366">
        <x:f>IF((COUNT('Quantification_Results'!L366,'Quantification_Results'!X366,'Quantification_Results'!AJ366,'Quantification_Results'!AV366,'Quantification_Results'!BH366)=5),IFERROR(ROUND((SUM(('Quantification_Results'!L366*'Quantification_Config'!$R$4),('Quantification_Results'!X366*'Quantification_Config'!$R$7),('Quantification_Results'!AJ366*'Quantification_Config'!$R$10),('Quantification_Results'!AV366*'Quantification_Config'!$R$13),('Quantification_Results'!BH366*'Quantification_Config'!$R$16))/SUM('Quantification_Config'!$R$4,'Quantification_Config'!$R$7,'Quantification_Config'!$R$10,'Quantification_Config'!$R$13,'Quantification_Config'!$R$16)),'Quantification_Config'!$U$2),""),"")</x:f>
      </x:c>
    </x:row>
    <x:row r="367">
      <x:c r="A367" t="n">
        <x:v>1</x:v>
      </x:c>
      <x:c r="B367" t="n">
        <x:v>5</x:v>
      </x:c>
      <x:c r="C367"/>
      <x:c r="D367" t="n">
        <x:f>IF(('Quantification_Results'!A367&lt;&gt;1),"",IF(('Quantification_Results'!C367=""),IF(ISNUMBER('Quantification_Results'!B367),IF(('Quantification_Results'!B367&lt;'Quantification_Config'!$S$6),"",IF(('Quantification_Results'!B367&gt;'Quantification_Config'!$T$6),"",'Quantification_Results'!B367)),""),IF(ISNUMBER('Quantification_Results'!C367),IF(('Quantification_Results'!C367&lt;'Quantification_Config'!$S$6),"",IF(('Quantification_Results'!C367&gt;'Quantification_Config'!$T$6),"",'Quantification_Results'!C367)),"")))</x:f>
        <x:v>5</x:v>
      </x:c>
      <x:c r="E367" t="n">
        <x:f>IF(ISNUMBER('Quantification_Results'!D367),IFERROR(ROUND(((('Quantification_Results'!D367-'Quantification_Config'!$S$6)/('Quantification_Config'!$T$6-'Quantification_Config'!$S$6))*100),'Quantification_Config'!$U$2),""),"")</x:f>
        <x:v>50</x:v>
      </x:c>
      <x:c r="F367" t="inlineStr">
        <x:is>
          <x:t xml:space="preserve">SYSTEM-TEST-ONLY-NO-NETWORK-NOT-AN-EDUCATIONAL-EVALUATION</x:t>
        </x:is>
      </x:c>
      <x:c r="G367" t="inlineStr">
        <x:is>
          <x:t xml:space="preserve"/>
        </x:is>
      </x:c>
      <x:c r="H367" t="inlineStr">
        <x:is>
          <x:t xml:space="preserve">NONE</x:t>
        </x:is>
      </x:c>
      <x:c r="I367" t="inlineStr">
        <x:is>
          <x:t xml:space="preserve"/>
        </x:is>
      </x:c>
      <x:c r="J367" t="inlineStr">
        <x:is>
          <x:t xml:space="preserve">SUCCESS</x:t>
        </x:is>
      </x:c>
      <x:c r="K367" t="n">
        <x:f>IF((COUNT('Quantification_Results'!E367)=1),IFERROR(ROUND((SUM(('Quantification_Results'!E367*'Quantification_Config'!$R$6))/SUM('Quantification_Config'!$R$6)),'Quantification_Config'!$U$2),""),"")</x:f>
        <x:v>50</x:v>
      </x:c>
      <x:c r="L367" t="n">
        <x:f>IF((COUNT('Quantification_Results'!K367)=1),IFERROR(ROUND((SUM(('Quantification_Results'!K367*'Quantification_Config'!$R$5))/SUM('Quantification_Config'!$R$5)),'Quantification_Config'!$U$2),""),"")</x:f>
        <x:v>50</x:v>
      </x:c>
      <x:c r="M367" t="n">
        <x:v>1</x:v>
      </x:c>
      <x:c r="N367" t="n">
        <x:v>5</x:v>
      </x:c>
      <x:c r="O367"/>
      <x:c r="P367" t="n">
        <x:f>IF(('Quantification_Results'!M367&lt;&gt;1),"",IF(('Quantification_Results'!O367=""),IF(ISNUMBER('Quantification_Results'!N367),IF(('Quantification_Results'!N367&lt;'Quantification_Config'!$S$9),"",IF(('Quantification_Results'!N367&gt;'Quantification_Config'!$T$9),"",'Quantification_Results'!N367)),""),IF(ISNUMBER('Quantification_Results'!O367),IF(('Quantification_Results'!O367&lt;'Quantification_Config'!$S$9),"",IF(('Quantification_Results'!O367&gt;'Quantification_Config'!$T$9),"",'Quantification_Results'!O367)),"")))</x:f>
        <x:v>5</x:v>
      </x:c>
      <x:c r="Q367" t="n">
        <x:f>IF(ISNUMBER('Quantification_Results'!P367),IFERROR(ROUND(((('Quantification_Results'!P367-'Quantification_Config'!$S$9)/('Quantification_Config'!$T$9-'Quantification_Config'!$S$9))*100),'Quantification_Config'!$U$2),""),"")</x:f>
        <x:v>50</x:v>
      </x:c>
      <x:c r="R367" t="inlineStr">
        <x:is>
          <x:t xml:space="preserve">SYSTEM-TEST-ONLY-NO-NETWORK-NOT-AN-EDUCATIONAL-EVALUATION</x:t>
        </x:is>
      </x:c>
      <x:c r="S367" t="inlineStr">
        <x:is>
          <x:t xml:space="preserve"/>
        </x:is>
      </x:c>
      <x:c r="T367" t="inlineStr">
        <x:is>
          <x:t xml:space="preserve">NONE</x:t>
        </x:is>
      </x:c>
      <x:c r="U367" t="inlineStr">
        <x:is>
          <x:t xml:space="preserve"/>
        </x:is>
      </x:c>
      <x:c r="V367" t="inlineStr">
        <x:is>
          <x:t xml:space="preserve">SUCCESS</x:t>
        </x:is>
      </x:c>
      <x:c r="W367" t="n">
        <x:f>IF((COUNT('Quantification_Results'!Q367)=1),IFERROR(ROUND((SUM(('Quantification_Results'!Q367*'Quantification_Config'!$R$9))/SUM('Quantification_Config'!$R$9)),'Quantification_Config'!$U$2),""),"")</x:f>
        <x:v>50</x:v>
      </x:c>
      <x:c r="X367" t="n">
        <x:f>IF((COUNT('Quantification_Results'!W367)=1),IFERROR(ROUND((SUM(('Quantification_Results'!W367*'Quantification_Config'!$R$8))/SUM('Quantification_Config'!$R$8)),'Quantification_Config'!$U$2),""),"")</x:f>
        <x:v>50</x:v>
      </x:c>
      <x:c r="Y367" t="n">
        <x:v>0</x:v>
      </x:c>
      <x:c r="Z367"/>
      <x:c r="AA367"/>
      <x:c r="AB367">
        <x:f>IF(('Quantification_Results'!Y367&lt;&gt;1),"",IF(('Quantification_Results'!AA367=""),IF(ISNUMBER('Quantification_Results'!Z367),IF(('Quantification_Results'!Z367&lt;'Quantification_Config'!$S$12),"",IF(('Quantification_Results'!Z367&gt;'Quantification_Config'!$T$12),"",'Quantification_Results'!Z367)),""),IF(ISNUMBER('Quantification_Results'!AA367),IF(('Quantification_Results'!AA367&lt;'Quantification_Config'!$S$12),"",IF(('Quantification_Results'!AA367&gt;'Quantification_Config'!$T$12),"",'Quantification_Results'!AA367)),"")))</x:f>
      </x:c>
      <x:c r="AC367">
        <x:f>IF(ISNUMBER('Quantification_Results'!AB367),IFERROR(ROUND(((('Quantification_Results'!AB367-'Quantification_Config'!$S$12)/('Quantification_Config'!$T$12-'Quantification_Config'!$S$12))*100),'Quantification_Config'!$U$2),""),"")</x:f>
      </x:c>
      <x:c r="AD367" t="inlineStr">
        <x:is>
          <x:t xml:space="preserve"/>
        </x:is>
      </x:c>
      <x:c r="AE367" t="inlineStr">
        <x:is>
          <x:t xml:space="preserve"/>
        </x:is>
      </x:c>
      <x:c r="AF367" t="inlineStr">
        <x:is>
          <x:t xml:space="preserve"/>
        </x:is>
      </x:c>
      <x:c r="AG367" t="inlineStr">
        <x:is>
          <x:t xml:space="preserve"/>
        </x:is>
      </x:c>
      <x:c r="AH367" t="inlineStr">
        <x:is>
          <x:t xml:space="preserve">EMPTY</x:t>
        </x:is>
      </x:c>
      <x:c r="AI367">
        <x:f>IF((COUNT('Quantification_Results'!AC367)=1),IFERROR(ROUND((SUM(('Quantification_Results'!AC367*'Quantification_Config'!$R$12))/SUM('Quantification_Config'!$R$12)),'Quantification_Config'!$U$2),""),"")</x:f>
      </x:c>
      <x:c r="AJ367">
        <x:f>IF((COUNT('Quantification_Results'!AI367)=1),IFERROR(ROUND((SUM(('Quantification_Results'!AI367*'Quantification_Config'!$R$11))/SUM('Quantification_Config'!$R$11)),'Quantification_Config'!$U$2),""),"")</x:f>
      </x:c>
      <x:c r="AK367" t="n">
        <x:v>1</x:v>
      </x:c>
      <x:c r="AL367" t="n">
        <x:v>5</x:v>
      </x:c>
      <x:c r="AM367"/>
      <x:c r="AN367" t="n">
        <x:f>IF(('Quantification_Results'!AK367&lt;&gt;1),"",IF(('Quantification_Results'!AM367=""),IF(ISNUMBER('Quantification_Results'!AL367),IF(('Quantification_Results'!AL367&lt;'Quantification_Config'!$S$15),"",IF(('Quantification_Results'!AL367&gt;'Quantification_Config'!$T$15),"",'Quantification_Results'!AL367)),""),IF(ISNUMBER('Quantification_Results'!AM367),IF(('Quantification_Results'!AM367&lt;'Quantification_Config'!$S$15),"",IF(('Quantification_Results'!AM367&gt;'Quantification_Config'!$T$15),"",'Quantification_Results'!AM367)),"")))</x:f>
        <x:v>5</x:v>
      </x:c>
      <x:c r="AO367" t="n">
        <x:f>IF(ISNUMBER('Quantification_Results'!AN367),IFERROR(ROUND(((('Quantification_Results'!AN367-'Quantification_Config'!$S$15)/('Quantification_Config'!$T$15-'Quantification_Config'!$S$15))*100),'Quantification_Config'!$U$2),""),"")</x:f>
        <x:v>50</x:v>
      </x:c>
      <x:c r="AP367" t="inlineStr">
        <x:is>
          <x:t xml:space="preserve">SYSTEM-TEST-ONLY-NO-NETWORK-NOT-AN-EDUCATIONAL-EVALUATION</x:t>
        </x:is>
      </x:c>
      <x:c r="AQ367" t="inlineStr">
        <x:is>
          <x:t xml:space="preserve"/>
        </x:is>
      </x:c>
      <x:c r="AR367" t="inlineStr">
        <x:is>
          <x:t xml:space="preserve">NONE</x:t>
        </x:is>
      </x:c>
      <x:c r="AS367" t="inlineStr">
        <x:is>
          <x:t xml:space="preserve"/>
        </x:is>
      </x:c>
      <x:c r="AT367" t="inlineStr">
        <x:is>
          <x:t xml:space="preserve">SUCCESS</x:t>
        </x:is>
      </x:c>
      <x:c r="AU367" t="n">
        <x:f>IF((COUNT('Quantification_Results'!AO367)=1),IFERROR(ROUND((SUM(('Quantification_Results'!AO367*'Quantification_Config'!$R$15))/SUM('Quantification_Config'!$R$15)),'Quantification_Config'!$U$2),""),"")</x:f>
        <x:v>50</x:v>
      </x:c>
      <x:c r="AV367" t="n">
        <x:f>IF((COUNT('Quantification_Results'!AU367)=1),IFERROR(ROUND((SUM(('Quantification_Results'!AU367*'Quantification_Config'!$R$14))/SUM('Quantification_Config'!$R$14)),'Quantification_Config'!$U$2),""),"")</x:f>
        <x:v>50</x:v>
      </x:c>
      <x:c r="AW367" t="n">
        <x:v>1</x:v>
      </x:c>
      <x:c r="AX367" t="n">
        <x:v>5</x:v>
      </x:c>
      <x:c r="AY367"/>
      <x:c r="AZ367" t="n">
        <x:f>IF(('Quantification_Results'!AW367&lt;&gt;1),"",IF(('Quantification_Results'!AY367=""),IF(ISNUMBER('Quantification_Results'!AX367),IF(('Quantification_Results'!AX367&lt;'Quantification_Config'!$S$19),"",IF(('Quantification_Results'!AX367&gt;'Quantification_Config'!$T$19),"",'Quantification_Results'!AX367)),""),IF(ISNUMBER('Quantification_Results'!AY367),IF(('Quantification_Results'!AY367&lt;'Quantification_Config'!$S$19),"",IF(('Quantification_Results'!AY367&gt;'Quantification_Config'!$T$19),"",'Quantification_Results'!AY367)),"")))</x:f>
        <x:v>5</x:v>
      </x:c>
      <x:c r="BA367" t="n">
        <x:f>IF(ISNUMBER('Quantification_Results'!AZ367),IFERROR(ROUND(((('Quantification_Results'!AZ367-'Quantification_Config'!$S$19)/('Quantification_Config'!$T$19-'Quantification_Config'!$S$19))*100),'Quantification_Config'!$U$2),""),"")</x:f>
        <x:v>50</x:v>
      </x:c>
      <x:c r="BB367" t="inlineStr">
        <x:is>
          <x:t xml:space="preserve">SYSTEM-TEST-ONLY-NO-NETWORK-NOT-AN-EDUCATIONAL-EVALUATION</x:t>
        </x:is>
      </x:c>
      <x:c r="BC367" t="inlineStr">
        <x:is>
          <x:t xml:space="preserve"/>
        </x:is>
      </x:c>
      <x:c r="BD367" t="inlineStr">
        <x:is>
          <x:t xml:space="preserve">NONE</x:t>
        </x:is>
      </x:c>
      <x:c r="BE367" t="inlineStr">
        <x:is>
          <x:t xml:space="preserve"/>
        </x:is>
      </x:c>
      <x:c r="BF367" t="inlineStr">
        <x:is>
          <x:t xml:space="preserve">SUCCESS</x:t>
        </x:is>
      </x:c>
      <x:c r="BG367" t="n">
        <x:f>IF((COUNT('Quantification_Results'!BA367)=1),IFERROR(ROUND((SUM(('Quantification_Results'!BA367*'Quantification_Config'!$R$19))/SUM('Quantification_Config'!$R$19)),'Quantification_Config'!$U$2),""),"")</x:f>
        <x:v>50</x:v>
      </x:c>
      <x:c r="BH367" t="n">
        <x:f>IF((COUNT('Quantification_Results'!BG367)=1),IFERROR(ROUND((SUM(('Quantification_Results'!BG367*'Quantification_Config'!$R$18))/SUM('Quantification_Config'!$R$18)),'Quantification_Config'!$U$2),""),"")</x:f>
        <x:v>50</x:v>
      </x:c>
      <x:c r="BI367">
        <x:f>IF((COUNT('Quantification_Results'!L367,'Quantification_Results'!X367,'Quantification_Results'!AJ367,'Quantification_Results'!AV367,'Quantification_Results'!BH367)=5),IFERROR(ROUND((SUM(('Quantification_Results'!L367*'Quantification_Config'!$R$4),('Quantification_Results'!X367*'Quantification_Config'!$R$7),('Quantification_Results'!AJ367*'Quantification_Config'!$R$10),('Quantification_Results'!AV367*'Quantification_Config'!$R$13),('Quantification_Results'!BH367*'Quantification_Config'!$R$16))/SUM('Quantification_Config'!$R$4,'Quantification_Config'!$R$7,'Quantification_Config'!$R$10,'Quantification_Config'!$R$13,'Quantification_Config'!$R$16)),'Quantification_Config'!$U$2),""),"")</x:f>
      </x:c>
    </x:row>
    <x:row r="368">
      <x:c r="A368" t="n">
        <x:v>1</x:v>
      </x:c>
      <x:c r="B368" t="n">
        <x:v>5</x:v>
      </x:c>
      <x:c r="C368"/>
      <x:c r="D368" t="n">
        <x:f>IF(('Quantification_Results'!A368&lt;&gt;1),"",IF(('Quantification_Results'!C368=""),IF(ISNUMBER('Quantification_Results'!B368),IF(('Quantification_Results'!B368&lt;'Quantification_Config'!$S$6),"",IF(('Quantification_Results'!B368&gt;'Quantification_Config'!$T$6),"",'Quantification_Results'!B368)),""),IF(ISNUMBER('Quantification_Results'!C368),IF(('Quantification_Results'!C368&lt;'Quantification_Config'!$S$6),"",IF(('Quantification_Results'!C368&gt;'Quantification_Config'!$T$6),"",'Quantification_Results'!C368)),"")))</x:f>
        <x:v>5</x:v>
      </x:c>
      <x:c r="E368" t="n">
        <x:f>IF(ISNUMBER('Quantification_Results'!D368),IFERROR(ROUND(((('Quantification_Results'!D368-'Quantification_Config'!$S$6)/('Quantification_Config'!$T$6-'Quantification_Config'!$S$6))*100),'Quantification_Config'!$U$2),""),"")</x:f>
        <x:v>50</x:v>
      </x:c>
      <x:c r="F368" t="inlineStr">
        <x:is>
          <x:t xml:space="preserve">SYSTEM-TEST-ONLY-NO-NETWORK-NOT-AN-EDUCATIONAL-EVALUATION</x:t>
        </x:is>
      </x:c>
      <x:c r="G368" t="inlineStr">
        <x:is>
          <x:t xml:space="preserve"/>
        </x:is>
      </x:c>
      <x:c r="H368" t="inlineStr">
        <x:is>
          <x:t xml:space="preserve">NONE</x:t>
        </x:is>
      </x:c>
      <x:c r="I368" t="inlineStr">
        <x:is>
          <x:t xml:space="preserve"/>
        </x:is>
      </x:c>
      <x:c r="J368" t="inlineStr">
        <x:is>
          <x:t xml:space="preserve">SUCCESS</x:t>
        </x:is>
      </x:c>
      <x:c r="K368" t="n">
        <x:f>IF((COUNT('Quantification_Results'!E368)=1),IFERROR(ROUND((SUM(('Quantification_Results'!E368*'Quantification_Config'!$R$6))/SUM('Quantification_Config'!$R$6)),'Quantification_Config'!$U$2),""),"")</x:f>
        <x:v>50</x:v>
      </x:c>
      <x:c r="L368" t="n">
        <x:f>IF((COUNT('Quantification_Results'!K368)=1),IFERROR(ROUND((SUM(('Quantification_Results'!K368*'Quantification_Config'!$R$5))/SUM('Quantification_Config'!$R$5)),'Quantification_Config'!$U$2),""),"")</x:f>
        <x:v>50</x:v>
      </x:c>
      <x:c r="M368" t="n">
        <x:v>1</x:v>
      </x:c>
      <x:c r="N368" t="n">
        <x:v>5</x:v>
      </x:c>
      <x:c r="O368"/>
      <x:c r="P368" t="n">
        <x:f>IF(('Quantification_Results'!M368&lt;&gt;1),"",IF(('Quantification_Results'!O368=""),IF(ISNUMBER('Quantification_Results'!N368),IF(('Quantification_Results'!N368&lt;'Quantification_Config'!$S$9),"",IF(('Quantification_Results'!N368&gt;'Quantification_Config'!$T$9),"",'Quantification_Results'!N368)),""),IF(ISNUMBER('Quantification_Results'!O368),IF(('Quantification_Results'!O368&lt;'Quantification_Config'!$S$9),"",IF(('Quantification_Results'!O368&gt;'Quantification_Config'!$T$9),"",'Quantification_Results'!O368)),"")))</x:f>
        <x:v>5</x:v>
      </x:c>
      <x:c r="Q368" t="n">
        <x:f>IF(ISNUMBER('Quantification_Results'!P368),IFERROR(ROUND(((('Quantification_Results'!P368-'Quantification_Config'!$S$9)/('Quantification_Config'!$T$9-'Quantification_Config'!$S$9))*100),'Quantification_Config'!$U$2),""),"")</x:f>
        <x:v>50</x:v>
      </x:c>
      <x:c r="R368" t="inlineStr">
        <x:is>
          <x:t xml:space="preserve">SYSTEM-TEST-ONLY-NO-NETWORK-NOT-AN-EDUCATIONAL-EVALUATION</x:t>
        </x:is>
      </x:c>
      <x:c r="S368" t="inlineStr">
        <x:is>
          <x:t xml:space="preserve"/>
        </x:is>
      </x:c>
      <x:c r="T368" t="inlineStr">
        <x:is>
          <x:t xml:space="preserve">NONE</x:t>
        </x:is>
      </x:c>
      <x:c r="U368" t="inlineStr">
        <x:is>
          <x:t xml:space="preserve"/>
        </x:is>
      </x:c>
      <x:c r="V368" t="inlineStr">
        <x:is>
          <x:t xml:space="preserve">SUCCESS</x:t>
        </x:is>
      </x:c>
      <x:c r="W368" t="n">
        <x:f>IF((COUNT('Quantification_Results'!Q368)=1),IFERROR(ROUND((SUM(('Quantification_Results'!Q368*'Quantification_Config'!$R$9))/SUM('Quantification_Config'!$R$9)),'Quantification_Config'!$U$2),""),"")</x:f>
        <x:v>50</x:v>
      </x:c>
      <x:c r="X368" t="n">
        <x:f>IF((COUNT('Quantification_Results'!W368)=1),IFERROR(ROUND((SUM(('Quantification_Results'!W368*'Quantification_Config'!$R$8))/SUM('Quantification_Config'!$R$8)),'Quantification_Config'!$U$2),""),"")</x:f>
        <x:v>50</x:v>
      </x:c>
      <x:c r="Y368" t="n">
        <x:v>0</x:v>
      </x:c>
      <x:c r="Z368"/>
      <x:c r="AA368"/>
      <x:c r="AB368">
        <x:f>IF(('Quantification_Results'!Y368&lt;&gt;1),"",IF(('Quantification_Results'!AA368=""),IF(ISNUMBER('Quantification_Results'!Z368),IF(('Quantification_Results'!Z368&lt;'Quantification_Config'!$S$12),"",IF(('Quantification_Results'!Z368&gt;'Quantification_Config'!$T$12),"",'Quantification_Results'!Z368)),""),IF(ISNUMBER('Quantification_Results'!AA368),IF(('Quantification_Results'!AA368&lt;'Quantification_Config'!$S$12),"",IF(('Quantification_Results'!AA368&gt;'Quantification_Config'!$T$12),"",'Quantification_Results'!AA368)),"")))</x:f>
      </x:c>
      <x:c r="AC368">
        <x:f>IF(ISNUMBER('Quantification_Results'!AB368),IFERROR(ROUND(((('Quantification_Results'!AB368-'Quantification_Config'!$S$12)/('Quantification_Config'!$T$12-'Quantification_Config'!$S$12))*100),'Quantification_Config'!$U$2),""),"")</x:f>
      </x:c>
      <x:c r="AD368" t="inlineStr">
        <x:is>
          <x:t xml:space="preserve"/>
        </x:is>
      </x:c>
      <x:c r="AE368" t="inlineStr">
        <x:is>
          <x:t xml:space="preserve"/>
        </x:is>
      </x:c>
      <x:c r="AF368" t="inlineStr">
        <x:is>
          <x:t xml:space="preserve"/>
        </x:is>
      </x:c>
      <x:c r="AG368" t="inlineStr">
        <x:is>
          <x:t xml:space="preserve"/>
        </x:is>
      </x:c>
      <x:c r="AH368" t="inlineStr">
        <x:is>
          <x:t xml:space="preserve">EMPTY</x:t>
        </x:is>
      </x:c>
      <x:c r="AI368">
        <x:f>IF((COUNT('Quantification_Results'!AC368)=1),IFERROR(ROUND((SUM(('Quantification_Results'!AC368*'Quantification_Config'!$R$12))/SUM('Quantification_Config'!$R$12)),'Quantification_Config'!$U$2),""),"")</x:f>
      </x:c>
      <x:c r="AJ368">
        <x:f>IF((COUNT('Quantification_Results'!AI368)=1),IFERROR(ROUND((SUM(('Quantification_Results'!AI368*'Quantification_Config'!$R$11))/SUM('Quantification_Config'!$R$11)),'Quantification_Config'!$U$2),""),"")</x:f>
      </x:c>
      <x:c r="AK368" t="n">
        <x:v>1</x:v>
      </x:c>
      <x:c r="AL368" t="n">
        <x:v>5</x:v>
      </x:c>
      <x:c r="AM368"/>
      <x:c r="AN368" t="n">
        <x:f>IF(('Quantification_Results'!AK368&lt;&gt;1),"",IF(('Quantification_Results'!AM368=""),IF(ISNUMBER('Quantification_Results'!AL368),IF(('Quantification_Results'!AL368&lt;'Quantification_Config'!$S$15),"",IF(('Quantification_Results'!AL368&gt;'Quantification_Config'!$T$15),"",'Quantification_Results'!AL368)),""),IF(ISNUMBER('Quantification_Results'!AM368),IF(('Quantification_Results'!AM368&lt;'Quantification_Config'!$S$15),"",IF(('Quantification_Results'!AM368&gt;'Quantification_Config'!$T$15),"",'Quantification_Results'!AM368)),"")))</x:f>
        <x:v>5</x:v>
      </x:c>
      <x:c r="AO368" t="n">
        <x:f>IF(ISNUMBER('Quantification_Results'!AN368),IFERROR(ROUND(((('Quantification_Results'!AN368-'Quantification_Config'!$S$15)/('Quantification_Config'!$T$15-'Quantification_Config'!$S$15))*100),'Quantification_Config'!$U$2),""),"")</x:f>
        <x:v>50</x:v>
      </x:c>
      <x:c r="AP368" t="inlineStr">
        <x:is>
          <x:t xml:space="preserve">SYSTEM-TEST-ONLY-NO-NETWORK-NOT-AN-EDUCATIONAL-EVALUATION</x:t>
        </x:is>
      </x:c>
      <x:c r="AQ368" t="inlineStr">
        <x:is>
          <x:t xml:space="preserve"/>
        </x:is>
      </x:c>
      <x:c r="AR368" t="inlineStr">
        <x:is>
          <x:t xml:space="preserve">NONE</x:t>
        </x:is>
      </x:c>
      <x:c r="AS368" t="inlineStr">
        <x:is>
          <x:t xml:space="preserve"/>
        </x:is>
      </x:c>
      <x:c r="AT368" t="inlineStr">
        <x:is>
          <x:t xml:space="preserve">SUCCESS</x:t>
        </x:is>
      </x:c>
      <x:c r="AU368" t="n">
        <x:f>IF((COUNT('Quantification_Results'!AO368)=1),IFERROR(ROUND((SUM(('Quantification_Results'!AO368*'Quantification_Config'!$R$15))/SUM('Quantification_Config'!$R$15)),'Quantification_Config'!$U$2),""),"")</x:f>
        <x:v>50</x:v>
      </x:c>
      <x:c r="AV368" t="n">
        <x:f>IF((COUNT('Quantification_Results'!AU368)=1),IFERROR(ROUND((SUM(('Quantification_Results'!AU368*'Quantification_Config'!$R$14))/SUM('Quantification_Config'!$R$14)),'Quantification_Config'!$U$2),""),"")</x:f>
        <x:v>50</x:v>
      </x:c>
      <x:c r="AW368" t="n">
        <x:v>1</x:v>
      </x:c>
      <x:c r="AX368" t="n">
        <x:v>5</x:v>
      </x:c>
      <x:c r="AY368"/>
      <x:c r="AZ368" t="n">
        <x:f>IF(('Quantification_Results'!AW368&lt;&gt;1),"",IF(('Quantification_Results'!AY368=""),IF(ISNUMBER('Quantification_Results'!AX368),IF(('Quantification_Results'!AX368&lt;'Quantification_Config'!$S$19),"",IF(('Quantification_Results'!AX368&gt;'Quantification_Config'!$T$19),"",'Quantification_Results'!AX368)),""),IF(ISNUMBER('Quantification_Results'!AY368),IF(('Quantification_Results'!AY368&lt;'Quantification_Config'!$S$19),"",IF(('Quantification_Results'!AY368&gt;'Quantification_Config'!$T$19),"",'Quantification_Results'!AY368)),"")))</x:f>
        <x:v>5</x:v>
      </x:c>
      <x:c r="BA368" t="n">
        <x:f>IF(ISNUMBER('Quantification_Results'!AZ368),IFERROR(ROUND(((('Quantification_Results'!AZ368-'Quantification_Config'!$S$19)/('Quantification_Config'!$T$19-'Quantification_Config'!$S$19))*100),'Quantification_Config'!$U$2),""),"")</x:f>
        <x:v>50</x:v>
      </x:c>
      <x:c r="BB368" t="inlineStr">
        <x:is>
          <x:t xml:space="preserve">SYSTEM-TEST-ONLY-NO-NETWORK-NOT-AN-EDUCATIONAL-EVALUATION</x:t>
        </x:is>
      </x:c>
      <x:c r="BC368" t="inlineStr">
        <x:is>
          <x:t xml:space="preserve"/>
        </x:is>
      </x:c>
      <x:c r="BD368" t="inlineStr">
        <x:is>
          <x:t xml:space="preserve">NONE</x:t>
        </x:is>
      </x:c>
      <x:c r="BE368" t="inlineStr">
        <x:is>
          <x:t xml:space="preserve"/>
        </x:is>
      </x:c>
      <x:c r="BF368" t="inlineStr">
        <x:is>
          <x:t xml:space="preserve">SUCCESS</x:t>
        </x:is>
      </x:c>
      <x:c r="BG368" t="n">
        <x:f>IF((COUNT('Quantification_Results'!BA368)=1),IFERROR(ROUND((SUM(('Quantification_Results'!BA368*'Quantification_Config'!$R$19))/SUM('Quantification_Config'!$R$19)),'Quantification_Config'!$U$2),""),"")</x:f>
        <x:v>50</x:v>
      </x:c>
      <x:c r="BH368" t="n">
        <x:f>IF((COUNT('Quantification_Results'!BG368)=1),IFERROR(ROUND((SUM(('Quantification_Results'!BG368*'Quantification_Config'!$R$18))/SUM('Quantification_Config'!$R$18)),'Quantification_Config'!$U$2),""),"")</x:f>
        <x:v>50</x:v>
      </x:c>
      <x:c r="BI368">
        <x:f>IF((COUNT('Quantification_Results'!L368,'Quantification_Results'!X368,'Quantification_Results'!AJ368,'Quantification_Results'!AV368,'Quantification_Results'!BH368)=5),IFERROR(ROUND((SUM(('Quantification_Results'!L368*'Quantification_Config'!$R$4),('Quantification_Results'!X368*'Quantification_Config'!$R$7),('Quantification_Results'!AJ368*'Quantification_Config'!$R$10),('Quantification_Results'!AV368*'Quantification_Config'!$R$13),('Quantification_Results'!BH368*'Quantification_Config'!$R$16))/SUM('Quantification_Config'!$R$4,'Quantification_Config'!$R$7,'Quantification_Config'!$R$10,'Quantification_Config'!$R$13,'Quantification_Config'!$R$16)),'Quantification_Config'!$U$2),""),"")</x:f>
      </x:c>
    </x:row>
    <x:row r="369">
      <x:c r="A369" t="n">
        <x:v>1</x:v>
      </x:c>
      <x:c r="B369" t="n">
        <x:v>5</x:v>
      </x:c>
      <x:c r="C369"/>
      <x:c r="D369" t="n">
        <x:f>IF(('Quantification_Results'!A369&lt;&gt;1),"",IF(('Quantification_Results'!C369=""),IF(ISNUMBER('Quantification_Results'!B369),IF(('Quantification_Results'!B369&lt;'Quantification_Config'!$S$6),"",IF(('Quantification_Results'!B369&gt;'Quantification_Config'!$T$6),"",'Quantification_Results'!B369)),""),IF(ISNUMBER('Quantification_Results'!C369),IF(('Quantification_Results'!C369&lt;'Quantification_Config'!$S$6),"",IF(('Quantification_Results'!C369&gt;'Quantification_Config'!$T$6),"",'Quantification_Results'!C369)),"")))</x:f>
        <x:v>5</x:v>
      </x:c>
      <x:c r="E369" t="n">
        <x:f>IF(ISNUMBER('Quantification_Results'!D369),IFERROR(ROUND(((('Quantification_Results'!D369-'Quantification_Config'!$S$6)/('Quantification_Config'!$T$6-'Quantification_Config'!$S$6))*100),'Quantification_Config'!$U$2),""),"")</x:f>
        <x:v>50</x:v>
      </x:c>
      <x:c r="F369" t="inlineStr">
        <x:is>
          <x:t xml:space="preserve">SYSTEM-TEST-ONLY-NO-NETWORK-NOT-AN-EDUCATIONAL-EVALUATION</x:t>
        </x:is>
      </x:c>
      <x:c r="G369" t="inlineStr">
        <x:is>
          <x:t xml:space="preserve"/>
        </x:is>
      </x:c>
      <x:c r="H369" t="inlineStr">
        <x:is>
          <x:t xml:space="preserve">NONE</x:t>
        </x:is>
      </x:c>
      <x:c r="I369" t="inlineStr">
        <x:is>
          <x:t xml:space="preserve"/>
        </x:is>
      </x:c>
      <x:c r="J369" t="inlineStr">
        <x:is>
          <x:t xml:space="preserve">SUCCESS</x:t>
        </x:is>
      </x:c>
      <x:c r="K369" t="n">
        <x:f>IF((COUNT('Quantification_Results'!E369)=1),IFERROR(ROUND((SUM(('Quantification_Results'!E369*'Quantification_Config'!$R$6))/SUM('Quantification_Config'!$R$6)),'Quantification_Config'!$U$2),""),"")</x:f>
        <x:v>50</x:v>
      </x:c>
      <x:c r="L369" t="n">
        <x:f>IF((COUNT('Quantification_Results'!K369)=1),IFERROR(ROUND((SUM(('Quantification_Results'!K369*'Quantification_Config'!$R$5))/SUM('Quantification_Config'!$R$5)),'Quantification_Config'!$U$2),""),"")</x:f>
        <x:v>50</x:v>
      </x:c>
      <x:c r="M369" t="n">
        <x:v>1</x:v>
      </x:c>
      <x:c r="N369" t="n">
        <x:v>5</x:v>
      </x:c>
      <x:c r="O369"/>
      <x:c r="P369" t="n">
        <x:f>IF(('Quantification_Results'!M369&lt;&gt;1),"",IF(('Quantification_Results'!O369=""),IF(ISNUMBER('Quantification_Results'!N369),IF(('Quantification_Results'!N369&lt;'Quantification_Config'!$S$9),"",IF(('Quantification_Results'!N369&gt;'Quantification_Config'!$T$9),"",'Quantification_Results'!N369)),""),IF(ISNUMBER('Quantification_Results'!O369),IF(('Quantification_Results'!O369&lt;'Quantification_Config'!$S$9),"",IF(('Quantification_Results'!O369&gt;'Quantification_Config'!$T$9),"",'Quantification_Results'!O369)),"")))</x:f>
        <x:v>5</x:v>
      </x:c>
      <x:c r="Q369" t="n">
        <x:f>IF(ISNUMBER('Quantification_Results'!P369),IFERROR(ROUND(((('Quantification_Results'!P369-'Quantification_Config'!$S$9)/('Quantification_Config'!$T$9-'Quantification_Config'!$S$9))*100),'Quantification_Config'!$U$2),""),"")</x:f>
        <x:v>50</x:v>
      </x:c>
      <x:c r="R369" t="inlineStr">
        <x:is>
          <x:t xml:space="preserve">SYSTEM-TEST-ONLY-NO-NETWORK-NOT-AN-EDUCATIONAL-EVALUATION</x:t>
        </x:is>
      </x:c>
      <x:c r="S369" t="inlineStr">
        <x:is>
          <x:t xml:space="preserve"/>
        </x:is>
      </x:c>
      <x:c r="T369" t="inlineStr">
        <x:is>
          <x:t xml:space="preserve">NONE</x:t>
        </x:is>
      </x:c>
      <x:c r="U369" t="inlineStr">
        <x:is>
          <x:t xml:space="preserve"/>
        </x:is>
      </x:c>
      <x:c r="V369" t="inlineStr">
        <x:is>
          <x:t xml:space="preserve">SUCCESS</x:t>
        </x:is>
      </x:c>
      <x:c r="W369" t="n">
        <x:f>IF((COUNT('Quantification_Results'!Q369)=1),IFERROR(ROUND((SUM(('Quantification_Results'!Q369*'Quantification_Config'!$R$9))/SUM('Quantification_Config'!$R$9)),'Quantification_Config'!$U$2),""),"")</x:f>
        <x:v>50</x:v>
      </x:c>
      <x:c r="X369" t="n">
        <x:f>IF((COUNT('Quantification_Results'!W369)=1),IFERROR(ROUND((SUM(('Quantification_Results'!W369*'Quantification_Config'!$R$8))/SUM('Quantification_Config'!$R$8)),'Quantification_Config'!$U$2),""),"")</x:f>
        <x:v>50</x:v>
      </x:c>
      <x:c r="Y369" t="n">
        <x:v>0</x:v>
      </x:c>
      <x:c r="Z369"/>
      <x:c r="AA369"/>
      <x:c r="AB369">
        <x:f>IF(('Quantification_Results'!Y369&lt;&gt;1),"",IF(('Quantification_Results'!AA369=""),IF(ISNUMBER('Quantification_Results'!Z369),IF(('Quantification_Results'!Z369&lt;'Quantification_Config'!$S$12),"",IF(('Quantification_Results'!Z369&gt;'Quantification_Config'!$T$12),"",'Quantification_Results'!Z369)),""),IF(ISNUMBER('Quantification_Results'!AA369),IF(('Quantification_Results'!AA369&lt;'Quantification_Config'!$S$12),"",IF(('Quantification_Results'!AA369&gt;'Quantification_Config'!$T$12),"",'Quantification_Results'!AA369)),"")))</x:f>
      </x:c>
      <x:c r="AC369">
        <x:f>IF(ISNUMBER('Quantification_Results'!AB369),IFERROR(ROUND(((('Quantification_Results'!AB369-'Quantification_Config'!$S$12)/('Quantification_Config'!$T$12-'Quantification_Config'!$S$12))*100),'Quantification_Config'!$U$2),""),"")</x:f>
      </x:c>
      <x:c r="AD369" t="inlineStr">
        <x:is>
          <x:t xml:space="preserve"/>
        </x:is>
      </x:c>
      <x:c r="AE369" t="inlineStr">
        <x:is>
          <x:t xml:space="preserve"/>
        </x:is>
      </x:c>
      <x:c r="AF369" t="inlineStr">
        <x:is>
          <x:t xml:space="preserve"/>
        </x:is>
      </x:c>
      <x:c r="AG369" t="inlineStr">
        <x:is>
          <x:t xml:space="preserve"/>
        </x:is>
      </x:c>
      <x:c r="AH369" t="inlineStr">
        <x:is>
          <x:t xml:space="preserve">EMPTY</x:t>
        </x:is>
      </x:c>
      <x:c r="AI369">
        <x:f>IF((COUNT('Quantification_Results'!AC369)=1),IFERROR(ROUND((SUM(('Quantification_Results'!AC369*'Quantification_Config'!$R$12))/SUM('Quantification_Config'!$R$12)),'Quantification_Config'!$U$2),""),"")</x:f>
      </x:c>
      <x:c r="AJ369">
        <x:f>IF((COUNT('Quantification_Results'!AI369)=1),IFERROR(ROUND((SUM(('Quantification_Results'!AI369*'Quantification_Config'!$R$11))/SUM('Quantification_Config'!$R$11)),'Quantification_Config'!$U$2),""),"")</x:f>
      </x:c>
      <x:c r="AK369" t="n">
        <x:v>1</x:v>
      </x:c>
      <x:c r="AL369" t="n">
        <x:v>5</x:v>
      </x:c>
      <x:c r="AM369"/>
      <x:c r="AN369" t="n">
        <x:f>IF(('Quantification_Results'!AK369&lt;&gt;1),"",IF(('Quantification_Results'!AM369=""),IF(ISNUMBER('Quantification_Results'!AL369),IF(('Quantification_Results'!AL369&lt;'Quantification_Config'!$S$15),"",IF(('Quantification_Results'!AL369&gt;'Quantification_Config'!$T$15),"",'Quantification_Results'!AL369)),""),IF(ISNUMBER('Quantification_Results'!AM369),IF(('Quantification_Results'!AM369&lt;'Quantification_Config'!$S$15),"",IF(('Quantification_Results'!AM369&gt;'Quantification_Config'!$T$15),"",'Quantification_Results'!AM369)),"")))</x:f>
        <x:v>5</x:v>
      </x:c>
      <x:c r="AO369" t="n">
        <x:f>IF(ISNUMBER('Quantification_Results'!AN369),IFERROR(ROUND(((('Quantification_Results'!AN369-'Quantification_Config'!$S$15)/('Quantification_Config'!$T$15-'Quantification_Config'!$S$15))*100),'Quantification_Config'!$U$2),""),"")</x:f>
        <x:v>50</x:v>
      </x:c>
      <x:c r="AP369" t="inlineStr">
        <x:is>
          <x:t xml:space="preserve">SYSTEM-TEST-ONLY-NO-NETWORK-NOT-AN-EDUCATIONAL-EVALUATION</x:t>
        </x:is>
      </x:c>
      <x:c r="AQ369" t="inlineStr">
        <x:is>
          <x:t xml:space="preserve"/>
        </x:is>
      </x:c>
      <x:c r="AR369" t="inlineStr">
        <x:is>
          <x:t xml:space="preserve">NONE</x:t>
        </x:is>
      </x:c>
      <x:c r="AS369" t="inlineStr">
        <x:is>
          <x:t xml:space="preserve"/>
        </x:is>
      </x:c>
      <x:c r="AT369" t="inlineStr">
        <x:is>
          <x:t xml:space="preserve">SUCCESS</x:t>
        </x:is>
      </x:c>
      <x:c r="AU369" t="n">
        <x:f>IF((COUNT('Quantification_Results'!AO369)=1),IFERROR(ROUND((SUM(('Quantification_Results'!AO369*'Quantification_Config'!$R$15))/SUM('Quantification_Config'!$R$15)),'Quantification_Config'!$U$2),""),"")</x:f>
        <x:v>50</x:v>
      </x:c>
      <x:c r="AV369" t="n">
        <x:f>IF((COUNT('Quantification_Results'!AU369)=1),IFERROR(ROUND((SUM(('Quantification_Results'!AU369*'Quantification_Config'!$R$14))/SUM('Quantification_Config'!$R$14)),'Quantification_Config'!$U$2),""),"")</x:f>
        <x:v>50</x:v>
      </x:c>
      <x:c r="AW369" t="n">
        <x:v>1</x:v>
      </x:c>
      <x:c r="AX369" t="n">
        <x:v>5</x:v>
      </x:c>
      <x:c r="AY369"/>
      <x:c r="AZ369" t="n">
        <x:f>IF(('Quantification_Results'!AW369&lt;&gt;1),"",IF(('Quantification_Results'!AY369=""),IF(ISNUMBER('Quantification_Results'!AX369),IF(('Quantification_Results'!AX369&lt;'Quantification_Config'!$S$19),"",IF(('Quantification_Results'!AX369&gt;'Quantification_Config'!$T$19),"",'Quantification_Results'!AX369)),""),IF(ISNUMBER('Quantification_Results'!AY369),IF(('Quantification_Results'!AY369&lt;'Quantification_Config'!$S$19),"",IF(('Quantification_Results'!AY369&gt;'Quantification_Config'!$T$19),"",'Quantification_Results'!AY369)),"")))</x:f>
        <x:v>5</x:v>
      </x:c>
      <x:c r="BA369" t="n">
        <x:f>IF(ISNUMBER('Quantification_Results'!AZ369),IFERROR(ROUND(((('Quantification_Results'!AZ369-'Quantification_Config'!$S$19)/('Quantification_Config'!$T$19-'Quantification_Config'!$S$19))*100),'Quantification_Config'!$U$2),""),"")</x:f>
        <x:v>50</x:v>
      </x:c>
      <x:c r="BB369" t="inlineStr">
        <x:is>
          <x:t xml:space="preserve">SYSTEM-TEST-ONLY-NO-NETWORK-NOT-AN-EDUCATIONAL-EVALUATION</x:t>
        </x:is>
      </x:c>
      <x:c r="BC369" t="inlineStr">
        <x:is>
          <x:t xml:space="preserve"/>
        </x:is>
      </x:c>
      <x:c r="BD369" t="inlineStr">
        <x:is>
          <x:t xml:space="preserve">NONE</x:t>
        </x:is>
      </x:c>
      <x:c r="BE369" t="inlineStr">
        <x:is>
          <x:t xml:space="preserve"/>
        </x:is>
      </x:c>
      <x:c r="BF369" t="inlineStr">
        <x:is>
          <x:t xml:space="preserve">SUCCESS</x:t>
        </x:is>
      </x:c>
      <x:c r="BG369" t="n">
        <x:f>IF((COUNT('Quantification_Results'!BA369)=1),IFERROR(ROUND((SUM(('Quantification_Results'!BA369*'Quantification_Config'!$R$19))/SUM('Quantification_Config'!$R$19)),'Quantification_Config'!$U$2),""),"")</x:f>
        <x:v>50</x:v>
      </x:c>
      <x:c r="BH369" t="n">
        <x:f>IF((COUNT('Quantification_Results'!BG369)=1),IFERROR(ROUND((SUM(('Quantification_Results'!BG369*'Quantification_Config'!$R$18))/SUM('Quantification_Config'!$R$18)),'Quantification_Config'!$U$2),""),"")</x:f>
        <x:v>50</x:v>
      </x:c>
      <x:c r="BI369">
        <x:f>IF((COUNT('Quantification_Results'!L369,'Quantification_Results'!X369,'Quantification_Results'!AJ369,'Quantification_Results'!AV369,'Quantification_Results'!BH369)=5),IFERROR(ROUND((SUM(('Quantification_Results'!L369*'Quantification_Config'!$R$4),('Quantification_Results'!X369*'Quantification_Config'!$R$7),('Quantification_Results'!AJ369*'Quantification_Config'!$R$10),('Quantification_Results'!AV369*'Quantification_Config'!$R$13),('Quantification_Results'!BH369*'Quantification_Config'!$R$16))/SUM('Quantification_Config'!$R$4,'Quantification_Config'!$R$7,'Quantification_Config'!$R$10,'Quantification_Config'!$R$13,'Quantification_Config'!$R$16)),'Quantification_Config'!$U$2),""),"")</x:f>
      </x:c>
    </x:row>
    <x:row r="370">
      <x:c r="A370" t="n">
        <x:v>1</x:v>
      </x:c>
      <x:c r="B370" t="n">
        <x:v>5</x:v>
      </x:c>
      <x:c r="C370"/>
      <x:c r="D370" t="n">
        <x:f>IF(('Quantification_Results'!A370&lt;&gt;1),"",IF(('Quantification_Results'!C370=""),IF(ISNUMBER('Quantification_Results'!B370),IF(('Quantification_Results'!B370&lt;'Quantification_Config'!$S$6),"",IF(('Quantification_Results'!B370&gt;'Quantification_Config'!$T$6),"",'Quantification_Results'!B370)),""),IF(ISNUMBER('Quantification_Results'!C370),IF(('Quantification_Results'!C370&lt;'Quantification_Config'!$S$6),"",IF(('Quantification_Results'!C370&gt;'Quantification_Config'!$T$6),"",'Quantification_Results'!C370)),"")))</x:f>
        <x:v>5</x:v>
      </x:c>
      <x:c r="E370" t="n">
        <x:f>IF(ISNUMBER('Quantification_Results'!D370),IFERROR(ROUND(((('Quantification_Results'!D370-'Quantification_Config'!$S$6)/('Quantification_Config'!$T$6-'Quantification_Config'!$S$6))*100),'Quantification_Config'!$U$2),""),"")</x:f>
        <x:v>50</x:v>
      </x:c>
      <x:c r="F370" t="inlineStr">
        <x:is>
          <x:t xml:space="preserve">SYSTEM-TEST-ONLY-NO-NETWORK-NOT-AN-EDUCATIONAL-EVALUATION</x:t>
        </x:is>
      </x:c>
      <x:c r="G370" t="inlineStr">
        <x:is>
          <x:t xml:space="preserve"/>
        </x:is>
      </x:c>
      <x:c r="H370" t="inlineStr">
        <x:is>
          <x:t xml:space="preserve">NONE</x:t>
        </x:is>
      </x:c>
      <x:c r="I370" t="inlineStr">
        <x:is>
          <x:t xml:space="preserve"/>
        </x:is>
      </x:c>
      <x:c r="J370" t="inlineStr">
        <x:is>
          <x:t xml:space="preserve">SUCCESS</x:t>
        </x:is>
      </x:c>
      <x:c r="K370" t="n">
        <x:f>IF((COUNT('Quantification_Results'!E370)=1),IFERROR(ROUND((SUM(('Quantification_Results'!E370*'Quantification_Config'!$R$6))/SUM('Quantification_Config'!$R$6)),'Quantification_Config'!$U$2),""),"")</x:f>
        <x:v>50</x:v>
      </x:c>
      <x:c r="L370" t="n">
        <x:f>IF((COUNT('Quantification_Results'!K370)=1),IFERROR(ROUND((SUM(('Quantification_Results'!K370*'Quantification_Config'!$R$5))/SUM('Quantification_Config'!$R$5)),'Quantification_Config'!$U$2),""),"")</x:f>
        <x:v>50</x:v>
      </x:c>
      <x:c r="M370" t="n">
        <x:v>1</x:v>
      </x:c>
      <x:c r="N370" t="n">
        <x:v>5</x:v>
      </x:c>
      <x:c r="O370"/>
      <x:c r="P370" t="n">
        <x:f>IF(('Quantification_Results'!M370&lt;&gt;1),"",IF(('Quantification_Results'!O370=""),IF(ISNUMBER('Quantification_Results'!N370),IF(('Quantification_Results'!N370&lt;'Quantification_Config'!$S$9),"",IF(('Quantification_Results'!N370&gt;'Quantification_Config'!$T$9),"",'Quantification_Results'!N370)),""),IF(ISNUMBER('Quantification_Results'!O370),IF(('Quantification_Results'!O370&lt;'Quantification_Config'!$S$9),"",IF(('Quantification_Results'!O370&gt;'Quantification_Config'!$T$9),"",'Quantification_Results'!O370)),"")))</x:f>
        <x:v>5</x:v>
      </x:c>
      <x:c r="Q370" t="n">
        <x:f>IF(ISNUMBER('Quantification_Results'!P370),IFERROR(ROUND(((('Quantification_Results'!P370-'Quantification_Config'!$S$9)/('Quantification_Config'!$T$9-'Quantification_Config'!$S$9))*100),'Quantification_Config'!$U$2),""),"")</x:f>
        <x:v>50</x:v>
      </x:c>
      <x:c r="R370" t="inlineStr">
        <x:is>
          <x:t xml:space="preserve">SYSTEM-TEST-ONLY-NO-NETWORK-NOT-AN-EDUCATIONAL-EVALUATION</x:t>
        </x:is>
      </x:c>
      <x:c r="S370" t="inlineStr">
        <x:is>
          <x:t xml:space="preserve"/>
        </x:is>
      </x:c>
      <x:c r="T370" t="inlineStr">
        <x:is>
          <x:t xml:space="preserve">NONE</x:t>
        </x:is>
      </x:c>
      <x:c r="U370" t="inlineStr">
        <x:is>
          <x:t xml:space="preserve"/>
        </x:is>
      </x:c>
      <x:c r="V370" t="inlineStr">
        <x:is>
          <x:t xml:space="preserve">SUCCESS</x:t>
        </x:is>
      </x:c>
      <x:c r="W370" t="n">
        <x:f>IF((COUNT('Quantification_Results'!Q370)=1),IFERROR(ROUND((SUM(('Quantification_Results'!Q370*'Quantification_Config'!$R$9))/SUM('Quantification_Config'!$R$9)),'Quantification_Config'!$U$2),""),"")</x:f>
        <x:v>50</x:v>
      </x:c>
      <x:c r="X370" t="n">
        <x:f>IF((COUNT('Quantification_Results'!W370)=1),IFERROR(ROUND((SUM(('Quantification_Results'!W370*'Quantification_Config'!$R$8))/SUM('Quantification_Config'!$R$8)),'Quantification_Config'!$U$2),""),"")</x:f>
        <x:v>50</x:v>
      </x:c>
      <x:c r="Y370" t="n">
        <x:v>0</x:v>
      </x:c>
      <x:c r="Z370"/>
      <x:c r="AA370"/>
      <x:c r="AB370">
        <x:f>IF(('Quantification_Results'!Y370&lt;&gt;1),"",IF(('Quantification_Results'!AA370=""),IF(ISNUMBER('Quantification_Results'!Z370),IF(('Quantification_Results'!Z370&lt;'Quantification_Config'!$S$12),"",IF(('Quantification_Results'!Z370&gt;'Quantification_Config'!$T$12),"",'Quantification_Results'!Z370)),""),IF(ISNUMBER('Quantification_Results'!AA370),IF(('Quantification_Results'!AA370&lt;'Quantification_Config'!$S$12),"",IF(('Quantification_Results'!AA370&gt;'Quantification_Config'!$T$12),"",'Quantification_Results'!AA370)),"")))</x:f>
      </x:c>
      <x:c r="AC370">
        <x:f>IF(ISNUMBER('Quantification_Results'!AB370),IFERROR(ROUND(((('Quantification_Results'!AB370-'Quantification_Config'!$S$12)/('Quantification_Config'!$T$12-'Quantification_Config'!$S$12))*100),'Quantification_Config'!$U$2),""),"")</x:f>
      </x:c>
      <x:c r="AD370" t="inlineStr">
        <x:is>
          <x:t xml:space="preserve"/>
        </x:is>
      </x:c>
      <x:c r="AE370" t="inlineStr">
        <x:is>
          <x:t xml:space="preserve"/>
        </x:is>
      </x:c>
      <x:c r="AF370" t="inlineStr">
        <x:is>
          <x:t xml:space="preserve"/>
        </x:is>
      </x:c>
      <x:c r="AG370" t="inlineStr">
        <x:is>
          <x:t xml:space="preserve"/>
        </x:is>
      </x:c>
      <x:c r="AH370" t="inlineStr">
        <x:is>
          <x:t xml:space="preserve">EMPTY</x:t>
        </x:is>
      </x:c>
      <x:c r="AI370">
        <x:f>IF((COUNT('Quantification_Results'!AC370)=1),IFERROR(ROUND((SUM(('Quantification_Results'!AC370*'Quantification_Config'!$R$12))/SUM('Quantification_Config'!$R$12)),'Quantification_Config'!$U$2),""),"")</x:f>
      </x:c>
      <x:c r="AJ370">
        <x:f>IF((COUNT('Quantification_Results'!AI370)=1),IFERROR(ROUND((SUM(('Quantification_Results'!AI370*'Quantification_Config'!$R$11))/SUM('Quantification_Config'!$R$11)),'Quantification_Config'!$U$2),""),"")</x:f>
      </x:c>
      <x:c r="AK370" t="n">
        <x:v>1</x:v>
      </x:c>
      <x:c r="AL370" t="n">
        <x:v>5</x:v>
      </x:c>
      <x:c r="AM370"/>
      <x:c r="AN370" t="n">
        <x:f>IF(('Quantification_Results'!AK370&lt;&gt;1),"",IF(('Quantification_Results'!AM370=""),IF(ISNUMBER('Quantification_Results'!AL370),IF(('Quantification_Results'!AL370&lt;'Quantification_Config'!$S$15),"",IF(('Quantification_Results'!AL370&gt;'Quantification_Config'!$T$15),"",'Quantification_Results'!AL370)),""),IF(ISNUMBER('Quantification_Results'!AM370),IF(('Quantification_Results'!AM370&lt;'Quantification_Config'!$S$15),"",IF(('Quantification_Results'!AM370&gt;'Quantification_Config'!$T$15),"",'Quantification_Results'!AM370)),"")))</x:f>
        <x:v>5</x:v>
      </x:c>
      <x:c r="AO370" t="n">
        <x:f>IF(ISNUMBER('Quantification_Results'!AN370),IFERROR(ROUND(((('Quantification_Results'!AN370-'Quantification_Config'!$S$15)/('Quantification_Config'!$T$15-'Quantification_Config'!$S$15))*100),'Quantification_Config'!$U$2),""),"")</x:f>
        <x:v>50</x:v>
      </x:c>
      <x:c r="AP370" t="inlineStr">
        <x:is>
          <x:t xml:space="preserve">SYSTEM-TEST-ONLY-NO-NETWORK-NOT-AN-EDUCATIONAL-EVALUATION</x:t>
        </x:is>
      </x:c>
      <x:c r="AQ370" t="inlineStr">
        <x:is>
          <x:t xml:space="preserve"/>
        </x:is>
      </x:c>
      <x:c r="AR370" t="inlineStr">
        <x:is>
          <x:t xml:space="preserve">NONE</x:t>
        </x:is>
      </x:c>
      <x:c r="AS370" t="inlineStr">
        <x:is>
          <x:t xml:space="preserve"/>
        </x:is>
      </x:c>
      <x:c r="AT370" t="inlineStr">
        <x:is>
          <x:t xml:space="preserve">SUCCESS</x:t>
        </x:is>
      </x:c>
      <x:c r="AU370" t="n">
        <x:f>IF((COUNT('Quantification_Results'!AO370)=1),IFERROR(ROUND((SUM(('Quantification_Results'!AO370*'Quantification_Config'!$R$15))/SUM('Quantification_Config'!$R$15)),'Quantification_Config'!$U$2),""),"")</x:f>
        <x:v>50</x:v>
      </x:c>
      <x:c r="AV370" t="n">
        <x:f>IF((COUNT('Quantification_Results'!AU370)=1),IFERROR(ROUND((SUM(('Quantification_Results'!AU370*'Quantification_Config'!$R$14))/SUM('Quantification_Config'!$R$14)),'Quantification_Config'!$U$2),""),"")</x:f>
        <x:v>50</x:v>
      </x:c>
      <x:c r="AW370" t="n">
        <x:v>1</x:v>
      </x:c>
      <x:c r="AX370" t="n">
        <x:v>5</x:v>
      </x:c>
      <x:c r="AY370"/>
      <x:c r="AZ370" t="n">
        <x:f>IF(('Quantification_Results'!AW370&lt;&gt;1),"",IF(('Quantification_Results'!AY370=""),IF(ISNUMBER('Quantification_Results'!AX370),IF(('Quantification_Results'!AX370&lt;'Quantification_Config'!$S$19),"",IF(('Quantification_Results'!AX370&gt;'Quantification_Config'!$T$19),"",'Quantification_Results'!AX370)),""),IF(ISNUMBER('Quantification_Results'!AY370),IF(('Quantification_Results'!AY370&lt;'Quantification_Config'!$S$19),"",IF(('Quantification_Results'!AY370&gt;'Quantification_Config'!$T$19),"",'Quantification_Results'!AY370)),"")))</x:f>
        <x:v>5</x:v>
      </x:c>
      <x:c r="BA370" t="n">
        <x:f>IF(ISNUMBER('Quantification_Results'!AZ370),IFERROR(ROUND(((('Quantification_Results'!AZ370-'Quantification_Config'!$S$19)/('Quantification_Config'!$T$19-'Quantification_Config'!$S$19))*100),'Quantification_Config'!$U$2),""),"")</x:f>
        <x:v>50</x:v>
      </x:c>
      <x:c r="BB370" t="inlineStr">
        <x:is>
          <x:t xml:space="preserve">SYSTEM-TEST-ONLY-NO-NETWORK-NOT-AN-EDUCATIONAL-EVALUATION</x:t>
        </x:is>
      </x:c>
      <x:c r="BC370" t="inlineStr">
        <x:is>
          <x:t xml:space="preserve"/>
        </x:is>
      </x:c>
      <x:c r="BD370" t="inlineStr">
        <x:is>
          <x:t xml:space="preserve">NONE</x:t>
        </x:is>
      </x:c>
      <x:c r="BE370" t="inlineStr">
        <x:is>
          <x:t xml:space="preserve"/>
        </x:is>
      </x:c>
      <x:c r="BF370" t="inlineStr">
        <x:is>
          <x:t xml:space="preserve">SUCCESS</x:t>
        </x:is>
      </x:c>
      <x:c r="BG370" t="n">
        <x:f>IF((COUNT('Quantification_Results'!BA370)=1),IFERROR(ROUND((SUM(('Quantification_Results'!BA370*'Quantification_Config'!$R$19))/SUM('Quantification_Config'!$R$19)),'Quantification_Config'!$U$2),""),"")</x:f>
        <x:v>50</x:v>
      </x:c>
      <x:c r="BH370" t="n">
        <x:f>IF((COUNT('Quantification_Results'!BG370)=1),IFERROR(ROUND((SUM(('Quantification_Results'!BG370*'Quantification_Config'!$R$18))/SUM('Quantification_Config'!$R$18)),'Quantification_Config'!$U$2),""),"")</x:f>
        <x:v>50</x:v>
      </x:c>
      <x:c r="BI370">
        <x:f>IF((COUNT('Quantification_Results'!L370,'Quantification_Results'!X370,'Quantification_Results'!AJ370,'Quantification_Results'!AV370,'Quantification_Results'!BH370)=5),IFERROR(ROUND((SUM(('Quantification_Results'!L370*'Quantification_Config'!$R$4),('Quantification_Results'!X370*'Quantification_Config'!$R$7),('Quantification_Results'!AJ370*'Quantification_Config'!$R$10),('Quantification_Results'!AV370*'Quantification_Config'!$R$13),('Quantification_Results'!BH370*'Quantification_Config'!$R$16))/SUM('Quantification_Config'!$R$4,'Quantification_Config'!$R$7,'Quantification_Config'!$R$10,'Quantification_Config'!$R$13,'Quantification_Config'!$R$16)),'Quantification_Config'!$U$2),""),"")</x:f>
      </x:c>
    </x:row>
    <x:row r="371">
      <x:c r="A371" t="n">
        <x:v>1</x:v>
      </x:c>
      <x:c r="B371" t="n">
        <x:v>5</x:v>
      </x:c>
      <x:c r="C371"/>
      <x:c r="D371" t="n">
        <x:f>IF(('Quantification_Results'!A371&lt;&gt;1),"",IF(('Quantification_Results'!C371=""),IF(ISNUMBER('Quantification_Results'!B371),IF(('Quantification_Results'!B371&lt;'Quantification_Config'!$S$6),"",IF(('Quantification_Results'!B371&gt;'Quantification_Config'!$T$6),"",'Quantification_Results'!B371)),""),IF(ISNUMBER('Quantification_Results'!C371),IF(('Quantification_Results'!C371&lt;'Quantification_Config'!$S$6),"",IF(('Quantification_Results'!C371&gt;'Quantification_Config'!$T$6),"",'Quantification_Results'!C371)),"")))</x:f>
        <x:v>5</x:v>
      </x:c>
      <x:c r="E371" t="n">
        <x:f>IF(ISNUMBER('Quantification_Results'!D371),IFERROR(ROUND(((('Quantification_Results'!D371-'Quantification_Config'!$S$6)/('Quantification_Config'!$T$6-'Quantification_Config'!$S$6))*100),'Quantification_Config'!$U$2),""),"")</x:f>
        <x:v>50</x:v>
      </x:c>
      <x:c r="F371" t="inlineStr">
        <x:is>
          <x:t xml:space="preserve">SYSTEM-TEST-ONLY-NO-NETWORK-NOT-AN-EDUCATIONAL-EVALUATION</x:t>
        </x:is>
      </x:c>
      <x:c r="G371" t="inlineStr">
        <x:is>
          <x:t xml:space="preserve"/>
        </x:is>
      </x:c>
      <x:c r="H371" t="inlineStr">
        <x:is>
          <x:t xml:space="preserve">NONE</x:t>
        </x:is>
      </x:c>
      <x:c r="I371" t="inlineStr">
        <x:is>
          <x:t xml:space="preserve"/>
        </x:is>
      </x:c>
      <x:c r="J371" t="inlineStr">
        <x:is>
          <x:t xml:space="preserve">SUCCESS</x:t>
        </x:is>
      </x:c>
      <x:c r="K371" t="n">
        <x:f>IF((COUNT('Quantification_Results'!E371)=1),IFERROR(ROUND((SUM(('Quantification_Results'!E371*'Quantification_Config'!$R$6))/SUM('Quantification_Config'!$R$6)),'Quantification_Config'!$U$2),""),"")</x:f>
        <x:v>50</x:v>
      </x:c>
      <x:c r="L371" t="n">
        <x:f>IF((COUNT('Quantification_Results'!K371)=1),IFERROR(ROUND((SUM(('Quantification_Results'!K371*'Quantification_Config'!$R$5))/SUM('Quantification_Config'!$R$5)),'Quantification_Config'!$U$2),""),"")</x:f>
        <x:v>50</x:v>
      </x:c>
      <x:c r="M371" t="n">
        <x:v>1</x:v>
      </x:c>
      <x:c r="N371" t="n">
        <x:v>5</x:v>
      </x:c>
      <x:c r="O371"/>
      <x:c r="P371" t="n">
        <x:f>IF(('Quantification_Results'!M371&lt;&gt;1),"",IF(('Quantification_Results'!O371=""),IF(ISNUMBER('Quantification_Results'!N371),IF(('Quantification_Results'!N371&lt;'Quantification_Config'!$S$9),"",IF(('Quantification_Results'!N371&gt;'Quantification_Config'!$T$9),"",'Quantification_Results'!N371)),""),IF(ISNUMBER('Quantification_Results'!O371),IF(('Quantification_Results'!O371&lt;'Quantification_Config'!$S$9),"",IF(('Quantification_Results'!O371&gt;'Quantification_Config'!$T$9),"",'Quantification_Results'!O371)),"")))</x:f>
        <x:v>5</x:v>
      </x:c>
      <x:c r="Q371" t="n">
        <x:f>IF(ISNUMBER('Quantification_Results'!P371),IFERROR(ROUND(((('Quantification_Results'!P371-'Quantification_Config'!$S$9)/('Quantification_Config'!$T$9-'Quantification_Config'!$S$9))*100),'Quantification_Config'!$U$2),""),"")</x:f>
        <x:v>50</x:v>
      </x:c>
      <x:c r="R371" t="inlineStr">
        <x:is>
          <x:t xml:space="preserve">SYSTEM-TEST-ONLY-NO-NETWORK-NOT-AN-EDUCATIONAL-EVALUATION</x:t>
        </x:is>
      </x:c>
      <x:c r="S371" t="inlineStr">
        <x:is>
          <x:t xml:space="preserve"/>
        </x:is>
      </x:c>
      <x:c r="T371" t="inlineStr">
        <x:is>
          <x:t xml:space="preserve">NONE</x:t>
        </x:is>
      </x:c>
      <x:c r="U371" t="inlineStr">
        <x:is>
          <x:t xml:space="preserve"/>
        </x:is>
      </x:c>
      <x:c r="V371" t="inlineStr">
        <x:is>
          <x:t xml:space="preserve">SUCCESS</x:t>
        </x:is>
      </x:c>
      <x:c r="W371" t="n">
        <x:f>IF((COUNT('Quantification_Results'!Q371)=1),IFERROR(ROUND((SUM(('Quantification_Results'!Q371*'Quantification_Config'!$R$9))/SUM('Quantification_Config'!$R$9)),'Quantification_Config'!$U$2),""),"")</x:f>
        <x:v>50</x:v>
      </x:c>
      <x:c r="X371" t="n">
        <x:f>IF((COUNT('Quantification_Results'!W371)=1),IFERROR(ROUND((SUM(('Quantification_Results'!W371*'Quantification_Config'!$R$8))/SUM('Quantification_Config'!$R$8)),'Quantification_Config'!$U$2),""),"")</x:f>
        <x:v>50</x:v>
      </x:c>
      <x:c r="Y371" t="n">
        <x:v>0</x:v>
      </x:c>
      <x:c r="Z371"/>
      <x:c r="AA371"/>
      <x:c r="AB371">
        <x:f>IF(('Quantification_Results'!Y371&lt;&gt;1),"",IF(('Quantification_Results'!AA371=""),IF(ISNUMBER('Quantification_Results'!Z371),IF(('Quantification_Results'!Z371&lt;'Quantification_Config'!$S$12),"",IF(('Quantification_Results'!Z371&gt;'Quantification_Config'!$T$12),"",'Quantification_Results'!Z371)),""),IF(ISNUMBER('Quantification_Results'!AA371),IF(('Quantification_Results'!AA371&lt;'Quantification_Config'!$S$12),"",IF(('Quantification_Results'!AA371&gt;'Quantification_Config'!$T$12),"",'Quantification_Results'!AA371)),"")))</x:f>
      </x:c>
      <x:c r="AC371">
        <x:f>IF(ISNUMBER('Quantification_Results'!AB371),IFERROR(ROUND(((('Quantification_Results'!AB371-'Quantification_Config'!$S$12)/('Quantification_Config'!$T$12-'Quantification_Config'!$S$12))*100),'Quantification_Config'!$U$2),""),"")</x:f>
      </x:c>
      <x:c r="AD371" t="inlineStr">
        <x:is>
          <x:t xml:space="preserve"/>
        </x:is>
      </x:c>
      <x:c r="AE371" t="inlineStr">
        <x:is>
          <x:t xml:space="preserve"/>
        </x:is>
      </x:c>
      <x:c r="AF371" t="inlineStr">
        <x:is>
          <x:t xml:space="preserve"/>
        </x:is>
      </x:c>
      <x:c r="AG371" t="inlineStr">
        <x:is>
          <x:t xml:space="preserve"/>
        </x:is>
      </x:c>
      <x:c r="AH371" t="inlineStr">
        <x:is>
          <x:t xml:space="preserve">EMPTY</x:t>
        </x:is>
      </x:c>
      <x:c r="AI371">
        <x:f>IF((COUNT('Quantification_Results'!AC371)=1),IFERROR(ROUND((SUM(('Quantification_Results'!AC371*'Quantification_Config'!$R$12))/SUM('Quantification_Config'!$R$12)),'Quantification_Config'!$U$2),""),"")</x:f>
      </x:c>
      <x:c r="AJ371">
        <x:f>IF((COUNT('Quantification_Results'!AI371)=1),IFERROR(ROUND((SUM(('Quantification_Results'!AI371*'Quantification_Config'!$R$11))/SUM('Quantification_Config'!$R$11)),'Quantification_Config'!$U$2),""),"")</x:f>
      </x:c>
      <x:c r="AK371" t="n">
        <x:v>1</x:v>
      </x:c>
      <x:c r="AL371" t="n">
        <x:v>5</x:v>
      </x:c>
      <x:c r="AM371"/>
      <x:c r="AN371" t="n">
        <x:f>IF(('Quantification_Results'!AK371&lt;&gt;1),"",IF(('Quantification_Results'!AM371=""),IF(ISNUMBER('Quantification_Results'!AL371),IF(('Quantification_Results'!AL371&lt;'Quantification_Config'!$S$15),"",IF(('Quantification_Results'!AL371&gt;'Quantification_Config'!$T$15),"",'Quantification_Results'!AL371)),""),IF(ISNUMBER('Quantification_Results'!AM371),IF(('Quantification_Results'!AM371&lt;'Quantification_Config'!$S$15),"",IF(('Quantification_Results'!AM371&gt;'Quantification_Config'!$T$15),"",'Quantification_Results'!AM371)),"")))</x:f>
        <x:v>5</x:v>
      </x:c>
      <x:c r="AO371" t="n">
        <x:f>IF(ISNUMBER('Quantification_Results'!AN371),IFERROR(ROUND(((('Quantification_Results'!AN371-'Quantification_Config'!$S$15)/('Quantification_Config'!$T$15-'Quantification_Config'!$S$15))*100),'Quantification_Config'!$U$2),""),"")</x:f>
        <x:v>50</x:v>
      </x:c>
      <x:c r="AP371" t="inlineStr">
        <x:is>
          <x:t xml:space="preserve">SYSTEM-TEST-ONLY-NO-NETWORK-NOT-AN-EDUCATIONAL-EVALUATION</x:t>
        </x:is>
      </x:c>
      <x:c r="AQ371" t="inlineStr">
        <x:is>
          <x:t xml:space="preserve"/>
        </x:is>
      </x:c>
      <x:c r="AR371" t="inlineStr">
        <x:is>
          <x:t xml:space="preserve">NONE</x:t>
        </x:is>
      </x:c>
      <x:c r="AS371" t="inlineStr">
        <x:is>
          <x:t xml:space="preserve"/>
        </x:is>
      </x:c>
      <x:c r="AT371" t="inlineStr">
        <x:is>
          <x:t xml:space="preserve">SUCCESS</x:t>
        </x:is>
      </x:c>
      <x:c r="AU371" t="n">
        <x:f>IF((COUNT('Quantification_Results'!AO371)=1),IFERROR(ROUND((SUM(('Quantification_Results'!AO371*'Quantification_Config'!$R$15))/SUM('Quantification_Config'!$R$15)),'Quantification_Config'!$U$2),""),"")</x:f>
        <x:v>50</x:v>
      </x:c>
      <x:c r="AV371" t="n">
        <x:f>IF((COUNT('Quantification_Results'!AU371)=1),IFERROR(ROUND((SUM(('Quantification_Results'!AU371*'Quantification_Config'!$R$14))/SUM('Quantification_Config'!$R$14)),'Quantification_Config'!$U$2),""),"")</x:f>
        <x:v>50</x:v>
      </x:c>
      <x:c r="AW371" t="n">
        <x:v>1</x:v>
      </x:c>
      <x:c r="AX371" t="n">
        <x:v>5</x:v>
      </x:c>
      <x:c r="AY371"/>
      <x:c r="AZ371" t="n">
        <x:f>IF(('Quantification_Results'!AW371&lt;&gt;1),"",IF(('Quantification_Results'!AY371=""),IF(ISNUMBER('Quantification_Results'!AX371),IF(('Quantification_Results'!AX371&lt;'Quantification_Config'!$S$19),"",IF(('Quantification_Results'!AX371&gt;'Quantification_Config'!$T$19),"",'Quantification_Results'!AX371)),""),IF(ISNUMBER('Quantification_Results'!AY371),IF(('Quantification_Results'!AY371&lt;'Quantification_Config'!$S$19),"",IF(('Quantification_Results'!AY371&gt;'Quantification_Config'!$T$19),"",'Quantification_Results'!AY371)),"")))</x:f>
        <x:v>5</x:v>
      </x:c>
      <x:c r="BA371" t="n">
        <x:f>IF(ISNUMBER('Quantification_Results'!AZ371),IFERROR(ROUND(((('Quantification_Results'!AZ371-'Quantification_Config'!$S$19)/('Quantification_Config'!$T$19-'Quantification_Config'!$S$19))*100),'Quantification_Config'!$U$2),""),"")</x:f>
        <x:v>50</x:v>
      </x:c>
      <x:c r="BB371" t="inlineStr">
        <x:is>
          <x:t xml:space="preserve">SYSTEM-TEST-ONLY-NO-NETWORK-NOT-AN-EDUCATIONAL-EVALUATION</x:t>
        </x:is>
      </x:c>
      <x:c r="BC371" t="inlineStr">
        <x:is>
          <x:t xml:space="preserve"/>
        </x:is>
      </x:c>
      <x:c r="BD371" t="inlineStr">
        <x:is>
          <x:t xml:space="preserve">NONE</x:t>
        </x:is>
      </x:c>
      <x:c r="BE371" t="inlineStr">
        <x:is>
          <x:t xml:space="preserve"/>
        </x:is>
      </x:c>
      <x:c r="BF371" t="inlineStr">
        <x:is>
          <x:t xml:space="preserve">SUCCESS</x:t>
        </x:is>
      </x:c>
      <x:c r="BG371" t="n">
        <x:f>IF((COUNT('Quantification_Results'!BA371)=1),IFERROR(ROUND((SUM(('Quantification_Results'!BA371*'Quantification_Config'!$R$19))/SUM('Quantification_Config'!$R$19)),'Quantification_Config'!$U$2),""),"")</x:f>
        <x:v>50</x:v>
      </x:c>
      <x:c r="BH371" t="n">
        <x:f>IF((COUNT('Quantification_Results'!BG371)=1),IFERROR(ROUND((SUM(('Quantification_Results'!BG371*'Quantification_Config'!$R$18))/SUM('Quantification_Config'!$R$18)),'Quantification_Config'!$U$2),""),"")</x:f>
        <x:v>50</x:v>
      </x:c>
      <x:c r="BI371">
        <x:f>IF((COUNT('Quantification_Results'!L371,'Quantification_Results'!X371,'Quantification_Results'!AJ371,'Quantification_Results'!AV371,'Quantification_Results'!BH371)=5),IFERROR(ROUND((SUM(('Quantification_Results'!L371*'Quantification_Config'!$R$4),('Quantification_Results'!X371*'Quantification_Config'!$R$7),('Quantification_Results'!AJ371*'Quantification_Config'!$R$10),('Quantification_Results'!AV371*'Quantification_Config'!$R$13),('Quantification_Results'!BH371*'Quantification_Config'!$R$16))/SUM('Quantification_Config'!$R$4,'Quantification_Config'!$R$7,'Quantification_Config'!$R$10,'Quantification_Config'!$R$13,'Quantification_Config'!$R$16)),'Quantification_Config'!$U$2),""),"")</x:f>
      </x:c>
    </x:row>
    <x:row r="372">
      <x:c r="A372" t="n">
        <x:v>1</x:v>
      </x:c>
      <x:c r="B372" t="n">
        <x:v>5</x:v>
      </x:c>
      <x:c r="C372"/>
      <x:c r="D372" t="n">
        <x:f>IF(('Quantification_Results'!A372&lt;&gt;1),"",IF(('Quantification_Results'!C372=""),IF(ISNUMBER('Quantification_Results'!B372),IF(('Quantification_Results'!B372&lt;'Quantification_Config'!$S$6),"",IF(('Quantification_Results'!B372&gt;'Quantification_Config'!$T$6),"",'Quantification_Results'!B372)),""),IF(ISNUMBER('Quantification_Results'!C372),IF(('Quantification_Results'!C372&lt;'Quantification_Config'!$S$6),"",IF(('Quantification_Results'!C372&gt;'Quantification_Config'!$T$6),"",'Quantification_Results'!C372)),"")))</x:f>
        <x:v>5</x:v>
      </x:c>
      <x:c r="E372" t="n">
        <x:f>IF(ISNUMBER('Quantification_Results'!D372),IFERROR(ROUND(((('Quantification_Results'!D372-'Quantification_Config'!$S$6)/('Quantification_Config'!$T$6-'Quantification_Config'!$S$6))*100),'Quantification_Config'!$U$2),""),"")</x:f>
        <x:v>50</x:v>
      </x:c>
      <x:c r="F372" t="inlineStr">
        <x:is>
          <x:t xml:space="preserve">SYSTEM-TEST-ONLY-NO-NETWORK-NOT-AN-EDUCATIONAL-EVALUATION</x:t>
        </x:is>
      </x:c>
      <x:c r="G372" t="inlineStr">
        <x:is>
          <x:t xml:space="preserve"/>
        </x:is>
      </x:c>
      <x:c r="H372" t="inlineStr">
        <x:is>
          <x:t xml:space="preserve">NONE</x:t>
        </x:is>
      </x:c>
      <x:c r="I372" t="inlineStr">
        <x:is>
          <x:t xml:space="preserve"/>
        </x:is>
      </x:c>
      <x:c r="J372" t="inlineStr">
        <x:is>
          <x:t xml:space="preserve">SUCCESS</x:t>
        </x:is>
      </x:c>
      <x:c r="K372" t="n">
        <x:f>IF((COUNT('Quantification_Results'!E372)=1),IFERROR(ROUND((SUM(('Quantification_Results'!E372*'Quantification_Config'!$R$6))/SUM('Quantification_Config'!$R$6)),'Quantification_Config'!$U$2),""),"")</x:f>
        <x:v>50</x:v>
      </x:c>
      <x:c r="L372" t="n">
        <x:f>IF((COUNT('Quantification_Results'!K372)=1),IFERROR(ROUND((SUM(('Quantification_Results'!K372*'Quantification_Config'!$R$5))/SUM('Quantification_Config'!$R$5)),'Quantification_Config'!$U$2),""),"")</x:f>
        <x:v>50</x:v>
      </x:c>
      <x:c r="M372" t="n">
        <x:v>1</x:v>
      </x:c>
      <x:c r="N372" t="n">
        <x:v>5</x:v>
      </x:c>
      <x:c r="O372"/>
      <x:c r="P372" t="n">
        <x:f>IF(('Quantification_Results'!M372&lt;&gt;1),"",IF(('Quantification_Results'!O372=""),IF(ISNUMBER('Quantification_Results'!N372),IF(('Quantification_Results'!N372&lt;'Quantification_Config'!$S$9),"",IF(('Quantification_Results'!N372&gt;'Quantification_Config'!$T$9),"",'Quantification_Results'!N372)),""),IF(ISNUMBER('Quantification_Results'!O372),IF(('Quantification_Results'!O372&lt;'Quantification_Config'!$S$9),"",IF(('Quantification_Results'!O372&gt;'Quantification_Config'!$T$9),"",'Quantification_Results'!O372)),"")))</x:f>
        <x:v>5</x:v>
      </x:c>
      <x:c r="Q372" t="n">
        <x:f>IF(ISNUMBER('Quantification_Results'!P372),IFERROR(ROUND(((('Quantification_Results'!P372-'Quantification_Config'!$S$9)/('Quantification_Config'!$T$9-'Quantification_Config'!$S$9))*100),'Quantification_Config'!$U$2),""),"")</x:f>
        <x:v>50</x:v>
      </x:c>
      <x:c r="R372" t="inlineStr">
        <x:is>
          <x:t xml:space="preserve">SYSTEM-TEST-ONLY-NO-NETWORK-NOT-AN-EDUCATIONAL-EVALUATION</x:t>
        </x:is>
      </x:c>
      <x:c r="S372" t="inlineStr">
        <x:is>
          <x:t xml:space="preserve"/>
        </x:is>
      </x:c>
      <x:c r="T372" t="inlineStr">
        <x:is>
          <x:t xml:space="preserve">NONE</x:t>
        </x:is>
      </x:c>
      <x:c r="U372" t="inlineStr">
        <x:is>
          <x:t xml:space="preserve"/>
        </x:is>
      </x:c>
      <x:c r="V372" t="inlineStr">
        <x:is>
          <x:t xml:space="preserve">SUCCESS</x:t>
        </x:is>
      </x:c>
      <x:c r="W372" t="n">
        <x:f>IF((COUNT('Quantification_Results'!Q372)=1),IFERROR(ROUND((SUM(('Quantification_Results'!Q372*'Quantification_Config'!$R$9))/SUM('Quantification_Config'!$R$9)),'Quantification_Config'!$U$2),""),"")</x:f>
        <x:v>50</x:v>
      </x:c>
      <x:c r="X372" t="n">
        <x:f>IF((COUNT('Quantification_Results'!W372)=1),IFERROR(ROUND((SUM(('Quantification_Results'!W372*'Quantification_Config'!$R$8))/SUM('Quantification_Config'!$R$8)),'Quantification_Config'!$U$2),""),"")</x:f>
        <x:v>50</x:v>
      </x:c>
      <x:c r="Y372" t="n">
        <x:v>0</x:v>
      </x:c>
      <x:c r="Z372"/>
      <x:c r="AA372"/>
      <x:c r="AB372">
        <x:f>IF(('Quantification_Results'!Y372&lt;&gt;1),"",IF(('Quantification_Results'!AA372=""),IF(ISNUMBER('Quantification_Results'!Z372),IF(('Quantification_Results'!Z372&lt;'Quantification_Config'!$S$12),"",IF(('Quantification_Results'!Z372&gt;'Quantification_Config'!$T$12),"",'Quantification_Results'!Z372)),""),IF(ISNUMBER('Quantification_Results'!AA372),IF(('Quantification_Results'!AA372&lt;'Quantification_Config'!$S$12),"",IF(('Quantification_Results'!AA372&gt;'Quantification_Config'!$T$12),"",'Quantification_Results'!AA372)),"")))</x:f>
      </x:c>
      <x:c r="AC372">
        <x:f>IF(ISNUMBER('Quantification_Results'!AB372),IFERROR(ROUND(((('Quantification_Results'!AB372-'Quantification_Config'!$S$12)/('Quantification_Config'!$T$12-'Quantification_Config'!$S$12))*100),'Quantification_Config'!$U$2),""),"")</x:f>
      </x:c>
      <x:c r="AD372" t="inlineStr">
        <x:is>
          <x:t xml:space="preserve"/>
        </x:is>
      </x:c>
      <x:c r="AE372" t="inlineStr">
        <x:is>
          <x:t xml:space="preserve"/>
        </x:is>
      </x:c>
      <x:c r="AF372" t="inlineStr">
        <x:is>
          <x:t xml:space="preserve"/>
        </x:is>
      </x:c>
      <x:c r="AG372" t="inlineStr">
        <x:is>
          <x:t xml:space="preserve"/>
        </x:is>
      </x:c>
      <x:c r="AH372" t="inlineStr">
        <x:is>
          <x:t xml:space="preserve">EMPTY</x:t>
        </x:is>
      </x:c>
      <x:c r="AI372">
        <x:f>IF((COUNT('Quantification_Results'!AC372)=1),IFERROR(ROUND((SUM(('Quantification_Results'!AC372*'Quantification_Config'!$R$12))/SUM('Quantification_Config'!$R$12)),'Quantification_Config'!$U$2),""),"")</x:f>
      </x:c>
      <x:c r="AJ372">
        <x:f>IF((COUNT('Quantification_Results'!AI372)=1),IFERROR(ROUND((SUM(('Quantification_Results'!AI372*'Quantification_Config'!$R$11))/SUM('Quantification_Config'!$R$11)),'Quantification_Config'!$U$2),""),"")</x:f>
      </x:c>
      <x:c r="AK372" t="n">
        <x:v>1</x:v>
      </x:c>
      <x:c r="AL372" t="n">
        <x:v>5</x:v>
      </x:c>
      <x:c r="AM372"/>
      <x:c r="AN372" t="n">
        <x:f>IF(('Quantification_Results'!AK372&lt;&gt;1),"",IF(('Quantification_Results'!AM372=""),IF(ISNUMBER('Quantification_Results'!AL372),IF(('Quantification_Results'!AL372&lt;'Quantification_Config'!$S$15),"",IF(('Quantification_Results'!AL372&gt;'Quantification_Config'!$T$15),"",'Quantification_Results'!AL372)),""),IF(ISNUMBER('Quantification_Results'!AM372),IF(('Quantification_Results'!AM372&lt;'Quantification_Config'!$S$15),"",IF(('Quantification_Results'!AM372&gt;'Quantification_Config'!$T$15),"",'Quantification_Results'!AM372)),"")))</x:f>
        <x:v>5</x:v>
      </x:c>
      <x:c r="AO372" t="n">
        <x:f>IF(ISNUMBER('Quantification_Results'!AN372),IFERROR(ROUND(((('Quantification_Results'!AN372-'Quantification_Config'!$S$15)/('Quantification_Config'!$T$15-'Quantification_Config'!$S$15))*100),'Quantification_Config'!$U$2),""),"")</x:f>
        <x:v>50</x:v>
      </x:c>
      <x:c r="AP372" t="inlineStr">
        <x:is>
          <x:t xml:space="preserve">SYSTEM-TEST-ONLY-NO-NETWORK-NOT-AN-EDUCATIONAL-EVALUATION</x:t>
        </x:is>
      </x:c>
      <x:c r="AQ372" t="inlineStr">
        <x:is>
          <x:t xml:space="preserve"/>
        </x:is>
      </x:c>
      <x:c r="AR372" t="inlineStr">
        <x:is>
          <x:t xml:space="preserve">NONE</x:t>
        </x:is>
      </x:c>
      <x:c r="AS372" t="inlineStr">
        <x:is>
          <x:t xml:space="preserve"/>
        </x:is>
      </x:c>
      <x:c r="AT372" t="inlineStr">
        <x:is>
          <x:t xml:space="preserve">SUCCESS</x:t>
        </x:is>
      </x:c>
      <x:c r="AU372" t="n">
        <x:f>IF((COUNT('Quantification_Results'!AO372)=1),IFERROR(ROUND((SUM(('Quantification_Results'!AO372*'Quantification_Config'!$R$15))/SUM('Quantification_Config'!$R$15)),'Quantification_Config'!$U$2),""),"")</x:f>
        <x:v>50</x:v>
      </x:c>
      <x:c r="AV372" t="n">
        <x:f>IF((COUNT('Quantification_Results'!AU372)=1),IFERROR(ROUND((SUM(('Quantification_Results'!AU372*'Quantification_Config'!$R$14))/SUM('Quantification_Config'!$R$14)),'Quantification_Config'!$U$2),""),"")</x:f>
        <x:v>50</x:v>
      </x:c>
      <x:c r="AW372" t="n">
        <x:v>1</x:v>
      </x:c>
      <x:c r="AX372" t="n">
        <x:v>5</x:v>
      </x:c>
      <x:c r="AY372"/>
      <x:c r="AZ372" t="n">
        <x:f>IF(('Quantification_Results'!AW372&lt;&gt;1),"",IF(('Quantification_Results'!AY372=""),IF(ISNUMBER('Quantification_Results'!AX372),IF(('Quantification_Results'!AX372&lt;'Quantification_Config'!$S$19),"",IF(('Quantification_Results'!AX372&gt;'Quantification_Config'!$T$19),"",'Quantification_Results'!AX372)),""),IF(ISNUMBER('Quantification_Results'!AY372),IF(('Quantification_Results'!AY372&lt;'Quantification_Config'!$S$19),"",IF(('Quantification_Results'!AY372&gt;'Quantification_Config'!$T$19),"",'Quantification_Results'!AY372)),"")))</x:f>
        <x:v>5</x:v>
      </x:c>
      <x:c r="BA372" t="n">
        <x:f>IF(ISNUMBER('Quantification_Results'!AZ372),IFERROR(ROUND(((('Quantification_Results'!AZ372-'Quantification_Config'!$S$19)/('Quantification_Config'!$T$19-'Quantification_Config'!$S$19))*100),'Quantification_Config'!$U$2),""),"")</x:f>
        <x:v>50</x:v>
      </x:c>
      <x:c r="BB372" t="inlineStr">
        <x:is>
          <x:t xml:space="preserve">SYSTEM-TEST-ONLY-NO-NETWORK-NOT-AN-EDUCATIONAL-EVALUATION</x:t>
        </x:is>
      </x:c>
      <x:c r="BC372" t="inlineStr">
        <x:is>
          <x:t xml:space="preserve"/>
        </x:is>
      </x:c>
      <x:c r="BD372" t="inlineStr">
        <x:is>
          <x:t xml:space="preserve">NONE</x:t>
        </x:is>
      </x:c>
      <x:c r="BE372" t="inlineStr">
        <x:is>
          <x:t xml:space="preserve"/>
        </x:is>
      </x:c>
      <x:c r="BF372" t="inlineStr">
        <x:is>
          <x:t xml:space="preserve">SUCCESS</x:t>
        </x:is>
      </x:c>
      <x:c r="BG372" t="n">
        <x:f>IF((COUNT('Quantification_Results'!BA372)=1),IFERROR(ROUND((SUM(('Quantification_Results'!BA372*'Quantification_Config'!$R$19))/SUM('Quantification_Config'!$R$19)),'Quantification_Config'!$U$2),""),"")</x:f>
        <x:v>50</x:v>
      </x:c>
      <x:c r="BH372" t="n">
        <x:f>IF((COUNT('Quantification_Results'!BG372)=1),IFERROR(ROUND((SUM(('Quantification_Results'!BG372*'Quantification_Config'!$R$18))/SUM('Quantification_Config'!$R$18)),'Quantification_Config'!$U$2),""),"")</x:f>
        <x:v>50</x:v>
      </x:c>
      <x:c r="BI372">
        <x:f>IF((COUNT('Quantification_Results'!L372,'Quantification_Results'!X372,'Quantification_Results'!AJ372,'Quantification_Results'!AV372,'Quantification_Results'!BH372)=5),IFERROR(ROUND((SUM(('Quantification_Results'!L372*'Quantification_Config'!$R$4),('Quantification_Results'!X372*'Quantification_Config'!$R$7),('Quantification_Results'!AJ372*'Quantification_Config'!$R$10),('Quantification_Results'!AV372*'Quantification_Config'!$R$13),('Quantification_Results'!BH372*'Quantification_Config'!$R$16))/SUM('Quantification_Config'!$R$4,'Quantification_Config'!$R$7,'Quantification_Config'!$R$10,'Quantification_Config'!$R$13,'Quantification_Config'!$R$16)),'Quantification_Config'!$U$2),""),"")</x:f>
      </x:c>
    </x:row>
    <x:row r="373">
      <x:c r="A373" t="n">
        <x:v>1</x:v>
      </x:c>
      <x:c r="B373" t="n">
        <x:v>5</x:v>
      </x:c>
      <x:c r="C373"/>
      <x:c r="D373" t="n">
        <x:f>IF(('Quantification_Results'!A373&lt;&gt;1),"",IF(('Quantification_Results'!C373=""),IF(ISNUMBER('Quantification_Results'!B373),IF(('Quantification_Results'!B373&lt;'Quantification_Config'!$S$6),"",IF(('Quantification_Results'!B373&gt;'Quantification_Config'!$T$6),"",'Quantification_Results'!B373)),""),IF(ISNUMBER('Quantification_Results'!C373),IF(('Quantification_Results'!C373&lt;'Quantification_Config'!$S$6),"",IF(('Quantification_Results'!C373&gt;'Quantification_Config'!$T$6),"",'Quantification_Results'!C373)),"")))</x:f>
        <x:v>5</x:v>
      </x:c>
      <x:c r="E373" t="n">
        <x:f>IF(ISNUMBER('Quantification_Results'!D373),IFERROR(ROUND(((('Quantification_Results'!D373-'Quantification_Config'!$S$6)/('Quantification_Config'!$T$6-'Quantification_Config'!$S$6))*100),'Quantification_Config'!$U$2),""),"")</x:f>
        <x:v>50</x:v>
      </x:c>
      <x:c r="F373" t="inlineStr">
        <x:is>
          <x:t xml:space="preserve">SYSTEM-TEST-ONLY-NO-NETWORK-NOT-AN-EDUCATIONAL-EVALUATION</x:t>
        </x:is>
      </x:c>
      <x:c r="G373" t="inlineStr">
        <x:is>
          <x:t xml:space="preserve"/>
        </x:is>
      </x:c>
      <x:c r="H373" t="inlineStr">
        <x:is>
          <x:t xml:space="preserve">NONE</x:t>
        </x:is>
      </x:c>
      <x:c r="I373" t="inlineStr">
        <x:is>
          <x:t xml:space="preserve"/>
        </x:is>
      </x:c>
      <x:c r="J373" t="inlineStr">
        <x:is>
          <x:t xml:space="preserve">SUCCESS</x:t>
        </x:is>
      </x:c>
      <x:c r="K373" t="n">
        <x:f>IF((COUNT('Quantification_Results'!E373)=1),IFERROR(ROUND((SUM(('Quantification_Results'!E373*'Quantification_Config'!$R$6))/SUM('Quantification_Config'!$R$6)),'Quantification_Config'!$U$2),""),"")</x:f>
        <x:v>50</x:v>
      </x:c>
      <x:c r="L373" t="n">
        <x:f>IF((COUNT('Quantification_Results'!K373)=1),IFERROR(ROUND((SUM(('Quantification_Results'!K373*'Quantification_Config'!$R$5))/SUM('Quantification_Config'!$R$5)),'Quantification_Config'!$U$2),""),"")</x:f>
        <x:v>50</x:v>
      </x:c>
      <x:c r="M373" t="n">
        <x:v>1</x:v>
      </x:c>
      <x:c r="N373" t="n">
        <x:v>5</x:v>
      </x:c>
      <x:c r="O373"/>
      <x:c r="P373" t="n">
        <x:f>IF(('Quantification_Results'!M373&lt;&gt;1),"",IF(('Quantification_Results'!O373=""),IF(ISNUMBER('Quantification_Results'!N373),IF(('Quantification_Results'!N373&lt;'Quantification_Config'!$S$9),"",IF(('Quantification_Results'!N373&gt;'Quantification_Config'!$T$9),"",'Quantification_Results'!N373)),""),IF(ISNUMBER('Quantification_Results'!O373),IF(('Quantification_Results'!O373&lt;'Quantification_Config'!$S$9),"",IF(('Quantification_Results'!O373&gt;'Quantification_Config'!$T$9),"",'Quantification_Results'!O373)),"")))</x:f>
        <x:v>5</x:v>
      </x:c>
      <x:c r="Q373" t="n">
        <x:f>IF(ISNUMBER('Quantification_Results'!P373),IFERROR(ROUND(((('Quantification_Results'!P373-'Quantification_Config'!$S$9)/('Quantification_Config'!$T$9-'Quantification_Config'!$S$9))*100),'Quantification_Config'!$U$2),""),"")</x:f>
        <x:v>50</x:v>
      </x:c>
      <x:c r="R373" t="inlineStr">
        <x:is>
          <x:t xml:space="preserve">SYSTEM-TEST-ONLY-NO-NETWORK-NOT-AN-EDUCATIONAL-EVALUATION</x:t>
        </x:is>
      </x:c>
      <x:c r="S373" t="inlineStr">
        <x:is>
          <x:t xml:space="preserve"/>
        </x:is>
      </x:c>
      <x:c r="T373" t="inlineStr">
        <x:is>
          <x:t xml:space="preserve">NONE</x:t>
        </x:is>
      </x:c>
      <x:c r="U373" t="inlineStr">
        <x:is>
          <x:t xml:space="preserve"/>
        </x:is>
      </x:c>
      <x:c r="V373" t="inlineStr">
        <x:is>
          <x:t xml:space="preserve">SUCCESS</x:t>
        </x:is>
      </x:c>
      <x:c r="W373" t="n">
        <x:f>IF((COUNT('Quantification_Results'!Q373)=1),IFERROR(ROUND((SUM(('Quantification_Results'!Q373*'Quantification_Config'!$R$9))/SUM('Quantification_Config'!$R$9)),'Quantification_Config'!$U$2),""),"")</x:f>
        <x:v>50</x:v>
      </x:c>
      <x:c r="X373" t="n">
        <x:f>IF((COUNT('Quantification_Results'!W373)=1),IFERROR(ROUND((SUM(('Quantification_Results'!W373*'Quantification_Config'!$R$8))/SUM('Quantification_Config'!$R$8)),'Quantification_Config'!$U$2),""),"")</x:f>
        <x:v>50</x:v>
      </x:c>
      <x:c r="Y373" t="n">
        <x:v>0</x:v>
      </x:c>
      <x:c r="Z373"/>
      <x:c r="AA373"/>
      <x:c r="AB373">
        <x:f>IF(('Quantification_Results'!Y373&lt;&gt;1),"",IF(('Quantification_Results'!AA373=""),IF(ISNUMBER('Quantification_Results'!Z373),IF(('Quantification_Results'!Z373&lt;'Quantification_Config'!$S$12),"",IF(('Quantification_Results'!Z373&gt;'Quantification_Config'!$T$12),"",'Quantification_Results'!Z373)),""),IF(ISNUMBER('Quantification_Results'!AA373),IF(('Quantification_Results'!AA373&lt;'Quantification_Config'!$S$12),"",IF(('Quantification_Results'!AA373&gt;'Quantification_Config'!$T$12),"",'Quantification_Results'!AA373)),"")))</x:f>
      </x:c>
      <x:c r="AC373">
        <x:f>IF(ISNUMBER('Quantification_Results'!AB373),IFERROR(ROUND(((('Quantification_Results'!AB373-'Quantification_Config'!$S$12)/('Quantification_Config'!$T$12-'Quantification_Config'!$S$12))*100),'Quantification_Config'!$U$2),""),"")</x:f>
      </x:c>
      <x:c r="AD373" t="inlineStr">
        <x:is>
          <x:t xml:space="preserve"/>
        </x:is>
      </x:c>
      <x:c r="AE373" t="inlineStr">
        <x:is>
          <x:t xml:space="preserve"/>
        </x:is>
      </x:c>
      <x:c r="AF373" t="inlineStr">
        <x:is>
          <x:t xml:space="preserve"/>
        </x:is>
      </x:c>
      <x:c r="AG373" t="inlineStr">
        <x:is>
          <x:t xml:space="preserve"/>
        </x:is>
      </x:c>
      <x:c r="AH373" t="inlineStr">
        <x:is>
          <x:t xml:space="preserve">EMPTY</x:t>
        </x:is>
      </x:c>
      <x:c r="AI373">
        <x:f>IF((COUNT('Quantification_Results'!AC373)=1),IFERROR(ROUND((SUM(('Quantification_Results'!AC373*'Quantification_Config'!$R$12))/SUM('Quantification_Config'!$R$12)),'Quantification_Config'!$U$2),""),"")</x:f>
      </x:c>
      <x:c r="AJ373">
        <x:f>IF((COUNT('Quantification_Results'!AI373)=1),IFERROR(ROUND((SUM(('Quantification_Results'!AI373*'Quantification_Config'!$R$11))/SUM('Quantification_Config'!$R$11)),'Quantification_Config'!$U$2),""),"")</x:f>
      </x:c>
      <x:c r="AK373" t="n">
        <x:v>1</x:v>
      </x:c>
      <x:c r="AL373" t="n">
        <x:v>5</x:v>
      </x:c>
      <x:c r="AM373"/>
      <x:c r="AN373" t="n">
        <x:f>IF(('Quantification_Results'!AK373&lt;&gt;1),"",IF(('Quantification_Results'!AM373=""),IF(ISNUMBER('Quantification_Results'!AL373),IF(('Quantification_Results'!AL373&lt;'Quantification_Config'!$S$15),"",IF(('Quantification_Results'!AL373&gt;'Quantification_Config'!$T$15),"",'Quantification_Results'!AL373)),""),IF(ISNUMBER('Quantification_Results'!AM373),IF(('Quantification_Results'!AM373&lt;'Quantification_Config'!$S$15),"",IF(('Quantification_Results'!AM373&gt;'Quantification_Config'!$T$15),"",'Quantification_Results'!AM373)),"")))</x:f>
        <x:v>5</x:v>
      </x:c>
      <x:c r="AO373" t="n">
        <x:f>IF(ISNUMBER('Quantification_Results'!AN373),IFERROR(ROUND(((('Quantification_Results'!AN373-'Quantification_Config'!$S$15)/('Quantification_Config'!$T$15-'Quantification_Config'!$S$15))*100),'Quantification_Config'!$U$2),""),"")</x:f>
        <x:v>50</x:v>
      </x:c>
      <x:c r="AP373" t="inlineStr">
        <x:is>
          <x:t xml:space="preserve">SYSTEM-TEST-ONLY-NO-NETWORK-NOT-AN-EDUCATIONAL-EVALUATION</x:t>
        </x:is>
      </x:c>
      <x:c r="AQ373" t="inlineStr">
        <x:is>
          <x:t xml:space="preserve"/>
        </x:is>
      </x:c>
      <x:c r="AR373" t="inlineStr">
        <x:is>
          <x:t xml:space="preserve">NONE</x:t>
        </x:is>
      </x:c>
      <x:c r="AS373" t="inlineStr">
        <x:is>
          <x:t xml:space="preserve"/>
        </x:is>
      </x:c>
      <x:c r="AT373" t="inlineStr">
        <x:is>
          <x:t xml:space="preserve">SUCCESS</x:t>
        </x:is>
      </x:c>
      <x:c r="AU373" t="n">
        <x:f>IF((COUNT('Quantification_Results'!AO373)=1),IFERROR(ROUND((SUM(('Quantification_Results'!AO373*'Quantification_Config'!$R$15))/SUM('Quantification_Config'!$R$15)),'Quantification_Config'!$U$2),""),"")</x:f>
        <x:v>50</x:v>
      </x:c>
      <x:c r="AV373" t="n">
        <x:f>IF((COUNT('Quantification_Results'!AU373)=1),IFERROR(ROUND((SUM(('Quantification_Results'!AU373*'Quantification_Config'!$R$14))/SUM('Quantification_Config'!$R$14)),'Quantification_Config'!$U$2),""),"")</x:f>
        <x:v>50</x:v>
      </x:c>
      <x:c r="AW373" t="n">
        <x:v>1</x:v>
      </x:c>
      <x:c r="AX373" t="n">
        <x:v>5</x:v>
      </x:c>
      <x:c r="AY373"/>
      <x:c r="AZ373" t="n">
        <x:f>IF(('Quantification_Results'!AW373&lt;&gt;1),"",IF(('Quantification_Results'!AY373=""),IF(ISNUMBER('Quantification_Results'!AX373),IF(('Quantification_Results'!AX373&lt;'Quantification_Config'!$S$19),"",IF(('Quantification_Results'!AX373&gt;'Quantification_Config'!$T$19),"",'Quantification_Results'!AX373)),""),IF(ISNUMBER('Quantification_Results'!AY373),IF(('Quantification_Results'!AY373&lt;'Quantification_Config'!$S$19),"",IF(('Quantification_Results'!AY373&gt;'Quantification_Config'!$T$19),"",'Quantification_Results'!AY373)),"")))</x:f>
        <x:v>5</x:v>
      </x:c>
      <x:c r="BA373" t="n">
        <x:f>IF(ISNUMBER('Quantification_Results'!AZ373),IFERROR(ROUND(((('Quantification_Results'!AZ373-'Quantification_Config'!$S$19)/('Quantification_Config'!$T$19-'Quantification_Config'!$S$19))*100),'Quantification_Config'!$U$2),""),"")</x:f>
        <x:v>50</x:v>
      </x:c>
      <x:c r="BB373" t="inlineStr">
        <x:is>
          <x:t xml:space="preserve">SYSTEM-TEST-ONLY-NO-NETWORK-NOT-AN-EDUCATIONAL-EVALUATION</x:t>
        </x:is>
      </x:c>
      <x:c r="BC373" t="inlineStr">
        <x:is>
          <x:t xml:space="preserve"/>
        </x:is>
      </x:c>
      <x:c r="BD373" t="inlineStr">
        <x:is>
          <x:t xml:space="preserve">NONE</x:t>
        </x:is>
      </x:c>
      <x:c r="BE373" t="inlineStr">
        <x:is>
          <x:t xml:space="preserve"/>
        </x:is>
      </x:c>
      <x:c r="BF373" t="inlineStr">
        <x:is>
          <x:t xml:space="preserve">SUCCESS</x:t>
        </x:is>
      </x:c>
      <x:c r="BG373" t="n">
        <x:f>IF((COUNT('Quantification_Results'!BA373)=1),IFERROR(ROUND((SUM(('Quantification_Results'!BA373*'Quantification_Config'!$R$19))/SUM('Quantification_Config'!$R$19)),'Quantification_Config'!$U$2),""),"")</x:f>
        <x:v>50</x:v>
      </x:c>
      <x:c r="BH373" t="n">
        <x:f>IF((COUNT('Quantification_Results'!BG373)=1),IFERROR(ROUND((SUM(('Quantification_Results'!BG373*'Quantification_Config'!$R$18))/SUM('Quantification_Config'!$R$18)),'Quantification_Config'!$U$2),""),"")</x:f>
        <x:v>50</x:v>
      </x:c>
      <x:c r="BI373">
        <x:f>IF((COUNT('Quantification_Results'!L373,'Quantification_Results'!X373,'Quantification_Results'!AJ373,'Quantification_Results'!AV373,'Quantification_Results'!BH373)=5),IFERROR(ROUND((SUM(('Quantification_Results'!L373*'Quantification_Config'!$R$4),('Quantification_Results'!X373*'Quantification_Config'!$R$7),('Quantification_Results'!AJ373*'Quantification_Config'!$R$10),('Quantification_Results'!AV373*'Quantification_Config'!$R$13),('Quantification_Results'!BH373*'Quantification_Config'!$R$16))/SUM('Quantification_Config'!$R$4,'Quantification_Config'!$R$7,'Quantification_Config'!$R$10,'Quantification_Config'!$R$13,'Quantification_Config'!$R$16)),'Quantification_Config'!$U$2),""),"")</x:f>
      </x:c>
    </x:row>
    <x:row r="374">
      <x:c r="A374" t="n">
        <x:v>1</x:v>
      </x:c>
      <x:c r="B374" t="n">
        <x:v>5</x:v>
      </x:c>
      <x:c r="C374"/>
      <x:c r="D374" t="n">
        <x:f>IF(('Quantification_Results'!A374&lt;&gt;1),"",IF(('Quantification_Results'!C374=""),IF(ISNUMBER('Quantification_Results'!B374),IF(('Quantification_Results'!B374&lt;'Quantification_Config'!$S$6),"",IF(('Quantification_Results'!B374&gt;'Quantification_Config'!$T$6),"",'Quantification_Results'!B374)),""),IF(ISNUMBER('Quantification_Results'!C374),IF(('Quantification_Results'!C374&lt;'Quantification_Config'!$S$6),"",IF(('Quantification_Results'!C374&gt;'Quantification_Config'!$T$6),"",'Quantification_Results'!C374)),"")))</x:f>
        <x:v>5</x:v>
      </x:c>
      <x:c r="E374" t="n">
        <x:f>IF(ISNUMBER('Quantification_Results'!D374),IFERROR(ROUND(((('Quantification_Results'!D374-'Quantification_Config'!$S$6)/('Quantification_Config'!$T$6-'Quantification_Config'!$S$6))*100),'Quantification_Config'!$U$2),""),"")</x:f>
        <x:v>50</x:v>
      </x:c>
      <x:c r="F374" t="inlineStr">
        <x:is>
          <x:t xml:space="preserve">SYSTEM-TEST-ONLY-NO-NETWORK-NOT-AN-EDUCATIONAL-EVALUATION</x:t>
        </x:is>
      </x:c>
      <x:c r="G374" t="inlineStr">
        <x:is>
          <x:t xml:space="preserve"/>
        </x:is>
      </x:c>
      <x:c r="H374" t="inlineStr">
        <x:is>
          <x:t xml:space="preserve">NONE</x:t>
        </x:is>
      </x:c>
      <x:c r="I374" t="inlineStr">
        <x:is>
          <x:t xml:space="preserve"/>
        </x:is>
      </x:c>
      <x:c r="J374" t="inlineStr">
        <x:is>
          <x:t xml:space="preserve">SUCCESS</x:t>
        </x:is>
      </x:c>
      <x:c r="K374" t="n">
        <x:f>IF((COUNT('Quantification_Results'!E374)=1),IFERROR(ROUND((SUM(('Quantification_Results'!E374*'Quantification_Config'!$R$6))/SUM('Quantification_Config'!$R$6)),'Quantification_Config'!$U$2),""),"")</x:f>
        <x:v>50</x:v>
      </x:c>
      <x:c r="L374" t="n">
        <x:f>IF((COUNT('Quantification_Results'!K374)=1),IFERROR(ROUND((SUM(('Quantification_Results'!K374*'Quantification_Config'!$R$5))/SUM('Quantification_Config'!$R$5)),'Quantification_Config'!$U$2),""),"")</x:f>
        <x:v>50</x:v>
      </x:c>
      <x:c r="M374" t="n">
        <x:v>0</x:v>
      </x:c>
      <x:c r="N374"/>
      <x:c r="O374"/>
      <x:c r="P374">
        <x:f>IF(('Quantification_Results'!M374&lt;&gt;1),"",IF(('Quantification_Results'!O374=""),IF(ISNUMBER('Quantification_Results'!N374),IF(('Quantification_Results'!N374&lt;'Quantification_Config'!$S$9),"",IF(('Quantification_Results'!N374&gt;'Quantification_Config'!$T$9),"",'Quantification_Results'!N374)),""),IF(ISNUMBER('Quantification_Results'!O374),IF(('Quantification_Results'!O374&lt;'Quantification_Config'!$S$9),"",IF(('Quantification_Results'!O374&gt;'Quantification_Config'!$T$9),"",'Quantification_Results'!O374)),"")))</x:f>
      </x:c>
      <x:c r="Q374">
        <x:f>IF(ISNUMBER('Quantification_Results'!P374),IFERROR(ROUND(((('Quantification_Results'!P374-'Quantification_Config'!$S$9)/('Quantification_Config'!$T$9-'Quantification_Config'!$S$9))*100),'Quantification_Config'!$U$2),""),"")</x:f>
      </x:c>
      <x:c r="R374" t="inlineStr">
        <x:is>
          <x:t xml:space="preserve"/>
        </x:is>
      </x:c>
      <x:c r="S374" t="inlineStr">
        <x:is>
          <x:t xml:space="preserve"/>
        </x:is>
      </x:c>
      <x:c r="T374" t="inlineStr">
        <x:is>
          <x:t xml:space="preserve"/>
        </x:is>
      </x:c>
      <x:c r="U374" t="inlineStr">
        <x:is>
          <x:t xml:space="preserve"/>
        </x:is>
      </x:c>
      <x:c r="V374" t="inlineStr">
        <x:is>
          <x:t xml:space="preserve">EMPTY</x:t>
        </x:is>
      </x:c>
      <x:c r="W374">
        <x:f>IF((COUNT('Quantification_Results'!Q374)=1),IFERROR(ROUND((SUM(('Quantification_Results'!Q374*'Quantification_Config'!$R$9))/SUM('Quantification_Config'!$R$9)),'Quantification_Config'!$U$2),""),"")</x:f>
      </x:c>
      <x:c r="X374">
        <x:f>IF((COUNT('Quantification_Results'!W374)=1),IFERROR(ROUND((SUM(('Quantification_Results'!W374*'Quantification_Config'!$R$8))/SUM('Quantification_Config'!$R$8)),'Quantification_Config'!$U$2),""),"")</x:f>
      </x:c>
      <x:c r="Y374" t="n">
        <x:v>0</x:v>
      </x:c>
      <x:c r="Z374"/>
      <x:c r="AA374"/>
      <x:c r="AB374">
        <x:f>IF(('Quantification_Results'!Y374&lt;&gt;1),"",IF(('Quantification_Results'!AA374=""),IF(ISNUMBER('Quantification_Results'!Z374),IF(('Quantification_Results'!Z374&lt;'Quantification_Config'!$S$12),"",IF(('Quantification_Results'!Z374&gt;'Quantification_Config'!$T$12),"",'Quantification_Results'!Z374)),""),IF(ISNUMBER('Quantification_Results'!AA374),IF(('Quantification_Results'!AA374&lt;'Quantification_Config'!$S$12),"",IF(('Quantification_Results'!AA374&gt;'Quantification_Config'!$T$12),"",'Quantification_Results'!AA374)),"")))</x:f>
      </x:c>
      <x:c r="AC374">
        <x:f>IF(ISNUMBER('Quantification_Results'!AB374),IFERROR(ROUND(((('Quantification_Results'!AB374-'Quantification_Config'!$S$12)/('Quantification_Config'!$T$12-'Quantification_Config'!$S$12))*100),'Quantification_Config'!$U$2),""),"")</x:f>
      </x:c>
      <x:c r="AD374" t="inlineStr">
        <x:is>
          <x:t xml:space="preserve"/>
        </x:is>
      </x:c>
      <x:c r="AE374" t="inlineStr">
        <x:is>
          <x:t xml:space="preserve"/>
        </x:is>
      </x:c>
      <x:c r="AF374" t="inlineStr">
        <x:is>
          <x:t xml:space="preserve"/>
        </x:is>
      </x:c>
      <x:c r="AG374" t="inlineStr">
        <x:is>
          <x:t xml:space="preserve"/>
        </x:is>
      </x:c>
      <x:c r="AH374" t="inlineStr">
        <x:is>
          <x:t xml:space="preserve">EMPTY</x:t>
        </x:is>
      </x:c>
      <x:c r="AI374">
        <x:f>IF((COUNT('Quantification_Results'!AC374)=1),IFERROR(ROUND((SUM(('Quantification_Results'!AC374*'Quantification_Config'!$R$12))/SUM('Quantification_Config'!$R$12)),'Quantification_Config'!$U$2),""),"")</x:f>
      </x:c>
      <x:c r="AJ374">
        <x:f>IF((COUNT('Quantification_Results'!AI374)=1),IFERROR(ROUND((SUM(('Quantification_Results'!AI374*'Quantification_Config'!$R$11))/SUM('Quantification_Config'!$R$11)),'Quantification_Config'!$U$2),""),"")</x:f>
      </x:c>
      <x:c r="AK374" t="n">
        <x:v>1</x:v>
      </x:c>
      <x:c r="AL374" t="n">
        <x:v>5</x:v>
      </x:c>
      <x:c r="AM374"/>
      <x:c r="AN374" t="n">
        <x:f>IF(('Quantification_Results'!AK374&lt;&gt;1),"",IF(('Quantification_Results'!AM374=""),IF(ISNUMBER('Quantification_Results'!AL374),IF(('Quantification_Results'!AL374&lt;'Quantification_Config'!$S$15),"",IF(('Quantification_Results'!AL374&gt;'Quantification_Config'!$T$15),"",'Quantification_Results'!AL374)),""),IF(ISNUMBER('Quantification_Results'!AM374),IF(('Quantification_Results'!AM374&lt;'Quantification_Config'!$S$15),"",IF(('Quantification_Results'!AM374&gt;'Quantification_Config'!$T$15),"",'Quantification_Results'!AM374)),"")))</x:f>
        <x:v>5</x:v>
      </x:c>
      <x:c r="AO374" t="n">
        <x:f>IF(ISNUMBER('Quantification_Results'!AN374),IFERROR(ROUND(((('Quantification_Results'!AN374-'Quantification_Config'!$S$15)/('Quantification_Config'!$T$15-'Quantification_Config'!$S$15))*100),'Quantification_Config'!$U$2),""),"")</x:f>
        <x:v>50</x:v>
      </x:c>
      <x:c r="AP374" t="inlineStr">
        <x:is>
          <x:t xml:space="preserve">SYSTEM-TEST-ONLY-NO-NETWORK-NOT-AN-EDUCATIONAL-EVALUATION</x:t>
        </x:is>
      </x:c>
      <x:c r="AQ374" t="inlineStr">
        <x:is>
          <x:t xml:space="preserve"/>
        </x:is>
      </x:c>
      <x:c r="AR374" t="inlineStr">
        <x:is>
          <x:t xml:space="preserve">NONE</x:t>
        </x:is>
      </x:c>
      <x:c r="AS374" t="inlineStr">
        <x:is>
          <x:t xml:space="preserve"/>
        </x:is>
      </x:c>
      <x:c r="AT374" t="inlineStr">
        <x:is>
          <x:t xml:space="preserve">SUCCESS</x:t>
        </x:is>
      </x:c>
      <x:c r="AU374" t="n">
        <x:f>IF((COUNT('Quantification_Results'!AO374)=1),IFERROR(ROUND((SUM(('Quantification_Results'!AO374*'Quantification_Config'!$R$15))/SUM('Quantification_Config'!$R$15)),'Quantification_Config'!$U$2),""),"")</x:f>
        <x:v>50</x:v>
      </x:c>
      <x:c r="AV374" t="n">
        <x:f>IF((COUNT('Quantification_Results'!AU374)=1),IFERROR(ROUND((SUM(('Quantification_Results'!AU374*'Quantification_Config'!$R$14))/SUM('Quantification_Config'!$R$14)),'Quantification_Config'!$U$2),""),"")</x:f>
        <x:v>50</x:v>
      </x:c>
      <x:c r="AW374" t="n">
        <x:v>1</x:v>
      </x:c>
      <x:c r="AX374" t="n">
        <x:v>5</x:v>
      </x:c>
      <x:c r="AY374"/>
      <x:c r="AZ374" t="n">
        <x:f>IF(('Quantification_Results'!AW374&lt;&gt;1),"",IF(('Quantification_Results'!AY374=""),IF(ISNUMBER('Quantification_Results'!AX374),IF(('Quantification_Results'!AX374&lt;'Quantification_Config'!$S$19),"",IF(('Quantification_Results'!AX374&gt;'Quantification_Config'!$T$19),"",'Quantification_Results'!AX374)),""),IF(ISNUMBER('Quantification_Results'!AY374),IF(('Quantification_Results'!AY374&lt;'Quantification_Config'!$S$19),"",IF(('Quantification_Results'!AY374&gt;'Quantification_Config'!$T$19),"",'Quantification_Results'!AY374)),"")))</x:f>
        <x:v>5</x:v>
      </x:c>
      <x:c r="BA374" t="n">
        <x:f>IF(ISNUMBER('Quantification_Results'!AZ374),IFERROR(ROUND(((('Quantification_Results'!AZ374-'Quantification_Config'!$S$19)/('Quantification_Config'!$T$19-'Quantification_Config'!$S$19))*100),'Quantification_Config'!$U$2),""),"")</x:f>
        <x:v>50</x:v>
      </x:c>
      <x:c r="BB374" t="inlineStr">
        <x:is>
          <x:t xml:space="preserve">SYSTEM-TEST-ONLY-NO-NETWORK-NOT-AN-EDUCATIONAL-EVALUATION</x:t>
        </x:is>
      </x:c>
      <x:c r="BC374" t="inlineStr">
        <x:is>
          <x:t xml:space="preserve"/>
        </x:is>
      </x:c>
      <x:c r="BD374" t="inlineStr">
        <x:is>
          <x:t xml:space="preserve">NONE</x:t>
        </x:is>
      </x:c>
      <x:c r="BE374" t="inlineStr">
        <x:is>
          <x:t xml:space="preserve"/>
        </x:is>
      </x:c>
      <x:c r="BF374" t="inlineStr">
        <x:is>
          <x:t xml:space="preserve">SUCCESS</x:t>
        </x:is>
      </x:c>
      <x:c r="BG374" t="n">
        <x:f>IF((COUNT('Quantification_Results'!BA374)=1),IFERROR(ROUND((SUM(('Quantification_Results'!BA374*'Quantification_Config'!$R$19))/SUM('Quantification_Config'!$R$19)),'Quantification_Config'!$U$2),""),"")</x:f>
        <x:v>50</x:v>
      </x:c>
      <x:c r="BH374" t="n">
        <x:f>IF((COUNT('Quantification_Results'!BG374)=1),IFERROR(ROUND((SUM(('Quantification_Results'!BG374*'Quantification_Config'!$R$18))/SUM('Quantification_Config'!$R$18)),'Quantification_Config'!$U$2),""),"")</x:f>
        <x:v>50</x:v>
      </x:c>
      <x:c r="BI374">
        <x:f>IF((COUNT('Quantification_Results'!L374,'Quantification_Results'!X374,'Quantification_Results'!AJ374,'Quantification_Results'!AV374,'Quantification_Results'!BH374)=5),IFERROR(ROUND((SUM(('Quantification_Results'!L374*'Quantification_Config'!$R$4),('Quantification_Results'!X374*'Quantification_Config'!$R$7),('Quantification_Results'!AJ374*'Quantification_Config'!$R$10),('Quantification_Results'!AV374*'Quantification_Config'!$R$13),('Quantification_Results'!BH374*'Quantification_Config'!$R$16))/SUM('Quantification_Config'!$R$4,'Quantification_Config'!$R$7,'Quantification_Config'!$R$10,'Quantification_Config'!$R$13,'Quantification_Config'!$R$16)),'Quantification_Config'!$U$2),""),"")</x:f>
      </x:c>
    </x:row>
    <x:row r="375">
      <x:c r="A375" t="n">
        <x:v>1</x:v>
      </x:c>
      <x:c r="B375" t="n">
        <x:v>5</x:v>
      </x:c>
      <x:c r="C375"/>
      <x:c r="D375" t="n">
        <x:f>IF(('Quantification_Results'!A375&lt;&gt;1),"",IF(('Quantification_Results'!C375=""),IF(ISNUMBER('Quantification_Results'!B375),IF(('Quantification_Results'!B375&lt;'Quantification_Config'!$S$6),"",IF(('Quantification_Results'!B375&gt;'Quantification_Config'!$T$6),"",'Quantification_Results'!B375)),""),IF(ISNUMBER('Quantification_Results'!C375),IF(('Quantification_Results'!C375&lt;'Quantification_Config'!$S$6),"",IF(('Quantification_Results'!C375&gt;'Quantification_Config'!$T$6),"",'Quantification_Results'!C375)),"")))</x:f>
        <x:v>5</x:v>
      </x:c>
      <x:c r="E375" t="n">
        <x:f>IF(ISNUMBER('Quantification_Results'!D375),IFERROR(ROUND(((('Quantification_Results'!D375-'Quantification_Config'!$S$6)/('Quantification_Config'!$T$6-'Quantification_Config'!$S$6))*100),'Quantification_Config'!$U$2),""),"")</x:f>
        <x:v>50</x:v>
      </x:c>
      <x:c r="F375" t="inlineStr">
        <x:is>
          <x:t xml:space="preserve">SYSTEM-TEST-ONLY-NO-NETWORK-NOT-AN-EDUCATIONAL-EVALUATION</x:t>
        </x:is>
      </x:c>
      <x:c r="G375" t="inlineStr">
        <x:is>
          <x:t xml:space="preserve"/>
        </x:is>
      </x:c>
      <x:c r="H375" t="inlineStr">
        <x:is>
          <x:t xml:space="preserve">NONE</x:t>
        </x:is>
      </x:c>
      <x:c r="I375" t="inlineStr">
        <x:is>
          <x:t xml:space="preserve"/>
        </x:is>
      </x:c>
      <x:c r="J375" t="inlineStr">
        <x:is>
          <x:t xml:space="preserve">SUCCESS</x:t>
        </x:is>
      </x:c>
      <x:c r="K375" t="n">
        <x:f>IF((COUNT('Quantification_Results'!E375)=1),IFERROR(ROUND((SUM(('Quantification_Results'!E375*'Quantification_Config'!$R$6))/SUM('Quantification_Config'!$R$6)),'Quantification_Config'!$U$2),""),"")</x:f>
        <x:v>50</x:v>
      </x:c>
      <x:c r="L375" t="n">
        <x:f>IF((COUNT('Quantification_Results'!K375)=1),IFERROR(ROUND((SUM(('Quantification_Results'!K375*'Quantification_Config'!$R$5))/SUM('Quantification_Config'!$R$5)),'Quantification_Config'!$U$2),""),"")</x:f>
        <x:v>50</x:v>
      </x:c>
      <x:c r="M375" t="n">
        <x:v>1</x:v>
      </x:c>
      <x:c r="N375" t="n">
        <x:v>5</x:v>
      </x:c>
      <x:c r="O375"/>
      <x:c r="P375" t="n">
        <x:f>IF(('Quantification_Results'!M375&lt;&gt;1),"",IF(('Quantification_Results'!O375=""),IF(ISNUMBER('Quantification_Results'!N375),IF(('Quantification_Results'!N375&lt;'Quantification_Config'!$S$9),"",IF(('Quantification_Results'!N375&gt;'Quantification_Config'!$T$9),"",'Quantification_Results'!N375)),""),IF(ISNUMBER('Quantification_Results'!O375),IF(('Quantification_Results'!O375&lt;'Quantification_Config'!$S$9),"",IF(('Quantification_Results'!O375&gt;'Quantification_Config'!$T$9),"",'Quantification_Results'!O375)),"")))</x:f>
        <x:v>5</x:v>
      </x:c>
      <x:c r="Q375" t="n">
        <x:f>IF(ISNUMBER('Quantification_Results'!P375),IFERROR(ROUND(((('Quantification_Results'!P375-'Quantification_Config'!$S$9)/('Quantification_Config'!$T$9-'Quantification_Config'!$S$9))*100),'Quantification_Config'!$U$2),""),"")</x:f>
        <x:v>50</x:v>
      </x:c>
      <x:c r="R375" t="inlineStr">
        <x:is>
          <x:t xml:space="preserve">SYSTEM-TEST-ONLY-NO-NETWORK-NOT-AN-EDUCATIONAL-EVALUATION</x:t>
        </x:is>
      </x:c>
      <x:c r="S375" t="inlineStr">
        <x:is>
          <x:t xml:space="preserve"/>
        </x:is>
      </x:c>
      <x:c r="T375" t="inlineStr">
        <x:is>
          <x:t xml:space="preserve">NONE</x:t>
        </x:is>
      </x:c>
      <x:c r="U375" t="inlineStr">
        <x:is>
          <x:t xml:space="preserve"/>
        </x:is>
      </x:c>
      <x:c r="V375" t="inlineStr">
        <x:is>
          <x:t xml:space="preserve">SUCCESS</x:t>
        </x:is>
      </x:c>
      <x:c r="W375" t="n">
        <x:f>IF((COUNT('Quantification_Results'!Q375)=1),IFERROR(ROUND((SUM(('Quantification_Results'!Q375*'Quantification_Config'!$R$9))/SUM('Quantification_Config'!$R$9)),'Quantification_Config'!$U$2),""),"")</x:f>
        <x:v>50</x:v>
      </x:c>
      <x:c r="X375" t="n">
        <x:f>IF((COUNT('Quantification_Results'!W375)=1),IFERROR(ROUND((SUM(('Quantification_Results'!W375*'Quantification_Config'!$R$8))/SUM('Quantification_Config'!$R$8)),'Quantification_Config'!$U$2),""),"")</x:f>
        <x:v>50</x:v>
      </x:c>
      <x:c r="Y375" t="n">
        <x:v>0</x:v>
      </x:c>
      <x:c r="Z375"/>
      <x:c r="AA375"/>
      <x:c r="AB375">
        <x:f>IF(('Quantification_Results'!Y375&lt;&gt;1),"",IF(('Quantification_Results'!AA375=""),IF(ISNUMBER('Quantification_Results'!Z375),IF(('Quantification_Results'!Z375&lt;'Quantification_Config'!$S$12),"",IF(('Quantification_Results'!Z375&gt;'Quantification_Config'!$T$12),"",'Quantification_Results'!Z375)),""),IF(ISNUMBER('Quantification_Results'!AA375),IF(('Quantification_Results'!AA375&lt;'Quantification_Config'!$S$12),"",IF(('Quantification_Results'!AA375&gt;'Quantification_Config'!$T$12),"",'Quantification_Results'!AA375)),"")))</x:f>
      </x:c>
      <x:c r="AC375">
        <x:f>IF(ISNUMBER('Quantification_Results'!AB375),IFERROR(ROUND(((('Quantification_Results'!AB375-'Quantification_Config'!$S$12)/('Quantification_Config'!$T$12-'Quantification_Config'!$S$12))*100),'Quantification_Config'!$U$2),""),"")</x:f>
      </x:c>
      <x:c r="AD375" t="inlineStr">
        <x:is>
          <x:t xml:space="preserve"/>
        </x:is>
      </x:c>
      <x:c r="AE375" t="inlineStr">
        <x:is>
          <x:t xml:space="preserve"/>
        </x:is>
      </x:c>
      <x:c r="AF375" t="inlineStr">
        <x:is>
          <x:t xml:space="preserve"/>
        </x:is>
      </x:c>
      <x:c r="AG375" t="inlineStr">
        <x:is>
          <x:t xml:space="preserve"/>
        </x:is>
      </x:c>
      <x:c r="AH375" t="inlineStr">
        <x:is>
          <x:t xml:space="preserve">EMPTY</x:t>
        </x:is>
      </x:c>
      <x:c r="AI375">
        <x:f>IF((COUNT('Quantification_Results'!AC375)=1),IFERROR(ROUND((SUM(('Quantification_Results'!AC375*'Quantification_Config'!$R$12))/SUM('Quantification_Config'!$R$12)),'Quantification_Config'!$U$2),""),"")</x:f>
      </x:c>
      <x:c r="AJ375">
        <x:f>IF((COUNT('Quantification_Results'!AI375)=1),IFERROR(ROUND((SUM(('Quantification_Results'!AI375*'Quantification_Config'!$R$11))/SUM('Quantification_Config'!$R$11)),'Quantification_Config'!$U$2),""),"")</x:f>
      </x:c>
      <x:c r="AK375" t="n">
        <x:v>1</x:v>
      </x:c>
      <x:c r="AL375" t="n">
        <x:v>5</x:v>
      </x:c>
      <x:c r="AM375"/>
      <x:c r="AN375" t="n">
        <x:f>IF(('Quantification_Results'!AK375&lt;&gt;1),"",IF(('Quantification_Results'!AM375=""),IF(ISNUMBER('Quantification_Results'!AL375),IF(('Quantification_Results'!AL375&lt;'Quantification_Config'!$S$15),"",IF(('Quantification_Results'!AL375&gt;'Quantification_Config'!$T$15),"",'Quantification_Results'!AL375)),""),IF(ISNUMBER('Quantification_Results'!AM375),IF(('Quantification_Results'!AM375&lt;'Quantification_Config'!$S$15),"",IF(('Quantification_Results'!AM375&gt;'Quantification_Config'!$T$15),"",'Quantification_Results'!AM375)),"")))</x:f>
        <x:v>5</x:v>
      </x:c>
      <x:c r="AO375" t="n">
        <x:f>IF(ISNUMBER('Quantification_Results'!AN375),IFERROR(ROUND(((('Quantification_Results'!AN375-'Quantification_Config'!$S$15)/('Quantification_Config'!$T$15-'Quantification_Config'!$S$15))*100),'Quantification_Config'!$U$2),""),"")</x:f>
        <x:v>50</x:v>
      </x:c>
      <x:c r="AP375" t="inlineStr">
        <x:is>
          <x:t xml:space="preserve">SYSTEM-TEST-ONLY-NO-NETWORK-NOT-AN-EDUCATIONAL-EVALUATION</x:t>
        </x:is>
      </x:c>
      <x:c r="AQ375" t="inlineStr">
        <x:is>
          <x:t xml:space="preserve"/>
        </x:is>
      </x:c>
      <x:c r="AR375" t="inlineStr">
        <x:is>
          <x:t xml:space="preserve">NONE</x:t>
        </x:is>
      </x:c>
      <x:c r="AS375" t="inlineStr">
        <x:is>
          <x:t xml:space="preserve"/>
        </x:is>
      </x:c>
      <x:c r="AT375" t="inlineStr">
        <x:is>
          <x:t xml:space="preserve">SUCCESS</x:t>
        </x:is>
      </x:c>
      <x:c r="AU375" t="n">
        <x:f>IF((COUNT('Quantification_Results'!AO375)=1),IFERROR(ROUND((SUM(('Quantification_Results'!AO375*'Quantification_Config'!$R$15))/SUM('Quantification_Config'!$R$15)),'Quantification_Config'!$U$2),""),"")</x:f>
        <x:v>50</x:v>
      </x:c>
      <x:c r="AV375" t="n">
        <x:f>IF((COUNT('Quantification_Results'!AU375)=1),IFERROR(ROUND((SUM(('Quantification_Results'!AU375*'Quantification_Config'!$R$14))/SUM('Quantification_Config'!$R$14)),'Quantification_Config'!$U$2),""),"")</x:f>
        <x:v>50</x:v>
      </x:c>
      <x:c r="AW375" t="n">
        <x:v>1</x:v>
      </x:c>
      <x:c r="AX375" t="n">
        <x:v>5</x:v>
      </x:c>
      <x:c r="AY375"/>
      <x:c r="AZ375" t="n">
        <x:f>IF(('Quantification_Results'!AW375&lt;&gt;1),"",IF(('Quantification_Results'!AY375=""),IF(ISNUMBER('Quantification_Results'!AX375),IF(('Quantification_Results'!AX375&lt;'Quantification_Config'!$S$19),"",IF(('Quantification_Results'!AX375&gt;'Quantification_Config'!$T$19),"",'Quantification_Results'!AX375)),""),IF(ISNUMBER('Quantification_Results'!AY375),IF(('Quantification_Results'!AY375&lt;'Quantification_Config'!$S$19),"",IF(('Quantification_Results'!AY375&gt;'Quantification_Config'!$T$19),"",'Quantification_Results'!AY375)),"")))</x:f>
        <x:v>5</x:v>
      </x:c>
      <x:c r="BA375" t="n">
        <x:f>IF(ISNUMBER('Quantification_Results'!AZ375),IFERROR(ROUND(((('Quantification_Results'!AZ375-'Quantification_Config'!$S$19)/('Quantification_Config'!$T$19-'Quantification_Config'!$S$19))*100),'Quantification_Config'!$U$2),""),"")</x:f>
        <x:v>50</x:v>
      </x:c>
      <x:c r="BB375" t="inlineStr">
        <x:is>
          <x:t xml:space="preserve">SYSTEM-TEST-ONLY-NO-NETWORK-NOT-AN-EDUCATIONAL-EVALUATION</x:t>
        </x:is>
      </x:c>
      <x:c r="BC375" t="inlineStr">
        <x:is>
          <x:t xml:space="preserve"/>
        </x:is>
      </x:c>
      <x:c r="BD375" t="inlineStr">
        <x:is>
          <x:t xml:space="preserve">NONE</x:t>
        </x:is>
      </x:c>
      <x:c r="BE375" t="inlineStr">
        <x:is>
          <x:t xml:space="preserve"/>
        </x:is>
      </x:c>
      <x:c r="BF375" t="inlineStr">
        <x:is>
          <x:t xml:space="preserve">SUCCESS</x:t>
        </x:is>
      </x:c>
      <x:c r="BG375" t="n">
        <x:f>IF((COUNT('Quantification_Results'!BA375)=1),IFERROR(ROUND((SUM(('Quantification_Results'!BA375*'Quantification_Config'!$R$19))/SUM('Quantification_Config'!$R$19)),'Quantification_Config'!$U$2),""),"")</x:f>
        <x:v>50</x:v>
      </x:c>
      <x:c r="BH375" t="n">
        <x:f>IF((COUNT('Quantification_Results'!BG375)=1),IFERROR(ROUND((SUM(('Quantification_Results'!BG375*'Quantification_Config'!$R$18))/SUM('Quantification_Config'!$R$18)),'Quantification_Config'!$U$2),""),"")</x:f>
        <x:v>50</x:v>
      </x:c>
      <x:c r="BI375">
        <x:f>IF((COUNT('Quantification_Results'!L375,'Quantification_Results'!X375,'Quantification_Results'!AJ375,'Quantification_Results'!AV375,'Quantification_Results'!BH375)=5),IFERROR(ROUND((SUM(('Quantification_Results'!L375*'Quantification_Config'!$R$4),('Quantification_Results'!X375*'Quantification_Config'!$R$7),('Quantification_Results'!AJ375*'Quantification_Config'!$R$10),('Quantification_Results'!AV375*'Quantification_Config'!$R$13),('Quantification_Results'!BH375*'Quantification_Config'!$R$16))/SUM('Quantification_Config'!$R$4,'Quantification_Config'!$R$7,'Quantification_Config'!$R$10,'Quantification_Config'!$R$13,'Quantification_Config'!$R$16)),'Quantification_Config'!$U$2),""),"")</x:f>
      </x:c>
    </x:row>
    <x:row r="376">
      <x:c r="A376" t="n">
        <x:v>1</x:v>
      </x:c>
      <x:c r="B376" t="n">
        <x:v>5</x:v>
      </x:c>
      <x:c r="C376"/>
      <x:c r="D376" t="n">
        <x:f>IF(('Quantification_Results'!A376&lt;&gt;1),"",IF(('Quantification_Results'!C376=""),IF(ISNUMBER('Quantification_Results'!B376),IF(('Quantification_Results'!B376&lt;'Quantification_Config'!$S$6),"",IF(('Quantification_Results'!B376&gt;'Quantification_Config'!$T$6),"",'Quantification_Results'!B376)),""),IF(ISNUMBER('Quantification_Results'!C376),IF(('Quantification_Results'!C376&lt;'Quantification_Config'!$S$6),"",IF(('Quantification_Results'!C376&gt;'Quantification_Config'!$T$6),"",'Quantification_Results'!C376)),"")))</x:f>
        <x:v>5</x:v>
      </x:c>
      <x:c r="E376" t="n">
        <x:f>IF(ISNUMBER('Quantification_Results'!D376),IFERROR(ROUND(((('Quantification_Results'!D376-'Quantification_Config'!$S$6)/('Quantification_Config'!$T$6-'Quantification_Config'!$S$6))*100),'Quantification_Config'!$U$2),""),"")</x:f>
        <x:v>50</x:v>
      </x:c>
      <x:c r="F376" t="inlineStr">
        <x:is>
          <x:t xml:space="preserve">SYSTEM-TEST-ONLY-NO-NETWORK-NOT-AN-EDUCATIONAL-EVALUATION</x:t>
        </x:is>
      </x:c>
      <x:c r="G376" t="inlineStr">
        <x:is>
          <x:t xml:space="preserve"/>
        </x:is>
      </x:c>
      <x:c r="H376" t="inlineStr">
        <x:is>
          <x:t xml:space="preserve">NONE</x:t>
        </x:is>
      </x:c>
      <x:c r="I376" t="inlineStr">
        <x:is>
          <x:t xml:space="preserve"/>
        </x:is>
      </x:c>
      <x:c r="J376" t="inlineStr">
        <x:is>
          <x:t xml:space="preserve">SUCCESS</x:t>
        </x:is>
      </x:c>
      <x:c r="K376" t="n">
        <x:f>IF((COUNT('Quantification_Results'!E376)=1),IFERROR(ROUND((SUM(('Quantification_Results'!E376*'Quantification_Config'!$R$6))/SUM('Quantification_Config'!$R$6)),'Quantification_Config'!$U$2),""),"")</x:f>
        <x:v>50</x:v>
      </x:c>
      <x:c r="L376" t="n">
        <x:f>IF((COUNT('Quantification_Results'!K376)=1),IFERROR(ROUND((SUM(('Quantification_Results'!K376*'Quantification_Config'!$R$5))/SUM('Quantification_Config'!$R$5)),'Quantification_Config'!$U$2),""),"")</x:f>
        <x:v>50</x:v>
      </x:c>
      <x:c r="M376" t="n">
        <x:v>0</x:v>
      </x:c>
      <x:c r="N376"/>
      <x:c r="O376"/>
      <x:c r="P376">
        <x:f>IF(('Quantification_Results'!M376&lt;&gt;1),"",IF(('Quantification_Results'!O376=""),IF(ISNUMBER('Quantification_Results'!N376),IF(('Quantification_Results'!N376&lt;'Quantification_Config'!$S$9),"",IF(('Quantification_Results'!N376&gt;'Quantification_Config'!$T$9),"",'Quantification_Results'!N376)),""),IF(ISNUMBER('Quantification_Results'!O376),IF(('Quantification_Results'!O376&lt;'Quantification_Config'!$S$9),"",IF(('Quantification_Results'!O376&gt;'Quantification_Config'!$T$9),"",'Quantification_Results'!O376)),"")))</x:f>
      </x:c>
      <x:c r="Q376">
        <x:f>IF(ISNUMBER('Quantification_Results'!P376),IFERROR(ROUND(((('Quantification_Results'!P376-'Quantification_Config'!$S$9)/('Quantification_Config'!$T$9-'Quantification_Config'!$S$9))*100),'Quantification_Config'!$U$2),""),"")</x:f>
      </x:c>
      <x:c r="R376" t="inlineStr">
        <x:is>
          <x:t xml:space="preserve"/>
        </x:is>
      </x:c>
      <x:c r="S376" t="inlineStr">
        <x:is>
          <x:t xml:space="preserve"/>
        </x:is>
      </x:c>
      <x:c r="T376" t="inlineStr">
        <x:is>
          <x:t xml:space="preserve"/>
        </x:is>
      </x:c>
      <x:c r="U376" t="inlineStr">
        <x:is>
          <x:t xml:space="preserve"/>
        </x:is>
      </x:c>
      <x:c r="V376" t="inlineStr">
        <x:is>
          <x:t xml:space="preserve">EMPTY</x:t>
        </x:is>
      </x:c>
      <x:c r="W376">
        <x:f>IF((COUNT('Quantification_Results'!Q376)=1),IFERROR(ROUND((SUM(('Quantification_Results'!Q376*'Quantification_Config'!$R$9))/SUM('Quantification_Config'!$R$9)),'Quantification_Config'!$U$2),""),"")</x:f>
      </x:c>
      <x:c r="X376">
        <x:f>IF((COUNT('Quantification_Results'!W376)=1),IFERROR(ROUND((SUM(('Quantification_Results'!W376*'Quantification_Config'!$R$8))/SUM('Quantification_Config'!$R$8)),'Quantification_Config'!$U$2),""),"")</x:f>
      </x:c>
      <x:c r="Y376" t="n">
        <x:v>0</x:v>
      </x:c>
      <x:c r="Z376"/>
      <x:c r="AA376"/>
      <x:c r="AB376">
        <x:f>IF(('Quantification_Results'!Y376&lt;&gt;1),"",IF(('Quantification_Results'!AA376=""),IF(ISNUMBER('Quantification_Results'!Z376),IF(('Quantification_Results'!Z376&lt;'Quantification_Config'!$S$12),"",IF(('Quantification_Results'!Z376&gt;'Quantification_Config'!$T$12),"",'Quantification_Results'!Z376)),""),IF(ISNUMBER('Quantification_Results'!AA376),IF(('Quantification_Results'!AA376&lt;'Quantification_Config'!$S$12),"",IF(('Quantification_Results'!AA376&gt;'Quantification_Config'!$T$12),"",'Quantification_Results'!AA376)),"")))</x:f>
      </x:c>
      <x:c r="AC376">
        <x:f>IF(ISNUMBER('Quantification_Results'!AB376),IFERROR(ROUND(((('Quantification_Results'!AB376-'Quantification_Config'!$S$12)/('Quantification_Config'!$T$12-'Quantification_Config'!$S$12))*100),'Quantification_Config'!$U$2),""),"")</x:f>
      </x:c>
      <x:c r="AD376" t="inlineStr">
        <x:is>
          <x:t xml:space="preserve"/>
        </x:is>
      </x:c>
      <x:c r="AE376" t="inlineStr">
        <x:is>
          <x:t xml:space="preserve"/>
        </x:is>
      </x:c>
      <x:c r="AF376" t="inlineStr">
        <x:is>
          <x:t xml:space="preserve"/>
        </x:is>
      </x:c>
      <x:c r="AG376" t="inlineStr">
        <x:is>
          <x:t xml:space="preserve"/>
        </x:is>
      </x:c>
      <x:c r="AH376" t="inlineStr">
        <x:is>
          <x:t xml:space="preserve">EMPTY</x:t>
        </x:is>
      </x:c>
      <x:c r="AI376">
        <x:f>IF((COUNT('Quantification_Results'!AC376)=1),IFERROR(ROUND((SUM(('Quantification_Results'!AC376*'Quantification_Config'!$R$12))/SUM('Quantification_Config'!$R$12)),'Quantification_Config'!$U$2),""),"")</x:f>
      </x:c>
      <x:c r="AJ376">
        <x:f>IF((COUNT('Quantification_Results'!AI376)=1),IFERROR(ROUND((SUM(('Quantification_Results'!AI376*'Quantification_Config'!$R$11))/SUM('Quantification_Config'!$R$11)),'Quantification_Config'!$U$2),""),"")</x:f>
      </x:c>
      <x:c r="AK376" t="n">
        <x:v>1</x:v>
      </x:c>
      <x:c r="AL376" t="n">
        <x:v>5</x:v>
      </x:c>
      <x:c r="AM376"/>
      <x:c r="AN376" t="n">
        <x:f>IF(('Quantification_Results'!AK376&lt;&gt;1),"",IF(('Quantification_Results'!AM376=""),IF(ISNUMBER('Quantification_Results'!AL376),IF(('Quantification_Results'!AL376&lt;'Quantification_Config'!$S$15),"",IF(('Quantification_Results'!AL376&gt;'Quantification_Config'!$T$15),"",'Quantification_Results'!AL376)),""),IF(ISNUMBER('Quantification_Results'!AM376),IF(('Quantification_Results'!AM376&lt;'Quantification_Config'!$S$15),"",IF(('Quantification_Results'!AM376&gt;'Quantification_Config'!$T$15),"",'Quantification_Results'!AM376)),"")))</x:f>
        <x:v>5</x:v>
      </x:c>
      <x:c r="AO376" t="n">
        <x:f>IF(ISNUMBER('Quantification_Results'!AN376),IFERROR(ROUND(((('Quantification_Results'!AN376-'Quantification_Config'!$S$15)/('Quantification_Config'!$T$15-'Quantification_Config'!$S$15))*100),'Quantification_Config'!$U$2),""),"")</x:f>
        <x:v>50</x:v>
      </x:c>
      <x:c r="AP376" t="inlineStr">
        <x:is>
          <x:t xml:space="preserve">SYSTEM-TEST-ONLY-NO-NETWORK-NOT-AN-EDUCATIONAL-EVALUATION</x:t>
        </x:is>
      </x:c>
      <x:c r="AQ376" t="inlineStr">
        <x:is>
          <x:t xml:space="preserve"/>
        </x:is>
      </x:c>
      <x:c r="AR376" t="inlineStr">
        <x:is>
          <x:t xml:space="preserve">NONE</x:t>
        </x:is>
      </x:c>
      <x:c r="AS376" t="inlineStr">
        <x:is>
          <x:t xml:space="preserve"/>
        </x:is>
      </x:c>
      <x:c r="AT376" t="inlineStr">
        <x:is>
          <x:t xml:space="preserve">SUCCESS</x:t>
        </x:is>
      </x:c>
      <x:c r="AU376" t="n">
        <x:f>IF((COUNT('Quantification_Results'!AO376)=1),IFERROR(ROUND((SUM(('Quantification_Results'!AO376*'Quantification_Config'!$R$15))/SUM('Quantification_Config'!$R$15)),'Quantification_Config'!$U$2),""),"")</x:f>
        <x:v>50</x:v>
      </x:c>
      <x:c r="AV376" t="n">
        <x:f>IF((COUNT('Quantification_Results'!AU376)=1),IFERROR(ROUND((SUM(('Quantification_Results'!AU376*'Quantification_Config'!$R$14))/SUM('Quantification_Config'!$R$14)),'Quantification_Config'!$U$2),""),"")</x:f>
        <x:v>50</x:v>
      </x:c>
      <x:c r="AW376" t="n">
        <x:v>0</x:v>
      </x:c>
      <x:c r="AX376"/>
      <x:c r="AY376"/>
      <x:c r="AZ376">
        <x:f>IF(('Quantification_Results'!AW376&lt;&gt;1),"",IF(('Quantification_Results'!AY376=""),IF(ISNUMBER('Quantification_Results'!AX376),IF(('Quantification_Results'!AX376&lt;'Quantification_Config'!$S$19),"",IF(('Quantification_Results'!AX376&gt;'Quantification_Config'!$T$19),"",'Quantification_Results'!AX376)),""),IF(ISNUMBER('Quantification_Results'!AY376),IF(('Quantification_Results'!AY376&lt;'Quantification_Config'!$S$19),"",IF(('Quantification_Results'!AY376&gt;'Quantification_Config'!$T$19),"",'Quantification_Results'!AY376)),"")))</x:f>
      </x:c>
      <x:c r="BA376">
        <x:f>IF(ISNUMBER('Quantification_Results'!AZ376),IFERROR(ROUND(((('Quantification_Results'!AZ376-'Quantification_Config'!$S$19)/('Quantification_Config'!$T$19-'Quantification_Config'!$S$19))*100),'Quantification_Config'!$U$2),""),"")</x:f>
      </x:c>
      <x:c r="BB376" t="inlineStr">
        <x:is>
          <x:t xml:space="preserve"/>
        </x:is>
      </x:c>
      <x:c r="BC376" t="inlineStr">
        <x:is>
          <x:t xml:space="preserve"/>
        </x:is>
      </x:c>
      <x:c r="BD376" t="inlineStr">
        <x:is>
          <x:t xml:space="preserve"/>
        </x:is>
      </x:c>
      <x:c r="BE376" t="inlineStr">
        <x:is>
          <x:t xml:space="preserve"/>
        </x:is>
      </x:c>
      <x:c r="BF376" t="inlineStr">
        <x:is>
          <x:t xml:space="preserve">EMPTY</x:t>
        </x:is>
      </x:c>
      <x:c r="BG376">
        <x:f>IF((COUNT('Quantification_Results'!BA376)=1),IFERROR(ROUND((SUM(('Quantification_Results'!BA376*'Quantification_Config'!$R$19))/SUM('Quantification_Config'!$R$19)),'Quantification_Config'!$U$2),""),"")</x:f>
      </x:c>
      <x:c r="BH376">
        <x:f>IF((COUNT('Quantification_Results'!BG376)=1),IFERROR(ROUND((SUM(('Quantification_Results'!BG376*'Quantification_Config'!$R$18))/SUM('Quantification_Config'!$R$18)),'Quantification_Config'!$U$2),""),"")</x:f>
      </x:c>
      <x:c r="BI376">
        <x:f>IF((COUNT('Quantification_Results'!L376,'Quantification_Results'!X376,'Quantification_Results'!AJ376,'Quantification_Results'!AV376,'Quantification_Results'!BH376)=5),IFERROR(ROUND((SUM(('Quantification_Results'!L376*'Quantification_Config'!$R$4),('Quantification_Results'!X376*'Quantification_Config'!$R$7),('Quantification_Results'!AJ376*'Quantification_Config'!$R$10),('Quantification_Results'!AV376*'Quantification_Config'!$R$13),('Quantification_Results'!BH376*'Quantification_Config'!$R$16))/SUM('Quantification_Config'!$R$4,'Quantification_Config'!$R$7,'Quantification_Config'!$R$10,'Quantification_Config'!$R$13,'Quantification_Config'!$R$16)),'Quantification_Config'!$U$2),""),"")</x:f>
      </x:c>
    </x:row>
    <x:row r="377">
      <x:c r="A377" t="n">
        <x:v>1</x:v>
      </x:c>
      <x:c r="B377" t="n">
        <x:v>5</x:v>
      </x:c>
      <x:c r="C377"/>
      <x:c r="D377" t="n">
        <x:f>IF(('Quantification_Results'!A377&lt;&gt;1),"",IF(('Quantification_Results'!C377=""),IF(ISNUMBER('Quantification_Results'!B377),IF(('Quantification_Results'!B377&lt;'Quantification_Config'!$S$6),"",IF(('Quantification_Results'!B377&gt;'Quantification_Config'!$T$6),"",'Quantification_Results'!B377)),""),IF(ISNUMBER('Quantification_Results'!C377),IF(('Quantification_Results'!C377&lt;'Quantification_Config'!$S$6),"",IF(('Quantification_Results'!C377&gt;'Quantification_Config'!$T$6),"",'Quantification_Results'!C377)),"")))</x:f>
        <x:v>5</x:v>
      </x:c>
      <x:c r="E377" t="n">
        <x:f>IF(ISNUMBER('Quantification_Results'!D377),IFERROR(ROUND(((('Quantification_Results'!D377-'Quantification_Config'!$S$6)/('Quantification_Config'!$T$6-'Quantification_Config'!$S$6))*100),'Quantification_Config'!$U$2),""),"")</x:f>
        <x:v>50</x:v>
      </x:c>
      <x:c r="F377" t="inlineStr">
        <x:is>
          <x:t xml:space="preserve">SYSTEM-TEST-ONLY-NO-NETWORK-NOT-AN-EDUCATIONAL-EVALUATION</x:t>
        </x:is>
      </x:c>
      <x:c r="G377" t="inlineStr">
        <x:is>
          <x:t xml:space="preserve"/>
        </x:is>
      </x:c>
      <x:c r="H377" t="inlineStr">
        <x:is>
          <x:t xml:space="preserve">NONE</x:t>
        </x:is>
      </x:c>
      <x:c r="I377" t="inlineStr">
        <x:is>
          <x:t xml:space="preserve"/>
        </x:is>
      </x:c>
      <x:c r="J377" t="inlineStr">
        <x:is>
          <x:t xml:space="preserve">SUCCESS</x:t>
        </x:is>
      </x:c>
      <x:c r="K377" t="n">
        <x:f>IF((COUNT('Quantification_Results'!E377)=1),IFERROR(ROUND((SUM(('Quantification_Results'!E377*'Quantification_Config'!$R$6))/SUM('Quantification_Config'!$R$6)),'Quantification_Config'!$U$2),""),"")</x:f>
        <x:v>50</x:v>
      </x:c>
      <x:c r="L377" t="n">
        <x:f>IF((COUNT('Quantification_Results'!K377)=1),IFERROR(ROUND((SUM(('Quantification_Results'!K377*'Quantification_Config'!$R$5))/SUM('Quantification_Config'!$R$5)),'Quantification_Config'!$U$2),""),"")</x:f>
        <x:v>50</x:v>
      </x:c>
      <x:c r="M377" t="n">
        <x:v>1</x:v>
      </x:c>
      <x:c r="N377" t="n">
        <x:v>5</x:v>
      </x:c>
      <x:c r="O377"/>
      <x:c r="P377" t="n">
        <x:f>IF(('Quantification_Results'!M377&lt;&gt;1),"",IF(('Quantification_Results'!O377=""),IF(ISNUMBER('Quantification_Results'!N377),IF(('Quantification_Results'!N377&lt;'Quantification_Config'!$S$9),"",IF(('Quantification_Results'!N377&gt;'Quantification_Config'!$T$9),"",'Quantification_Results'!N377)),""),IF(ISNUMBER('Quantification_Results'!O377),IF(('Quantification_Results'!O377&lt;'Quantification_Config'!$S$9),"",IF(('Quantification_Results'!O377&gt;'Quantification_Config'!$T$9),"",'Quantification_Results'!O377)),"")))</x:f>
        <x:v>5</x:v>
      </x:c>
      <x:c r="Q377" t="n">
        <x:f>IF(ISNUMBER('Quantification_Results'!P377),IFERROR(ROUND(((('Quantification_Results'!P377-'Quantification_Config'!$S$9)/('Quantification_Config'!$T$9-'Quantification_Config'!$S$9))*100),'Quantification_Config'!$U$2),""),"")</x:f>
        <x:v>50</x:v>
      </x:c>
      <x:c r="R377" t="inlineStr">
        <x:is>
          <x:t xml:space="preserve">SYSTEM-TEST-ONLY-NO-NETWORK-NOT-AN-EDUCATIONAL-EVALUATION</x:t>
        </x:is>
      </x:c>
      <x:c r="S377" t="inlineStr">
        <x:is>
          <x:t xml:space="preserve"/>
        </x:is>
      </x:c>
      <x:c r="T377" t="inlineStr">
        <x:is>
          <x:t xml:space="preserve">NONE</x:t>
        </x:is>
      </x:c>
      <x:c r="U377" t="inlineStr">
        <x:is>
          <x:t xml:space="preserve"/>
        </x:is>
      </x:c>
      <x:c r="V377" t="inlineStr">
        <x:is>
          <x:t xml:space="preserve">SUCCESS</x:t>
        </x:is>
      </x:c>
      <x:c r="W377" t="n">
        <x:f>IF((COUNT('Quantification_Results'!Q377)=1),IFERROR(ROUND((SUM(('Quantification_Results'!Q377*'Quantification_Config'!$R$9))/SUM('Quantification_Config'!$R$9)),'Quantification_Config'!$U$2),""),"")</x:f>
        <x:v>50</x:v>
      </x:c>
      <x:c r="X377" t="n">
        <x:f>IF((COUNT('Quantification_Results'!W377)=1),IFERROR(ROUND((SUM(('Quantification_Results'!W377*'Quantification_Config'!$R$8))/SUM('Quantification_Config'!$R$8)),'Quantification_Config'!$U$2),""),"")</x:f>
        <x:v>50</x:v>
      </x:c>
      <x:c r="Y377" t="n">
        <x:v>0</x:v>
      </x:c>
      <x:c r="Z377"/>
      <x:c r="AA377"/>
      <x:c r="AB377">
        <x:f>IF(('Quantification_Results'!Y377&lt;&gt;1),"",IF(('Quantification_Results'!AA377=""),IF(ISNUMBER('Quantification_Results'!Z377),IF(('Quantification_Results'!Z377&lt;'Quantification_Config'!$S$12),"",IF(('Quantification_Results'!Z377&gt;'Quantification_Config'!$T$12),"",'Quantification_Results'!Z377)),""),IF(ISNUMBER('Quantification_Results'!AA377),IF(('Quantification_Results'!AA377&lt;'Quantification_Config'!$S$12),"",IF(('Quantification_Results'!AA377&gt;'Quantification_Config'!$T$12),"",'Quantification_Results'!AA377)),"")))</x:f>
      </x:c>
      <x:c r="AC377">
        <x:f>IF(ISNUMBER('Quantification_Results'!AB377),IFERROR(ROUND(((('Quantification_Results'!AB377-'Quantification_Config'!$S$12)/('Quantification_Config'!$T$12-'Quantification_Config'!$S$12))*100),'Quantification_Config'!$U$2),""),"")</x:f>
      </x:c>
      <x:c r="AD377" t="inlineStr">
        <x:is>
          <x:t xml:space="preserve"/>
        </x:is>
      </x:c>
      <x:c r="AE377" t="inlineStr">
        <x:is>
          <x:t xml:space="preserve"/>
        </x:is>
      </x:c>
      <x:c r="AF377" t="inlineStr">
        <x:is>
          <x:t xml:space="preserve"/>
        </x:is>
      </x:c>
      <x:c r="AG377" t="inlineStr">
        <x:is>
          <x:t xml:space="preserve"/>
        </x:is>
      </x:c>
      <x:c r="AH377" t="inlineStr">
        <x:is>
          <x:t xml:space="preserve">EMPTY</x:t>
        </x:is>
      </x:c>
      <x:c r="AI377">
        <x:f>IF((COUNT('Quantification_Results'!AC377)=1),IFERROR(ROUND((SUM(('Quantification_Results'!AC377*'Quantification_Config'!$R$12))/SUM('Quantification_Config'!$R$12)),'Quantification_Config'!$U$2),""),"")</x:f>
      </x:c>
      <x:c r="AJ377">
        <x:f>IF((COUNT('Quantification_Results'!AI377)=1),IFERROR(ROUND((SUM(('Quantification_Results'!AI377*'Quantification_Config'!$R$11))/SUM('Quantification_Config'!$R$11)),'Quantification_Config'!$U$2),""),"")</x:f>
      </x:c>
      <x:c r="AK377" t="n">
        <x:v>1</x:v>
      </x:c>
      <x:c r="AL377" t="n">
        <x:v>5</x:v>
      </x:c>
      <x:c r="AM377"/>
      <x:c r="AN377" t="n">
        <x:f>IF(('Quantification_Results'!AK377&lt;&gt;1),"",IF(('Quantification_Results'!AM377=""),IF(ISNUMBER('Quantification_Results'!AL377),IF(('Quantification_Results'!AL377&lt;'Quantification_Config'!$S$15),"",IF(('Quantification_Results'!AL377&gt;'Quantification_Config'!$T$15),"",'Quantification_Results'!AL377)),""),IF(ISNUMBER('Quantification_Results'!AM377),IF(('Quantification_Results'!AM377&lt;'Quantification_Config'!$S$15),"",IF(('Quantification_Results'!AM377&gt;'Quantification_Config'!$T$15),"",'Quantification_Results'!AM377)),"")))</x:f>
        <x:v>5</x:v>
      </x:c>
      <x:c r="AO377" t="n">
        <x:f>IF(ISNUMBER('Quantification_Results'!AN377),IFERROR(ROUND(((('Quantification_Results'!AN377-'Quantification_Config'!$S$15)/('Quantification_Config'!$T$15-'Quantification_Config'!$S$15))*100),'Quantification_Config'!$U$2),""),"")</x:f>
        <x:v>50</x:v>
      </x:c>
      <x:c r="AP377" t="inlineStr">
        <x:is>
          <x:t xml:space="preserve">SYSTEM-TEST-ONLY-NO-NETWORK-NOT-AN-EDUCATIONAL-EVALUATION</x:t>
        </x:is>
      </x:c>
      <x:c r="AQ377" t="inlineStr">
        <x:is>
          <x:t xml:space="preserve"/>
        </x:is>
      </x:c>
      <x:c r="AR377" t="inlineStr">
        <x:is>
          <x:t xml:space="preserve">NONE</x:t>
        </x:is>
      </x:c>
      <x:c r="AS377" t="inlineStr">
        <x:is>
          <x:t xml:space="preserve"/>
        </x:is>
      </x:c>
      <x:c r="AT377" t="inlineStr">
        <x:is>
          <x:t xml:space="preserve">SUCCESS</x:t>
        </x:is>
      </x:c>
      <x:c r="AU377" t="n">
        <x:f>IF((COUNT('Quantification_Results'!AO377)=1),IFERROR(ROUND((SUM(('Quantification_Results'!AO377*'Quantification_Config'!$R$15))/SUM('Quantification_Config'!$R$15)),'Quantification_Config'!$U$2),""),"")</x:f>
        <x:v>50</x:v>
      </x:c>
      <x:c r="AV377" t="n">
        <x:f>IF((COUNT('Quantification_Results'!AU377)=1),IFERROR(ROUND((SUM(('Quantification_Results'!AU377*'Quantification_Config'!$R$14))/SUM('Quantification_Config'!$R$14)),'Quantification_Config'!$U$2),""),"")</x:f>
        <x:v>50</x:v>
      </x:c>
      <x:c r="AW377" t="n">
        <x:v>1</x:v>
      </x:c>
      <x:c r="AX377" t="n">
        <x:v>5</x:v>
      </x:c>
      <x:c r="AY377"/>
      <x:c r="AZ377" t="n">
        <x:f>IF(('Quantification_Results'!AW377&lt;&gt;1),"",IF(('Quantification_Results'!AY377=""),IF(ISNUMBER('Quantification_Results'!AX377),IF(('Quantification_Results'!AX377&lt;'Quantification_Config'!$S$19),"",IF(('Quantification_Results'!AX377&gt;'Quantification_Config'!$T$19),"",'Quantification_Results'!AX377)),""),IF(ISNUMBER('Quantification_Results'!AY377),IF(('Quantification_Results'!AY377&lt;'Quantification_Config'!$S$19),"",IF(('Quantification_Results'!AY377&gt;'Quantification_Config'!$T$19),"",'Quantification_Results'!AY377)),"")))</x:f>
        <x:v>5</x:v>
      </x:c>
      <x:c r="BA377" t="n">
        <x:f>IF(ISNUMBER('Quantification_Results'!AZ377),IFERROR(ROUND(((('Quantification_Results'!AZ377-'Quantification_Config'!$S$19)/('Quantification_Config'!$T$19-'Quantification_Config'!$S$19))*100),'Quantification_Config'!$U$2),""),"")</x:f>
        <x:v>50</x:v>
      </x:c>
      <x:c r="BB377" t="inlineStr">
        <x:is>
          <x:t xml:space="preserve">SYSTEM-TEST-ONLY-NO-NETWORK-NOT-AN-EDUCATIONAL-EVALUATION</x:t>
        </x:is>
      </x:c>
      <x:c r="BC377" t="inlineStr">
        <x:is>
          <x:t xml:space="preserve"/>
        </x:is>
      </x:c>
      <x:c r="BD377" t="inlineStr">
        <x:is>
          <x:t xml:space="preserve">NONE</x:t>
        </x:is>
      </x:c>
      <x:c r="BE377" t="inlineStr">
        <x:is>
          <x:t xml:space="preserve"/>
        </x:is>
      </x:c>
      <x:c r="BF377" t="inlineStr">
        <x:is>
          <x:t xml:space="preserve">SUCCESS</x:t>
        </x:is>
      </x:c>
      <x:c r="BG377" t="n">
        <x:f>IF((COUNT('Quantification_Results'!BA377)=1),IFERROR(ROUND((SUM(('Quantification_Results'!BA377*'Quantification_Config'!$R$19))/SUM('Quantification_Config'!$R$19)),'Quantification_Config'!$U$2),""),"")</x:f>
        <x:v>50</x:v>
      </x:c>
      <x:c r="BH377" t="n">
        <x:f>IF((COUNT('Quantification_Results'!BG377)=1),IFERROR(ROUND((SUM(('Quantification_Results'!BG377*'Quantification_Config'!$R$18))/SUM('Quantification_Config'!$R$18)),'Quantification_Config'!$U$2),""),"")</x:f>
        <x:v>50</x:v>
      </x:c>
      <x:c r="BI377">
        <x:f>IF((COUNT('Quantification_Results'!L377,'Quantification_Results'!X377,'Quantification_Results'!AJ377,'Quantification_Results'!AV377,'Quantification_Results'!BH377)=5),IFERROR(ROUND((SUM(('Quantification_Results'!L377*'Quantification_Config'!$R$4),('Quantification_Results'!X377*'Quantification_Config'!$R$7),('Quantification_Results'!AJ377*'Quantification_Config'!$R$10),('Quantification_Results'!AV377*'Quantification_Config'!$R$13),('Quantification_Results'!BH377*'Quantification_Config'!$R$16))/SUM('Quantification_Config'!$R$4,'Quantification_Config'!$R$7,'Quantification_Config'!$R$10,'Quantification_Config'!$R$13,'Quantification_Config'!$R$16)),'Quantification_Config'!$U$2),""),"")</x:f>
      </x:c>
    </x:row>
    <x:row r="378">
      <x:c r="A378" t="n">
        <x:v>1</x:v>
      </x:c>
      <x:c r="B378" t="n">
        <x:v>5</x:v>
      </x:c>
      <x:c r="C378"/>
      <x:c r="D378" t="n">
        <x:f>IF(('Quantification_Results'!A378&lt;&gt;1),"",IF(('Quantification_Results'!C378=""),IF(ISNUMBER('Quantification_Results'!B378),IF(('Quantification_Results'!B378&lt;'Quantification_Config'!$S$6),"",IF(('Quantification_Results'!B378&gt;'Quantification_Config'!$T$6),"",'Quantification_Results'!B378)),""),IF(ISNUMBER('Quantification_Results'!C378),IF(('Quantification_Results'!C378&lt;'Quantification_Config'!$S$6),"",IF(('Quantification_Results'!C378&gt;'Quantification_Config'!$T$6),"",'Quantification_Results'!C378)),"")))</x:f>
        <x:v>5</x:v>
      </x:c>
      <x:c r="E378" t="n">
        <x:f>IF(ISNUMBER('Quantification_Results'!D378),IFERROR(ROUND(((('Quantification_Results'!D378-'Quantification_Config'!$S$6)/('Quantification_Config'!$T$6-'Quantification_Config'!$S$6))*100),'Quantification_Config'!$U$2),""),"")</x:f>
        <x:v>50</x:v>
      </x:c>
      <x:c r="F378" t="inlineStr">
        <x:is>
          <x:t xml:space="preserve">SYSTEM-TEST-ONLY-NO-NETWORK-NOT-AN-EDUCATIONAL-EVALUATION</x:t>
        </x:is>
      </x:c>
      <x:c r="G378" t="inlineStr">
        <x:is>
          <x:t xml:space="preserve"/>
        </x:is>
      </x:c>
      <x:c r="H378" t="inlineStr">
        <x:is>
          <x:t xml:space="preserve">NONE</x:t>
        </x:is>
      </x:c>
      <x:c r="I378" t="inlineStr">
        <x:is>
          <x:t xml:space="preserve"/>
        </x:is>
      </x:c>
      <x:c r="J378" t="inlineStr">
        <x:is>
          <x:t xml:space="preserve">SUCCESS</x:t>
        </x:is>
      </x:c>
      <x:c r="K378" t="n">
        <x:f>IF((COUNT('Quantification_Results'!E378)=1),IFERROR(ROUND((SUM(('Quantification_Results'!E378*'Quantification_Config'!$R$6))/SUM('Quantification_Config'!$R$6)),'Quantification_Config'!$U$2),""),"")</x:f>
        <x:v>50</x:v>
      </x:c>
      <x:c r="L378" t="n">
        <x:f>IF((COUNT('Quantification_Results'!K378)=1),IFERROR(ROUND((SUM(('Quantification_Results'!K378*'Quantification_Config'!$R$5))/SUM('Quantification_Config'!$R$5)),'Quantification_Config'!$U$2),""),"")</x:f>
        <x:v>50</x:v>
      </x:c>
      <x:c r="M378" t="n">
        <x:v>1</x:v>
      </x:c>
      <x:c r="N378" t="n">
        <x:v>5</x:v>
      </x:c>
      <x:c r="O378"/>
      <x:c r="P378" t="n">
        <x:f>IF(('Quantification_Results'!M378&lt;&gt;1),"",IF(('Quantification_Results'!O378=""),IF(ISNUMBER('Quantification_Results'!N378),IF(('Quantification_Results'!N378&lt;'Quantification_Config'!$S$9),"",IF(('Quantification_Results'!N378&gt;'Quantification_Config'!$T$9),"",'Quantification_Results'!N378)),""),IF(ISNUMBER('Quantification_Results'!O378),IF(('Quantification_Results'!O378&lt;'Quantification_Config'!$S$9),"",IF(('Quantification_Results'!O378&gt;'Quantification_Config'!$T$9),"",'Quantification_Results'!O378)),"")))</x:f>
        <x:v>5</x:v>
      </x:c>
      <x:c r="Q378" t="n">
        <x:f>IF(ISNUMBER('Quantification_Results'!P378),IFERROR(ROUND(((('Quantification_Results'!P378-'Quantification_Config'!$S$9)/('Quantification_Config'!$T$9-'Quantification_Config'!$S$9))*100),'Quantification_Config'!$U$2),""),"")</x:f>
        <x:v>50</x:v>
      </x:c>
      <x:c r="R378" t="inlineStr">
        <x:is>
          <x:t xml:space="preserve">SYSTEM-TEST-ONLY-NO-NETWORK-NOT-AN-EDUCATIONAL-EVALUATION</x:t>
        </x:is>
      </x:c>
      <x:c r="S378" t="inlineStr">
        <x:is>
          <x:t xml:space="preserve"/>
        </x:is>
      </x:c>
      <x:c r="T378" t="inlineStr">
        <x:is>
          <x:t xml:space="preserve">NONE</x:t>
        </x:is>
      </x:c>
      <x:c r="U378" t="inlineStr">
        <x:is>
          <x:t xml:space="preserve"/>
        </x:is>
      </x:c>
      <x:c r="V378" t="inlineStr">
        <x:is>
          <x:t xml:space="preserve">SUCCESS</x:t>
        </x:is>
      </x:c>
      <x:c r="W378" t="n">
        <x:f>IF((COUNT('Quantification_Results'!Q378)=1),IFERROR(ROUND((SUM(('Quantification_Results'!Q378*'Quantification_Config'!$R$9))/SUM('Quantification_Config'!$R$9)),'Quantification_Config'!$U$2),""),"")</x:f>
        <x:v>50</x:v>
      </x:c>
      <x:c r="X378" t="n">
        <x:f>IF((COUNT('Quantification_Results'!W378)=1),IFERROR(ROUND((SUM(('Quantification_Results'!W378*'Quantification_Config'!$R$8))/SUM('Quantification_Config'!$R$8)),'Quantification_Config'!$U$2),""),"")</x:f>
        <x:v>50</x:v>
      </x:c>
      <x:c r="Y378" t="n">
        <x:v>1</x:v>
      </x:c>
      <x:c r="Z378" t="n">
        <x:v>5</x:v>
      </x:c>
      <x:c r="AA378"/>
      <x:c r="AB378" t="n">
        <x:f>IF(('Quantification_Results'!Y378&lt;&gt;1),"",IF(('Quantification_Results'!AA378=""),IF(ISNUMBER('Quantification_Results'!Z378),IF(('Quantification_Results'!Z378&lt;'Quantification_Config'!$S$12),"",IF(('Quantification_Results'!Z378&gt;'Quantification_Config'!$T$12),"",'Quantification_Results'!Z378)),""),IF(ISNUMBER('Quantification_Results'!AA378),IF(('Quantification_Results'!AA378&lt;'Quantification_Config'!$S$12),"",IF(('Quantification_Results'!AA378&gt;'Quantification_Config'!$T$12),"",'Quantification_Results'!AA378)),"")))</x:f>
        <x:v>5</x:v>
      </x:c>
      <x:c r="AC378" t="n">
        <x:f>IF(ISNUMBER('Quantification_Results'!AB378),IFERROR(ROUND(((('Quantification_Results'!AB378-'Quantification_Config'!$S$12)/('Quantification_Config'!$T$12-'Quantification_Config'!$S$12))*100),'Quantification_Config'!$U$2),""),"")</x:f>
        <x:v>50</x:v>
      </x:c>
      <x:c r="AD378" t="inlineStr">
        <x:is>
          <x:t xml:space="preserve">SYSTEM-TEST-ONLY-NO-NETWORK-NOT-AN-EDUCATIONAL-EVALUATION</x:t>
        </x:is>
      </x:c>
      <x:c r="AE378" t="inlineStr">
        <x:is>
          <x:t xml:space="preserve"/>
        </x:is>
      </x:c>
      <x:c r="AF378" t="inlineStr">
        <x:is>
          <x:t xml:space="preserve">NONE</x:t>
        </x:is>
      </x:c>
      <x:c r="AG378" t="inlineStr">
        <x:is>
          <x:t xml:space="preserve"/>
        </x:is>
      </x:c>
      <x:c r="AH378" t="inlineStr">
        <x:is>
          <x:t xml:space="preserve">SUCCESS</x:t>
        </x:is>
      </x:c>
      <x:c r="AI378" t="n">
        <x:f>IF((COUNT('Quantification_Results'!AC378)=1),IFERROR(ROUND((SUM(('Quantification_Results'!AC378*'Quantification_Config'!$R$12))/SUM('Quantification_Config'!$R$12)),'Quantification_Config'!$U$2),""),"")</x:f>
        <x:v>50</x:v>
      </x:c>
      <x:c r="AJ378" t="n">
        <x:f>IF((COUNT('Quantification_Results'!AI378)=1),IFERROR(ROUND((SUM(('Quantification_Results'!AI378*'Quantification_Config'!$R$11))/SUM('Quantification_Config'!$R$11)),'Quantification_Config'!$U$2),""),"")</x:f>
        <x:v>50</x:v>
      </x:c>
      <x:c r="AK378" t="n">
        <x:v>1</x:v>
      </x:c>
      <x:c r="AL378" t="n">
        <x:v>5</x:v>
      </x:c>
      <x:c r="AM378"/>
      <x:c r="AN378" t="n">
        <x:f>IF(('Quantification_Results'!AK378&lt;&gt;1),"",IF(('Quantification_Results'!AM378=""),IF(ISNUMBER('Quantification_Results'!AL378),IF(('Quantification_Results'!AL378&lt;'Quantification_Config'!$S$15),"",IF(('Quantification_Results'!AL378&gt;'Quantification_Config'!$T$15),"",'Quantification_Results'!AL378)),""),IF(ISNUMBER('Quantification_Results'!AM378),IF(('Quantification_Results'!AM378&lt;'Quantification_Config'!$S$15),"",IF(('Quantification_Results'!AM378&gt;'Quantification_Config'!$T$15),"",'Quantification_Results'!AM378)),"")))</x:f>
        <x:v>5</x:v>
      </x:c>
      <x:c r="AO378" t="n">
        <x:f>IF(ISNUMBER('Quantification_Results'!AN378),IFERROR(ROUND(((('Quantification_Results'!AN378-'Quantification_Config'!$S$15)/('Quantification_Config'!$T$15-'Quantification_Config'!$S$15))*100),'Quantification_Config'!$U$2),""),"")</x:f>
        <x:v>50</x:v>
      </x:c>
      <x:c r="AP378" t="inlineStr">
        <x:is>
          <x:t xml:space="preserve">SYSTEM-TEST-ONLY-NO-NETWORK-NOT-AN-EDUCATIONAL-EVALUATION</x:t>
        </x:is>
      </x:c>
      <x:c r="AQ378" t="inlineStr">
        <x:is>
          <x:t xml:space="preserve"/>
        </x:is>
      </x:c>
      <x:c r="AR378" t="inlineStr">
        <x:is>
          <x:t xml:space="preserve">NONE</x:t>
        </x:is>
      </x:c>
      <x:c r="AS378" t="inlineStr">
        <x:is>
          <x:t xml:space="preserve"/>
        </x:is>
      </x:c>
      <x:c r="AT378" t="inlineStr">
        <x:is>
          <x:t xml:space="preserve">SUCCESS</x:t>
        </x:is>
      </x:c>
      <x:c r="AU378" t="n">
        <x:f>IF((COUNT('Quantification_Results'!AO378)=1),IFERROR(ROUND((SUM(('Quantification_Results'!AO378*'Quantification_Config'!$R$15))/SUM('Quantification_Config'!$R$15)),'Quantification_Config'!$U$2),""),"")</x:f>
        <x:v>50</x:v>
      </x:c>
      <x:c r="AV378" t="n">
        <x:f>IF((COUNT('Quantification_Results'!AU378)=1),IFERROR(ROUND((SUM(('Quantification_Results'!AU378*'Quantification_Config'!$R$14))/SUM('Quantification_Config'!$R$14)),'Quantification_Config'!$U$2),""),"")</x:f>
        <x:v>50</x:v>
      </x:c>
      <x:c r="AW378" t="n">
        <x:v>1</x:v>
      </x:c>
      <x:c r="AX378" t="n">
        <x:v>5</x:v>
      </x:c>
      <x:c r="AY378"/>
      <x:c r="AZ378" t="n">
        <x:f>IF(('Quantification_Results'!AW378&lt;&gt;1),"",IF(('Quantification_Results'!AY378=""),IF(ISNUMBER('Quantification_Results'!AX378),IF(('Quantification_Results'!AX378&lt;'Quantification_Config'!$S$19),"",IF(('Quantification_Results'!AX378&gt;'Quantification_Config'!$T$19),"",'Quantification_Results'!AX378)),""),IF(ISNUMBER('Quantification_Results'!AY378),IF(('Quantification_Results'!AY378&lt;'Quantification_Config'!$S$19),"",IF(('Quantification_Results'!AY378&gt;'Quantification_Config'!$T$19),"",'Quantification_Results'!AY378)),"")))</x:f>
        <x:v>5</x:v>
      </x:c>
      <x:c r="BA378" t="n">
        <x:f>IF(ISNUMBER('Quantification_Results'!AZ378),IFERROR(ROUND(((('Quantification_Results'!AZ378-'Quantification_Config'!$S$19)/('Quantification_Config'!$T$19-'Quantification_Config'!$S$19))*100),'Quantification_Config'!$U$2),""),"")</x:f>
        <x:v>50</x:v>
      </x:c>
      <x:c r="BB378" t="inlineStr">
        <x:is>
          <x:t xml:space="preserve">SYSTEM-TEST-ONLY-NO-NETWORK-NOT-AN-EDUCATIONAL-EVALUATION</x:t>
        </x:is>
      </x:c>
      <x:c r="BC378" t="inlineStr">
        <x:is>
          <x:t xml:space="preserve"/>
        </x:is>
      </x:c>
      <x:c r="BD378" t="inlineStr">
        <x:is>
          <x:t xml:space="preserve">NONE</x:t>
        </x:is>
      </x:c>
      <x:c r="BE378" t="inlineStr">
        <x:is>
          <x:t xml:space="preserve"/>
        </x:is>
      </x:c>
      <x:c r="BF378" t="inlineStr">
        <x:is>
          <x:t xml:space="preserve">SUCCESS</x:t>
        </x:is>
      </x:c>
      <x:c r="BG378" t="n">
        <x:f>IF((COUNT('Quantification_Results'!BA378)=1),IFERROR(ROUND((SUM(('Quantification_Results'!BA378*'Quantification_Config'!$R$19))/SUM('Quantification_Config'!$R$19)),'Quantification_Config'!$U$2),""),"")</x:f>
        <x:v>50</x:v>
      </x:c>
      <x:c r="BH378" t="n">
        <x:f>IF((COUNT('Quantification_Results'!BG378)=1),IFERROR(ROUND((SUM(('Quantification_Results'!BG378*'Quantification_Config'!$R$18))/SUM('Quantification_Config'!$R$18)),'Quantification_Config'!$U$2),""),"")</x:f>
        <x:v>50</x:v>
      </x:c>
      <x:c r="BI378" t="n">
        <x:f>IF((COUNT('Quantification_Results'!L378,'Quantification_Results'!X378,'Quantification_Results'!AJ378,'Quantification_Results'!AV378,'Quantification_Results'!BH378)=5),IFERROR(ROUND((SUM(('Quantification_Results'!L378*'Quantification_Config'!$R$4),('Quantification_Results'!X378*'Quantification_Config'!$R$7),('Quantification_Results'!AJ378*'Quantification_Config'!$R$10),('Quantification_Results'!AV378*'Quantification_Config'!$R$13),('Quantification_Results'!BH378*'Quantification_Config'!$R$16))/SUM('Quantification_Config'!$R$4,'Quantification_Config'!$R$7,'Quantification_Config'!$R$10,'Quantification_Config'!$R$13,'Quantification_Config'!$R$16)),'Quantification_Config'!$U$2),""),"")</x:f>
        <x:v>50</x:v>
      </x:c>
    </x:row>
    <x:row r="379">
      <x:c r="A379" t="n">
        <x:v>1</x:v>
      </x:c>
      <x:c r="B379" t="n">
        <x:v>5</x:v>
      </x:c>
      <x:c r="C379"/>
      <x:c r="D379" t="n">
        <x:f>IF(('Quantification_Results'!A379&lt;&gt;1),"",IF(('Quantification_Results'!C379=""),IF(ISNUMBER('Quantification_Results'!B379),IF(('Quantification_Results'!B379&lt;'Quantification_Config'!$S$6),"",IF(('Quantification_Results'!B379&gt;'Quantification_Config'!$T$6),"",'Quantification_Results'!B379)),""),IF(ISNUMBER('Quantification_Results'!C379),IF(('Quantification_Results'!C379&lt;'Quantification_Config'!$S$6),"",IF(('Quantification_Results'!C379&gt;'Quantification_Config'!$T$6),"",'Quantification_Results'!C379)),"")))</x:f>
        <x:v>5</x:v>
      </x:c>
      <x:c r="E379" t="n">
        <x:f>IF(ISNUMBER('Quantification_Results'!D379),IFERROR(ROUND(((('Quantification_Results'!D379-'Quantification_Config'!$S$6)/('Quantification_Config'!$T$6-'Quantification_Config'!$S$6))*100),'Quantification_Config'!$U$2),""),"")</x:f>
        <x:v>50</x:v>
      </x:c>
      <x:c r="F379" t="inlineStr">
        <x:is>
          <x:t xml:space="preserve">SYSTEM-TEST-ONLY-NO-NETWORK-NOT-AN-EDUCATIONAL-EVALUATION</x:t>
        </x:is>
      </x:c>
      <x:c r="G379" t="inlineStr">
        <x:is>
          <x:t xml:space="preserve"/>
        </x:is>
      </x:c>
      <x:c r="H379" t="inlineStr">
        <x:is>
          <x:t xml:space="preserve">NONE</x:t>
        </x:is>
      </x:c>
      <x:c r="I379" t="inlineStr">
        <x:is>
          <x:t xml:space="preserve"/>
        </x:is>
      </x:c>
      <x:c r="J379" t="inlineStr">
        <x:is>
          <x:t xml:space="preserve">SUCCESS</x:t>
        </x:is>
      </x:c>
      <x:c r="K379" t="n">
        <x:f>IF((COUNT('Quantification_Results'!E379)=1),IFERROR(ROUND((SUM(('Quantification_Results'!E379*'Quantification_Config'!$R$6))/SUM('Quantification_Config'!$R$6)),'Quantification_Config'!$U$2),""),"")</x:f>
        <x:v>50</x:v>
      </x:c>
      <x:c r="L379" t="n">
        <x:f>IF((COUNT('Quantification_Results'!K379)=1),IFERROR(ROUND((SUM(('Quantification_Results'!K379*'Quantification_Config'!$R$5))/SUM('Quantification_Config'!$R$5)),'Quantification_Config'!$U$2),""),"")</x:f>
        <x:v>50</x:v>
      </x:c>
      <x:c r="M379" t="n">
        <x:v>1</x:v>
      </x:c>
      <x:c r="N379" t="n">
        <x:v>5</x:v>
      </x:c>
      <x:c r="O379"/>
      <x:c r="P379" t="n">
        <x:f>IF(('Quantification_Results'!M379&lt;&gt;1),"",IF(('Quantification_Results'!O379=""),IF(ISNUMBER('Quantification_Results'!N379),IF(('Quantification_Results'!N379&lt;'Quantification_Config'!$S$9),"",IF(('Quantification_Results'!N379&gt;'Quantification_Config'!$T$9),"",'Quantification_Results'!N379)),""),IF(ISNUMBER('Quantification_Results'!O379),IF(('Quantification_Results'!O379&lt;'Quantification_Config'!$S$9),"",IF(('Quantification_Results'!O379&gt;'Quantification_Config'!$T$9),"",'Quantification_Results'!O379)),"")))</x:f>
        <x:v>5</x:v>
      </x:c>
      <x:c r="Q379" t="n">
        <x:f>IF(ISNUMBER('Quantification_Results'!P379),IFERROR(ROUND(((('Quantification_Results'!P379-'Quantification_Config'!$S$9)/('Quantification_Config'!$T$9-'Quantification_Config'!$S$9))*100),'Quantification_Config'!$U$2),""),"")</x:f>
        <x:v>50</x:v>
      </x:c>
      <x:c r="R379" t="inlineStr">
        <x:is>
          <x:t xml:space="preserve">SYSTEM-TEST-ONLY-NO-NETWORK-NOT-AN-EDUCATIONAL-EVALUATION</x:t>
        </x:is>
      </x:c>
      <x:c r="S379" t="inlineStr">
        <x:is>
          <x:t xml:space="preserve"/>
        </x:is>
      </x:c>
      <x:c r="T379" t="inlineStr">
        <x:is>
          <x:t xml:space="preserve">NONE</x:t>
        </x:is>
      </x:c>
      <x:c r="U379" t="inlineStr">
        <x:is>
          <x:t xml:space="preserve"/>
        </x:is>
      </x:c>
      <x:c r="V379" t="inlineStr">
        <x:is>
          <x:t xml:space="preserve">SUCCESS</x:t>
        </x:is>
      </x:c>
      <x:c r="W379" t="n">
        <x:f>IF((COUNT('Quantification_Results'!Q379)=1),IFERROR(ROUND((SUM(('Quantification_Results'!Q379*'Quantification_Config'!$R$9))/SUM('Quantification_Config'!$R$9)),'Quantification_Config'!$U$2),""),"")</x:f>
        <x:v>50</x:v>
      </x:c>
      <x:c r="X379" t="n">
        <x:f>IF((COUNT('Quantification_Results'!W379)=1),IFERROR(ROUND((SUM(('Quantification_Results'!W379*'Quantification_Config'!$R$8))/SUM('Quantification_Config'!$R$8)),'Quantification_Config'!$U$2),""),"")</x:f>
        <x:v>50</x:v>
      </x:c>
      <x:c r="Y379" t="n">
        <x:v>1</x:v>
      </x:c>
      <x:c r="Z379" t="n">
        <x:v>5</x:v>
      </x:c>
      <x:c r="AA379"/>
      <x:c r="AB379" t="n">
        <x:f>IF(('Quantification_Results'!Y379&lt;&gt;1),"",IF(('Quantification_Results'!AA379=""),IF(ISNUMBER('Quantification_Results'!Z379),IF(('Quantification_Results'!Z379&lt;'Quantification_Config'!$S$12),"",IF(('Quantification_Results'!Z379&gt;'Quantification_Config'!$T$12),"",'Quantification_Results'!Z379)),""),IF(ISNUMBER('Quantification_Results'!AA379),IF(('Quantification_Results'!AA379&lt;'Quantification_Config'!$S$12),"",IF(('Quantification_Results'!AA379&gt;'Quantification_Config'!$T$12),"",'Quantification_Results'!AA379)),"")))</x:f>
        <x:v>5</x:v>
      </x:c>
      <x:c r="AC379" t="n">
        <x:f>IF(ISNUMBER('Quantification_Results'!AB379),IFERROR(ROUND(((('Quantification_Results'!AB379-'Quantification_Config'!$S$12)/('Quantification_Config'!$T$12-'Quantification_Config'!$S$12))*100),'Quantification_Config'!$U$2),""),"")</x:f>
        <x:v>50</x:v>
      </x:c>
      <x:c r="AD379" t="inlineStr">
        <x:is>
          <x:t xml:space="preserve">SYSTEM-TEST-ONLY-NO-NETWORK-NOT-AN-EDUCATIONAL-EVALUATION</x:t>
        </x:is>
      </x:c>
      <x:c r="AE379" t="inlineStr">
        <x:is>
          <x:t xml:space="preserve"/>
        </x:is>
      </x:c>
      <x:c r="AF379" t="inlineStr">
        <x:is>
          <x:t xml:space="preserve">NONE</x:t>
        </x:is>
      </x:c>
      <x:c r="AG379" t="inlineStr">
        <x:is>
          <x:t xml:space="preserve"/>
        </x:is>
      </x:c>
      <x:c r="AH379" t="inlineStr">
        <x:is>
          <x:t xml:space="preserve">SUCCESS</x:t>
        </x:is>
      </x:c>
      <x:c r="AI379" t="n">
        <x:f>IF((COUNT('Quantification_Results'!AC379)=1),IFERROR(ROUND((SUM(('Quantification_Results'!AC379*'Quantification_Config'!$R$12))/SUM('Quantification_Config'!$R$12)),'Quantification_Config'!$U$2),""),"")</x:f>
        <x:v>50</x:v>
      </x:c>
      <x:c r="AJ379" t="n">
        <x:f>IF((COUNT('Quantification_Results'!AI379)=1),IFERROR(ROUND((SUM(('Quantification_Results'!AI379*'Quantification_Config'!$R$11))/SUM('Quantification_Config'!$R$11)),'Quantification_Config'!$U$2),""),"")</x:f>
        <x:v>50</x:v>
      </x:c>
      <x:c r="AK379" t="n">
        <x:v>1</x:v>
      </x:c>
      <x:c r="AL379" t="n">
        <x:v>5</x:v>
      </x:c>
      <x:c r="AM379"/>
      <x:c r="AN379" t="n">
        <x:f>IF(('Quantification_Results'!AK379&lt;&gt;1),"",IF(('Quantification_Results'!AM379=""),IF(ISNUMBER('Quantification_Results'!AL379),IF(('Quantification_Results'!AL379&lt;'Quantification_Config'!$S$15),"",IF(('Quantification_Results'!AL379&gt;'Quantification_Config'!$T$15),"",'Quantification_Results'!AL379)),""),IF(ISNUMBER('Quantification_Results'!AM379),IF(('Quantification_Results'!AM379&lt;'Quantification_Config'!$S$15),"",IF(('Quantification_Results'!AM379&gt;'Quantification_Config'!$T$15),"",'Quantification_Results'!AM379)),"")))</x:f>
        <x:v>5</x:v>
      </x:c>
      <x:c r="AO379" t="n">
        <x:f>IF(ISNUMBER('Quantification_Results'!AN379),IFERROR(ROUND(((('Quantification_Results'!AN379-'Quantification_Config'!$S$15)/('Quantification_Config'!$T$15-'Quantification_Config'!$S$15))*100),'Quantification_Config'!$U$2),""),"")</x:f>
        <x:v>50</x:v>
      </x:c>
      <x:c r="AP379" t="inlineStr">
        <x:is>
          <x:t xml:space="preserve">SYSTEM-TEST-ONLY-NO-NETWORK-NOT-AN-EDUCATIONAL-EVALUATION</x:t>
        </x:is>
      </x:c>
      <x:c r="AQ379" t="inlineStr">
        <x:is>
          <x:t xml:space="preserve"/>
        </x:is>
      </x:c>
      <x:c r="AR379" t="inlineStr">
        <x:is>
          <x:t xml:space="preserve">NONE</x:t>
        </x:is>
      </x:c>
      <x:c r="AS379" t="inlineStr">
        <x:is>
          <x:t xml:space="preserve"/>
        </x:is>
      </x:c>
      <x:c r="AT379" t="inlineStr">
        <x:is>
          <x:t xml:space="preserve">SUCCESS</x:t>
        </x:is>
      </x:c>
      <x:c r="AU379" t="n">
        <x:f>IF((COUNT('Quantification_Results'!AO379)=1),IFERROR(ROUND((SUM(('Quantification_Results'!AO379*'Quantification_Config'!$R$15))/SUM('Quantification_Config'!$R$15)),'Quantification_Config'!$U$2),""),"")</x:f>
        <x:v>50</x:v>
      </x:c>
      <x:c r="AV379" t="n">
        <x:f>IF((COUNT('Quantification_Results'!AU379)=1),IFERROR(ROUND((SUM(('Quantification_Results'!AU379*'Quantification_Config'!$R$14))/SUM('Quantification_Config'!$R$14)),'Quantification_Config'!$U$2),""),"")</x:f>
        <x:v>50</x:v>
      </x:c>
      <x:c r="AW379" t="n">
        <x:v>1</x:v>
      </x:c>
      <x:c r="AX379" t="n">
        <x:v>5</x:v>
      </x:c>
      <x:c r="AY379"/>
      <x:c r="AZ379" t="n">
        <x:f>IF(('Quantification_Results'!AW379&lt;&gt;1),"",IF(('Quantification_Results'!AY379=""),IF(ISNUMBER('Quantification_Results'!AX379),IF(('Quantification_Results'!AX379&lt;'Quantification_Config'!$S$19),"",IF(('Quantification_Results'!AX379&gt;'Quantification_Config'!$T$19),"",'Quantification_Results'!AX379)),""),IF(ISNUMBER('Quantification_Results'!AY379),IF(('Quantification_Results'!AY379&lt;'Quantification_Config'!$S$19),"",IF(('Quantification_Results'!AY379&gt;'Quantification_Config'!$T$19),"",'Quantification_Results'!AY379)),"")))</x:f>
        <x:v>5</x:v>
      </x:c>
      <x:c r="BA379" t="n">
        <x:f>IF(ISNUMBER('Quantification_Results'!AZ379),IFERROR(ROUND(((('Quantification_Results'!AZ379-'Quantification_Config'!$S$19)/('Quantification_Config'!$T$19-'Quantification_Config'!$S$19))*100),'Quantification_Config'!$U$2),""),"")</x:f>
        <x:v>50</x:v>
      </x:c>
      <x:c r="BB379" t="inlineStr">
        <x:is>
          <x:t xml:space="preserve">SYSTEM-TEST-ONLY-NO-NETWORK-NOT-AN-EDUCATIONAL-EVALUATION</x:t>
        </x:is>
      </x:c>
      <x:c r="BC379" t="inlineStr">
        <x:is>
          <x:t xml:space="preserve"/>
        </x:is>
      </x:c>
      <x:c r="BD379" t="inlineStr">
        <x:is>
          <x:t xml:space="preserve">NONE</x:t>
        </x:is>
      </x:c>
      <x:c r="BE379" t="inlineStr">
        <x:is>
          <x:t xml:space="preserve"/>
        </x:is>
      </x:c>
      <x:c r="BF379" t="inlineStr">
        <x:is>
          <x:t xml:space="preserve">SUCCESS</x:t>
        </x:is>
      </x:c>
      <x:c r="BG379" t="n">
        <x:f>IF((COUNT('Quantification_Results'!BA379)=1),IFERROR(ROUND((SUM(('Quantification_Results'!BA379*'Quantification_Config'!$R$19))/SUM('Quantification_Config'!$R$19)),'Quantification_Config'!$U$2),""),"")</x:f>
        <x:v>50</x:v>
      </x:c>
      <x:c r="BH379" t="n">
        <x:f>IF((COUNT('Quantification_Results'!BG379)=1),IFERROR(ROUND((SUM(('Quantification_Results'!BG379*'Quantification_Config'!$R$18))/SUM('Quantification_Config'!$R$18)),'Quantification_Config'!$U$2),""),"")</x:f>
        <x:v>50</x:v>
      </x:c>
      <x:c r="BI379" t="n">
        <x:f>IF((COUNT('Quantification_Results'!L379,'Quantification_Results'!X379,'Quantification_Results'!AJ379,'Quantification_Results'!AV379,'Quantification_Results'!BH379)=5),IFERROR(ROUND((SUM(('Quantification_Results'!L379*'Quantification_Config'!$R$4),('Quantification_Results'!X379*'Quantification_Config'!$R$7),('Quantification_Results'!AJ379*'Quantification_Config'!$R$10),('Quantification_Results'!AV379*'Quantification_Config'!$R$13),('Quantification_Results'!BH379*'Quantification_Config'!$R$16))/SUM('Quantification_Config'!$R$4,'Quantification_Config'!$R$7,'Quantification_Config'!$R$10,'Quantification_Config'!$R$13,'Quantification_Config'!$R$16)),'Quantification_Config'!$U$2),""),"")</x:f>
        <x:v>50</x:v>
      </x:c>
    </x:row>
    <x:row r="380">
      <x:c r="A380" t="n">
        <x:v>1</x:v>
      </x:c>
      <x:c r="B380" t="n">
        <x:v>5</x:v>
      </x:c>
      <x:c r="C380"/>
      <x:c r="D380" t="n">
        <x:f>IF(('Quantification_Results'!A380&lt;&gt;1),"",IF(('Quantification_Results'!C380=""),IF(ISNUMBER('Quantification_Results'!B380),IF(('Quantification_Results'!B380&lt;'Quantification_Config'!$S$6),"",IF(('Quantification_Results'!B380&gt;'Quantification_Config'!$T$6),"",'Quantification_Results'!B380)),""),IF(ISNUMBER('Quantification_Results'!C380),IF(('Quantification_Results'!C380&lt;'Quantification_Config'!$S$6),"",IF(('Quantification_Results'!C380&gt;'Quantification_Config'!$T$6),"",'Quantification_Results'!C380)),"")))</x:f>
        <x:v>5</x:v>
      </x:c>
      <x:c r="E380" t="n">
        <x:f>IF(ISNUMBER('Quantification_Results'!D380),IFERROR(ROUND(((('Quantification_Results'!D380-'Quantification_Config'!$S$6)/('Quantification_Config'!$T$6-'Quantification_Config'!$S$6))*100),'Quantification_Config'!$U$2),""),"")</x:f>
        <x:v>50</x:v>
      </x:c>
      <x:c r="F380" t="inlineStr">
        <x:is>
          <x:t xml:space="preserve">SYSTEM-TEST-ONLY-NO-NETWORK-NOT-AN-EDUCATIONAL-EVALUATION</x:t>
        </x:is>
      </x:c>
      <x:c r="G380" t="inlineStr">
        <x:is>
          <x:t xml:space="preserve"/>
        </x:is>
      </x:c>
      <x:c r="H380" t="inlineStr">
        <x:is>
          <x:t xml:space="preserve">NONE</x:t>
        </x:is>
      </x:c>
      <x:c r="I380" t="inlineStr">
        <x:is>
          <x:t xml:space="preserve"/>
        </x:is>
      </x:c>
      <x:c r="J380" t="inlineStr">
        <x:is>
          <x:t xml:space="preserve">SUCCESS</x:t>
        </x:is>
      </x:c>
      <x:c r="K380" t="n">
        <x:f>IF((COUNT('Quantification_Results'!E380)=1),IFERROR(ROUND((SUM(('Quantification_Results'!E380*'Quantification_Config'!$R$6))/SUM('Quantification_Config'!$R$6)),'Quantification_Config'!$U$2),""),"")</x:f>
        <x:v>50</x:v>
      </x:c>
      <x:c r="L380" t="n">
        <x:f>IF((COUNT('Quantification_Results'!K380)=1),IFERROR(ROUND((SUM(('Quantification_Results'!K380*'Quantification_Config'!$R$5))/SUM('Quantification_Config'!$R$5)),'Quantification_Config'!$U$2),""),"")</x:f>
        <x:v>50</x:v>
      </x:c>
      <x:c r="M380" t="n">
        <x:v>1</x:v>
      </x:c>
      <x:c r="N380" t="n">
        <x:v>5</x:v>
      </x:c>
      <x:c r="O380"/>
      <x:c r="P380" t="n">
        <x:f>IF(('Quantification_Results'!M380&lt;&gt;1),"",IF(('Quantification_Results'!O380=""),IF(ISNUMBER('Quantification_Results'!N380),IF(('Quantification_Results'!N380&lt;'Quantification_Config'!$S$9),"",IF(('Quantification_Results'!N380&gt;'Quantification_Config'!$T$9),"",'Quantification_Results'!N380)),""),IF(ISNUMBER('Quantification_Results'!O380),IF(('Quantification_Results'!O380&lt;'Quantification_Config'!$S$9),"",IF(('Quantification_Results'!O380&gt;'Quantification_Config'!$T$9),"",'Quantification_Results'!O380)),"")))</x:f>
        <x:v>5</x:v>
      </x:c>
      <x:c r="Q380" t="n">
        <x:f>IF(ISNUMBER('Quantification_Results'!P380),IFERROR(ROUND(((('Quantification_Results'!P380-'Quantification_Config'!$S$9)/('Quantification_Config'!$T$9-'Quantification_Config'!$S$9))*100),'Quantification_Config'!$U$2),""),"")</x:f>
        <x:v>50</x:v>
      </x:c>
      <x:c r="R380" t="inlineStr">
        <x:is>
          <x:t xml:space="preserve">SYSTEM-TEST-ONLY-NO-NETWORK-NOT-AN-EDUCATIONAL-EVALUATION</x:t>
        </x:is>
      </x:c>
      <x:c r="S380" t="inlineStr">
        <x:is>
          <x:t xml:space="preserve"/>
        </x:is>
      </x:c>
      <x:c r="T380" t="inlineStr">
        <x:is>
          <x:t xml:space="preserve">NONE</x:t>
        </x:is>
      </x:c>
      <x:c r="U380" t="inlineStr">
        <x:is>
          <x:t xml:space="preserve"/>
        </x:is>
      </x:c>
      <x:c r="V380" t="inlineStr">
        <x:is>
          <x:t xml:space="preserve">SUCCESS</x:t>
        </x:is>
      </x:c>
      <x:c r="W380" t="n">
        <x:f>IF((COUNT('Quantification_Results'!Q380)=1),IFERROR(ROUND((SUM(('Quantification_Results'!Q380*'Quantification_Config'!$R$9))/SUM('Quantification_Config'!$R$9)),'Quantification_Config'!$U$2),""),"")</x:f>
        <x:v>50</x:v>
      </x:c>
      <x:c r="X380" t="n">
        <x:f>IF((COUNT('Quantification_Results'!W380)=1),IFERROR(ROUND((SUM(('Quantification_Results'!W380*'Quantification_Config'!$R$8))/SUM('Quantification_Config'!$R$8)),'Quantification_Config'!$U$2),""),"")</x:f>
        <x:v>50</x:v>
      </x:c>
      <x:c r="Y380" t="n">
        <x:v>0</x:v>
      </x:c>
      <x:c r="Z380"/>
      <x:c r="AA380"/>
      <x:c r="AB380">
        <x:f>IF(('Quantification_Results'!Y380&lt;&gt;1),"",IF(('Quantification_Results'!AA380=""),IF(ISNUMBER('Quantification_Results'!Z380),IF(('Quantification_Results'!Z380&lt;'Quantification_Config'!$S$12),"",IF(('Quantification_Results'!Z380&gt;'Quantification_Config'!$T$12),"",'Quantification_Results'!Z380)),""),IF(ISNUMBER('Quantification_Results'!AA380),IF(('Quantification_Results'!AA380&lt;'Quantification_Config'!$S$12),"",IF(('Quantification_Results'!AA380&gt;'Quantification_Config'!$T$12),"",'Quantification_Results'!AA380)),"")))</x:f>
      </x:c>
      <x:c r="AC380">
        <x:f>IF(ISNUMBER('Quantification_Results'!AB380),IFERROR(ROUND(((('Quantification_Results'!AB380-'Quantification_Config'!$S$12)/('Quantification_Config'!$T$12-'Quantification_Config'!$S$12))*100),'Quantification_Config'!$U$2),""),"")</x:f>
      </x:c>
      <x:c r="AD380" t="inlineStr">
        <x:is>
          <x:t xml:space="preserve"/>
        </x:is>
      </x:c>
      <x:c r="AE380" t="inlineStr">
        <x:is>
          <x:t xml:space="preserve"/>
        </x:is>
      </x:c>
      <x:c r="AF380" t="inlineStr">
        <x:is>
          <x:t xml:space="preserve"/>
        </x:is>
      </x:c>
      <x:c r="AG380" t="inlineStr">
        <x:is>
          <x:t xml:space="preserve"/>
        </x:is>
      </x:c>
      <x:c r="AH380" t="inlineStr">
        <x:is>
          <x:t xml:space="preserve">EMPTY</x:t>
        </x:is>
      </x:c>
      <x:c r="AI380">
        <x:f>IF((COUNT('Quantification_Results'!AC380)=1),IFERROR(ROUND((SUM(('Quantification_Results'!AC380*'Quantification_Config'!$R$12))/SUM('Quantification_Config'!$R$12)),'Quantification_Config'!$U$2),""),"")</x:f>
      </x:c>
      <x:c r="AJ380">
        <x:f>IF((COUNT('Quantification_Results'!AI380)=1),IFERROR(ROUND((SUM(('Quantification_Results'!AI380*'Quantification_Config'!$R$11))/SUM('Quantification_Config'!$R$11)),'Quantification_Config'!$U$2),""),"")</x:f>
      </x:c>
      <x:c r="AK380" t="n">
        <x:v>1</x:v>
      </x:c>
      <x:c r="AL380" t="n">
        <x:v>5</x:v>
      </x:c>
      <x:c r="AM380"/>
      <x:c r="AN380" t="n">
        <x:f>IF(('Quantification_Results'!AK380&lt;&gt;1),"",IF(('Quantification_Results'!AM380=""),IF(ISNUMBER('Quantification_Results'!AL380),IF(('Quantification_Results'!AL380&lt;'Quantification_Config'!$S$15),"",IF(('Quantification_Results'!AL380&gt;'Quantification_Config'!$T$15),"",'Quantification_Results'!AL380)),""),IF(ISNUMBER('Quantification_Results'!AM380),IF(('Quantification_Results'!AM380&lt;'Quantification_Config'!$S$15),"",IF(('Quantification_Results'!AM380&gt;'Quantification_Config'!$T$15),"",'Quantification_Results'!AM380)),"")))</x:f>
        <x:v>5</x:v>
      </x:c>
      <x:c r="AO380" t="n">
        <x:f>IF(ISNUMBER('Quantification_Results'!AN380),IFERROR(ROUND(((('Quantification_Results'!AN380-'Quantification_Config'!$S$15)/('Quantification_Config'!$T$15-'Quantification_Config'!$S$15))*100),'Quantification_Config'!$U$2),""),"")</x:f>
        <x:v>50</x:v>
      </x:c>
      <x:c r="AP380" t="inlineStr">
        <x:is>
          <x:t xml:space="preserve">SYSTEM-TEST-ONLY-NO-NETWORK-NOT-AN-EDUCATIONAL-EVALUATION</x:t>
        </x:is>
      </x:c>
      <x:c r="AQ380" t="inlineStr">
        <x:is>
          <x:t xml:space="preserve"/>
        </x:is>
      </x:c>
      <x:c r="AR380" t="inlineStr">
        <x:is>
          <x:t xml:space="preserve">NONE</x:t>
        </x:is>
      </x:c>
      <x:c r="AS380" t="inlineStr">
        <x:is>
          <x:t xml:space="preserve"/>
        </x:is>
      </x:c>
      <x:c r="AT380" t="inlineStr">
        <x:is>
          <x:t xml:space="preserve">SUCCESS</x:t>
        </x:is>
      </x:c>
      <x:c r="AU380" t="n">
        <x:f>IF((COUNT('Quantification_Results'!AO380)=1),IFERROR(ROUND((SUM(('Quantification_Results'!AO380*'Quantification_Config'!$R$15))/SUM('Quantification_Config'!$R$15)),'Quantification_Config'!$U$2),""),"")</x:f>
        <x:v>50</x:v>
      </x:c>
      <x:c r="AV380" t="n">
        <x:f>IF((COUNT('Quantification_Results'!AU380)=1),IFERROR(ROUND((SUM(('Quantification_Results'!AU380*'Quantification_Config'!$R$14))/SUM('Quantification_Config'!$R$14)),'Quantification_Config'!$U$2),""),"")</x:f>
        <x:v>50</x:v>
      </x:c>
      <x:c r="AW380" t="n">
        <x:v>0</x:v>
      </x:c>
      <x:c r="AX380"/>
      <x:c r="AY380"/>
      <x:c r="AZ380">
        <x:f>IF(('Quantification_Results'!AW380&lt;&gt;1),"",IF(('Quantification_Results'!AY380=""),IF(ISNUMBER('Quantification_Results'!AX380),IF(('Quantification_Results'!AX380&lt;'Quantification_Config'!$S$19),"",IF(('Quantification_Results'!AX380&gt;'Quantification_Config'!$T$19),"",'Quantification_Results'!AX380)),""),IF(ISNUMBER('Quantification_Results'!AY380),IF(('Quantification_Results'!AY380&lt;'Quantification_Config'!$S$19),"",IF(('Quantification_Results'!AY380&gt;'Quantification_Config'!$T$19),"",'Quantification_Results'!AY380)),"")))</x:f>
      </x:c>
      <x:c r="BA380">
        <x:f>IF(ISNUMBER('Quantification_Results'!AZ380),IFERROR(ROUND(((('Quantification_Results'!AZ380-'Quantification_Config'!$S$19)/('Quantification_Config'!$T$19-'Quantification_Config'!$S$19))*100),'Quantification_Config'!$U$2),""),"")</x:f>
      </x:c>
      <x:c r="BB380" t="inlineStr">
        <x:is>
          <x:t xml:space="preserve"/>
        </x:is>
      </x:c>
      <x:c r="BC380" t="inlineStr">
        <x:is>
          <x:t xml:space="preserve"/>
        </x:is>
      </x:c>
      <x:c r="BD380" t="inlineStr">
        <x:is>
          <x:t xml:space="preserve"/>
        </x:is>
      </x:c>
      <x:c r="BE380" t="inlineStr">
        <x:is>
          <x:t xml:space="preserve"/>
        </x:is>
      </x:c>
      <x:c r="BF380" t="inlineStr">
        <x:is>
          <x:t xml:space="preserve">EMPTY</x:t>
        </x:is>
      </x:c>
      <x:c r="BG380">
        <x:f>IF((COUNT('Quantification_Results'!BA380)=1),IFERROR(ROUND((SUM(('Quantification_Results'!BA380*'Quantification_Config'!$R$19))/SUM('Quantification_Config'!$R$19)),'Quantification_Config'!$U$2),""),"")</x:f>
      </x:c>
      <x:c r="BH380">
        <x:f>IF((COUNT('Quantification_Results'!BG380)=1),IFERROR(ROUND((SUM(('Quantification_Results'!BG380*'Quantification_Config'!$R$18))/SUM('Quantification_Config'!$R$18)),'Quantification_Config'!$U$2),""),"")</x:f>
      </x:c>
      <x:c r="BI380">
        <x:f>IF((COUNT('Quantification_Results'!L380,'Quantification_Results'!X380,'Quantification_Results'!AJ380,'Quantification_Results'!AV380,'Quantification_Results'!BH380)=5),IFERROR(ROUND((SUM(('Quantification_Results'!L380*'Quantification_Config'!$R$4),('Quantification_Results'!X380*'Quantification_Config'!$R$7),('Quantification_Results'!AJ380*'Quantification_Config'!$R$10),('Quantification_Results'!AV380*'Quantification_Config'!$R$13),('Quantification_Results'!BH380*'Quantification_Config'!$R$16))/SUM('Quantification_Config'!$R$4,'Quantification_Config'!$R$7,'Quantification_Config'!$R$10,'Quantification_Config'!$R$13,'Quantification_Config'!$R$16)),'Quantification_Config'!$U$2),""),"")</x:f>
      </x:c>
    </x:row>
    <x:row r="381">
      <x:c r="A381" t="n">
        <x:v>1</x:v>
      </x:c>
      <x:c r="B381" t="n">
        <x:v>5</x:v>
      </x:c>
      <x:c r="C381"/>
      <x:c r="D381" t="n">
        <x:f>IF(('Quantification_Results'!A381&lt;&gt;1),"",IF(('Quantification_Results'!C381=""),IF(ISNUMBER('Quantification_Results'!B381),IF(('Quantification_Results'!B381&lt;'Quantification_Config'!$S$6),"",IF(('Quantification_Results'!B381&gt;'Quantification_Config'!$T$6),"",'Quantification_Results'!B381)),""),IF(ISNUMBER('Quantification_Results'!C381),IF(('Quantification_Results'!C381&lt;'Quantification_Config'!$S$6),"",IF(('Quantification_Results'!C381&gt;'Quantification_Config'!$T$6),"",'Quantification_Results'!C381)),"")))</x:f>
        <x:v>5</x:v>
      </x:c>
      <x:c r="E381" t="n">
        <x:f>IF(ISNUMBER('Quantification_Results'!D381),IFERROR(ROUND(((('Quantification_Results'!D381-'Quantification_Config'!$S$6)/('Quantification_Config'!$T$6-'Quantification_Config'!$S$6))*100),'Quantification_Config'!$U$2),""),"")</x:f>
        <x:v>50</x:v>
      </x:c>
      <x:c r="F381" t="inlineStr">
        <x:is>
          <x:t xml:space="preserve">SYSTEM-TEST-ONLY-NO-NETWORK-NOT-AN-EDUCATIONAL-EVALUATION</x:t>
        </x:is>
      </x:c>
      <x:c r="G381" t="inlineStr">
        <x:is>
          <x:t xml:space="preserve"/>
        </x:is>
      </x:c>
      <x:c r="H381" t="inlineStr">
        <x:is>
          <x:t xml:space="preserve">NONE</x:t>
        </x:is>
      </x:c>
      <x:c r="I381" t="inlineStr">
        <x:is>
          <x:t xml:space="preserve"/>
        </x:is>
      </x:c>
      <x:c r="J381" t="inlineStr">
        <x:is>
          <x:t xml:space="preserve">SUCCESS</x:t>
        </x:is>
      </x:c>
      <x:c r="K381" t="n">
        <x:f>IF((COUNT('Quantification_Results'!E381)=1),IFERROR(ROUND((SUM(('Quantification_Results'!E381*'Quantification_Config'!$R$6))/SUM('Quantification_Config'!$R$6)),'Quantification_Config'!$U$2),""),"")</x:f>
        <x:v>50</x:v>
      </x:c>
      <x:c r="L381" t="n">
        <x:f>IF((COUNT('Quantification_Results'!K381)=1),IFERROR(ROUND((SUM(('Quantification_Results'!K381*'Quantification_Config'!$R$5))/SUM('Quantification_Config'!$R$5)),'Quantification_Config'!$U$2),""),"")</x:f>
        <x:v>50</x:v>
      </x:c>
      <x:c r="M381" t="n">
        <x:v>1</x:v>
      </x:c>
      <x:c r="N381" t="n">
        <x:v>5</x:v>
      </x:c>
      <x:c r="O381"/>
      <x:c r="P381" t="n">
        <x:f>IF(('Quantification_Results'!M381&lt;&gt;1),"",IF(('Quantification_Results'!O381=""),IF(ISNUMBER('Quantification_Results'!N381),IF(('Quantification_Results'!N381&lt;'Quantification_Config'!$S$9),"",IF(('Quantification_Results'!N381&gt;'Quantification_Config'!$T$9),"",'Quantification_Results'!N381)),""),IF(ISNUMBER('Quantification_Results'!O381),IF(('Quantification_Results'!O381&lt;'Quantification_Config'!$S$9),"",IF(('Quantification_Results'!O381&gt;'Quantification_Config'!$T$9),"",'Quantification_Results'!O381)),"")))</x:f>
        <x:v>5</x:v>
      </x:c>
      <x:c r="Q381" t="n">
        <x:f>IF(ISNUMBER('Quantification_Results'!P381),IFERROR(ROUND(((('Quantification_Results'!P381-'Quantification_Config'!$S$9)/('Quantification_Config'!$T$9-'Quantification_Config'!$S$9))*100),'Quantification_Config'!$U$2),""),"")</x:f>
        <x:v>50</x:v>
      </x:c>
      <x:c r="R381" t="inlineStr">
        <x:is>
          <x:t xml:space="preserve">SYSTEM-TEST-ONLY-NO-NETWORK-NOT-AN-EDUCATIONAL-EVALUATION</x:t>
        </x:is>
      </x:c>
      <x:c r="S381" t="inlineStr">
        <x:is>
          <x:t xml:space="preserve"/>
        </x:is>
      </x:c>
      <x:c r="T381" t="inlineStr">
        <x:is>
          <x:t xml:space="preserve">NONE</x:t>
        </x:is>
      </x:c>
      <x:c r="U381" t="inlineStr">
        <x:is>
          <x:t xml:space="preserve"/>
        </x:is>
      </x:c>
      <x:c r="V381" t="inlineStr">
        <x:is>
          <x:t xml:space="preserve">SUCCESS</x:t>
        </x:is>
      </x:c>
      <x:c r="W381" t="n">
        <x:f>IF((COUNT('Quantification_Results'!Q381)=1),IFERROR(ROUND((SUM(('Quantification_Results'!Q381*'Quantification_Config'!$R$9))/SUM('Quantification_Config'!$R$9)),'Quantification_Config'!$U$2),""),"")</x:f>
        <x:v>50</x:v>
      </x:c>
      <x:c r="X381" t="n">
        <x:f>IF((COUNT('Quantification_Results'!W381)=1),IFERROR(ROUND((SUM(('Quantification_Results'!W381*'Quantification_Config'!$R$8))/SUM('Quantification_Config'!$R$8)),'Quantification_Config'!$U$2),""),"")</x:f>
        <x:v>50</x:v>
      </x:c>
      <x:c r="Y381" t="n">
        <x:v>1</x:v>
      </x:c>
      <x:c r="Z381" t="n">
        <x:v>5</x:v>
      </x:c>
      <x:c r="AA381"/>
      <x:c r="AB381" t="n">
        <x:f>IF(('Quantification_Results'!Y381&lt;&gt;1),"",IF(('Quantification_Results'!AA381=""),IF(ISNUMBER('Quantification_Results'!Z381),IF(('Quantification_Results'!Z381&lt;'Quantification_Config'!$S$12),"",IF(('Quantification_Results'!Z381&gt;'Quantification_Config'!$T$12),"",'Quantification_Results'!Z381)),""),IF(ISNUMBER('Quantification_Results'!AA381),IF(('Quantification_Results'!AA381&lt;'Quantification_Config'!$S$12),"",IF(('Quantification_Results'!AA381&gt;'Quantification_Config'!$T$12),"",'Quantification_Results'!AA381)),"")))</x:f>
        <x:v>5</x:v>
      </x:c>
      <x:c r="AC381" t="n">
        <x:f>IF(ISNUMBER('Quantification_Results'!AB381),IFERROR(ROUND(((('Quantification_Results'!AB381-'Quantification_Config'!$S$12)/('Quantification_Config'!$T$12-'Quantification_Config'!$S$12))*100),'Quantification_Config'!$U$2),""),"")</x:f>
        <x:v>50</x:v>
      </x:c>
      <x:c r="AD381" t="inlineStr">
        <x:is>
          <x:t xml:space="preserve">SYSTEM-TEST-ONLY-NO-NETWORK-NOT-AN-EDUCATIONAL-EVALUATION</x:t>
        </x:is>
      </x:c>
      <x:c r="AE381" t="inlineStr">
        <x:is>
          <x:t xml:space="preserve"/>
        </x:is>
      </x:c>
      <x:c r="AF381" t="inlineStr">
        <x:is>
          <x:t xml:space="preserve">NONE</x:t>
        </x:is>
      </x:c>
      <x:c r="AG381" t="inlineStr">
        <x:is>
          <x:t xml:space="preserve"/>
        </x:is>
      </x:c>
      <x:c r="AH381" t="inlineStr">
        <x:is>
          <x:t xml:space="preserve">SUCCESS</x:t>
        </x:is>
      </x:c>
      <x:c r="AI381" t="n">
        <x:f>IF((COUNT('Quantification_Results'!AC381)=1),IFERROR(ROUND((SUM(('Quantification_Results'!AC381*'Quantification_Config'!$R$12))/SUM('Quantification_Config'!$R$12)),'Quantification_Config'!$U$2),""),"")</x:f>
        <x:v>50</x:v>
      </x:c>
      <x:c r="AJ381" t="n">
        <x:f>IF((COUNT('Quantification_Results'!AI381)=1),IFERROR(ROUND((SUM(('Quantification_Results'!AI381*'Quantification_Config'!$R$11))/SUM('Quantification_Config'!$R$11)),'Quantification_Config'!$U$2),""),"")</x:f>
        <x:v>50</x:v>
      </x:c>
      <x:c r="AK381" t="n">
        <x:v>1</x:v>
      </x:c>
      <x:c r="AL381" t="n">
        <x:v>5</x:v>
      </x:c>
      <x:c r="AM381"/>
      <x:c r="AN381" t="n">
        <x:f>IF(('Quantification_Results'!AK381&lt;&gt;1),"",IF(('Quantification_Results'!AM381=""),IF(ISNUMBER('Quantification_Results'!AL381),IF(('Quantification_Results'!AL381&lt;'Quantification_Config'!$S$15),"",IF(('Quantification_Results'!AL381&gt;'Quantification_Config'!$T$15),"",'Quantification_Results'!AL381)),""),IF(ISNUMBER('Quantification_Results'!AM381),IF(('Quantification_Results'!AM381&lt;'Quantification_Config'!$S$15),"",IF(('Quantification_Results'!AM381&gt;'Quantification_Config'!$T$15),"",'Quantification_Results'!AM381)),"")))</x:f>
        <x:v>5</x:v>
      </x:c>
      <x:c r="AO381" t="n">
        <x:f>IF(ISNUMBER('Quantification_Results'!AN381),IFERROR(ROUND(((('Quantification_Results'!AN381-'Quantification_Config'!$S$15)/('Quantification_Config'!$T$15-'Quantification_Config'!$S$15))*100),'Quantification_Config'!$U$2),""),"")</x:f>
        <x:v>50</x:v>
      </x:c>
      <x:c r="AP381" t="inlineStr">
        <x:is>
          <x:t xml:space="preserve">SYSTEM-TEST-ONLY-NO-NETWORK-NOT-AN-EDUCATIONAL-EVALUATION</x:t>
        </x:is>
      </x:c>
      <x:c r="AQ381" t="inlineStr">
        <x:is>
          <x:t xml:space="preserve"/>
        </x:is>
      </x:c>
      <x:c r="AR381" t="inlineStr">
        <x:is>
          <x:t xml:space="preserve">NONE</x:t>
        </x:is>
      </x:c>
      <x:c r="AS381" t="inlineStr">
        <x:is>
          <x:t xml:space="preserve"/>
        </x:is>
      </x:c>
      <x:c r="AT381" t="inlineStr">
        <x:is>
          <x:t xml:space="preserve">SUCCESS</x:t>
        </x:is>
      </x:c>
      <x:c r="AU381" t="n">
        <x:f>IF((COUNT('Quantification_Results'!AO381)=1),IFERROR(ROUND((SUM(('Quantification_Results'!AO381*'Quantification_Config'!$R$15))/SUM('Quantification_Config'!$R$15)),'Quantification_Config'!$U$2),""),"")</x:f>
        <x:v>50</x:v>
      </x:c>
      <x:c r="AV381" t="n">
        <x:f>IF((COUNT('Quantification_Results'!AU381)=1),IFERROR(ROUND((SUM(('Quantification_Results'!AU381*'Quantification_Config'!$R$14))/SUM('Quantification_Config'!$R$14)),'Quantification_Config'!$U$2),""),"")</x:f>
        <x:v>50</x:v>
      </x:c>
      <x:c r="AW381" t="n">
        <x:v>1</x:v>
      </x:c>
      <x:c r="AX381" t="n">
        <x:v>5</x:v>
      </x:c>
      <x:c r="AY381"/>
      <x:c r="AZ381" t="n">
        <x:f>IF(('Quantification_Results'!AW381&lt;&gt;1),"",IF(('Quantification_Results'!AY381=""),IF(ISNUMBER('Quantification_Results'!AX381),IF(('Quantification_Results'!AX381&lt;'Quantification_Config'!$S$19),"",IF(('Quantification_Results'!AX381&gt;'Quantification_Config'!$T$19),"",'Quantification_Results'!AX381)),""),IF(ISNUMBER('Quantification_Results'!AY381),IF(('Quantification_Results'!AY381&lt;'Quantification_Config'!$S$19),"",IF(('Quantification_Results'!AY381&gt;'Quantification_Config'!$T$19),"",'Quantification_Results'!AY381)),"")))</x:f>
        <x:v>5</x:v>
      </x:c>
      <x:c r="BA381" t="n">
        <x:f>IF(ISNUMBER('Quantification_Results'!AZ381),IFERROR(ROUND(((('Quantification_Results'!AZ381-'Quantification_Config'!$S$19)/('Quantification_Config'!$T$19-'Quantification_Config'!$S$19))*100),'Quantification_Config'!$U$2),""),"")</x:f>
        <x:v>50</x:v>
      </x:c>
      <x:c r="BB381" t="inlineStr">
        <x:is>
          <x:t xml:space="preserve">SYSTEM-TEST-ONLY-NO-NETWORK-NOT-AN-EDUCATIONAL-EVALUATION</x:t>
        </x:is>
      </x:c>
      <x:c r="BC381" t="inlineStr">
        <x:is>
          <x:t xml:space="preserve"/>
        </x:is>
      </x:c>
      <x:c r="BD381" t="inlineStr">
        <x:is>
          <x:t xml:space="preserve">NONE</x:t>
        </x:is>
      </x:c>
      <x:c r="BE381" t="inlineStr">
        <x:is>
          <x:t xml:space="preserve"/>
        </x:is>
      </x:c>
      <x:c r="BF381" t="inlineStr">
        <x:is>
          <x:t xml:space="preserve">SUCCESS</x:t>
        </x:is>
      </x:c>
      <x:c r="BG381" t="n">
        <x:f>IF((COUNT('Quantification_Results'!BA381)=1),IFERROR(ROUND((SUM(('Quantification_Results'!BA381*'Quantification_Config'!$R$19))/SUM('Quantification_Config'!$R$19)),'Quantification_Config'!$U$2),""),"")</x:f>
        <x:v>50</x:v>
      </x:c>
      <x:c r="BH381" t="n">
        <x:f>IF((COUNT('Quantification_Results'!BG381)=1),IFERROR(ROUND((SUM(('Quantification_Results'!BG381*'Quantification_Config'!$R$18))/SUM('Quantification_Config'!$R$18)),'Quantification_Config'!$U$2),""),"")</x:f>
        <x:v>50</x:v>
      </x:c>
      <x:c r="BI381" t="n">
        <x:f>IF((COUNT('Quantification_Results'!L381,'Quantification_Results'!X381,'Quantification_Results'!AJ381,'Quantification_Results'!AV381,'Quantification_Results'!BH381)=5),IFERROR(ROUND((SUM(('Quantification_Results'!L381*'Quantification_Config'!$R$4),('Quantification_Results'!X381*'Quantification_Config'!$R$7),('Quantification_Results'!AJ381*'Quantification_Config'!$R$10),('Quantification_Results'!AV381*'Quantification_Config'!$R$13),('Quantification_Results'!BH381*'Quantification_Config'!$R$16))/SUM('Quantification_Config'!$R$4,'Quantification_Config'!$R$7,'Quantification_Config'!$R$10,'Quantification_Config'!$R$13,'Quantification_Config'!$R$16)),'Quantification_Config'!$U$2),""),"")</x:f>
        <x:v>50</x:v>
      </x:c>
    </x:row>
    <x:row r="382">
      <x:c r="A382" t="n">
        <x:v>1</x:v>
      </x:c>
      <x:c r="B382" t="n">
        <x:v>5</x:v>
      </x:c>
      <x:c r="C382"/>
      <x:c r="D382" t="n">
        <x:f>IF(('Quantification_Results'!A382&lt;&gt;1),"",IF(('Quantification_Results'!C382=""),IF(ISNUMBER('Quantification_Results'!B382),IF(('Quantification_Results'!B382&lt;'Quantification_Config'!$S$6),"",IF(('Quantification_Results'!B382&gt;'Quantification_Config'!$T$6),"",'Quantification_Results'!B382)),""),IF(ISNUMBER('Quantification_Results'!C382),IF(('Quantification_Results'!C382&lt;'Quantification_Config'!$S$6),"",IF(('Quantification_Results'!C382&gt;'Quantification_Config'!$T$6),"",'Quantification_Results'!C382)),"")))</x:f>
        <x:v>5</x:v>
      </x:c>
      <x:c r="E382" t="n">
        <x:f>IF(ISNUMBER('Quantification_Results'!D382),IFERROR(ROUND(((('Quantification_Results'!D382-'Quantification_Config'!$S$6)/('Quantification_Config'!$T$6-'Quantification_Config'!$S$6))*100),'Quantification_Config'!$U$2),""),"")</x:f>
        <x:v>50</x:v>
      </x:c>
      <x:c r="F382" t="inlineStr">
        <x:is>
          <x:t xml:space="preserve">SYSTEM-TEST-ONLY-NO-NETWORK-NOT-AN-EDUCATIONAL-EVALUATION</x:t>
        </x:is>
      </x:c>
      <x:c r="G382" t="inlineStr">
        <x:is>
          <x:t xml:space="preserve"/>
        </x:is>
      </x:c>
      <x:c r="H382" t="inlineStr">
        <x:is>
          <x:t xml:space="preserve">NONE</x:t>
        </x:is>
      </x:c>
      <x:c r="I382" t="inlineStr">
        <x:is>
          <x:t xml:space="preserve"/>
        </x:is>
      </x:c>
      <x:c r="J382" t="inlineStr">
        <x:is>
          <x:t xml:space="preserve">SUCCESS</x:t>
        </x:is>
      </x:c>
      <x:c r="K382" t="n">
        <x:f>IF((COUNT('Quantification_Results'!E382)=1),IFERROR(ROUND((SUM(('Quantification_Results'!E382*'Quantification_Config'!$R$6))/SUM('Quantification_Config'!$R$6)),'Quantification_Config'!$U$2),""),"")</x:f>
        <x:v>50</x:v>
      </x:c>
      <x:c r="L382" t="n">
        <x:f>IF((COUNT('Quantification_Results'!K382)=1),IFERROR(ROUND((SUM(('Quantification_Results'!K382*'Quantification_Config'!$R$5))/SUM('Quantification_Config'!$R$5)),'Quantification_Config'!$U$2),""),"")</x:f>
        <x:v>50</x:v>
      </x:c>
      <x:c r="M382" t="n">
        <x:v>1</x:v>
      </x:c>
      <x:c r="N382" t="n">
        <x:v>5</x:v>
      </x:c>
      <x:c r="O382"/>
      <x:c r="P382" t="n">
        <x:f>IF(('Quantification_Results'!M382&lt;&gt;1),"",IF(('Quantification_Results'!O382=""),IF(ISNUMBER('Quantification_Results'!N382),IF(('Quantification_Results'!N382&lt;'Quantification_Config'!$S$9),"",IF(('Quantification_Results'!N382&gt;'Quantification_Config'!$T$9),"",'Quantification_Results'!N382)),""),IF(ISNUMBER('Quantification_Results'!O382),IF(('Quantification_Results'!O382&lt;'Quantification_Config'!$S$9),"",IF(('Quantification_Results'!O382&gt;'Quantification_Config'!$T$9),"",'Quantification_Results'!O382)),"")))</x:f>
        <x:v>5</x:v>
      </x:c>
      <x:c r="Q382" t="n">
        <x:f>IF(ISNUMBER('Quantification_Results'!P382),IFERROR(ROUND(((('Quantification_Results'!P382-'Quantification_Config'!$S$9)/('Quantification_Config'!$T$9-'Quantification_Config'!$S$9))*100),'Quantification_Config'!$U$2),""),"")</x:f>
        <x:v>50</x:v>
      </x:c>
      <x:c r="R382" t="inlineStr">
        <x:is>
          <x:t xml:space="preserve">SYSTEM-TEST-ONLY-NO-NETWORK-NOT-AN-EDUCATIONAL-EVALUATION</x:t>
        </x:is>
      </x:c>
      <x:c r="S382" t="inlineStr">
        <x:is>
          <x:t xml:space="preserve"/>
        </x:is>
      </x:c>
      <x:c r="T382" t="inlineStr">
        <x:is>
          <x:t xml:space="preserve">NONE</x:t>
        </x:is>
      </x:c>
      <x:c r="U382" t="inlineStr">
        <x:is>
          <x:t xml:space="preserve"/>
        </x:is>
      </x:c>
      <x:c r="V382" t="inlineStr">
        <x:is>
          <x:t xml:space="preserve">SUCCESS</x:t>
        </x:is>
      </x:c>
      <x:c r="W382" t="n">
        <x:f>IF((COUNT('Quantification_Results'!Q382)=1),IFERROR(ROUND((SUM(('Quantification_Results'!Q382*'Quantification_Config'!$R$9))/SUM('Quantification_Config'!$R$9)),'Quantification_Config'!$U$2),""),"")</x:f>
        <x:v>50</x:v>
      </x:c>
      <x:c r="X382" t="n">
        <x:f>IF((COUNT('Quantification_Results'!W382)=1),IFERROR(ROUND((SUM(('Quantification_Results'!W382*'Quantification_Config'!$R$8))/SUM('Quantification_Config'!$R$8)),'Quantification_Config'!$U$2),""),"")</x:f>
        <x:v>50</x:v>
      </x:c>
      <x:c r="Y382" t="n">
        <x:v>0</x:v>
      </x:c>
      <x:c r="Z382"/>
      <x:c r="AA382"/>
      <x:c r="AB382">
        <x:f>IF(('Quantification_Results'!Y382&lt;&gt;1),"",IF(('Quantification_Results'!AA382=""),IF(ISNUMBER('Quantification_Results'!Z382),IF(('Quantification_Results'!Z382&lt;'Quantification_Config'!$S$12),"",IF(('Quantification_Results'!Z382&gt;'Quantification_Config'!$T$12),"",'Quantification_Results'!Z382)),""),IF(ISNUMBER('Quantification_Results'!AA382),IF(('Quantification_Results'!AA382&lt;'Quantification_Config'!$S$12),"",IF(('Quantification_Results'!AA382&gt;'Quantification_Config'!$T$12),"",'Quantification_Results'!AA382)),"")))</x:f>
      </x:c>
      <x:c r="AC382">
        <x:f>IF(ISNUMBER('Quantification_Results'!AB382),IFERROR(ROUND(((('Quantification_Results'!AB382-'Quantification_Config'!$S$12)/('Quantification_Config'!$T$12-'Quantification_Config'!$S$12))*100),'Quantification_Config'!$U$2),""),"")</x:f>
      </x:c>
      <x:c r="AD382" t="inlineStr">
        <x:is>
          <x:t xml:space="preserve"/>
        </x:is>
      </x:c>
      <x:c r="AE382" t="inlineStr">
        <x:is>
          <x:t xml:space="preserve"/>
        </x:is>
      </x:c>
      <x:c r="AF382" t="inlineStr">
        <x:is>
          <x:t xml:space="preserve"/>
        </x:is>
      </x:c>
      <x:c r="AG382" t="inlineStr">
        <x:is>
          <x:t xml:space="preserve"/>
        </x:is>
      </x:c>
      <x:c r="AH382" t="inlineStr">
        <x:is>
          <x:t xml:space="preserve">EMPTY</x:t>
        </x:is>
      </x:c>
      <x:c r="AI382">
        <x:f>IF((COUNT('Quantification_Results'!AC382)=1),IFERROR(ROUND((SUM(('Quantification_Results'!AC382*'Quantification_Config'!$R$12))/SUM('Quantification_Config'!$R$12)),'Quantification_Config'!$U$2),""),"")</x:f>
      </x:c>
      <x:c r="AJ382">
        <x:f>IF((COUNT('Quantification_Results'!AI382)=1),IFERROR(ROUND((SUM(('Quantification_Results'!AI382*'Quantification_Config'!$R$11))/SUM('Quantification_Config'!$R$11)),'Quantification_Config'!$U$2),""),"")</x:f>
      </x:c>
      <x:c r="AK382" t="n">
        <x:v>1</x:v>
      </x:c>
      <x:c r="AL382" t="n">
        <x:v>5</x:v>
      </x:c>
      <x:c r="AM382"/>
      <x:c r="AN382" t="n">
        <x:f>IF(('Quantification_Results'!AK382&lt;&gt;1),"",IF(('Quantification_Results'!AM382=""),IF(ISNUMBER('Quantification_Results'!AL382),IF(('Quantification_Results'!AL382&lt;'Quantification_Config'!$S$15),"",IF(('Quantification_Results'!AL382&gt;'Quantification_Config'!$T$15),"",'Quantification_Results'!AL382)),""),IF(ISNUMBER('Quantification_Results'!AM382),IF(('Quantification_Results'!AM382&lt;'Quantification_Config'!$S$15),"",IF(('Quantification_Results'!AM382&gt;'Quantification_Config'!$T$15),"",'Quantification_Results'!AM382)),"")))</x:f>
        <x:v>5</x:v>
      </x:c>
      <x:c r="AO382" t="n">
        <x:f>IF(ISNUMBER('Quantification_Results'!AN382),IFERROR(ROUND(((('Quantification_Results'!AN382-'Quantification_Config'!$S$15)/('Quantification_Config'!$T$15-'Quantification_Config'!$S$15))*100),'Quantification_Config'!$U$2),""),"")</x:f>
        <x:v>50</x:v>
      </x:c>
      <x:c r="AP382" t="inlineStr">
        <x:is>
          <x:t xml:space="preserve">SYSTEM-TEST-ONLY-NO-NETWORK-NOT-AN-EDUCATIONAL-EVALUATION</x:t>
        </x:is>
      </x:c>
      <x:c r="AQ382" t="inlineStr">
        <x:is>
          <x:t xml:space="preserve"/>
        </x:is>
      </x:c>
      <x:c r="AR382" t="inlineStr">
        <x:is>
          <x:t xml:space="preserve">NONE</x:t>
        </x:is>
      </x:c>
      <x:c r="AS382" t="inlineStr">
        <x:is>
          <x:t xml:space="preserve"/>
        </x:is>
      </x:c>
      <x:c r="AT382" t="inlineStr">
        <x:is>
          <x:t xml:space="preserve">SUCCESS</x:t>
        </x:is>
      </x:c>
      <x:c r="AU382" t="n">
        <x:f>IF((COUNT('Quantification_Results'!AO382)=1),IFERROR(ROUND((SUM(('Quantification_Results'!AO382*'Quantification_Config'!$R$15))/SUM('Quantification_Config'!$R$15)),'Quantification_Config'!$U$2),""),"")</x:f>
        <x:v>50</x:v>
      </x:c>
      <x:c r="AV382" t="n">
        <x:f>IF((COUNT('Quantification_Results'!AU382)=1),IFERROR(ROUND((SUM(('Quantification_Results'!AU382*'Quantification_Config'!$R$14))/SUM('Quantification_Config'!$R$14)),'Quantification_Config'!$U$2),""),"")</x:f>
        <x:v>50</x:v>
      </x:c>
      <x:c r="AW382" t="n">
        <x:v>1</x:v>
      </x:c>
      <x:c r="AX382" t="n">
        <x:v>5</x:v>
      </x:c>
      <x:c r="AY382"/>
      <x:c r="AZ382" t="n">
        <x:f>IF(('Quantification_Results'!AW382&lt;&gt;1),"",IF(('Quantification_Results'!AY382=""),IF(ISNUMBER('Quantification_Results'!AX382),IF(('Quantification_Results'!AX382&lt;'Quantification_Config'!$S$19),"",IF(('Quantification_Results'!AX382&gt;'Quantification_Config'!$T$19),"",'Quantification_Results'!AX382)),""),IF(ISNUMBER('Quantification_Results'!AY382),IF(('Quantification_Results'!AY382&lt;'Quantification_Config'!$S$19),"",IF(('Quantification_Results'!AY382&gt;'Quantification_Config'!$T$19),"",'Quantification_Results'!AY382)),"")))</x:f>
        <x:v>5</x:v>
      </x:c>
      <x:c r="BA382" t="n">
        <x:f>IF(ISNUMBER('Quantification_Results'!AZ382),IFERROR(ROUND(((('Quantification_Results'!AZ382-'Quantification_Config'!$S$19)/('Quantification_Config'!$T$19-'Quantification_Config'!$S$19))*100),'Quantification_Config'!$U$2),""),"")</x:f>
        <x:v>50</x:v>
      </x:c>
      <x:c r="BB382" t="inlineStr">
        <x:is>
          <x:t xml:space="preserve">SYSTEM-TEST-ONLY-NO-NETWORK-NOT-AN-EDUCATIONAL-EVALUATION</x:t>
        </x:is>
      </x:c>
      <x:c r="BC382" t="inlineStr">
        <x:is>
          <x:t xml:space="preserve"/>
        </x:is>
      </x:c>
      <x:c r="BD382" t="inlineStr">
        <x:is>
          <x:t xml:space="preserve">NONE</x:t>
        </x:is>
      </x:c>
      <x:c r="BE382" t="inlineStr">
        <x:is>
          <x:t xml:space="preserve"/>
        </x:is>
      </x:c>
      <x:c r="BF382" t="inlineStr">
        <x:is>
          <x:t xml:space="preserve">SUCCESS</x:t>
        </x:is>
      </x:c>
      <x:c r="BG382" t="n">
        <x:f>IF((COUNT('Quantification_Results'!BA382)=1),IFERROR(ROUND((SUM(('Quantification_Results'!BA382*'Quantification_Config'!$R$19))/SUM('Quantification_Config'!$R$19)),'Quantification_Config'!$U$2),""),"")</x:f>
        <x:v>50</x:v>
      </x:c>
      <x:c r="BH382" t="n">
        <x:f>IF((COUNT('Quantification_Results'!BG382)=1),IFERROR(ROUND((SUM(('Quantification_Results'!BG382*'Quantification_Config'!$R$18))/SUM('Quantification_Config'!$R$18)),'Quantification_Config'!$U$2),""),"")</x:f>
        <x:v>50</x:v>
      </x:c>
      <x:c r="BI382">
        <x:f>IF((COUNT('Quantification_Results'!L382,'Quantification_Results'!X382,'Quantification_Results'!AJ382,'Quantification_Results'!AV382,'Quantification_Results'!BH382)=5),IFERROR(ROUND((SUM(('Quantification_Results'!L382*'Quantification_Config'!$R$4),('Quantification_Results'!X382*'Quantification_Config'!$R$7),('Quantification_Results'!AJ382*'Quantification_Config'!$R$10),('Quantification_Results'!AV382*'Quantification_Config'!$R$13),('Quantification_Results'!BH382*'Quantification_Config'!$R$16))/SUM('Quantification_Config'!$R$4,'Quantification_Config'!$R$7,'Quantification_Config'!$R$10,'Quantification_Config'!$R$13,'Quantification_Config'!$R$16)),'Quantification_Config'!$U$2),""),"")</x:f>
      </x:c>
    </x:row>
    <x:row r="383">
      <x:c r="A383" t="n">
        <x:v>1</x:v>
      </x:c>
      <x:c r="B383" t="n">
        <x:v>5</x:v>
      </x:c>
      <x:c r="C383"/>
      <x:c r="D383" t="n">
        <x:f>IF(('Quantification_Results'!A383&lt;&gt;1),"",IF(('Quantification_Results'!C383=""),IF(ISNUMBER('Quantification_Results'!B383),IF(('Quantification_Results'!B383&lt;'Quantification_Config'!$S$6),"",IF(('Quantification_Results'!B383&gt;'Quantification_Config'!$T$6),"",'Quantification_Results'!B383)),""),IF(ISNUMBER('Quantification_Results'!C383),IF(('Quantification_Results'!C383&lt;'Quantification_Config'!$S$6),"",IF(('Quantification_Results'!C383&gt;'Quantification_Config'!$T$6),"",'Quantification_Results'!C383)),"")))</x:f>
        <x:v>5</x:v>
      </x:c>
      <x:c r="E383" t="n">
        <x:f>IF(ISNUMBER('Quantification_Results'!D383),IFERROR(ROUND(((('Quantification_Results'!D383-'Quantification_Config'!$S$6)/('Quantification_Config'!$T$6-'Quantification_Config'!$S$6))*100),'Quantification_Config'!$U$2),""),"")</x:f>
        <x:v>50</x:v>
      </x:c>
      <x:c r="F383" t="inlineStr">
        <x:is>
          <x:t xml:space="preserve">SYSTEM-TEST-ONLY-NO-NETWORK-NOT-AN-EDUCATIONAL-EVALUATION</x:t>
        </x:is>
      </x:c>
      <x:c r="G383" t="inlineStr">
        <x:is>
          <x:t xml:space="preserve"/>
        </x:is>
      </x:c>
      <x:c r="H383" t="inlineStr">
        <x:is>
          <x:t xml:space="preserve">NONE</x:t>
        </x:is>
      </x:c>
      <x:c r="I383" t="inlineStr">
        <x:is>
          <x:t xml:space="preserve"/>
        </x:is>
      </x:c>
      <x:c r="J383" t="inlineStr">
        <x:is>
          <x:t xml:space="preserve">SUCCESS</x:t>
        </x:is>
      </x:c>
      <x:c r="K383" t="n">
        <x:f>IF((COUNT('Quantification_Results'!E383)=1),IFERROR(ROUND((SUM(('Quantification_Results'!E383*'Quantification_Config'!$R$6))/SUM('Quantification_Config'!$R$6)),'Quantification_Config'!$U$2),""),"")</x:f>
        <x:v>50</x:v>
      </x:c>
      <x:c r="L383" t="n">
        <x:f>IF((COUNT('Quantification_Results'!K383)=1),IFERROR(ROUND((SUM(('Quantification_Results'!K383*'Quantification_Config'!$R$5))/SUM('Quantification_Config'!$R$5)),'Quantification_Config'!$U$2),""),"")</x:f>
        <x:v>50</x:v>
      </x:c>
      <x:c r="M383" t="n">
        <x:v>0</x:v>
      </x:c>
      <x:c r="N383"/>
      <x:c r="O383"/>
      <x:c r="P383">
        <x:f>IF(('Quantification_Results'!M383&lt;&gt;1),"",IF(('Quantification_Results'!O383=""),IF(ISNUMBER('Quantification_Results'!N383),IF(('Quantification_Results'!N383&lt;'Quantification_Config'!$S$9),"",IF(('Quantification_Results'!N383&gt;'Quantification_Config'!$T$9),"",'Quantification_Results'!N383)),""),IF(ISNUMBER('Quantification_Results'!O383),IF(('Quantification_Results'!O383&lt;'Quantification_Config'!$S$9),"",IF(('Quantification_Results'!O383&gt;'Quantification_Config'!$T$9),"",'Quantification_Results'!O383)),"")))</x:f>
      </x:c>
      <x:c r="Q383">
        <x:f>IF(ISNUMBER('Quantification_Results'!P383),IFERROR(ROUND(((('Quantification_Results'!P383-'Quantification_Config'!$S$9)/('Quantification_Config'!$T$9-'Quantification_Config'!$S$9))*100),'Quantification_Config'!$U$2),""),"")</x:f>
      </x:c>
      <x:c r="R383" t="inlineStr">
        <x:is>
          <x:t xml:space="preserve"/>
        </x:is>
      </x:c>
      <x:c r="S383" t="inlineStr">
        <x:is>
          <x:t xml:space="preserve"/>
        </x:is>
      </x:c>
      <x:c r="T383" t="inlineStr">
        <x:is>
          <x:t xml:space="preserve"/>
        </x:is>
      </x:c>
      <x:c r="U383" t="inlineStr">
        <x:is>
          <x:t xml:space="preserve"/>
        </x:is>
      </x:c>
      <x:c r="V383" t="inlineStr">
        <x:is>
          <x:t xml:space="preserve">EMPTY</x:t>
        </x:is>
      </x:c>
      <x:c r="W383">
        <x:f>IF((COUNT('Quantification_Results'!Q383)=1),IFERROR(ROUND((SUM(('Quantification_Results'!Q383*'Quantification_Config'!$R$9))/SUM('Quantification_Config'!$R$9)),'Quantification_Config'!$U$2),""),"")</x:f>
      </x:c>
      <x:c r="X383">
        <x:f>IF((COUNT('Quantification_Results'!W383)=1),IFERROR(ROUND((SUM(('Quantification_Results'!W383*'Quantification_Config'!$R$8))/SUM('Quantification_Config'!$R$8)),'Quantification_Config'!$U$2),""),"")</x:f>
      </x:c>
      <x:c r="Y383" t="n">
        <x:v>0</x:v>
      </x:c>
      <x:c r="Z383"/>
      <x:c r="AA383"/>
      <x:c r="AB383">
        <x:f>IF(('Quantification_Results'!Y383&lt;&gt;1),"",IF(('Quantification_Results'!AA383=""),IF(ISNUMBER('Quantification_Results'!Z383),IF(('Quantification_Results'!Z383&lt;'Quantification_Config'!$S$12),"",IF(('Quantification_Results'!Z383&gt;'Quantification_Config'!$T$12),"",'Quantification_Results'!Z383)),""),IF(ISNUMBER('Quantification_Results'!AA383),IF(('Quantification_Results'!AA383&lt;'Quantification_Config'!$S$12),"",IF(('Quantification_Results'!AA383&gt;'Quantification_Config'!$T$12),"",'Quantification_Results'!AA383)),"")))</x:f>
      </x:c>
      <x:c r="AC383">
        <x:f>IF(ISNUMBER('Quantification_Results'!AB383),IFERROR(ROUND(((('Quantification_Results'!AB383-'Quantification_Config'!$S$12)/('Quantification_Config'!$T$12-'Quantification_Config'!$S$12))*100),'Quantification_Config'!$U$2),""),"")</x:f>
      </x:c>
      <x:c r="AD383" t="inlineStr">
        <x:is>
          <x:t xml:space="preserve"/>
        </x:is>
      </x:c>
      <x:c r="AE383" t="inlineStr">
        <x:is>
          <x:t xml:space="preserve"/>
        </x:is>
      </x:c>
      <x:c r="AF383" t="inlineStr">
        <x:is>
          <x:t xml:space="preserve"/>
        </x:is>
      </x:c>
      <x:c r="AG383" t="inlineStr">
        <x:is>
          <x:t xml:space="preserve"/>
        </x:is>
      </x:c>
      <x:c r="AH383" t="inlineStr">
        <x:is>
          <x:t xml:space="preserve">EMPTY</x:t>
        </x:is>
      </x:c>
      <x:c r="AI383">
        <x:f>IF((COUNT('Quantification_Results'!AC383)=1),IFERROR(ROUND((SUM(('Quantification_Results'!AC383*'Quantification_Config'!$R$12))/SUM('Quantification_Config'!$R$12)),'Quantification_Config'!$U$2),""),"")</x:f>
      </x:c>
      <x:c r="AJ383">
        <x:f>IF((COUNT('Quantification_Results'!AI383)=1),IFERROR(ROUND((SUM(('Quantification_Results'!AI383*'Quantification_Config'!$R$11))/SUM('Quantification_Config'!$R$11)),'Quantification_Config'!$U$2),""),"")</x:f>
      </x:c>
      <x:c r="AK383" t="n">
        <x:v>1</x:v>
      </x:c>
      <x:c r="AL383" t="n">
        <x:v>5</x:v>
      </x:c>
      <x:c r="AM383"/>
      <x:c r="AN383" t="n">
        <x:f>IF(('Quantification_Results'!AK383&lt;&gt;1),"",IF(('Quantification_Results'!AM383=""),IF(ISNUMBER('Quantification_Results'!AL383),IF(('Quantification_Results'!AL383&lt;'Quantification_Config'!$S$15),"",IF(('Quantification_Results'!AL383&gt;'Quantification_Config'!$T$15),"",'Quantification_Results'!AL383)),""),IF(ISNUMBER('Quantification_Results'!AM383),IF(('Quantification_Results'!AM383&lt;'Quantification_Config'!$S$15),"",IF(('Quantification_Results'!AM383&gt;'Quantification_Config'!$T$15),"",'Quantification_Results'!AM383)),"")))</x:f>
        <x:v>5</x:v>
      </x:c>
      <x:c r="AO383" t="n">
        <x:f>IF(ISNUMBER('Quantification_Results'!AN383),IFERROR(ROUND(((('Quantification_Results'!AN383-'Quantification_Config'!$S$15)/('Quantification_Config'!$T$15-'Quantification_Config'!$S$15))*100),'Quantification_Config'!$U$2),""),"")</x:f>
        <x:v>50</x:v>
      </x:c>
      <x:c r="AP383" t="inlineStr">
        <x:is>
          <x:t xml:space="preserve">SYSTEM-TEST-ONLY-NO-NETWORK-NOT-AN-EDUCATIONAL-EVALUATION</x:t>
        </x:is>
      </x:c>
      <x:c r="AQ383" t="inlineStr">
        <x:is>
          <x:t xml:space="preserve"/>
        </x:is>
      </x:c>
      <x:c r="AR383" t="inlineStr">
        <x:is>
          <x:t xml:space="preserve">NONE</x:t>
        </x:is>
      </x:c>
      <x:c r="AS383" t="inlineStr">
        <x:is>
          <x:t xml:space="preserve"/>
        </x:is>
      </x:c>
      <x:c r="AT383" t="inlineStr">
        <x:is>
          <x:t xml:space="preserve">SUCCESS</x:t>
        </x:is>
      </x:c>
      <x:c r="AU383" t="n">
        <x:f>IF((COUNT('Quantification_Results'!AO383)=1),IFERROR(ROUND((SUM(('Quantification_Results'!AO383*'Quantification_Config'!$R$15))/SUM('Quantification_Config'!$R$15)),'Quantification_Config'!$U$2),""),"")</x:f>
        <x:v>50</x:v>
      </x:c>
      <x:c r="AV383" t="n">
        <x:f>IF((COUNT('Quantification_Results'!AU383)=1),IFERROR(ROUND((SUM(('Quantification_Results'!AU383*'Quantification_Config'!$R$14))/SUM('Quantification_Config'!$R$14)),'Quantification_Config'!$U$2),""),"")</x:f>
        <x:v>50</x:v>
      </x:c>
      <x:c r="AW383" t="n">
        <x:v>1</x:v>
      </x:c>
      <x:c r="AX383" t="n">
        <x:v>5</x:v>
      </x:c>
      <x:c r="AY383"/>
      <x:c r="AZ383" t="n">
        <x:f>IF(('Quantification_Results'!AW383&lt;&gt;1),"",IF(('Quantification_Results'!AY383=""),IF(ISNUMBER('Quantification_Results'!AX383),IF(('Quantification_Results'!AX383&lt;'Quantification_Config'!$S$19),"",IF(('Quantification_Results'!AX383&gt;'Quantification_Config'!$T$19),"",'Quantification_Results'!AX383)),""),IF(ISNUMBER('Quantification_Results'!AY383),IF(('Quantification_Results'!AY383&lt;'Quantification_Config'!$S$19),"",IF(('Quantification_Results'!AY383&gt;'Quantification_Config'!$T$19),"",'Quantification_Results'!AY383)),"")))</x:f>
        <x:v>5</x:v>
      </x:c>
      <x:c r="BA383" t="n">
        <x:f>IF(ISNUMBER('Quantification_Results'!AZ383),IFERROR(ROUND(((('Quantification_Results'!AZ383-'Quantification_Config'!$S$19)/('Quantification_Config'!$T$19-'Quantification_Config'!$S$19))*100),'Quantification_Config'!$U$2),""),"")</x:f>
        <x:v>50</x:v>
      </x:c>
      <x:c r="BB383" t="inlineStr">
        <x:is>
          <x:t xml:space="preserve">SYSTEM-TEST-ONLY-NO-NETWORK-NOT-AN-EDUCATIONAL-EVALUATION</x:t>
        </x:is>
      </x:c>
      <x:c r="BC383" t="inlineStr">
        <x:is>
          <x:t xml:space="preserve"/>
        </x:is>
      </x:c>
      <x:c r="BD383" t="inlineStr">
        <x:is>
          <x:t xml:space="preserve">NONE</x:t>
        </x:is>
      </x:c>
      <x:c r="BE383" t="inlineStr">
        <x:is>
          <x:t xml:space="preserve"/>
        </x:is>
      </x:c>
      <x:c r="BF383" t="inlineStr">
        <x:is>
          <x:t xml:space="preserve">SUCCESS</x:t>
        </x:is>
      </x:c>
      <x:c r="BG383" t="n">
        <x:f>IF((COUNT('Quantification_Results'!BA383)=1),IFERROR(ROUND((SUM(('Quantification_Results'!BA383*'Quantification_Config'!$R$19))/SUM('Quantification_Config'!$R$19)),'Quantification_Config'!$U$2),""),"")</x:f>
        <x:v>50</x:v>
      </x:c>
      <x:c r="BH383" t="n">
        <x:f>IF((COUNT('Quantification_Results'!BG383)=1),IFERROR(ROUND((SUM(('Quantification_Results'!BG383*'Quantification_Config'!$R$18))/SUM('Quantification_Config'!$R$18)),'Quantification_Config'!$U$2),""),"")</x:f>
        <x:v>50</x:v>
      </x:c>
      <x:c r="BI383">
        <x:f>IF((COUNT('Quantification_Results'!L383,'Quantification_Results'!X383,'Quantification_Results'!AJ383,'Quantification_Results'!AV383,'Quantification_Results'!BH383)=5),IFERROR(ROUND((SUM(('Quantification_Results'!L383*'Quantification_Config'!$R$4),('Quantification_Results'!X383*'Quantification_Config'!$R$7),('Quantification_Results'!AJ383*'Quantification_Config'!$R$10),('Quantification_Results'!AV383*'Quantification_Config'!$R$13),('Quantification_Results'!BH383*'Quantification_Config'!$R$16))/SUM('Quantification_Config'!$R$4,'Quantification_Config'!$R$7,'Quantification_Config'!$R$10,'Quantification_Config'!$R$13,'Quantification_Config'!$R$16)),'Quantification_Config'!$U$2),""),"")</x:f>
      </x:c>
    </x:row>
    <x:row r="384">
      <x:c r="A384" t="n">
        <x:v>1</x:v>
      </x:c>
      <x:c r="B384" t="n">
        <x:v>5</x:v>
      </x:c>
      <x:c r="C384"/>
      <x:c r="D384" t="n">
        <x:f>IF(('Quantification_Results'!A384&lt;&gt;1),"",IF(('Quantification_Results'!C384=""),IF(ISNUMBER('Quantification_Results'!B384),IF(('Quantification_Results'!B384&lt;'Quantification_Config'!$S$6),"",IF(('Quantification_Results'!B384&gt;'Quantification_Config'!$T$6),"",'Quantification_Results'!B384)),""),IF(ISNUMBER('Quantification_Results'!C384),IF(('Quantification_Results'!C384&lt;'Quantification_Config'!$S$6),"",IF(('Quantification_Results'!C384&gt;'Quantification_Config'!$T$6),"",'Quantification_Results'!C384)),"")))</x:f>
        <x:v>5</x:v>
      </x:c>
      <x:c r="E384" t="n">
        <x:f>IF(ISNUMBER('Quantification_Results'!D384),IFERROR(ROUND(((('Quantification_Results'!D384-'Quantification_Config'!$S$6)/('Quantification_Config'!$T$6-'Quantification_Config'!$S$6))*100),'Quantification_Config'!$U$2),""),"")</x:f>
        <x:v>50</x:v>
      </x:c>
      <x:c r="F384" t="inlineStr">
        <x:is>
          <x:t xml:space="preserve">SYSTEM-TEST-ONLY-NO-NETWORK-NOT-AN-EDUCATIONAL-EVALUATION</x:t>
        </x:is>
      </x:c>
      <x:c r="G384" t="inlineStr">
        <x:is>
          <x:t xml:space="preserve"/>
        </x:is>
      </x:c>
      <x:c r="H384" t="inlineStr">
        <x:is>
          <x:t xml:space="preserve">NONE</x:t>
        </x:is>
      </x:c>
      <x:c r="I384" t="inlineStr">
        <x:is>
          <x:t xml:space="preserve"/>
        </x:is>
      </x:c>
      <x:c r="J384" t="inlineStr">
        <x:is>
          <x:t xml:space="preserve">SUCCESS</x:t>
        </x:is>
      </x:c>
      <x:c r="K384" t="n">
        <x:f>IF((COUNT('Quantification_Results'!E384)=1),IFERROR(ROUND((SUM(('Quantification_Results'!E384*'Quantification_Config'!$R$6))/SUM('Quantification_Config'!$R$6)),'Quantification_Config'!$U$2),""),"")</x:f>
        <x:v>50</x:v>
      </x:c>
      <x:c r="L384" t="n">
        <x:f>IF((COUNT('Quantification_Results'!K384)=1),IFERROR(ROUND((SUM(('Quantification_Results'!K384*'Quantification_Config'!$R$5))/SUM('Quantification_Config'!$R$5)),'Quantification_Config'!$U$2),""),"")</x:f>
        <x:v>50</x:v>
      </x:c>
      <x:c r="M384" t="n">
        <x:v>1</x:v>
      </x:c>
      <x:c r="N384" t="n">
        <x:v>5</x:v>
      </x:c>
      <x:c r="O384"/>
      <x:c r="P384" t="n">
        <x:f>IF(('Quantification_Results'!M384&lt;&gt;1),"",IF(('Quantification_Results'!O384=""),IF(ISNUMBER('Quantification_Results'!N384),IF(('Quantification_Results'!N384&lt;'Quantification_Config'!$S$9),"",IF(('Quantification_Results'!N384&gt;'Quantification_Config'!$T$9),"",'Quantification_Results'!N384)),""),IF(ISNUMBER('Quantification_Results'!O384),IF(('Quantification_Results'!O384&lt;'Quantification_Config'!$S$9),"",IF(('Quantification_Results'!O384&gt;'Quantification_Config'!$T$9),"",'Quantification_Results'!O384)),"")))</x:f>
        <x:v>5</x:v>
      </x:c>
      <x:c r="Q384" t="n">
        <x:f>IF(ISNUMBER('Quantification_Results'!P384),IFERROR(ROUND(((('Quantification_Results'!P384-'Quantification_Config'!$S$9)/('Quantification_Config'!$T$9-'Quantification_Config'!$S$9))*100),'Quantification_Config'!$U$2),""),"")</x:f>
        <x:v>50</x:v>
      </x:c>
      <x:c r="R384" t="inlineStr">
        <x:is>
          <x:t xml:space="preserve">SYSTEM-TEST-ONLY-NO-NETWORK-NOT-AN-EDUCATIONAL-EVALUATION</x:t>
        </x:is>
      </x:c>
      <x:c r="S384" t="inlineStr">
        <x:is>
          <x:t xml:space="preserve"/>
        </x:is>
      </x:c>
      <x:c r="T384" t="inlineStr">
        <x:is>
          <x:t xml:space="preserve">NONE</x:t>
        </x:is>
      </x:c>
      <x:c r="U384" t="inlineStr">
        <x:is>
          <x:t xml:space="preserve"/>
        </x:is>
      </x:c>
      <x:c r="V384" t="inlineStr">
        <x:is>
          <x:t xml:space="preserve">SUCCESS</x:t>
        </x:is>
      </x:c>
      <x:c r="W384" t="n">
        <x:f>IF((COUNT('Quantification_Results'!Q384)=1),IFERROR(ROUND((SUM(('Quantification_Results'!Q384*'Quantification_Config'!$R$9))/SUM('Quantification_Config'!$R$9)),'Quantification_Config'!$U$2),""),"")</x:f>
        <x:v>50</x:v>
      </x:c>
      <x:c r="X384" t="n">
        <x:f>IF((COUNT('Quantification_Results'!W384)=1),IFERROR(ROUND((SUM(('Quantification_Results'!W384*'Quantification_Config'!$R$8))/SUM('Quantification_Config'!$R$8)),'Quantification_Config'!$U$2),""),"")</x:f>
        <x:v>50</x:v>
      </x:c>
      <x:c r="Y384" t="n">
        <x:v>1</x:v>
      </x:c>
      <x:c r="Z384" t="n">
        <x:v>5</x:v>
      </x:c>
      <x:c r="AA384"/>
      <x:c r="AB384" t="n">
        <x:f>IF(('Quantification_Results'!Y384&lt;&gt;1),"",IF(('Quantification_Results'!AA384=""),IF(ISNUMBER('Quantification_Results'!Z384),IF(('Quantification_Results'!Z384&lt;'Quantification_Config'!$S$12),"",IF(('Quantification_Results'!Z384&gt;'Quantification_Config'!$T$12),"",'Quantification_Results'!Z384)),""),IF(ISNUMBER('Quantification_Results'!AA384),IF(('Quantification_Results'!AA384&lt;'Quantification_Config'!$S$12),"",IF(('Quantification_Results'!AA384&gt;'Quantification_Config'!$T$12),"",'Quantification_Results'!AA384)),"")))</x:f>
        <x:v>5</x:v>
      </x:c>
      <x:c r="AC384" t="n">
        <x:f>IF(ISNUMBER('Quantification_Results'!AB384),IFERROR(ROUND(((('Quantification_Results'!AB384-'Quantification_Config'!$S$12)/('Quantification_Config'!$T$12-'Quantification_Config'!$S$12))*100),'Quantification_Config'!$U$2),""),"")</x:f>
        <x:v>50</x:v>
      </x:c>
      <x:c r="AD384" t="inlineStr">
        <x:is>
          <x:t xml:space="preserve">SYSTEM-TEST-ONLY-NO-NETWORK-NOT-AN-EDUCATIONAL-EVALUATION</x:t>
        </x:is>
      </x:c>
      <x:c r="AE384" t="inlineStr">
        <x:is>
          <x:t xml:space="preserve"/>
        </x:is>
      </x:c>
      <x:c r="AF384" t="inlineStr">
        <x:is>
          <x:t xml:space="preserve">NONE</x:t>
        </x:is>
      </x:c>
      <x:c r="AG384" t="inlineStr">
        <x:is>
          <x:t xml:space="preserve"/>
        </x:is>
      </x:c>
      <x:c r="AH384" t="inlineStr">
        <x:is>
          <x:t xml:space="preserve">SUCCESS</x:t>
        </x:is>
      </x:c>
      <x:c r="AI384" t="n">
        <x:f>IF((COUNT('Quantification_Results'!AC384)=1),IFERROR(ROUND((SUM(('Quantification_Results'!AC384*'Quantification_Config'!$R$12))/SUM('Quantification_Config'!$R$12)),'Quantification_Config'!$U$2),""),"")</x:f>
        <x:v>50</x:v>
      </x:c>
      <x:c r="AJ384" t="n">
        <x:f>IF((COUNT('Quantification_Results'!AI384)=1),IFERROR(ROUND((SUM(('Quantification_Results'!AI384*'Quantification_Config'!$R$11))/SUM('Quantification_Config'!$R$11)),'Quantification_Config'!$U$2),""),"")</x:f>
        <x:v>50</x:v>
      </x:c>
      <x:c r="AK384" t="n">
        <x:v>1</x:v>
      </x:c>
      <x:c r="AL384" t="n">
        <x:v>5</x:v>
      </x:c>
      <x:c r="AM384"/>
      <x:c r="AN384" t="n">
        <x:f>IF(('Quantification_Results'!AK384&lt;&gt;1),"",IF(('Quantification_Results'!AM384=""),IF(ISNUMBER('Quantification_Results'!AL384),IF(('Quantification_Results'!AL384&lt;'Quantification_Config'!$S$15),"",IF(('Quantification_Results'!AL384&gt;'Quantification_Config'!$T$15),"",'Quantification_Results'!AL384)),""),IF(ISNUMBER('Quantification_Results'!AM384),IF(('Quantification_Results'!AM384&lt;'Quantification_Config'!$S$15),"",IF(('Quantification_Results'!AM384&gt;'Quantification_Config'!$T$15),"",'Quantification_Results'!AM384)),"")))</x:f>
        <x:v>5</x:v>
      </x:c>
      <x:c r="AO384" t="n">
        <x:f>IF(ISNUMBER('Quantification_Results'!AN384),IFERROR(ROUND(((('Quantification_Results'!AN384-'Quantification_Config'!$S$15)/('Quantification_Config'!$T$15-'Quantification_Config'!$S$15))*100),'Quantification_Config'!$U$2),""),"")</x:f>
        <x:v>50</x:v>
      </x:c>
      <x:c r="AP384" t="inlineStr">
        <x:is>
          <x:t xml:space="preserve">SYSTEM-TEST-ONLY-NO-NETWORK-NOT-AN-EDUCATIONAL-EVALUATION</x:t>
        </x:is>
      </x:c>
      <x:c r="AQ384" t="inlineStr">
        <x:is>
          <x:t xml:space="preserve"/>
        </x:is>
      </x:c>
      <x:c r="AR384" t="inlineStr">
        <x:is>
          <x:t xml:space="preserve">NONE</x:t>
        </x:is>
      </x:c>
      <x:c r="AS384" t="inlineStr">
        <x:is>
          <x:t xml:space="preserve"/>
        </x:is>
      </x:c>
      <x:c r="AT384" t="inlineStr">
        <x:is>
          <x:t xml:space="preserve">SUCCESS</x:t>
        </x:is>
      </x:c>
      <x:c r="AU384" t="n">
        <x:f>IF((COUNT('Quantification_Results'!AO384)=1),IFERROR(ROUND((SUM(('Quantification_Results'!AO384*'Quantification_Config'!$R$15))/SUM('Quantification_Config'!$R$15)),'Quantification_Config'!$U$2),""),"")</x:f>
        <x:v>50</x:v>
      </x:c>
      <x:c r="AV384" t="n">
        <x:f>IF((COUNT('Quantification_Results'!AU384)=1),IFERROR(ROUND((SUM(('Quantification_Results'!AU384*'Quantification_Config'!$R$14))/SUM('Quantification_Config'!$R$14)),'Quantification_Config'!$U$2),""),"")</x:f>
        <x:v>50</x:v>
      </x:c>
      <x:c r="AW384" t="n">
        <x:v>1</x:v>
      </x:c>
      <x:c r="AX384" t="n">
        <x:v>5</x:v>
      </x:c>
      <x:c r="AY384"/>
      <x:c r="AZ384" t="n">
        <x:f>IF(('Quantification_Results'!AW384&lt;&gt;1),"",IF(('Quantification_Results'!AY384=""),IF(ISNUMBER('Quantification_Results'!AX384),IF(('Quantification_Results'!AX384&lt;'Quantification_Config'!$S$19),"",IF(('Quantification_Results'!AX384&gt;'Quantification_Config'!$T$19),"",'Quantification_Results'!AX384)),""),IF(ISNUMBER('Quantification_Results'!AY384),IF(('Quantification_Results'!AY384&lt;'Quantification_Config'!$S$19),"",IF(('Quantification_Results'!AY384&gt;'Quantification_Config'!$T$19),"",'Quantification_Results'!AY384)),"")))</x:f>
        <x:v>5</x:v>
      </x:c>
      <x:c r="BA384" t="n">
        <x:f>IF(ISNUMBER('Quantification_Results'!AZ384),IFERROR(ROUND(((('Quantification_Results'!AZ384-'Quantification_Config'!$S$19)/('Quantification_Config'!$T$19-'Quantification_Config'!$S$19))*100),'Quantification_Config'!$U$2),""),"")</x:f>
        <x:v>50</x:v>
      </x:c>
      <x:c r="BB384" t="inlineStr">
        <x:is>
          <x:t xml:space="preserve">SYSTEM-TEST-ONLY-NO-NETWORK-NOT-AN-EDUCATIONAL-EVALUATION</x:t>
        </x:is>
      </x:c>
      <x:c r="BC384" t="inlineStr">
        <x:is>
          <x:t xml:space="preserve"/>
        </x:is>
      </x:c>
      <x:c r="BD384" t="inlineStr">
        <x:is>
          <x:t xml:space="preserve">NONE</x:t>
        </x:is>
      </x:c>
      <x:c r="BE384" t="inlineStr">
        <x:is>
          <x:t xml:space="preserve"/>
        </x:is>
      </x:c>
      <x:c r="BF384" t="inlineStr">
        <x:is>
          <x:t xml:space="preserve">SUCCESS</x:t>
        </x:is>
      </x:c>
      <x:c r="BG384" t="n">
        <x:f>IF((COUNT('Quantification_Results'!BA384)=1),IFERROR(ROUND((SUM(('Quantification_Results'!BA384*'Quantification_Config'!$R$19))/SUM('Quantification_Config'!$R$19)),'Quantification_Config'!$U$2),""),"")</x:f>
        <x:v>50</x:v>
      </x:c>
      <x:c r="BH384" t="n">
        <x:f>IF((COUNT('Quantification_Results'!BG384)=1),IFERROR(ROUND((SUM(('Quantification_Results'!BG384*'Quantification_Config'!$R$18))/SUM('Quantification_Config'!$R$18)),'Quantification_Config'!$U$2),""),"")</x:f>
        <x:v>50</x:v>
      </x:c>
      <x:c r="BI384" t="n">
        <x:f>IF((COUNT('Quantification_Results'!L384,'Quantification_Results'!X384,'Quantification_Results'!AJ384,'Quantification_Results'!AV384,'Quantification_Results'!BH384)=5),IFERROR(ROUND((SUM(('Quantification_Results'!L384*'Quantification_Config'!$R$4),('Quantification_Results'!X384*'Quantification_Config'!$R$7),('Quantification_Results'!AJ384*'Quantification_Config'!$R$10),('Quantification_Results'!AV384*'Quantification_Config'!$R$13),('Quantification_Results'!BH384*'Quantification_Config'!$R$16))/SUM('Quantification_Config'!$R$4,'Quantification_Config'!$R$7,'Quantification_Config'!$R$10,'Quantification_Config'!$R$13,'Quantification_Config'!$R$16)),'Quantification_Config'!$U$2),""),"")</x:f>
        <x:v>50</x:v>
      </x:c>
    </x:row>
    <x:row r="385">
      <x:c r="A385" t="n">
        <x:v>1</x:v>
      </x:c>
      <x:c r="B385" t="n">
        <x:v>5</x:v>
      </x:c>
      <x:c r="C385"/>
      <x:c r="D385" t="n">
        <x:f>IF(('Quantification_Results'!A385&lt;&gt;1),"",IF(('Quantification_Results'!C385=""),IF(ISNUMBER('Quantification_Results'!B385),IF(('Quantification_Results'!B385&lt;'Quantification_Config'!$S$6),"",IF(('Quantification_Results'!B385&gt;'Quantification_Config'!$T$6),"",'Quantification_Results'!B385)),""),IF(ISNUMBER('Quantification_Results'!C385),IF(('Quantification_Results'!C385&lt;'Quantification_Config'!$S$6),"",IF(('Quantification_Results'!C385&gt;'Quantification_Config'!$T$6),"",'Quantification_Results'!C385)),"")))</x:f>
        <x:v>5</x:v>
      </x:c>
      <x:c r="E385" t="n">
        <x:f>IF(ISNUMBER('Quantification_Results'!D385),IFERROR(ROUND(((('Quantification_Results'!D385-'Quantification_Config'!$S$6)/('Quantification_Config'!$T$6-'Quantification_Config'!$S$6))*100),'Quantification_Config'!$U$2),""),"")</x:f>
        <x:v>50</x:v>
      </x:c>
      <x:c r="F385" t="inlineStr">
        <x:is>
          <x:t xml:space="preserve">SYSTEM-TEST-ONLY-NO-NETWORK-NOT-AN-EDUCATIONAL-EVALUATION</x:t>
        </x:is>
      </x:c>
      <x:c r="G385" t="inlineStr">
        <x:is>
          <x:t xml:space="preserve"/>
        </x:is>
      </x:c>
      <x:c r="H385" t="inlineStr">
        <x:is>
          <x:t xml:space="preserve">NONE</x:t>
        </x:is>
      </x:c>
      <x:c r="I385" t="inlineStr">
        <x:is>
          <x:t xml:space="preserve"/>
        </x:is>
      </x:c>
      <x:c r="J385" t="inlineStr">
        <x:is>
          <x:t xml:space="preserve">SUCCESS</x:t>
        </x:is>
      </x:c>
      <x:c r="K385" t="n">
        <x:f>IF((COUNT('Quantification_Results'!E385)=1),IFERROR(ROUND((SUM(('Quantification_Results'!E385*'Quantification_Config'!$R$6))/SUM('Quantification_Config'!$R$6)),'Quantification_Config'!$U$2),""),"")</x:f>
        <x:v>50</x:v>
      </x:c>
      <x:c r="L385" t="n">
        <x:f>IF((COUNT('Quantification_Results'!K385)=1),IFERROR(ROUND((SUM(('Quantification_Results'!K385*'Quantification_Config'!$R$5))/SUM('Quantification_Config'!$R$5)),'Quantification_Config'!$U$2),""),"")</x:f>
        <x:v>50</x:v>
      </x:c>
      <x:c r="M385" t="n">
        <x:v>1</x:v>
      </x:c>
      <x:c r="N385" t="n">
        <x:v>5</x:v>
      </x:c>
      <x:c r="O385"/>
      <x:c r="P385" t="n">
        <x:f>IF(('Quantification_Results'!M385&lt;&gt;1),"",IF(('Quantification_Results'!O385=""),IF(ISNUMBER('Quantification_Results'!N385),IF(('Quantification_Results'!N385&lt;'Quantification_Config'!$S$9),"",IF(('Quantification_Results'!N385&gt;'Quantification_Config'!$T$9),"",'Quantification_Results'!N385)),""),IF(ISNUMBER('Quantification_Results'!O385),IF(('Quantification_Results'!O385&lt;'Quantification_Config'!$S$9),"",IF(('Quantification_Results'!O385&gt;'Quantification_Config'!$T$9),"",'Quantification_Results'!O385)),"")))</x:f>
        <x:v>5</x:v>
      </x:c>
      <x:c r="Q385" t="n">
        <x:f>IF(ISNUMBER('Quantification_Results'!P385),IFERROR(ROUND(((('Quantification_Results'!P385-'Quantification_Config'!$S$9)/('Quantification_Config'!$T$9-'Quantification_Config'!$S$9))*100),'Quantification_Config'!$U$2),""),"")</x:f>
        <x:v>50</x:v>
      </x:c>
      <x:c r="R385" t="inlineStr">
        <x:is>
          <x:t xml:space="preserve">SYSTEM-TEST-ONLY-NO-NETWORK-NOT-AN-EDUCATIONAL-EVALUATION</x:t>
        </x:is>
      </x:c>
      <x:c r="S385" t="inlineStr">
        <x:is>
          <x:t xml:space="preserve"/>
        </x:is>
      </x:c>
      <x:c r="T385" t="inlineStr">
        <x:is>
          <x:t xml:space="preserve">NONE</x:t>
        </x:is>
      </x:c>
      <x:c r="U385" t="inlineStr">
        <x:is>
          <x:t xml:space="preserve"/>
        </x:is>
      </x:c>
      <x:c r="V385" t="inlineStr">
        <x:is>
          <x:t xml:space="preserve">SUCCESS</x:t>
        </x:is>
      </x:c>
      <x:c r="W385" t="n">
        <x:f>IF((COUNT('Quantification_Results'!Q385)=1),IFERROR(ROUND((SUM(('Quantification_Results'!Q385*'Quantification_Config'!$R$9))/SUM('Quantification_Config'!$R$9)),'Quantification_Config'!$U$2),""),"")</x:f>
        <x:v>50</x:v>
      </x:c>
      <x:c r="X385" t="n">
        <x:f>IF((COUNT('Quantification_Results'!W385)=1),IFERROR(ROUND((SUM(('Quantification_Results'!W385*'Quantification_Config'!$R$8))/SUM('Quantification_Config'!$R$8)),'Quantification_Config'!$U$2),""),"")</x:f>
        <x:v>50</x:v>
      </x:c>
      <x:c r="Y385" t="n">
        <x:v>0</x:v>
      </x:c>
      <x:c r="Z385"/>
      <x:c r="AA385"/>
      <x:c r="AB385">
        <x:f>IF(('Quantification_Results'!Y385&lt;&gt;1),"",IF(('Quantification_Results'!AA385=""),IF(ISNUMBER('Quantification_Results'!Z385),IF(('Quantification_Results'!Z385&lt;'Quantification_Config'!$S$12),"",IF(('Quantification_Results'!Z385&gt;'Quantification_Config'!$T$12),"",'Quantification_Results'!Z385)),""),IF(ISNUMBER('Quantification_Results'!AA385),IF(('Quantification_Results'!AA385&lt;'Quantification_Config'!$S$12),"",IF(('Quantification_Results'!AA385&gt;'Quantification_Config'!$T$12),"",'Quantification_Results'!AA385)),"")))</x:f>
      </x:c>
      <x:c r="AC385">
        <x:f>IF(ISNUMBER('Quantification_Results'!AB385),IFERROR(ROUND(((('Quantification_Results'!AB385-'Quantification_Config'!$S$12)/('Quantification_Config'!$T$12-'Quantification_Config'!$S$12))*100),'Quantification_Config'!$U$2),""),"")</x:f>
      </x:c>
      <x:c r="AD385" t="inlineStr">
        <x:is>
          <x:t xml:space="preserve"/>
        </x:is>
      </x:c>
      <x:c r="AE385" t="inlineStr">
        <x:is>
          <x:t xml:space="preserve"/>
        </x:is>
      </x:c>
      <x:c r="AF385" t="inlineStr">
        <x:is>
          <x:t xml:space="preserve"/>
        </x:is>
      </x:c>
      <x:c r="AG385" t="inlineStr">
        <x:is>
          <x:t xml:space="preserve"/>
        </x:is>
      </x:c>
      <x:c r="AH385" t="inlineStr">
        <x:is>
          <x:t xml:space="preserve">EMPTY</x:t>
        </x:is>
      </x:c>
      <x:c r="AI385">
        <x:f>IF((COUNT('Quantification_Results'!AC385)=1),IFERROR(ROUND((SUM(('Quantification_Results'!AC385*'Quantification_Config'!$R$12))/SUM('Quantification_Config'!$R$12)),'Quantification_Config'!$U$2),""),"")</x:f>
      </x:c>
      <x:c r="AJ385">
        <x:f>IF((COUNT('Quantification_Results'!AI385)=1),IFERROR(ROUND((SUM(('Quantification_Results'!AI385*'Quantification_Config'!$R$11))/SUM('Quantification_Config'!$R$11)),'Quantification_Config'!$U$2),""),"")</x:f>
      </x:c>
      <x:c r="AK385" t="n">
        <x:v>1</x:v>
      </x:c>
      <x:c r="AL385" t="n">
        <x:v>5</x:v>
      </x:c>
      <x:c r="AM385"/>
      <x:c r="AN385" t="n">
        <x:f>IF(('Quantification_Results'!AK385&lt;&gt;1),"",IF(('Quantification_Results'!AM385=""),IF(ISNUMBER('Quantification_Results'!AL385),IF(('Quantification_Results'!AL385&lt;'Quantification_Config'!$S$15),"",IF(('Quantification_Results'!AL385&gt;'Quantification_Config'!$T$15),"",'Quantification_Results'!AL385)),""),IF(ISNUMBER('Quantification_Results'!AM385),IF(('Quantification_Results'!AM385&lt;'Quantification_Config'!$S$15),"",IF(('Quantification_Results'!AM385&gt;'Quantification_Config'!$T$15),"",'Quantification_Results'!AM385)),"")))</x:f>
        <x:v>5</x:v>
      </x:c>
      <x:c r="AO385" t="n">
        <x:f>IF(ISNUMBER('Quantification_Results'!AN385),IFERROR(ROUND(((('Quantification_Results'!AN385-'Quantification_Config'!$S$15)/('Quantification_Config'!$T$15-'Quantification_Config'!$S$15))*100),'Quantification_Config'!$U$2),""),"")</x:f>
        <x:v>50</x:v>
      </x:c>
      <x:c r="AP385" t="inlineStr">
        <x:is>
          <x:t xml:space="preserve">SYSTEM-TEST-ONLY-NO-NETWORK-NOT-AN-EDUCATIONAL-EVALUATION</x:t>
        </x:is>
      </x:c>
      <x:c r="AQ385" t="inlineStr">
        <x:is>
          <x:t xml:space="preserve"/>
        </x:is>
      </x:c>
      <x:c r="AR385" t="inlineStr">
        <x:is>
          <x:t xml:space="preserve">NONE</x:t>
        </x:is>
      </x:c>
      <x:c r="AS385" t="inlineStr">
        <x:is>
          <x:t xml:space="preserve"/>
        </x:is>
      </x:c>
      <x:c r="AT385" t="inlineStr">
        <x:is>
          <x:t xml:space="preserve">SUCCESS</x:t>
        </x:is>
      </x:c>
      <x:c r="AU385" t="n">
        <x:f>IF((COUNT('Quantification_Results'!AO385)=1),IFERROR(ROUND((SUM(('Quantification_Results'!AO385*'Quantification_Config'!$R$15))/SUM('Quantification_Config'!$R$15)),'Quantification_Config'!$U$2),""),"")</x:f>
        <x:v>50</x:v>
      </x:c>
      <x:c r="AV385" t="n">
        <x:f>IF((COUNT('Quantification_Results'!AU385)=1),IFERROR(ROUND((SUM(('Quantification_Results'!AU385*'Quantification_Config'!$R$14))/SUM('Quantification_Config'!$R$14)),'Quantification_Config'!$U$2),""),"")</x:f>
        <x:v>50</x:v>
      </x:c>
      <x:c r="AW385" t="n">
        <x:v>1</x:v>
      </x:c>
      <x:c r="AX385" t="n">
        <x:v>5</x:v>
      </x:c>
      <x:c r="AY385"/>
      <x:c r="AZ385" t="n">
        <x:f>IF(('Quantification_Results'!AW385&lt;&gt;1),"",IF(('Quantification_Results'!AY385=""),IF(ISNUMBER('Quantification_Results'!AX385),IF(('Quantification_Results'!AX385&lt;'Quantification_Config'!$S$19),"",IF(('Quantification_Results'!AX385&gt;'Quantification_Config'!$T$19),"",'Quantification_Results'!AX385)),""),IF(ISNUMBER('Quantification_Results'!AY385),IF(('Quantification_Results'!AY385&lt;'Quantification_Config'!$S$19),"",IF(('Quantification_Results'!AY385&gt;'Quantification_Config'!$T$19),"",'Quantification_Results'!AY385)),"")))</x:f>
        <x:v>5</x:v>
      </x:c>
      <x:c r="BA385" t="n">
        <x:f>IF(ISNUMBER('Quantification_Results'!AZ385),IFERROR(ROUND(((('Quantification_Results'!AZ385-'Quantification_Config'!$S$19)/('Quantification_Config'!$T$19-'Quantification_Config'!$S$19))*100),'Quantification_Config'!$U$2),""),"")</x:f>
        <x:v>50</x:v>
      </x:c>
      <x:c r="BB385" t="inlineStr">
        <x:is>
          <x:t xml:space="preserve">SYSTEM-TEST-ONLY-NO-NETWORK-NOT-AN-EDUCATIONAL-EVALUATION</x:t>
        </x:is>
      </x:c>
      <x:c r="BC385" t="inlineStr">
        <x:is>
          <x:t xml:space="preserve"/>
        </x:is>
      </x:c>
      <x:c r="BD385" t="inlineStr">
        <x:is>
          <x:t xml:space="preserve">NONE</x:t>
        </x:is>
      </x:c>
      <x:c r="BE385" t="inlineStr">
        <x:is>
          <x:t xml:space="preserve"/>
        </x:is>
      </x:c>
      <x:c r="BF385" t="inlineStr">
        <x:is>
          <x:t xml:space="preserve">SUCCESS</x:t>
        </x:is>
      </x:c>
      <x:c r="BG385" t="n">
        <x:f>IF((COUNT('Quantification_Results'!BA385)=1),IFERROR(ROUND((SUM(('Quantification_Results'!BA385*'Quantification_Config'!$R$19))/SUM('Quantification_Config'!$R$19)),'Quantification_Config'!$U$2),""),"")</x:f>
        <x:v>50</x:v>
      </x:c>
      <x:c r="BH385" t="n">
        <x:f>IF((COUNT('Quantification_Results'!BG385)=1),IFERROR(ROUND((SUM(('Quantification_Results'!BG385*'Quantification_Config'!$R$18))/SUM('Quantification_Config'!$R$18)),'Quantification_Config'!$U$2),""),"")</x:f>
        <x:v>50</x:v>
      </x:c>
      <x:c r="BI385">
        <x:f>IF((COUNT('Quantification_Results'!L385,'Quantification_Results'!X385,'Quantification_Results'!AJ385,'Quantification_Results'!AV385,'Quantification_Results'!BH385)=5),IFERROR(ROUND((SUM(('Quantification_Results'!L385*'Quantification_Config'!$R$4),('Quantification_Results'!X385*'Quantification_Config'!$R$7),('Quantification_Results'!AJ385*'Quantification_Config'!$R$10),('Quantification_Results'!AV385*'Quantification_Config'!$R$13),('Quantification_Results'!BH385*'Quantification_Config'!$R$16))/SUM('Quantification_Config'!$R$4,'Quantification_Config'!$R$7,'Quantification_Config'!$R$10,'Quantification_Config'!$R$13,'Quantification_Config'!$R$16)),'Quantification_Config'!$U$2),""),"")</x:f>
      </x:c>
    </x:row>
    <x:row r="386">
      <x:c r="A386" t="n">
        <x:v>1</x:v>
      </x:c>
      <x:c r="B386" t="n">
        <x:v>5</x:v>
      </x:c>
      <x:c r="C386"/>
      <x:c r="D386" t="n">
        <x:f>IF(('Quantification_Results'!A386&lt;&gt;1),"",IF(('Quantification_Results'!C386=""),IF(ISNUMBER('Quantification_Results'!B386),IF(('Quantification_Results'!B386&lt;'Quantification_Config'!$S$6),"",IF(('Quantification_Results'!B386&gt;'Quantification_Config'!$T$6),"",'Quantification_Results'!B386)),""),IF(ISNUMBER('Quantification_Results'!C386),IF(('Quantification_Results'!C386&lt;'Quantification_Config'!$S$6),"",IF(('Quantification_Results'!C386&gt;'Quantification_Config'!$T$6),"",'Quantification_Results'!C386)),"")))</x:f>
        <x:v>5</x:v>
      </x:c>
      <x:c r="E386" t="n">
        <x:f>IF(ISNUMBER('Quantification_Results'!D386),IFERROR(ROUND(((('Quantification_Results'!D386-'Quantification_Config'!$S$6)/('Quantification_Config'!$T$6-'Quantification_Config'!$S$6))*100),'Quantification_Config'!$U$2),""),"")</x:f>
        <x:v>50</x:v>
      </x:c>
      <x:c r="F386" t="inlineStr">
        <x:is>
          <x:t xml:space="preserve">SYSTEM-TEST-ONLY-NO-NETWORK-NOT-AN-EDUCATIONAL-EVALUATION</x:t>
        </x:is>
      </x:c>
      <x:c r="G386" t="inlineStr">
        <x:is>
          <x:t xml:space="preserve"/>
        </x:is>
      </x:c>
      <x:c r="H386" t="inlineStr">
        <x:is>
          <x:t xml:space="preserve">NONE</x:t>
        </x:is>
      </x:c>
      <x:c r="I386" t="inlineStr">
        <x:is>
          <x:t xml:space="preserve"/>
        </x:is>
      </x:c>
      <x:c r="J386" t="inlineStr">
        <x:is>
          <x:t xml:space="preserve">SUCCESS</x:t>
        </x:is>
      </x:c>
      <x:c r="K386" t="n">
        <x:f>IF((COUNT('Quantification_Results'!E386)=1),IFERROR(ROUND((SUM(('Quantification_Results'!E386*'Quantification_Config'!$R$6))/SUM('Quantification_Config'!$R$6)),'Quantification_Config'!$U$2),""),"")</x:f>
        <x:v>50</x:v>
      </x:c>
      <x:c r="L386" t="n">
        <x:f>IF((COUNT('Quantification_Results'!K386)=1),IFERROR(ROUND((SUM(('Quantification_Results'!K386*'Quantification_Config'!$R$5))/SUM('Quantification_Config'!$R$5)),'Quantification_Config'!$U$2),""),"")</x:f>
        <x:v>50</x:v>
      </x:c>
      <x:c r="M386" t="n">
        <x:v>1</x:v>
      </x:c>
      <x:c r="N386" t="n">
        <x:v>5</x:v>
      </x:c>
      <x:c r="O386"/>
      <x:c r="P386" t="n">
        <x:f>IF(('Quantification_Results'!M386&lt;&gt;1),"",IF(('Quantification_Results'!O386=""),IF(ISNUMBER('Quantification_Results'!N386),IF(('Quantification_Results'!N386&lt;'Quantification_Config'!$S$9),"",IF(('Quantification_Results'!N386&gt;'Quantification_Config'!$T$9),"",'Quantification_Results'!N386)),""),IF(ISNUMBER('Quantification_Results'!O386),IF(('Quantification_Results'!O386&lt;'Quantification_Config'!$S$9),"",IF(('Quantification_Results'!O386&gt;'Quantification_Config'!$T$9),"",'Quantification_Results'!O386)),"")))</x:f>
        <x:v>5</x:v>
      </x:c>
      <x:c r="Q386" t="n">
        <x:f>IF(ISNUMBER('Quantification_Results'!P386),IFERROR(ROUND(((('Quantification_Results'!P386-'Quantification_Config'!$S$9)/('Quantification_Config'!$T$9-'Quantification_Config'!$S$9))*100),'Quantification_Config'!$U$2),""),"")</x:f>
        <x:v>50</x:v>
      </x:c>
      <x:c r="R386" t="inlineStr">
        <x:is>
          <x:t xml:space="preserve">SYSTEM-TEST-ONLY-NO-NETWORK-NOT-AN-EDUCATIONAL-EVALUATION</x:t>
        </x:is>
      </x:c>
      <x:c r="S386" t="inlineStr">
        <x:is>
          <x:t xml:space="preserve"/>
        </x:is>
      </x:c>
      <x:c r="T386" t="inlineStr">
        <x:is>
          <x:t xml:space="preserve">NONE</x:t>
        </x:is>
      </x:c>
      <x:c r="U386" t="inlineStr">
        <x:is>
          <x:t xml:space="preserve"/>
        </x:is>
      </x:c>
      <x:c r="V386" t="inlineStr">
        <x:is>
          <x:t xml:space="preserve">SUCCESS</x:t>
        </x:is>
      </x:c>
      <x:c r="W386" t="n">
        <x:f>IF((COUNT('Quantification_Results'!Q386)=1),IFERROR(ROUND((SUM(('Quantification_Results'!Q386*'Quantification_Config'!$R$9))/SUM('Quantification_Config'!$R$9)),'Quantification_Config'!$U$2),""),"")</x:f>
        <x:v>50</x:v>
      </x:c>
      <x:c r="X386" t="n">
        <x:f>IF((COUNT('Quantification_Results'!W386)=1),IFERROR(ROUND((SUM(('Quantification_Results'!W386*'Quantification_Config'!$R$8))/SUM('Quantification_Config'!$R$8)),'Quantification_Config'!$U$2),""),"")</x:f>
        <x:v>50</x:v>
      </x:c>
      <x:c r="Y386" t="n">
        <x:v>0</x:v>
      </x:c>
      <x:c r="Z386"/>
      <x:c r="AA386"/>
      <x:c r="AB386">
        <x:f>IF(('Quantification_Results'!Y386&lt;&gt;1),"",IF(('Quantification_Results'!AA386=""),IF(ISNUMBER('Quantification_Results'!Z386),IF(('Quantification_Results'!Z386&lt;'Quantification_Config'!$S$12),"",IF(('Quantification_Results'!Z386&gt;'Quantification_Config'!$T$12),"",'Quantification_Results'!Z386)),""),IF(ISNUMBER('Quantification_Results'!AA386),IF(('Quantification_Results'!AA386&lt;'Quantification_Config'!$S$12),"",IF(('Quantification_Results'!AA386&gt;'Quantification_Config'!$T$12),"",'Quantification_Results'!AA386)),"")))</x:f>
      </x:c>
      <x:c r="AC386">
        <x:f>IF(ISNUMBER('Quantification_Results'!AB386),IFERROR(ROUND(((('Quantification_Results'!AB386-'Quantification_Config'!$S$12)/('Quantification_Config'!$T$12-'Quantification_Config'!$S$12))*100),'Quantification_Config'!$U$2),""),"")</x:f>
      </x:c>
      <x:c r="AD386" t="inlineStr">
        <x:is>
          <x:t xml:space="preserve"/>
        </x:is>
      </x:c>
      <x:c r="AE386" t="inlineStr">
        <x:is>
          <x:t xml:space="preserve"/>
        </x:is>
      </x:c>
      <x:c r="AF386" t="inlineStr">
        <x:is>
          <x:t xml:space="preserve"/>
        </x:is>
      </x:c>
      <x:c r="AG386" t="inlineStr">
        <x:is>
          <x:t xml:space="preserve"/>
        </x:is>
      </x:c>
      <x:c r="AH386" t="inlineStr">
        <x:is>
          <x:t xml:space="preserve">EMPTY</x:t>
        </x:is>
      </x:c>
      <x:c r="AI386">
        <x:f>IF((COUNT('Quantification_Results'!AC386)=1),IFERROR(ROUND((SUM(('Quantification_Results'!AC386*'Quantification_Config'!$R$12))/SUM('Quantification_Config'!$R$12)),'Quantification_Config'!$U$2),""),"")</x:f>
      </x:c>
      <x:c r="AJ386">
        <x:f>IF((COUNT('Quantification_Results'!AI386)=1),IFERROR(ROUND((SUM(('Quantification_Results'!AI386*'Quantification_Config'!$R$11))/SUM('Quantification_Config'!$R$11)),'Quantification_Config'!$U$2),""),"")</x:f>
      </x:c>
      <x:c r="AK386" t="n">
        <x:v>1</x:v>
      </x:c>
      <x:c r="AL386" t="n">
        <x:v>5</x:v>
      </x:c>
      <x:c r="AM386"/>
      <x:c r="AN386" t="n">
        <x:f>IF(('Quantification_Results'!AK386&lt;&gt;1),"",IF(('Quantification_Results'!AM386=""),IF(ISNUMBER('Quantification_Results'!AL386),IF(('Quantification_Results'!AL386&lt;'Quantification_Config'!$S$15),"",IF(('Quantification_Results'!AL386&gt;'Quantification_Config'!$T$15),"",'Quantification_Results'!AL386)),""),IF(ISNUMBER('Quantification_Results'!AM386),IF(('Quantification_Results'!AM386&lt;'Quantification_Config'!$S$15),"",IF(('Quantification_Results'!AM386&gt;'Quantification_Config'!$T$15),"",'Quantification_Results'!AM386)),"")))</x:f>
        <x:v>5</x:v>
      </x:c>
      <x:c r="AO386" t="n">
        <x:f>IF(ISNUMBER('Quantification_Results'!AN386),IFERROR(ROUND(((('Quantification_Results'!AN386-'Quantification_Config'!$S$15)/('Quantification_Config'!$T$15-'Quantification_Config'!$S$15))*100),'Quantification_Config'!$U$2),""),"")</x:f>
        <x:v>50</x:v>
      </x:c>
      <x:c r="AP386" t="inlineStr">
        <x:is>
          <x:t xml:space="preserve">SYSTEM-TEST-ONLY-NO-NETWORK-NOT-AN-EDUCATIONAL-EVALUATION</x:t>
        </x:is>
      </x:c>
      <x:c r="AQ386" t="inlineStr">
        <x:is>
          <x:t xml:space="preserve"/>
        </x:is>
      </x:c>
      <x:c r="AR386" t="inlineStr">
        <x:is>
          <x:t xml:space="preserve">NONE</x:t>
        </x:is>
      </x:c>
      <x:c r="AS386" t="inlineStr">
        <x:is>
          <x:t xml:space="preserve"/>
        </x:is>
      </x:c>
      <x:c r="AT386" t="inlineStr">
        <x:is>
          <x:t xml:space="preserve">SUCCESS</x:t>
        </x:is>
      </x:c>
      <x:c r="AU386" t="n">
        <x:f>IF((COUNT('Quantification_Results'!AO386)=1),IFERROR(ROUND((SUM(('Quantification_Results'!AO386*'Quantification_Config'!$R$15))/SUM('Quantification_Config'!$R$15)),'Quantification_Config'!$U$2),""),"")</x:f>
        <x:v>50</x:v>
      </x:c>
      <x:c r="AV386" t="n">
        <x:f>IF((COUNT('Quantification_Results'!AU386)=1),IFERROR(ROUND((SUM(('Quantification_Results'!AU386*'Quantification_Config'!$R$14))/SUM('Quantification_Config'!$R$14)),'Quantification_Config'!$U$2),""),"")</x:f>
        <x:v>50</x:v>
      </x:c>
      <x:c r="AW386" t="n">
        <x:v>1</x:v>
      </x:c>
      <x:c r="AX386" t="n">
        <x:v>5</x:v>
      </x:c>
      <x:c r="AY386"/>
      <x:c r="AZ386" t="n">
        <x:f>IF(('Quantification_Results'!AW386&lt;&gt;1),"",IF(('Quantification_Results'!AY386=""),IF(ISNUMBER('Quantification_Results'!AX386),IF(('Quantification_Results'!AX386&lt;'Quantification_Config'!$S$19),"",IF(('Quantification_Results'!AX386&gt;'Quantification_Config'!$T$19),"",'Quantification_Results'!AX386)),""),IF(ISNUMBER('Quantification_Results'!AY386),IF(('Quantification_Results'!AY386&lt;'Quantification_Config'!$S$19),"",IF(('Quantification_Results'!AY386&gt;'Quantification_Config'!$T$19),"",'Quantification_Results'!AY386)),"")))</x:f>
        <x:v>5</x:v>
      </x:c>
      <x:c r="BA386" t="n">
        <x:f>IF(ISNUMBER('Quantification_Results'!AZ386),IFERROR(ROUND(((('Quantification_Results'!AZ386-'Quantification_Config'!$S$19)/('Quantification_Config'!$T$19-'Quantification_Config'!$S$19))*100),'Quantification_Config'!$U$2),""),"")</x:f>
        <x:v>50</x:v>
      </x:c>
      <x:c r="BB386" t="inlineStr">
        <x:is>
          <x:t xml:space="preserve">SYSTEM-TEST-ONLY-NO-NETWORK-NOT-AN-EDUCATIONAL-EVALUATION</x:t>
        </x:is>
      </x:c>
      <x:c r="BC386" t="inlineStr">
        <x:is>
          <x:t xml:space="preserve"/>
        </x:is>
      </x:c>
      <x:c r="BD386" t="inlineStr">
        <x:is>
          <x:t xml:space="preserve">NONE</x:t>
        </x:is>
      </x:c>
      <x:c r="BE386" t="inlineStr">
        <x:is>
          <x:t xml:space="preserve"/>
        </x:is>
      </x:c>
      <x:c r="BF386" t="inlineStr">
        <x:is>
          <x:t xml:space="preserve">SUCCESS</x:t>
        </x:is>
      </x:c>
      <x:c r="BG386" t="n">
        <x:f>IF((COUNT('Quantification_Results'!BA386)=1),IFERROR(ROUND((SUM(('Quantification_Results'!BA386*'Quantification_Config'!$R$19))/SUM('Quantification_Config'!$R$19)),'Quantification_Config'!$U$2),""),"")</x:f>
        <x:v>50</x:v>
      </x:c>
      <x:c r="BH386" t="n">
        <x:f>IF((COUNT('Quantification_Results'!BG386)=1),IFERROR(ROUND((SUM(('Quantification_Results'!BG386*'Quantification_Config'!$R$18))/SUM('Quantification_Config'!$R$18)),'Quantification_Config'!$U$2),""),"")</x:f>
        <x:v>50</x:v>
      </x:c>
      <x:c r="BI386">
        <x:f>IF((COUNT('Quantification_Results'!L386,'Quantification_Results'!X386,'Quantification_Results'!AJ386,'Quantification_Results'!AV386,'Quantification_Results'!BH386)=5),IFERROR(ROUND((SUM(('Quantification_Results'!L386*'Quantification_Config'!$R$4),('Quantification_Results'!X386*'Quantification_Config'!$R$7),('Quantification_Results'!AJ386*'Quantification_Config'!$R$10),('Quantification_Results'!AV386*'Quantification_Config'!$R$13),('Quantification_Results'!BH386*'Quantification_Config'!$R$16))/SUM('Quantification_Config'!$R$4,'Quantification_Config'!$R$7,'Quantification_Config'!$R$10,'Quantification_Config'!$R$13,'Quantification_Config'!$R$16)),'Quantification_Config'!$U$2),""),"")</x:f>
      </x:c>
    </x:row>
    <x:row r="387">
      <x:c r="A387" t="n">
        <x:v>1</x:v>
      </x:c>
      <x:c r="B387" t="n">
        <x:v>5</x:v>
      </x:c>
      <x:c r="C387"/>
      <x:c r="D387" t="n">
        <x:f>IF(('Quantification_Results'!A387&lt;&gt;1),"",IF(('Quantification_Results'!C387=""),IF(ISNUMBER('Quantification_Results'!B387),IF(('Quantification_Results'!B387&lt;'Quantification_Config'!$S$6),"",IF(('Quantification_Results'!B387&gt;'Quantification_Config'!$T$6),"",'Quantification_Results'!B387)),""),IF(ISNUMBER('Quantification_Results'!C387),IF(('Quantification_Results'!C387&lt;'Quantification_Config'!$S$6),"",IF(('Quantification_Results'!C387&gt;'Quantification_Config'!$T$6),"",'Quantification_Results'!C387)),"")))</x:f>
        <x:v>5</x:v>
      </x:c>
      <x:c r="E387" t="n">
        <x:f>IF(ISNUMBER('Quantification_Results'!D387),IFERROR(ROUND(((('Quantification_Results'!D387-'Quantification_Config'!$S$6)/('Quantification_Config'!$T$6-'Quantification_Config'!$S$6))*100),'Quantification_Config'!$U$2),""),"")</x:f>
        <x:v>50</x:v>
      </x:c>
      <x:c r="F387" t="inlineStr">
        <x:is>
          <x:t xml:space="preserve">SYSTEM-TEST-ONLY-NO-NETWORK-NOT-AN-EDUCATIONAL-EVALUATION</x:t>
        </x:is>
      </x:c>
      <x:c r="G387" t="inlineStr">
        <x:is>
          <x:t xml:space="preserve"/>
        </x:is>
      </x:c>
      <x:c r="H387" t="inlineStr">
        <x:is>
          <x:t xml:space="preserve">NONE</x:t>
        </x:is>
      </x:c>
      <x:c r="I387" t="inlineStr">
        <x:is>
          <x:t xml:space="preserve"/>
        </x:is>
      </x:c>
      <x:c r="J387" t="inlineStr">
        <x:is>
          <x:t xml:space="preserve">SUCCESS</x:t>
        </x:is>
      </x:c>
      <x:c r="K387" t="n">
        <x:f>IF((COUNT('Quantification_Results'!E387)=1),IFERROR(ROUND((SUM(('Quantification_Results'!E387*'Quantification_Config'!$R$6))/SUM('Quantification_Config'!$R$6)),'Quantification_Config'!$U$2),""),"")</x:f>
        <x:v>50</x:v>
      </x:c>
      <x:c r="L387" t="n">
        <x:f>IF((COUNT('Quantification_Results'!K387)=1),IFERROR(ROUND((SUM(('Quantification_Results'!K387*'Quantification_Config'!$R$5))/SUM('Quantification_Config'!$R$5)),'Quantification_Config'!$U$2),""),"")</x:f>
        <x:v>50</x:v>
      </x:c>
      <x:c r="M387" t="n">
        <x:v>1</x:v>
      </x:c>
      <x:c r="N387" t="n">
        <x:v>5</x:v>
      </x:c>
      <x:c r="O387"/>
      <x:c r="P387" t="n">
        <x:f>IF(('Quantification_Results'!M387&lt;&gt;1),"",IF(('Quantification_Results'!O387=""),IF(ISNUMBER('Quantification_Results'!N387),IF(('Quantification_Results'!N387&lt;'Quantification_Config'!$S$9),"",IF(('Quantification_Results'!N387&gt;'Quantification_Config'!$T$9),"",'Quantification_Results'!N387)),""),IF(ISNUMBER('Quantification_Results'!O387),IF(('Quantification_Results'!O387&lt;'Quantification_Config'!$S$9),"",IF(('Quantification_Results'!O387&gt;'Quantification_Config'!$T$9),"",'Quantification_Results'!O387)),"")))</x:f>
        <x:v>5</x:v>
      </x:c>
      <x:c r="Q387" t="n">
        <x:f>IF(ISNUMBER('Quantification_Results'!P387),IFERROR(ROUND(((('Quantification_Results'!P387-'Quantification_Config'!$S$9)/('Quantification_Config'!$T$9-'Quantification_Config'!$S$9))*100),'Quantification_Config'!$U$2),""),"")</x:f>
        <x:v>50</x:v>
      </x:c>
      <x:c r="R387" t="inlineStr">
        <x:is>
          <x:t xml:space="preserve">SYSTEM-TEST-ONLY-NO-NETWORK-NOT-AN-EDUCATIONAL-EVALUATION</x:t>
        </x:is>
      </x:c>
      <x:c r="S387" t="inlineStr">
        <x:is>
          <x:t xml:space="preserve"/>
        </x:is>
      </x:c>
      <x:c r="T387" t="inlineStr">
        <x:is>
          <x:t xml:space="preserve">NONE</x:t>
        </x:is>
      </x:c>
      <x:c r="U387" t="inlineStr">
        <x:is>
          <x:t xml:space="preserve"/>
        </x:is>
      </x:c>
      <x:c r="V387" t="inlineStr">
        <x:is>
          <x:t xml:space="preserve">SUCCESS</x:t>
        </x:is>
      </x:c>
      <x:c r="W387" t="n">
        <x:f>IF((COUNT('Quantification_Results'!Q387)=1),IFERROR(ROUND((SUM(('Quantification_Results'!Q387*'Quantification_Config'!$R$9))/SUM('Quantification_Config'!$R$9)),'Quantification_Config'!$U$2),""),"")</x:f>
        <x:v>50</x:v>
      </x:c>
      <x:c r="X387" t="n">
        <x:f>IF((COUNT('Quantification_Results'!W387)=1),IFERROR(ROUND((SUM(('Quantification_Results'!W387*'Quantification_Config'!$R$8))/SUM('Quantification_Config'!$R$8)),'Quantification_Config'!$U$2),""),"")</x:f>
        <x:v>50</x:v>
      </x:c>
      <x:c r="Y387" t="n">
        <x:v>0</x:v>
      </x:c>
      <x:c r="Z387"/>
      <x:c r="AA387"/>
      <x:c r="AB387">
        <x:f>IF(('Quantification_Results'!Y387&lt;&gt;1),"",IF(('Quantification_Results'!AA387=""),IF(ISNUMBER('Quantification_Results'!Z387),IF(('Quantification_Results'!Z387&lt;'Quantification_Config'!$S$12),"",IF(('Quantification_Results'!Z387&gt;'Quantification_Config'!$T$12),"",'Quantification_Results'!Z387)),""),IF(ISNUMBER('Quantification_Results'!AA387),IF(('Quantification_Results'!AA387&lt;'Quantification_Config'!$S$12),"",IF(('Quantification_Results'!AA387&gt;'Quantification_Config'!$T$12),"",'Quantification_Results'!AA387)),"")))</x:f>
      </x:c>
      <x:c r="AC387">
        <x:f>IF(ISNUMBER('Quantification_Results'!AB387),IFERROR(ROUND(((('Quantification_Results'!AB387-'Quantification_Config'!$S$12)/('Quantification_Config'!$T$12-'Quantification_Config'!$S$12))*100),'Quantification_Config'!$U$2),""),"")</x:f>
      </x:c>
      <x:c r="AD387" t="inlineStr">
        <x:is>
          <x:t xml:space="preserve"/>
        </x:is>
      </x:c>
      <x:c r="AE387" t="inlineStr">
        <x:is>
          <x:t xml:space="preserve"/>
        </x:is>
      </x:c>
      <x:c r="AF387" t="inlineStr">
        <x:is>
          <x:t xml:space="preserve"/>
        </x:is>
      </x:c>
      <x:c r="AG387" t="inlineStr">
        <x:is>
          <x:t xml:space="preserve"/>
        </x:is>
      </x:c>
      <x:c r="AH387" t="inlineStr">
        <x:is>
          <x:t xml:space="preserve">EMPTY</x:t>
        </x:is>
      </x:c>
      <x:c r="AI387">
        <x:f>IF((COUNT('Quantification_Results'!AC387)=1),IFERROR(ROUND((SUM(('Quantification_Results'!AC387*'Quantification_Config'!$R$12))/SUM('Quantification_Config'!$R$12)),'Quantification_Config'!$U$2),""),"")</x:f>
      </x:c>
      <x:c r="AJ387">
        <x:f>IF((COUNT('Quantification_Results'!AI387)=1),IFERROR(ROUND((SUM(('Quantification_Results'!AI387*'Quantification_Config'!$R$11))/SUM('Quantification_Config'!$R$11)),'Quantification_Config'!$U$2),""),"")</x:f>
      </x:c>
      <x:c r="AK387" t="n">
        <x:v>1</x:v>
      </x:c>
      <x:c r="AL387" t="n">
        <x:v>5</x:v>
      </x:c>
      <x:c r="AM387"/>
      <x:c r="AN387" t="n">
        <x:f>IF(('Quantification_Results'!AK387&lt;&gt;1),"",IF(('Quantification_Results'!AM387=""),IF(ISNUMBER('Quantification_Results'!AL387),IF(('Quantification_Results'!AL387&lt;'Quantification_Config'!$S$15),"",IF(('Quantification_Results'!AL387&gt;'Quantification_Config'!$T$15),"",'Quantification_Results'!AL387)),""),IF(ISNUMBER('Quantification_Results'!AM387),IF(('Quantification_Results'!AM387&lt;'Quantification_Config'!$S$15),"",IF(('Quantification_Results'!AM387&gt;'Quantification_Config'!$T$15),"",'Quantification_Results'!AM387)),"")))</x:f>
        <x:v>5</x:v>
      </x:c>
      <x:c r="AO387" t="n">
        <x:f>IF(ISNUMBER('Quantification_Results'!AN387),IFERROR(ROUND(((('Quantification_Results'!AN387-'Quantification_Config'!$S$15)/('Quantification_Config'!$T$15-'Quantification_Config'!$S$15))*100),'Quantification_Config'!$U$2),""),"")</x:f>
        <x:v>50</x:v>
      </x:c>
      <x:c r="AP387" t="inlineStr">
        <x:is>
          <x:t xml:space="preserve">SYSTEM-TEST-ONLY-NO-NETWORK-NOT-AN-EDUCATIONAL-EVALUATION</x:t>
        </x:is>
      </x:c>
      <x:c r="AQ387" t="inlineStr">
        <x:is>
          <x:t xml:space="preserve"/>
        </x:is>
      </x:c>
      <x:c r="AR387" t="inlineStr">
        <x:is>
          <x:t xml:space="preserve">NONE</x:t>
        </x:is>
      </x:c>
      <x:c r="AS387" t="inlineStr">
        <x:is>
          <x:t xml:space="preserve"/>
        </x:is>
      </x:c>
      <x:c r="AT387" t="inlineStr">
        <x:is>
          <x:t xml:space="preserve">SUCCESS</x:t>
        </x:is>
      </x:c>
      <x:c r="AU387" t="n">
        <x:f>IF((COUNT('Quantification_Results'!AO387)=1),IFERROR(ROUND((SUM(('Quantification_Results'!AO387*'Quantification_Config'!$R$15))/SUM('Quantification_Config'!$R$15)),'Quantification_Config'!$U$2),""),"")</x:f>
        <x:v>50</x:v>
      </x:c>
      <x:c r="AV387" t="n">
        <x:f>IF((COUNT('Quantification_Results'!AU387)=1),IFERROR(ROUND((SUM(('Quantification_Results'!AU387*'Quantification_Config'!$R$14))/SUM('Quantification_Config'!$R$14)),'Quantification_Config'!$U$2),""),"")</x:f>
        <x:v>50</x:v>
      </x:c>
      <x:c r="AW387" t="n">
        <x:v>1</x:v>
      </x:c>
      <x:c r="AX387" t="n">
        <x:v>5</x:v>
      </x:c>
      <x:c r="AY387"/>
      <x:c r="AZ387" t="n">
        <x:f>IF(('Quantification_Results'!AW387&lt;&gt;1),"",IF(('Quantification_Results'!AY387=""),IF(ISNUMBER('Quantification_Results'!AX387),IF(('Quantification_Results'!AX387&lt;'Quantification_Config'!$S$19),"",IF(('Quantification_Results'!AX387&gt;'Quantification_Config'!$T$19),"",'Quantification_Results'!AX387)),""),IF(ISNUMBER('Quantification_Results'!AY387),IF(('Quantification_Results'!AY387&lt;'Quantification_Config'!$S$19),"",IF(('Quantification_Results'!AY387&gt;'Quantification_Config'!$T$19),"",'Quantification_Results'!AY387)),"")))</x:f>
        <x:v>5</x:v>
      </x:c>
      <x:c r="BA387" t="n">
        <x:f>IF(ISNUMBER('Quantification_Results'!AZ387),IFERROR(ROUND(((('Quantification_Results'!AZ387-'Quantification_Config'!$S$19)/('Quantification_Config'!$T$19-'Quantification_Config'!$S$19))*100),'Quantification_Config'!$U$2),""),"")</x:f>
        <x:v>50</x:v>
      </x:c>
      <x:c r="BB387" t="inlineStr">
        <x:is>
          <x:t xml:space="preserve">SYSTEM-TEST-ONLY-NO-NETWORK-NOT-AN-EDUCATIONAL-EVALUATION</x:t>
        </x:is>
      </x:c>
      <x:c r="BC387" t="inlineStr">
        <x:is>
          <x:t xml:space="preserve"/>
        </x:is>
      </x:c>
      <x:c r="BD387" t="inlineStr">
        <x:is>
          <x:t xml:space="preserve">NONE</x:t>
        </x:is>
      </x:c>
      <x:c r="BE387" t="inlineStr">
        <x:is>
          <x:t xml:space="preserve"/>
        </x:is>
      </x:c>
      <x:c r="BF387" t="inlineStr">
        <x:is>
          <x:t xml:space="preserve">SUCCESS</x:t>
        </x:is>
      </x:c>
      <x:c r="BG387" t="n">
        <x:f>IF((COUNT('Quantification_Results'!BA387)=1),IFERROR(ROUND((SUM(('Quantification_Results'!BA387*'Quantification_Config'!$R$19))/SUM('Quantification_Config'!$R$19)),'Quantification_Config'!$U$2),""),"")</x:f>
        <x:v>50</x:v>
      </x:c>
      <x:c r="BH387" t="n">
        <x:f>IF((COUNT('Quantification_Results'!BG387)=1),IFERROR(ROUND((SUM(('Quantification_Results'!BG387*'Quantification_Config'!$R$18))/SUM('Quantification_Config'!$R$18)),'Quantification_Config'!$U$2),""),"")</x:f>
        <x:v>50</x:v>
      </x:c>
      <x:c r="BI387">
        <x:f>IF((COUNT('Quantification_Results'!L387,'Quantification_Results'!X387,'Quantification_Results'!AJ387,'Quantification_Results'!AV387,'Quantification_Results'!BH387)=5),IFERROR(ROUND((SUM(('Quantification_Results'!L387*'Quantification_Config'!$R$4),('Quantification_Results'!X387*'Quantification_Config'!$R$7),('Quantification_Results'!AJ387*'Quantification_Config'!$R$10),('Quantification_Results'!AV387*'Quantification_Config'!$R$13),('Quantification_Results'!BH387*'Quantification_Config'!$R$16))/SUM('Quantification_Config'!$R$4,'Quantification_Config'!$R$7,'Quantification_Config'!$R$10,'Quantification_Config'!$R$13,'Quantification_Config'!$R$16)),'Quantification_Config'!$U$2),""),"")</x:f>
      </x:c>
    </x:row>
    <x:row r="388">
      <x:c r="A388" t="n">
        <x:v>1</x:v>
      </x:c>
      <x:c r="B388" t="n">
        <x:v>5</x:v>
      </x:c>
      <x:c r="C388"/>
      <x:c r="D388" t="n">
        <x:f>IF(('Quantification_Results'!A388&lt;&gt;1),"",IF(('Quantification_Results'!C388=""),IF(ISNUMBER('Quantification_Results'!B388),IF(('Quantification_Results'!B388&lt;'Quantification_Config'!$S$6),"",IF(('Quantification_Results'!B388&gt;'Quantification_Config'!$T$6),"",'Quantification_Results'!B388)),""),IF(ISNUMBER('Quantification_Results'!C388),IF(('Quantification_Results'!C388&lt;'Quantification_Config'!$S$6),"",IF(('Quantification_Results'!C388&gt;'Quantification_Config'!$T$6),"",'Quantification_Results'!C388)),"")))</x:f>
        <x:v>5</x:v>
      </x:c>
      <x:c r="E388" t="n">
        <x:f>IF(ISNUMBER('Quantification_Results'!D388),IFERROR(ROUND(((('Quantification_Results'!D388-'Quantification_Config'!$S$6)/('Quantification_Config'!$T$6-'Quantification_Config'!$S$6))*100),'Quantification_Config'!$U$2),""),"")</x:f>
        <x:v>50</x:v>
      </x:c>
      <x:c r="F388" t="inlineStr">
        <x:is>
          <x:t xml:space="preserve">SYSTEM-TEST-ONLY-NO-NETWORK-NOT-AN-EDUCATIONAL-EVALUATION</x:t>
        </x:is>
      </x:c>
      <x:c r="G388" t="inlineStr">
        <x:is>
          <x:t xml:space="preserve"/>
        </x:is>
      </x:c>
      <x:c r="H388" t="inlineStr">
        <x:is>
          <x:t xml:space="preserve">NONE</x:t>
        </x:is>
      </x:c>
      <x:c r="I388" t="inlineStr">
        <x:is>
          <x:t xml:space="preserve"/>
        </x:is>
      </x:c>
      <x:c r="J388" t="inlineStr">
        <x:is>
          <x:t xml:space="preserve">SUCCESS</x:t>
        </x:is>
      </x:c>
      <x:c r="K388" t="n">
        <x:f>IF((COUNT('Quantification_Results'!E388)=1),IFERROR(ROUND((SUM(('Quantification_Results'!E388*'Quantification_Config'!$R$6))/SUM('Quantification_Config'!$R$6)),'Quantification_Config'!$U$2),""),"")</x:f>
        <x:v>50</x:v>
      </x:c>
      <x:c r="L388" t="n">
        <x:f>IF((COUNT('Quantification_Results'!K388)=1),IFERROR(ROUND((SUM(('Quantification_Results'!K388*'Quantification_Config'!$R$5))/SUM('Quantification_Config'!$R$5)),'Quantification_Config'!$U$2),""),"")</x:f>
        <x:v>50</x:v>
      </x:c>
      <x:c r="M388" t="n">
        <x:v>1</x:v>
      </x:c>
      <x:c r="N388" t="n">
        <x:v>5</x:v>
      </x:c>
      <x:c r="O388"/>
      <x:c r="P388" t="n">
        <x:f>IF(('Quantification_Results'!M388&lt;&gt;1),"",IF(('Quantification_Results'!O388=""),IF(ISNUMBER('Quantification_Results'!N388),IF(('Quantification_Results'!N388&lt;'Quantification_Config'!$S$9),"",IF(('Quantification_Results'!N388&gt;'Quantification_Config'!$T$9),"",'Quantification_Results'!N388)),""),IF(ISNUMBER('Quantification_Results'!O388),IF(('Quantification_Results'!O388&lt;'Quantification_Config'!$S$9),"",IF(('Quantification_Results'!O388&gt;'Quantification_Config'!$T$9),"",'Quantification_Results'!O388)),"")))</x:f>
        <x:v>5</x:v>
      </x:c>
      <x:c r="Q388" t="n">
        <x:f>IF(ISNUMBER('Quantification_Results'!P388),IFERROR(ROUND(((('Quantification_Results'!P388-'Quantification_Config'!$S$9)/('Quantification_Config'!$T$9-'Quantification_Config'!$S$9))*100),'Quantification_Config'!$U$2),""),"")</x:f>
        <x:v>50</x:v>
      </x:c>
      <x:c r="R388" t="inlineStr">
        <x:is>
          <x:t xml:space="preserve">SYSTEM-TEST-ONLY-NO-NETWORK-NOT-AN-EDUCATIONAL-EVALUATION</x:t>
        </x:is>
      </x:c>
      <x:c r="S388" t="inlineStr">
        <x:is>
          <x:t xml:space="preserve"/>
        </x:is>
      </x:c>
      <x:c r="T388" t="inlineStr">
        <x:is>
          <x:t xml:space="preserve">NONE</x:t>
        </x:is>
      </x:c>
      <x:c r="U388" t="inlineStr">
        <x:is>
          <x:t xml:space="preserve"/>
        </x:is>
      </x:c>
      <x:c r="V388" t="inlineStr">
        <x:is>
          <x:t xml:space="preserve">SUCCESS</x:t>
        </x:is>
      </x:c>
      <x:c r="W388" t="n">
        <x:f>IF((COUNT('Quantification_Results'!Q388)=1),IFERROR(ROUND((SUM(('Quantification_Results'!Q388*'Quantification_Config'!$R$9))/SUM('Quantification_Config'!$R$9)),'Quantification_Config'!$U$2),""),"")</x:f>
        <x:v>50</x:v>
      </x:c>
      <x:c r="X388" t="n">
        <x:f>IF((COUNT('Quantification_Results'!W388)=1),IFERROR(ROUND((SUM(('Quantification_Results'!W388*'Quantification_Config'!$R$8))/SUM('Quantification_Config'!$R$8)),'Quantification_Config'!$U$2),""),"")</x:f>
        <x:v>50</x:v>
      </x:c>
      <x:c r="Y388" t="n">
        <x:v>0</x:v>
      </x:c>
      <x:c r="Z388"/>
      <x:c r="AA388"/>
      <x:c r="AB388">
        <x:f>IF(('Quantification_Results'!Y388&lt;&gt;1),"",IF(('Quantification_Results'!AA388=""),IF(ISNUMBER('Quantification_Results'!Z388),IF(('Quantification_Results'!Z388&lt;'Quantification_Config'!$S$12),"",IF(('Quantification_Results'!Z388&gt;'Quantification_Config'!$T$12),"",'Quantification_Results'!Z388)),""),IF(ISNUMBER('Quantification_Results'!AA388),IF(('Quantification_Results'!AA388&lt;'Quantification_Config'!$S$12),"",IF(('Quantification_Results'!AA388&gt;'Quantification_Config'!$T$12),"",'Quantification_Results'!AA388)),"")))</x:f>
      </x:c>
      <x:c r="AC388">
        <x:f>IF(ISNUMBER('Quantification_Results'!AB388),IFERROR(ROUND(((('Quantification_Results'!AB388-'Quantification_Config'!$S$12)/('Quantification_Config'!$T$12-'Quantification_Config'!$S$12))*100),'Quantification_Config'!$U$2),""),"")</x:f>
      </x:c>
      <x:c r="AD388" t="inlineStr">
        <x:is>
          <x:t xml:space="preserve"/>
        </x:is>
      </x:c>
      <x:c r="AE388" t="inlineStr">
        <x:is>
          <x:t xml:space="preserve"/>
        </x:is>
      </x:c>
      <x:c r="AF388" t="inlineStr">
        <x:is>
          <x:t xml:space="preserve"/>
        </x:is>
      </x:c>
      <x:c r="AG388" t="inlineStr">
        <x:is>
          <x:t xml:space="preserve"/>
        </x:is>
      </x:c>
      <x:c r="AH388" t="inlineStr">
        <x:is>
          <x:t xml:space="preserve">EMPTY</x:t>
        </x:is>
      </x:c>
      <x:c r="AI388">
        <x:f>IF((COUNT('Quantification_Results'!AC388)=1),IFERROR(ROUND((SUM(('Quantification_Results'!AC388*'Quantification_Config'!$R$12))/SUM('Quantification_Config'!$R$12)),'Quantification_Config'!$U$2),""),"")</x:f>
      </x:c>
      <x:c r="AJ388">
        <x:f>IF((COUNT('Quantification_Results'!AI388)=1),IFERROR(ROUND((SUM(('Quantification_Results'!AI388*'Quantification_Config'!$R$11))/SUM('Quantification_Config'!$R$11)),'Quantification_Config'!$U$2),""),"")</x:f>
      </x:c>
      <x:c r="AK388" t="n">
        <x:v>1</x:v>
      </x:c>
      <x:c r="AL388" t="n">
        <x:v>5</x:v>
      </x:c>
      <x:c r="AM388"/>
      <x:c r="AN388" t="n">
        <x:f>IF(('Quantification_Results'!AK388&lt;&gt;1),"",IF(('Quantification_Results'!AM388=""),IF(ISNUMBER('Quantification_Results'!AL388),IF(('Quantification_Results'!AL388&lt;'Quantification_Config'!$S$15),"",IF(('Quantification_Results'!AL388&gt;'Quantification_Config'!$T$15),"",'Quantification_Results'!AL388)),""),IF(ISNUMBER('Quantification_Results'!AM388),IF(('Quantification_Results'!AM388&lt;'Quantification_Config'!$S$15),"",IF(('Quantification_Results'!AM388&gt;'Quantification_Config'!$T$15),"",'Quantification_Results'!AM388)),"")))</x:f>
        <x:v>5</x:v>
      </x:c>
      <x:c r="AO388" t="n">
        <x:f>IF(ISNUMBER('Quantification_Results'!AN388),IFERROR(ROUND(((('Quantification_Results'!AN388-'Quantification_Config'!$S$15)/('Quantification_Config'!$T$15-'Quantification_Config'!$S$15))*100),'Quantification_Config'!$U$2),""),"")</x:f>
        <x:v>50</x:v>
      </x:c>
      <x:c r="AP388" t="inlineStr">
        <x:is>
          <x:t xml:space="preserve">SYSTEM-TEST-ONLY-NO-NETWORK-NOT-AN-EDUCATIONAL-EVALUATION</x:t>
        </x:is>
      </x:c>
      <x:c r="AQ388" t="inlineStr">
        <x:is>
          <x:t xml:space="preserve"/>
        </x:is>
      </x:c>
      <x:c r="AR388" t="inlineStr">
        <x:is>
          <x:t xml:space="preserve">NONE</x:t>
        </x:is>
      </x:c>
      <x:c r="AS388" t="inlineStr">
        <x:is>
          <x:t xml:space="preserve"/>
        </x:is>
      </x:c>
      <x:c r="AT388" t="inlineStr">
        <x:is>
          <x:t xml:space="preserve">SUCCESS</x:t>
        </x:is>
      </x:c>
      <x:c r="AU388" t="n">
        <x:f>IF((COUNT('Quantification_Results'!AO388)=1),IFERROR(ROUND((SUM(('Quantification_Results'!AO388*'Quantification_Config'!$R$15))/SUM('Quantification_Config'!$R$15)),'Quantification_Config'!$U$2),""),"")</x:f>
        <x:v>50</x:v>
      </x:c>
      <x:c r="AV388" t="n">
        <x:f>IF((COUNT('Quantification_Results'!AU388)=1),IFERROR(ROUND((SUM(('Quantification_Results'!AU388*'Quantification_Config'!$R$14))/SUM('Quantification_Config'!$R$14)),'Quantification_Config'!$U$2),""),"")</x:f>
        <x:v>50</x:v>
      </x:c>
      <x:c r="AW388" t="n">
        <x:v>1</x:v>
      </x:c>
      <x:c r="AX388" t="n">
        <x:v>5</x:v>
      </x:c>
      <x:c r="AY388"/>
      <x:c r="AZ388" t="n">
        <x:f>IF(('Quantification_Results'!AW388&lt;&gt;1),"",IF(('Quantification_Results'!AY388=""),IF(ISNUMBER('Quantification_Results'!AX388),IF(('Quantification_Results'!AX388&lt;'Quantification_Config'!$S$19),"",IF(('Quantification_Results'!AX388&gt;'Quantification_Config'!$T$19),"",'Quantification_Results'!AX388)),""),IF(ISNUMBER('Quantification_Results'!AY388),IF(('Quantification_Results'!AY388&lt;'Quantification_Config'!$S$19),"",IF(('Quantification_Results'!AY388&gt;'Quantification_Config'!$T$19),"",'Quantification_Results'!AY388)),"")))</x:f>
        <x:v>5</x:v>
      </x:c>
      <x:c r="BA388" t="n">
        <x:f>IF(ISNUMBER('Quantification_Results'!AZ388),IFERROR(ROUND(((('Quantification_Results'!AZ388-'Quantification_Config'!$S$19)/('Quantification_Config'!$T$19-'Quantification_Config'!$S$19))*100),'Quantification_Config'!$U$2),""),"")</x:f>
        <x:v>50</x:v>
      </x:c>
      <x:c r="BB388" t="inlineStr">
        <x:is>
          <x:t xml:space="preserve">SYSTEM-TEST-ONLY-NO-NETWORK-NOT-AN-EDUCATIONAL-EVALUATION</x:t>
        </x:is>
      </x:c>
      <x:c r="BC388" t="inlineStr">
        <x:is>
          <x:t xml:space="preserve"/>
        </x:is>
      </x:c>
      <x:c r="BD388" t="inlineStr">
        <x:is>
          <x:t xml:space="preserve">NONE</x:t>
        </x:is>
      </x:c>
      <x:c r="BE388" t="inlineStr">
        <x:is>
          <x:t xml:space="preserve"/>
        </x:is>
      </x:c>
      <x:c r="BF388" t="inlineStr">
        <x:is>
          <x:t xml:space="preserve">SUCCESS</x:t>
        </x:is>
      </x:c>
      <x:c r="BG388" t="n">
        <x:f>IF((COUNT('Quantification_Results'!BA388)=1),IFERROR(ROUND((SUM(('Quantification_Results'!BA388*'Quantification_Config'!$R$19))/SUM('Quantification_Config'!$R$19)),'Quantification_Config'!$U$2),""),"")</x:f>
        <x:v>50</x:v>
      </x:c>
      <x:c r="BH388" t="n">
        <x:f>IF((COUNT('Quantification_Results'!BG388)=1),IFERROR(ROUND((SUM(('Quantification_Results'!BG388*'Quantification_Config'!$R$18))/SUM('Quantification_Config'!$R$18)),'Quantification_Config'!$U$2),""),"")</x:f>
        <x:v>50</x:v>
      </x:c>
      <x:c r="BI388">
        <x:f>IF((COUNT('Quantification_Results'!L388,'Quantification_Results'!X388,'Quantification_Results'!AJ388,'Quantification_Results'!AV388,'Quantification_Results'!BH388)=5),IFERROR(ROUND((SUM(('Quantification_Results'!L388*'Quantification_Config'!$R$4),('Quantification_Results'!X388*'Quantification_Config'!$R$7),('Quantification_Results'!AJ388*'Quantification_Config'!$R$10),('Quantification_Results'!AV388*'Quantification_Config'!$R$13),('Quantification_Results'!BH388*'Quantification_Config'!$R$16))/SUM('Quantification_Config'!$R$4,'Quantification_Config'!$R$7,'Quantification_Config'!$R$10,'Quantification_Config'!$R$13,'Quantification_Config'!$R$16)),'Quantification_Config'!$U$2),""),"")</x:f>
      </x:c>
    </x:row>
    <x:row r="389">
      <x:c r="A389" t="n">
        <x:v>1</x:v>
      </x:c>
      <x:c r="B389" t="n">
        <x:v>5</x:v>
      </x:c>
      <x:c r="C389"/>
      <x:c r="D389" t="n">
        <x:f>IF(('Quantification_Results'!A389&lt;&gt;1),"",IF(('Quantification_Results'!C389=""),IF(ISNUMBER('Quantification_Results'!B389),IF(('Quantification_Results'!B389&lt;'Quantification_Config'!$S$6),"",IF(('Quantification_Results'!B389&gt;'Quantification_Config'!$T$6),"",'Quantification_Results'!B389)),""),IF(ISNUMBER('Quantification_Results'!C389),IF(('Quantification_Results'!C389&lt;'Quantification_Config'!$S$6),"",IF(('Quantification_Results'!C389&gt;'Quantification_Config'!$T$6),"",'Quantification_Results'!C389)),"")))</x:f>
        <x:v>5</x:v>
      </x:c>
      <x:c r="E389" t="n">
        <x:f>IF(ISNUMBER('Quantification_Results'!D389),IFERROR(ROUND(((('Quantification_Results'!D389-'Quantification_Config'!$S$6)/('Quantification_Config'!$T$6-'Quantification_Config'!$S$6))*100),'Quantification_Config'!$U$2),""),"")</x:f>
        <x:v>50</x:v>
      </x:c>
      <x:c r="F389" t="inlineStr">
        <x:is>
          <x:t xml:space="preserve">SYSTEM-TEST-ONLY-NO-NETWORK-NOT-AN-EDUCATIONAL-EVALUATION</x:t>
        </x:is>
      </x:c>
      <x:c r="G389" t="inlineStr">
        <x:is>
          <x:t xml:space="preserve"/>
        </x:is>
      </x:c>
      <x:c r="H389" t="inlineStr">
        <x:is>
          <x:t xml:space="preserve">NONE</x:t>
        </x:is>
      </x:c>
      <x:c r="I389" t="inlineStr">
        <x:is>
          <x:t xml:space="preserve"/>
        </x:is>
      </x:c>
      <x:c r="J389" t="inlineStr">
        <x:is>
          <x:t xml:space="preserve">SUCCESS</x:t>
        </x:is>
      </x:c>
      <x:c r="K389" t="n">
        <x:f>IF((COUNT('Quantification_Results'!E389)=1),IFERROR(ROUND((SUM(('Quantification_Results'!E389*'Quantification_Config'!$R$6))/SUM('Quantification_Config'!$R$6)),'Quantification_Config'!$U$2),""),"")</x:f>
        <x:v>50</x:v>
      </x:c>
      <x:c r="L389" t="n">
        <x:f>IF((COUNT('Quantification_Results'!K389)=1),IFERROR(ROUND((SUM(('Quantification_Results'!K389*'Quantification_Config'!$R$5))/SUM('Quantification_Config'!$R$5)),'Quantification_Config'!$U$2),""),"")</x:f>
        <x:v>50</x:v>
      </x:c>
      <x:c r="M389" t="n">
        <x:v>1</x:v>
      </x:c>
      <x:c r="N389" t="n">
        <x:v>5</x:v>
      </x:c>
      <x:c r="O389"/>
      <x:c r="P389" t="n">
        <x:f>IF(('Quantification_Results'!M389&lt;&gt;1),"",IF(('Quantification_Results'!O389=""),IF(ISNUMBER('Quantification_Results'!N389),IF(('Quantification_Results'!N389&lt;'Quantification_Config'!$S$9),"",IF(('Quantification_Results'!N389&gt;'Quantification_Config'!$T$9),"",'Quantification_Results'!N389)),""),IF(ISNUMBER('Quantification_Results'!O389),IF(('Quantification_Results'!O389&lt;'Quantification_Config'!$S$9),"",IF(('Quantification_Results'!O389&gt;'Quantification_Config'!$T$9),"",'Quantification_Results'!O389)),"")))</x:f>
        <x:v>5</x:v>
      </x:c>
      <x:c r="Q389" t="n">
        <x:f>IF(ISNUMBER('Quantification_Results'!P389),IFERROR(ROUND(((('Quantification_Results'!P389-'Quantification_Config'!$S$9)/('Quantification_Config'!$T$9-'Quantification_Config'!$S$9))*100),'Quantification_Config'!$U$2),""),"")</x:f>
        <x:v>50</x:v>
      </x:c>
      <x:c r="R389" t="inlineStr">
        <x:is>
          <x:t xml:space="preserve">SYSTEM-TEST-ONLY-NO-NETWORK-NOT-AN-EDUCATIONAL-EVALUATION</x:t>
        </x:is>
      </x:c>
      <x:c r="S389" t="inlineStr">
        <x:is>
          <x:t xml:space="preserve"/>
        </x:is>
      </x:c>
      <x:c r="T389" t="inlineStr">
        <x:is>
          <x:t xml:space="preserve">NONE</x:t>
        </x:is>
      </x:c>
      <x:c r="U389" t="inlineStr">
        <x:is>
          <x:t xml:space="preserve"/>
        </x:is>
      </x:c>
      <x:c r="V389" t="inlineStr">
        <x:is>
          <x:t xml:space="preserve">SUCCESS</x:t>
        </x:is>
      </x:c>
      <x:c r="W389" t="n">
        <x:f>IF((COUNT('Quantification_Results'!Q389)=1),IFERROR(ROUND((SUM(('Quantification_Results'!Q389*'Quantification_Config'!$R$9))/SUM('Quantification_Config'!$R$9)),'Quantification_Config'!$U$2),""),"")</x:f>
        <x:v>50</x:v>
      </x:c>
      <x:c r="X389" t="n">
        <x:f>IF((COUNT('Quantification_Results'!W389)=1),IFERROR(ROUND((SUM(('Quantification_Results'!W389*'Quantification_Config'!$R$8))/SUM('Quantification_Config'!$R$8)),'Quantification_Config'!$U$2),""),"")</x:f>
        <x:v>50</x:v>
      </x:c>
      <x:c r="Y389" t="n">
        <x:v>0</x:v>
      </x:c>
      <x:c r="Z389"/>
      <x:c r="AA389"/>
      <x:c r="AB389">
        <x:f>IF(('Quantification_Results'!Y389&lt;&gt;1),"",IF(('Quantification_Results'!AA389=""),IF(ISNUMBER('Quantification_Results'!Z389),IF(('Quantification_Results'!Z389&lt;'Quantification_Config'!$S$12),"",IF(('Quantification_Results'!Z389&gt;'Quantification_Config'!$T$12),"",'Quantification_Results'!Z389)),""),IF(ISNUMBER('Quantification_Results'!AA389),IF(('Quantification_Results'!AA389&lt;'Quantification_Config'!$S$12),"",IF(('Quantification_Results'!AA389&gt;'Quantification_Config'!$T$12),"",'Quantification_Results'!AA389)),"")))</x:f>
      </x:c>
      <x:c r="AC389">
        <x:f>IF(ISNUMBER('Quantification_Results'!AB389),IFERROR(ROUND(((('Quantification_Results'!AB389-'Quantification_Config'!$S$12)/('Quantification_Config'!$T$12-'Quantification_Config'!$S$12))*100),'Quantification_Config'!$U$2),""),"")</x:f>
      </x:c>
      <x:c r="AD389" t="inlineStr">
        <x:is>
          <x:t xml:space="preserve"/>
        </x:is>
      </x:c>
      <x:c r="AE389" t="inlineStr">
        <x:is>
          <x:t xml:space="preserve"/>
        </x:is>
      </x:c>
      <x:c r="AF389" t="inlineStr">
        <x:is>
          <x:t xml:space="preserve"/>
        </x:is>
      </x:c>
      <x:c r="AG389" t="inlineStr">
        <x:is>
          <x:t xml:space="preserve"/>
        </x:is>
      </x:c>
      <x:c r="AH389" t="inlineStr">
        <x:is>
          <x:t xml:space="preserve">EMPTY</x:t>
        </x:is>
      </x:c>
      <x:c r="AI389">
        <x:f>IF((COUNT('Quantification_Results'!AC389)=1),IFERROR(ROUND((SUM(('Quantification_Results'!AC389*'Quantification_Config'!$R$12))/SUM('Quantification_Config'!$R$12)),'Quantification_Config'!$U$2),""),"")</x:f>
      </x:c>
      <x:c r="AJ389">
        <x:f>IF((COUNT('Quantification_Results'!AI389)=1),IFERROR(ROUND((SUM(('Quantification_Results'!AI389*'Quantification_Config'!$R$11))/SUM('Quantification_Config'!$R$11)),'Quantification_Config'!$U$2),""),"")</x:f>
      </x:c>
      <x:c r="AK389" t="n">
        <x:v>1</x:v>
      </x:c>
      <x:c r="AL389" t="n">
        <x:v>5</x:v>
      </x:c>
      <x:c r="AM389"/>
      <x:c r="AN389" t="n">
        <x:f>IF(('Quantification_Results'!AK389&lt;&gt;1),"",IF(('Quantification_Results'!AM389=""),IF(ISNUMBER('Quantification_Results'!AL389),IF(('Quantification_Results'!AL389&lt;'Quantification_Config'!$S$15),"",IF(('Quantification_Results'!AL389&gt;'Quantification_Config'!$T$15),"",'Quantification_Results'!AL389)),""),IF(ISNUMBER('Quantification_Results'!AM389),IF(('Quantification_Results'!AM389&lt;'Quantification_Config'!$S$15),"",IF(('Quantification_Results'!AM389&gt;'Quantification_Config'!$T$15),"",'Quantification_Results'!AM389)),"")))</x:f>
        <x:v>5</x:v>
      </x:c>
      <x:c r="AO389" t="n">
        <x:f>IF(ISNUMBER('Quantification_Results'!AN389),IFERROR(ROUND(((('Quantification_Results'!AN389-'Quantification_Config'!$S$15)/('Quantification_Config'!$T$15-'Quantification_Config'!$S$15))*100),'Quantification_Config'!$U$2),""),"")</x:f>
        <x:v>50</x:v>
      </x:c>
      <x:c r="AP389" t="inlineStr">
        <x:is>
          <x:t xml:space="preserve">SYSTEM-TEST-ONLY-NO-NETWORK-NOT-AN-EDUCATIONAL-EVALUATION</x:t>
        </x:is>
      </x:c>
      <x:c r="AQ389" t="inlineStr">
        <x:is>
          <x:t xml:space="preserve"/>
        </x:is>
      </x:c>
      <x:c r="AR389" t="inlineStr">
        <x:is>
          <x:t xml:space="preserve">NONE</x:t>
        </x:is>
      </x:c>
      <x:c r="AS389" t="inlineStr">
        <x:is>
          <x:t xml:space="preserve"/>
        </x:is>
      </x:c>
      <x:c r="AT389" t="inlineStr">
        <x:is>
          <x:t xml:space="preserve">SUCCESS</x:t>
        </x:is>
      </x:c>
      <x:c r="AU389" t="n">
        <x:f>IF((COUNT('Quantification_Results'!AO389)=1),IFERROR(ROUND((SUM(('Quantification_Results'!AO389*'Quantification_Config'!$R$15))/SUM('Quantification_Config'!$R$15)),'Quantification_Config'!$U$2),""),"")</x:f>
        <x:v>50</x:v>
      </x:c>
      <x:c r="AV389" t="n">
        <x:f>IF((COUNT('Quantification_Results'!AU389)=1),IFERROR(ROUND((SUM(('Quantification_Results'!AU389*'Quantification_Config'!$R$14))/SUM('Quantification_Config'!$R$14)),'Quantification_Config'!$U$2),""),"")</x:f>
        <x:v>50</x:v>
      </x:c>
      <x:c r="AW389" t="n">
        <x:v>1</x:v>
      </x:c>
      <x:c r="AX389" t="n">
        <x:v>5</x:v>
      </x:c>
      <x:c r="AY389"/>
      <x:c r="AZ389" t="n">
        <x:f>IF(('Quantification_Results'!AW389&lt;&gt;1),"",IF(('Quantification_Results'!AY389=""),IF(ISNUMBER('Quantification_Results'!AX389),IF(('Quantification_Results'!AX389&lt;'Quantification_Config'!$S$19),"",IF(('Quantification_Results'!AX389&gt;'Quantification_Config'!$T$19),"",'Quantification_Results'!AX389)),""),IF(ISNUMBER('Quantification_Results'!AY389),IF(('Quantification_Results'!AY389&lt;'Quantification_Config'!$S$19),"",IF(('Quantification_Results'!AY389&gt;'Quantification_Config'!$T$19),"",'Quantification_Results'!AY389)),"")))</x:f>
        <x:v>5</x:v>
      </x:c>
      <x:c r="BA389" t="n">
        <x:f>IF(ISNUMBER('Quantification_Results'!AZ389),IFERROR(ROUND(((('Quantification_Results'!AZ389-'Quantification_Config'!$S$19)/('Quantification_Config'!$T$19-'Quantification_Config'!$S$19))*100),'Quantification_Config'!$U$2),""),"")</x:f>
        <x:v>50</x:v>
      </x:c>
      <x:c r="BB389" t="inlineStr">
        <x:is>
          <x:t xml:space="preserve">SYSTEM-TEST-ONLY-NO-NETWORK-NOT-AN-EDUCATIONAL-EVALUATION</x:t>
        </x:is>
      </x:c>
      <x:c r="BC389" t="inlineStr">
        <x:is>
          <x:t xml:space="preserve"/>
        </x:is>
      </x:c>
      <x:c r="BD389" t="inlineStr">
        <x:is>
          <x:t xml:space="preserve">NONE</x:t>
        </x:is>
      </x:c>
      <x:c r="BE389" t="inlineStr">
        <x:is>
          <x:t xml:space="preserve"/>
        </x:is>
      </x:c>
      <x:c r="BF389" t="inlineStr">
        <x:is>
          <x:t xml:space="preserve">SUCCESS</x:t>
        </x:is>
      </x:c>
      <x:c r="BG389" t="n">
        <x:f>IF((COUNT('Quantification_Results'!BA389)=1),IFERROR(ROUND((SUM(('Quantification_Results'!BA389*'Quantification_Config'!$R$19))/SUM('Quantification_Config'!$R$19)),'Quantification_Config'!$U$2),""),"")</x:f>
        <x:v>50</x:v>
      </x:c>
      <x:c r="BH389" t="n">
        <x:f>IF((COUNT('Quantification_Results'!BG389)=1),IFERROR(ROUND((SUM(('Quantification_Results'!BG389*'Quantification_Config'!$R$18))/SUM('Quantification_Config'!$R$18)),'Quantification_Config'!$U$2),""),"")</x:f>
        <x:v>50</x:v>
      </x:c>
      <x:c r="BI389">
        <x:f>IF((COUNT('Quantification_Results'!L389,'Quantification_Results'!X389,'Quantification_Results'!AJ389,'Quantification_Results'!AV389,'Quantification_Results'!BH389)=5),IFERROR(ROUND((SUM(('Quantification_Results'!L389*'Quantification_Config'!$R$4),('Quantification_Results'!X389*'Quantification_Config'!$R$7),('Quantification_Results'!AJ389*'Quantification_Config'!$R$10),('Quantification_Results'!AV389*'Quantification_Config'!$R$13),('Quantification_Results'!BH389*'Quantification_Config'!$R$16))/SUM('Quantification_Config'!$R$4,'Quantification_Config'!$R$7,'Quantification_Config'!$R$10,'Quantification_Config'!$R$13,'Quantification_Config'!$R$16)),'Quantification_Config'!$U$2),""),"")</x:f>
      </x:c>
    </x:row>
    <x:row r="390">
      <x:c r="A390" t="n">
        <x:v>1</x:v>
      </x:c>
      <x:c r="B390" t="n">
        <x:v>5</x:v>
      </x:c>
      <x:c r="C390"/>
      <x:c r="D390" t="n">
        <x:f>IF(('Quantification_Results'!A390&lt;&gt;1),"",IF(('Quantification_Results'!C390=""),IF(ISNUMBER('Quantification_Results'!B390),IF(('Quantification_Results'!B390&lt;'Quantification_Config'!$S$6),"",IF(('Quantification_Results'!B390&gt;'Quantification_Config'!$T$6),"",'Quantification_Results'!B390)),""),IF(ISNUMBER('Quantification_Results'!C390),IF(('Quantification_Results'!C390&lt;'Quantification_Config'!$S$6),"",IF(('Quantification_Results'!C390&gt;'Quantification_Config'!$T$6),"",'Quantification_Results'!C390)),"")))</x:f>
        <x:v>5</x:v>
      </x:c>
      <x:c r="E390" t="n">
        <x:f>IF(ISNUMBER('Quantification_Results'!D390),IFERROR(ROUND(((('Quantification_Results'!D390-'Quantification_Config'!$S$6)/('Quantification_Config'!$T$6-'Quantification_Config'!$S$6))*100),'Quantification_Config'!$U$2),""),"")</x:f>
        <x:v>50</x:v>
      </x:c>
      <x:c r="F390" t="inlineStr">
        <x:is>
          <x:t xml:space="preserve">SYSTEM-TEST-ONLY-NO-NETWORK-NOT-AN-EDUCATIONAL-EVALUATION</x:t>
        </x:is>
      </x:c>
      <x:c r="G390" t="inlineStr">
        <x:is>
          <x:t xml:space="preserve"/>
        </x:is>
      </x:c>
      <x:c r="H390" t="inlineStr">
        <x:is>
          <x:t xml:space="preserve">NONE</x:t>
        </x:is>
      </x:c>
      <x:c r="I390" t="inlineStr">
        <x:is>
          <x:t xml:space="preserve"/>
        </x:is>
      </x:c>
      <x:c r="J390" t="inlineStr">
        <x:is>
          <x:t xml:space="preserve">SUCCESS</x:t>
        </x:is>
      </x:c>
      <x:c r="K390" t="n">
        <x:f>IF((COUNT('Quantification_Results'!E390)=1),IFERROR(ROUND((SUM(('Quantification_Results'!E390*'Quantification_Config'!$R$6))/SUM('Quantification_Config'!$R$6)),'Quantification_Config'!$U$2),""),"")</x:f>
        <x:v>50</x:v>
      </x:c>
      <x:c r="L390" t="n">
        <x:f>IF((COUNT('Quantification_Results'!K390)=1),IFERROR(ROUND((SUM(('Quantification_Results'!K390*'Quantification_Config'!$R$5))/SUM('Quantification_Config'!$R$5)),'Quantification_Config'!$U$2),""),"")</x:f>
        <x:v>50</x:v>
      </x:c>
      <x:c r="M390" t="n">
        <x:v>0</x:v>
      </x:c>
      <x:c r="N390"/>
      <x:c r="O390"/>
      <x:c r="P390">
        <x:f>IF(('Quantification_Results'!M390&lt;&gt;1),"",IF(('Quantification_Results'!O390=""),IF(ISNUMBER('Quantification_Results'!N390),IF(('Quantification_Results'!N390&lt;'Quantification_Config'!$S$9),"",IF(('Quantification_Results'!N390&gt;'Quantification_Config'!$T$9),"",'Quantification_Results'!N390)),""),IF(ISNUMBER('Quantification_Results'!O390),IF(('Quantification_Results'!O390&lt;'Quantification_Config'!$S$9),"",IF(('Quantification_Results'!O390&gt;'Quantification_Config'!$T$9),"",'Quantification_Results'!O390)),"")))</x:f>
      </x:c>
      <x:c r="Q390">
        <x:f>IF(ISNUMBER('Quantification_Results'!P390),IFERROR(ROUND(((('Quantification_Results'!P390-'Quantification_Config'!$S$9)/('Quantification_Config'!$T$9-'Quantification_Config'!$S$9))*100),'Quantification_Config'!$U$2),""),"")</x:f>
      </x:c>
      <x:c r="R390" t="inlineStr">
        <x:is>
          <x:t xml:space="preserve"/>
        </x:is>
      </x:c>
      <x:c r="S390" t="inlineStr">
        <x:is>
          <x:t xml:space="preserve"/>
        </x:is>
      </x:c>
      <x:c r="T390" t="inlineStr">
        <x:is>
          <x:t xml:space="preserve"/>
        </x:is>
      </x:c>
      <x:c r="U390" t="inlineStr">
        <x:is>
          <x:t xml:space="preserve"/>
        </x:is>
      </x:c>
      <x:c r="V390" t="inlineStr">
        <x:is>
          <x:t xml:space="preserve">EMPTY</x:t>
        </x:is>
      </x:c>
      <x:c r="W390">
        <x:f>IF((COUNT('Quantification_Results'!Q390)=1),IFERROR(ROUND((SUM(('Quantification_Results'!Q390*'Quantification_Config'!$R$9))/SUM('Quantification_Config'!$R$9)),'Quantification_Config'!$U$2),""),"")</x:f>
      </x:c>
      <x:c r="X390">
        <x:f>IF((COUNT('Quantification_Results'!W390)=1),IFERROR(ROUND((SUM(('Quantification_Results'!W390*'Quantification_Config'!$R$8))/SUM('Quantification_Config'!$R$8)),'Quantification_Config'!$U$2),""),"")</x:f>
      </x:c>
      <x:c r="Y390" t="n">
        <x:v>0</x:v>
      </x:c>
      <x:c r="Z390"/>
      <x:c r="AA390"/>
      <x:c r="AB390">
        <x:f>IF(('Quantification_Results'!Y390&lt;&gt;1),"",IF(('Quantification_Results'!AA390=""),IF(ISNUMBER('Quantification_Results'!Z390),IF(('Quantification_Results'!Z390&lt;'Quantification_Config'!$S$12),"",IF(('Quantification_Results'!Z390&gt;'Quantification_Config'!$T$12),"",'Quantification_Results'!Z390)),""),IF(ISNUMBER('Quantification_Results'!AA390),IF(('Quantification_Results'!AA390&lt;'Quantification_Config'!$S$12),"",IF(('Quantification_Results'!AA390&gt;'Quantification_Config'!$T$12),"",'Quantification_Results'!AA390)),"")))</x:f>
      </x:c>
      <x:c r="AC390">
        <x:f>IF(ISNUMBER('Quantification_Results'!AB390),IFERROR(ROUND(((('Quantification_Results'!AB390-'Quantification_Config'!$S$12)/('Quantification_Config'!$T$12-'Quantification_Config'!$S$12))*100),'Quantification_Config'!$U$2),""),"")</x:f>
      </x:c>
      <x:c r="AD390" t="inlineStr">
        <x:is>
          <x:t xml:space="preserve"/>
        </x:is>
      </x:c>
      <x:c r="AE390" t="inlineStr">
        <x:is>
          <x:t xml:space="preserve"/>
        </x:is>
      </x:c>
      <x:c r="AF390" t="inlineStr">
        <x:is>
          <x:t xml:space="preserve"/>
        </x:is>
      </x:c>
      <x:c r="AG390" t="inlineStr">
        <x:is>
          <x:t xml:space="preserve"/>
        </x:is>
      </x:c>
      <x:c r="AH390" t="inlineStr">
        <x:is>
          <x:t xml:space="preserve">EMPTY</x:t>
        </x:is>
      </x:c>
      <x:c r="AI390">
        <x:f>IF((COUNT('Quantification_Results'!AC390)=1),IFERROR(ROUND((SUM(('Quantification_Results'!AC390*'Quantification_Config'!$R$12))/SUM('Quantification_Config'!$R$12)),'Quantification_Config'!$U$2),""),"")</x:f>
      </x:c>
      <x:c r="AJ390">
        <x:f>IF((COUNT('Quantification_Results'!AI390)=1),IFERROR(ROUND((SUM(('Quantification_Results'!AI390*'Quantification_Config'!$R$11))/SUM('Quantification_Config'!$R$11)),'Quantification_Config'!$U$2),""),"")</x:f>
      </x:c>
      <x:c r="AK390" t="n">
        <x:v>1</x:v>
      </x:c>
      <x:c r="AL390" t="n">
        <x:v>5</x:v>
      </x:c>
      <x:c r="AM390"/>
      <x:c r="AN390" t="n">
        <x:f>IF(('Quantification_Results'!AK390&lt;&gt;1),"",IF(('Quantification_Results'!AM390=""),IF(ISNUMBER('Quantification_Results'!AL390),IF(('Quantification_Results'!AL390&lt;'Quantification_Config'!$S$15),"",IF(('Quantification_Results'!AL390&gt;'Quantification_Config'!$T$15),"",'Quantification_Results'!AL390)),""),IF(ISNUMBER('Quantification_Results'!AM390),IF(('Quantification_Results'!AM390&lt;'Quantification_Config'!$S$15),"",IF(('Quantification_Results'!AM390&gt;'Quantification_Config'!$T$15),"",'Quantification_Results'!AM390)),"")))</x:f>
        <x:v>5</x:v>
      </x:c>
      <x:c r="AO390" t="n">
        <x:f>IF(ISNUMBER('Quantification_Results'!AN390),IFERROR(ROUND(((('Quantification_Results'!AN390-'Quantification_Config'!$S$15)/('Quantification_Config'!$T$15-'Quantification_Config'!$S$15))*100),'Quantification_Config'!$U$2),""),"")</x:f>
        <x:v>50</x:v>
      </x:c>
      <x:c r="AP390" t="inlineStr">
        <x:is>
          <x:t xml:space="preserve">SYSTEM-TEST-ONLY-NO-NETWORK-NOT-AN-EDUCATIONAL-EVALUATION</x:t>
        </x:is>
      </x:c>
      <x:c r="AQ390" t="inlineStr">
        <x:is>
          <x:t xml:space="preserve"/>
        </x:is>
      </x:c>
      <x:c r="AR390" t="inlineStr">
        <x:is>
          <x:t xml:space="preserve">NONE</x:t>
        </x:is>
      </x:c>
      <x:c r="AS390" t="inlineStr">
        <x:is>
          <x:t xml:space="preserve"/>
        </x:is>
      </x:c>
      <x:c r="AT390" t="inlineStr">
        <x:is>
          <x:t xml:space="preserve">SUCCESS</x:t>
        </x:is>
      </x:c>
      <x:c r="AU390" t="n">
        <x:f>IF((COUNT('Quantification_Results'!AO390)=1),IFERROR(ROUND((SUM(('Quantification_Results'!AO390*'Quantification_Config'!$R$15))/SUM('Quantification_Config'!$R$15)),'Quantification_Config'!$U$2),""),"")</x:f>
        <x:v>50</x:v>
      </x:c>
      <x:c r="AV390" t="n">
        <x:f>IF((COUNT('Quantification_Results'!AU390)=1),IFERROR(ROUND((SUM(('Quantification_Results'!AU390*'Quantification_Config'!$R$14))/SUM('Quantification_Config'!$R$14)),'Quantification_Config'!$U$2),""),"")</x:f>
        <x:v>50</x:v>
      </x:c>
      <x:c r="AW390" t="n">
        <x:v>0</x:v>
      </x:c>
      <x:c r="AX390"/>
      <x:c r="AY390"/>
      <x:c r="AZ390">
        <x:f>IF(('Quantification_Results'!AW390&lt;&gt;1),"",IF(('Quantification_Results'!AY390=""),IF(ISNUMBER('Quantification_Results'!AX390),IF(('Quantification_Results'!AX390&lt;'Quantification_Config'!$S$19),"",IF(('Quantification_Results'!AX390&gt;'Quantification_Config'!$T$19),"",'Quantification_Results'!AX390)),""),IF(ISNUMBER('Quantification_Results'!AY390),IF(('Quantification_Results'!AY390&lt;'Quantification_Config'!$S$19),"",IF(('Quantification_Results'!AY390&gt;'Quantification_Config'!$T$19),"",'Quantification_Results'!AY390)),"")))</x:f>
      </x:c>
      <x:c r="BA390">
        <x:f>IF(ISNUMBER('Quantification_Results'!AZ390),IFERROR(ROUND(((('Quantification_Results'!AZ390-'Quantification_Config'!$S$19)/('Quantification_Config'!$T$19-'Quantification_Config'!$S$19))*100),'Quantification_Config'!$U$2),""),"")</x:f>
      </x:c>
      <x:c r="BB390" t="inlineStr">
        <x:is>
          <x:t xml:space="preserve"/>
        </x:is>
      </x:c>
      <x:c r="BC390" t="inlineStr">
        <x:is>
          <x:t xml:space="preserve"/>
        </x:is>
      </x:c>
      <x:c r="BD390" t="inlineStr">
        <x:is>
          <x:t xml:space="preserve"/>
        </x:is>
      </x:c>
      <x:c r="BE390" t="inlineStr">
        <x:is>
          <x:t xml:space="preserve"/>
        </x:is>
      </x:c>
      <x:c r="BF390" t="inlineStr">
        <x:is>
          <x:t xml:space="preserve">EMPTY</x:t>
        </x:is>
      </x:c>
      <x:c r="BG390">
        <x:f>IF((COUNT('Quantification_Results'!BA390)=1),IFERROR(ROUND((SUM(('Quantification_Results'!BA390*'Quantification_Config'!$R$19))/SUM('Quantification_Config'!$R$19)),'Quantification_Config'!$U$2),""),"")</x:f>
      </x:c>
      <x:c r="BH390">
        <x:f>IF((COUNT('Quantification_Results'!BG390)=1),IFERROR(ROUND((SUM(('Quantification_Results'!BG390*'Quantification_Config'!$R$18))/SUM('Quantification_Config'!$R$18)),'Quantification_Config'!$U$2),""),"")</x:f>
      </x:c>
      <x:c r="BI390">
        <x:f>IF((COUNT('Quantification_Results'!L390,'Quantification_Results'!X390,'Quantification_Results'!AJ390,'Quantification_Results'!AV390,'Quantification_Results'!BH390)=5),IFERROR(ROUND((SUM(('Quantification_Results'!L390*'Quantification_Config'!$R$4),('Quantification_Results'!X390*'Quantification_Config'!$R$7),('Quantification_Results'!AJ390*'Quantification_Config'!$R$10),('Quantification_Results'!AV390*'Quantification_Config'!$R$13),('Quantification_Results'!BH390*'Quantification_Config'!$R$16))/SUM('Quantification_Config'!$R$4,'Quantification_Config'!$R$7,'Quantification_Config'!$R$10,'Quantification_Config'!$R$13,'Quantification_Config'!$R$16)),'Quantification_Config'!$U$2),""),"")</x:f>
      </x:c>
    </x:row>
    <x:row r="391">
      <x:c r="A391" t="n">
        <x:v>1</x:v>
      </x:c>
      <x:c r="B391" t="n">
        <x:v>5</x:v>
      </x:c>
      <x:c r="C391"/>
      <x:c r="D391" t="n">
        <x:f>IF(('Quantification_Results'!A391&lt;&gt;1),"",IF(('Quantification_Results'!C391=""),IF(ISNUMBER('Quantification_Results'!B391),IF(('Quantification_Results'!B391&lt;'Quantification_Config'!$S$6),"",IF(('Quantification_Results'!B391&gt;'Quantification_Config'!$T$6),"",'Quantification_Results'!B391)),""),IF(ISNUMBER('Quantification_Results'!C391),IF(('Quantification_Results'!C391&lt;'Quantification_Config'!$S$6),"",IF(('Quantification_Results'!C391&gt;'Quantification_Config'!$T$6),"",'Quantification_Results'!C391)),"")))</x:f>
        <x:v>5</x:v>
      </x:c>
      <x:c r="E391" t="n">
        <x:f>IF(ISNUMBER('Quantification_Results'!D391),IFERROR(ROUND(((('Quantification_Results'!D391-'Quantification_Config'!$S$6)/('Quantification_Config'!$T$6-'Quantification_Config'!$S$6))*100),'Quantification_Config'!$U$2),""),"")</x:f>
        <x:v>50</x:v>
      </x:c>
      <x:c r="F391" t="inlineStr">
        <x:is>
          <x:t xml:space="preserve">SYSTEM-TEST-ONLY-NO-NETWORK-NOT-AN-EDUCATIONAL-EVALUATION</x:t>
        </x:is>
      </x:c>
      <x:c r="G391" t="inlineStr">
        <x:is>
          <x:t xml:space="preserve"/>
        </x:is>
      </x:c>
      <x:c r="H391" t="inlineStr">
        <x:is>
          <x:t xml:space="preserve">NONE</x:t>
        </x:is>
      </x:c>
      <x:c r="I391" t="inlineStr">
        <x:is>
          <x:t xml:space="preserve"/>
        </x:is>
      </x:c>
      <x:c r="J391" t="inlineStr">
        <x:is>
          <x:t xml:space="preserve">SUCCESS</x:t>
        </x:is>
      </x:c>
      <x:c r="K391" t="n">
        <x:f>IF((COUNT('Quantification_Results'!E391)=1),IFERROR(ROUND((SUM(('Quantification_Results'!E391*'Quantification_Config'!$R$6))/SUM('Quantification_Config'!$R$6)),'Quantification_Config'!$U$2),""),"")</x:f>
        <x:v>50</x:v>
      </x:c>
      <x:c r="L391" t="n">
        <x:f>IF((COUNT('Quantification_Results'!K391)=1),IFERROR(ROUND((SUM(('Quantification_Results'!K391*'Quantification_Config'!$R$5))/SUM('Quantification_Config'!$R$5)),'Quantification_Config'!$U$2),""),"")</x:f>
        <x:v>50</x:v>
      </x:c>
      <x:c r="M391" t="n">
        <x:v>1</x:v>
      </x:c>
      <x:c r="N391" t="n">
        <x:v>5</x:v>
      </x:c>
      <x:c r="O391"/>
      <x:c r="P391" t="n">
        <x:f>IF(('Quantification_Results'!M391&lt;&gt;1),"",IF(('Quantification_Results'!O391=""),IF(ISNUMBER('Quantification_Results'!N391),IF(('Quantification_Results'!N391&lt;'Quantification_Config'!$S$9),"",IF(('Quantification_Results'!N391&gt;'Quantification_Config'!$T$9),"",'Quantification_Results'!N391)),""),IF(ISNUMBER('Quantification_Results'!O391),IF(('Quantification_Results'!O391&lt;'Quantification_Config'!$S$9),"",IF(('Quantification_Results'!O391&gt;'Quantification_Config'!$T$9),"",'Quantification_Results'!O391)),"")))</x:f>
        <x:v>5</x:v>
      </x:c>
      <x:c r="Q391" t="n">
        <x:f>IF(ISNUMBER('Quantification_Results'!P391),IFERROR(ROUND(((('Quantification_Results'!P391-'Quantification_Config'!$S$9)/('Quantification_Config'!$T$9-'Quantification_Config'!$S$9))*100),'Quantification_Config'!$U$2),""),"")</x:f>
        <x:v>50</x:v>
      </x:c>
      <x:c r="R391" t="inlineStr">
        <x:is>
          <x:t xml:space="preserve">SYSTEM-TEST-ONLY-NO-NETWORK-NOT-AN-EDUCATIONAL-EVALUATION</x:t>
        </x:is>
      </x:c>
      <x:c r="S391" t="inlineStr">
        <x:is>
          <x:t xml:space="preserve"/>
        </x:is>
      </x:c>
      <x:c r="T391" t="inlineStr">
        <x:is>
          <x:t xml:space="preserve">NONE</x:t>
        </x:is>
      </x:c>
      <x:c r="U391" t="inlineStr">
        <x:is>
          <x:t xml:space="preserve"/>
        </x:is>
      </x:c>
      <x:c r="V391" t="inlineStr">
        <x:is>
          <x:t xml:space="preserve">SUCCESS</x:t>
        </x:is>
      </x:c>
      <x:c r="W391" t="n">
        <x:f>IF((COUNT('Quantification_Results'!Q391)=1),IFERROR(ROUND((SUM(('Quantification_Results'!Q391*'Quantification_Config'!$R$9))/SUM('Quantification_Config'!$R$9)),'Quantification_Config'!$U$2),""),"")</x:f>
        <x:v>50</x:v>
      </x:c>
      <x:c r="X391" t="n">
        <x:f>IF((COUNT('Quantification_Results'!W391)=1),IFERROR(ROUND((SUM(('Quantification_Results'!W391*'Quantification_Config'!$R$8))/SUM('Quantification_Config'!$R$8)),'Quantification_Config'!$U$2),""),"")</x:f>
        <x:v>50</x:v>
      </x:c>
      <x:c r="Y391" t="n">
        <x:v>1</x:v>
      </x:c>
      <x:c r="Z391" t="n">
        <x:v>5</x:v>
      </x:c>
      <x:c r="AA391"/>
      <x:c r="AB391" t="n">
        <x:f>IF(('Quantification_Results'!Y391&lt;&gt;1),"",IF(('Quantification_Results'!AA391=""),IF(ISNUMBER('Quantification_Results'!Z391),IF(('Quantification_Results'!Z391&lt;'Quantification_Config'!$S$12),"",IF(('Quantification_Results'!Z391&gt;'Quantification_Config'!$T$12),"",'Quantification_Results'!Z391)),""),IF(ISNUMBER('Quantification_Results'!AA391),IF(('Quantification_Results'!AA391&lt;'Quantification_Config'!$S$12),"",IF(('Quantification_Results'!AA391&gt;'Quantification_Config'!$T$12),"",'Quantification_Results'!AA391)),"")))</x:f>
        <x:v>5</x:v>
      </x:c>
      <x:c r="AC391" t="n">
        <x:f>IF(ISNUMBER('Quantification_Results'!AB391),IFERROR(ROUND(((('Quantification_Results'!AB391-'Quantification_Config'!$S$12)/('Quantification_Config'!$T$12-'Quantification_Config'!$S$12))*100),'Quantification_Config'!$U$2),""),"")</x:f>
        <x:v>50</x:v>
      </x:c>
      <x:c r="AD391" t="inlineStr">
        <x:is>
          <x:t xml:space="preserve">SYSTEM-TEST-ONLY-NO-NETWORK-NOT-AN-EDUCATIONAL-EVALUATION</x:t>
        </x:is>
      </x:c>
      <x:c r="AE391" t="inlineStr">
        <x:is>
          <x:t xml:space="preserve"/>
        </x:is>
      </x:c>
      <x:c r="AF391" t="inlineStr">
        <x:is>
          <x:t xml:space="preserve">NONE</x:t>
        </x:is>
      </x:c>
      <x:c r="AG391" t="inlineStr">
        <x:is>
          <x:t xml:space="preserve"/>
        </x:is>
      </x:c>
      <x:c r="AH391" t="inlineStr">
        <x:is>
          <x:t xml:space="preserve">SUCCESS</x:t>
        </x:is>
      </x:c>
      <x:c r="AI391" t="n">
        <x:f>IF((COUNT('Quantification_Results'!AC391)=1),IFERROR(ROUND((SUM(('Quantification_Results'!AC391*'Quantification_Config'!$R$12))/SUM('Quantification_Config'!$R$12)),'Quantification_Config'!$U$2),""),"")</x:f>
        <x:v>50</x:v>
      </x:c>
      <x:c r="AJ391" t="n">
        <x:f>IF((COUNT('Quantification_Results'!AI391)=1),IFERROR(ROUND((SUM(('Quantification_Results'!AI391*'Quantification_Config'!$R$11))/SUM('Quantification_Config'!$R$11)),'Quantification_Config'!$U$2),""),"")</x:f>
        <x:v>50</x:v>
      </x:c>
      <x:c r="AK391" t="n">
        <x:v>1</x:v>
      </x:c>
      <x:c r="AL391" t="n">
        <x:v>5</x:v>
      </x:c>
      <x:c r="AM391"/>
      <x:c r="AN391" t="n">
        <x:f>IF(('Quantification_Results'!AK391&lt;&gt;1),"",IF(('Quantification_Results'!AM391=""),IF(ISNUMBER('Quantification_Results'!AL391),IF(('Quantification_Results'!AL391&lt;'Quantification_Config'!$S$15),"",IF(('Quantification_Results'!AL391&gt;'Quantification_Config'!$T$15),"",'Quantification_Results'!AL391)),""),IF(ISNUMBER('Quantification_Results'!AM391),IF(('Quantification_Results'!AM391&lt;'Quantification_Config'!$S$15),"",IF(('Quantification_Results'!AM391&gt;'Quantification_Config'!$T$15),"",'Quantification_Results'!AM391)),"")))</x:f>
        <x:v>5</x:v>
      </x:c>
      <x:c r="AO391" t="n">
        <x:f>IF(ISNUMBER('Quantification_Results'!AN391),IFERROR(ROUND(((('Quantification_Results'!AN391-'Quantification_Config'!$S$15)/('Quantification_Config'!$T$15-'Quantification_Config'!$S$15))*100),'Quantification_Config'!$U$2),""),"")</x:f>
        <x:v>50</x:v>
      </x:c>
      <x:c r="AP391" t="inlineStr">
        <x:is>
          <x:t xml:space="preserve">SYSTEM-TEST-ONLY-NO-NETWORK-NOT-AN-EDUCATIONAL-EVALUATION</x:t>
        </x:is>
      </x:c>
      <x:c r="AQ391" t="inlineStr">
        <x:is>
          <x:t xml:space="preserve"/>
        </x:is>
      </x:c>
      <x:c r="AR391" t="inlineStr">
        <x:is>
          <x:t xml:space="preserve">NONE</x:t>
        </x:is>
      </x:c>
      <x:c r="AS391" t="inlineStr">
        <x:is>
          <x:t xml:space="preserve"/>
        </x:is>
      </x:c>
      <x:c r="AT391" t="inlineStr">
        <x:is>
          <x:t xml:space="preserve">SUCCESS</x:t>
        </x:is>
      </x:c>
      <x:c r="AU391" t="n">
        <x:f>IF((COUNT('Quantification_Results'!AO391)=1),IFERROR(ROUND((SUM(('Quantification_Results'!AO391*'Quantification_Config'!$R$15))/SUM('Quantification_Config'!$R$15)),'Quantification_Config'!$U$2),""),"")</x:f>
        <x:v>50</x:v>
      </x:c>
      <x:c r="AV391" t="n">
        <x:f>IF((COUNT('Quantification_Results'!AU391)=1),IFERROR(ROUND((SUM(('Quantification_Results'!AU391*'Quantification_Config'!$R$14))/SUM('Quantification_Config'!$R$14)),'Quantification_Config'!$U$2),""),"")</x:f>
        <x:v>50</x:v>
      </x:c>
      <x:c r="AW391" t="n">
        <x:v>1</x:v>
      </x:c>
      <x:c r="AX391" t="n">
        <x:v>5</x:v>
      </x:c>
      <x:c r="AY391"/>
      <x:c r="AZ391" t="n">
        <x:f>IF(('Quantification_Results'!AW391&lt;&gt;1),"",IF(('Quantification_Results'!AY391=""),IF(ISNUMBER('Quantification_Results'!AX391),IF(('Quantification_Results'!AX391&lt;'Quantification_Config'!$S$19),"",IF(('Quantification_Results'!AX391&gt;'Quantification_Config'!$T$19),"",'Quantification_Results'!AX391)),""),IF(ISNUMBER('Quantification_Results'!AY391),IF(('Quantification_Results'!AY391&lt;'Quantification_Config'!$S$19),"",IF(('Quantification_Results'!AY391&gt;'Quantification_Config'!$T$19),"",'Quantification_Results'!AY391)),"")))</x:f>
        <x:v>5</x:v>
      </x:c>
      <x:c r="BA391" t="n">
        <x:f>IF(ISNUMBER('Quantification_Results'!AZ391),IFERROR(ROUND(((('Quantification_Results'!AZ391-'Quantification_Config'!$S$19)/('Quantification_Config'!$T$19-'Quantification_Config'!$S$19))*100),'Quantification_Config'!$U$2),""),"")</x:f>
        <x:v>50</x:v>
      </x:c>
      <x:c r="BB391" t="inlineStr">
        <x:is>
          <x:t xml:space="preserve">SYSTEM-TEST-ONLY-NO-NETWORK-NOT-AN-EDUCATIONAL-EVALUATION</x:t>
        </x:is>
      </x:c>
      <x:c r="BC391" t="inlineStr">
        <x:is>
          <x:t xml:space="preserve"/>
        </x:is>
      </x:c>
      <x:c r="BD391" t="inlineStr">
        <x:is>
          <x:t xml:space="preserve">NONE</x:t>
        </x:is>
      </x:c>
      <x:c r="BE391" t="inlineStr">
        <x:is>
          <x:t xml:space="preserve"/>
        </x:is>
      </x:c>
      <x:c r="BF391" t="inlineStr">
        <x:is>
          <x:t xml:space="preserve">SUCCESS</x:t>
        </x:is>
      </x:c>
      <x:c r="BG391" t="n">
        <x:f>IF((COUNT('Quantification_Results'!BA391)=1),IFERROR(ROUND((SUM(('Quantification_Results'!BA391*'Quantification_Config'!$R$19))/SUM('Quantification_Config'!$R$19)),'Quantification_Config'!$U$2),""),"")</x:f>
        <x:v>50</x:v>
      </x:c>
      <x:c r="BH391" t="n">
        <x:f>IF((COUNT('Quantification_Results'!BG391)=1),IFERROR(ROUND((SUM(('Quantification_Results'!BG391*'Quantification_Config'!$R$18))/SUM('Quantification_Config'!$R$18)),'Quantification_Config'!$U$2),""),"")</x:f>
        <x:v>50</x:v>
      </x:c>
      <x:c r="BI391" t="n">
        <x:f>IF((COUNT('Quantification_Results'!L391,'Quantification_Results'!X391,'Quantification_Results'!AJ391,'Quantification_Results'!AV391,'Quantification_Results'!BH391)=5),IFERROR(ROUND((SUM(('Quantification_Results'!L391*'Quantification_Config'!$R$4),('Quantification_Results'!X391*'Quantification_Config'!$R$7),('Quantification_Results'!AJ391*'Quantification_Config'!$R$10),('Quantification_Results'!AV391*'Quantification_Config'!$R$13),('Quantification_Results'!BH391*'Quantification_Config'!$R$16))/SUM('Quantification_Config'!$R$4,'Quantification_Config'!$R$7,'Quantification_Config'!$R$10,'Quantification_Config'!$R$13,'Quantification_Config'!$R$16)),'Quantification_Config'!$U$2),""),"")</x:f>
        <x:v>50</x:v>
      </x:c>
    </x:row>
    <x:row r="392">
      <x:c r="A392" t="n">
        <x:v>1</x:v>
      </x:c>
      <x:c r="B392" t="n">
        <x:v>5</x:v>
      </x:c>
      <x:c r="C392"/>
      <x:c r="D392" t="n">
        <x:f>IF(('Quantification_Results'!A392&lt;&gt;1),"",IF(('Quantification_Results'!C392=""),IF(ISNUMBER('Quantification_Results'!B392),IF(('Quantification_Results'!B392&lt;'Quantification_Config'!$S$6),"",IF(('Quantification_Results'!B392&gt;'Quantification_Config'!$T$6),"",'Quantification_Results'!B392)),""),IF(ISNUMBER('Quantification_Results'!C392),IF(('Quantification_Results'!C392&lt;'Quantification_Config'!$S$6),"",IF(('Quantification_Results'!C392&gt;'Quantification_Config'!$T$6),"",'Quantification_Results'!C392)),"")))</x:f>
        <x:v>5</x:v>
      </x:c>
      <x:c r="E392" t="n">
        <x:f>IF(ISNUMBER('Quantification_Results'!D392),IFERROR(ROUND(((('Quantification_Results'!D392-'Quantification_Config'!$S$6)/('Quantification_Config'!$T$6-'Quantification_Config'!$S$6))*100),'Quantification_Config'!$U$2),""),"")</x:f>
        <x:v>50</x:v>
      </x:c>
      <x:c r="F392" t="inlineStr">
        <x:is>
          <x:t xml:space="preserve">SYSTEM-TEST-ONLY-NO-NETWORK-NOT-AN-EDUCATIONAL-EVALUATION</x:t>
        </x:is>
      </x:c>
      <x:c r="G392" t="inlineStr">
        <x:is>
          <x:t xml:space="preserve"/>
        </x:is>
      </x:c>
      <x:c r="H392" t="inlineStr">
        <x:is>
          <x:t xml:space="preserve">NONE</x:t>
        </x:is>
      </x:c>
      <x:c r="I392" t="inlineStr">
        <x:is>
          <x:t xml:space="preserve"/>
        </x:is>
      </x:c>
      <x:c r="J392" t="inlineStr">
        <x:is>
          <x:t xml:space="preserve">SUCCESS</x:t>
        </x:is>
      </x:c>
      <x:c r="K392" t="n">
        <x:f>IF((COUNT('Quantification_Results'!E392)=1),IFERROR(ROUND((SUM(('Quantification_Results'!E392*'Quantification_Config'!$R$6))/SUM('Quantification_Config'!$R$6)),'Quantification_Config'!$U$2),""),"")</x:f>
        <x:v>50</x:v>
      </x:c>
      <x:c r="L392" t="n">
        <x:f>IF((COUNT('Quantification_Results'!K392)=1),IFERROR(ROUND((SUM(('Quantification_Results'!K392*'Quantification_Config'!$R$5))/SUM('Quantification_Config'!$R$5)),'Quantification_Config'!$U$2),""),"")</x:f>
        <x:v>50</x:v>
      </x:c>
      <x:c r="M392" t="n">
        <x:v>1</x:v>
      </x:c>
      <x:c r="N392" t="n">
        <x:v>5</x:v>
      </x:c>
      <x:c r="O392"/>
      <x:c r="P392" t="n">
        <x:f>IF(('Quantification_Results'!M392&lt;&gt;1),"",IF(('Quantification_Results'!O392=""),IF(ISNUMBER('Quantification_Results'!N392),IF(('Quantification_Results'!N392&lt;'Quantification_Config'!$S$9),"",IF(('Quantification_Results'!N392&gt;'Quantification_Config'!$T$9),"",'Quantification_Results'!N392)),""),IF(ISNUMBER('Quantification_Results'!O392),IF(('Quantification_Results'!O392&lt;'Quantification_Config'!$S$9),"",IF(('Quantification_Results'!O392&gt;'Quantification_Config'!$T$9),"",'Quantification_Results'!O392)),"")))</x:f>
        <x:v>5</x:v>
      </x:c>
      <x:c r="Q392" t="n">
        <x:f>IF(ISNUMBER('Quantification_Results'!P392),IFERROR(ROUND(((('Quantification_Results'!P392-'Quantification_Config'!$S$9)/('Quantification_Config'!$T$9-'Quantification_Config'!$S$9))*100),'Quantification_Config'!$U$2),""),"")</x:f>
        <x:v>50</x:v>
      </x:c>
      <x:c r="R392" t="inlineStr">
        <x:is>
          <x:t xml:space="preserve">SYSTEM-TEST-ONLY-NO-NETWORK-NOT-AN-EDUCATIONAL-EVALUATION</x:t>
        </x:is>
      </x:c>
      <x:c r="S392" t="inlineStr">
        <x:is>
          <x:t xml:space="preserve"/>
        </x:is>
      </x:c>
      <x:c r="T392" t="inlineStr">
        <x:is>
          <x:t xml:space="preserve">NONE</x:t>
        </x:is>
      </x:c>
      <x:c r="U392" t="inlineStr">
        <x:is>
          <x:t xml:space="preserve"/>
        </x:is>
      </x:c>
      <x:c r="V392" t="inlineStr">
        <x:is>
          <x:t xml:space="preserve">SUCCESS</x:t>
        </x:is>
      </x:c>
      <x:c r="W392" t="n">
        <x:f>IF((COUNT('Quantification_Results'!Q392)=1),IFERROR(ROUND((SUM(('Quantification_Results'!Q392*'Quantification_Config'!$R$9))/SUM('Quantification_Config'!$R$9)),'Quantification_Config'!$U$2),""),"")</x:f>
        <x:v>50</x:v>
      </x:c>
      <x:c r="X392" t="n">
        <x:f>IF((COUNT('Quantification_Results'!W392)=1),IFERROR(ROUND((SUM(('Quantification_Results'!W392*'Quantification_Config'!$R$8))/SUM('Quantification_Config'!$R$8)),'Quantification_Config'!$U$2),""),"")</x:f>
        <x:v>50</x:v>
      </x:c>
      <x:c r="Y392" t="n">
        <x:v>0</x:v>
      </x:c>
      <x:c r="Z392"/>
      <x:c r="AA392"/>
      <x:c r="AB392">
        <x:f>IF(('Quantification_Results'!Y392&lt;&gt;1),"",IF(('Quantification_Results'!AA392=""),IF(ISNUMBER('Quantification_Results'!Z392),IF(('Quantification_Results'!Z392&lt;'Quantification_Config'!$S$12),"",IF(('Quantification_Results'!Z392&gt;'Quantification_Config'!$T$12),"",'Quantification_Results'!Z392)),""),IF(ISNUMBER('Quantification_Results'!AA392),IF(('Quantification_Results'!AA392&lt;'Quantification_Config'!$S$12),"",IF(('Quantification_Results'!AA392&gt;'Quantification_Config'!$T$12),"",'Quantification_Results'!AA392)),"")))</x:f>
      </x:c>
      <x:c r="AC392">
        <x:f>IF(ISNUMBER('Quantification_Results'!AB392),IFERROR(ROUND(((('Quantification_Results'!AB392-'Quantification_Config'!$S$12)/('Quantification_Config'!$T$12-'Quantification_Config'!$S$12))*100),'Quantification_Config'!$U$2),""),"")</x:f>
      </x:c>
      <x:c r="AD392" t="inlineStr">
        <x:is>
          <x:t xml:space="preserve"/>
        </x:is>
      </x:c>
      <x:c r="AE392" t="inlineStr">
        <x:is>
          <x:t xml:space="preserve"/>
        </x:is>
      </x:c>
      <x:c r="AF392" t="inlineStr">
        <x:is>
          <x:t xml:space="preserve"/>
        </x:is>
      </x:c>
      <x:c r="AG392" t="inlineStr">
        <x:is>
          <x:t xml:space="preserve"/>
        </x:is>
      </x:c>
      <x:c r="AH392" t="inlineStr">
        <x:is>
          <x:t xml:space="preserve">EMPTY</x:t>
        </x:is>
      </x:c>
      <x:c r="AI392">
        <x:f>IF((COUNT('Quantification_Results'!AC392)=1),IFERROR(ROUND((SUM(('Quantification_Results'!AC392*'Quantification_Config'!$R$12))/SUM('Quantification_Config'!$R$12)),'Quantification_Config'!$U$2),""),"")</x:f>
      </x:c>
      <x:c r="AJ392">
        <x:f>IF((COUNT('Quantification_Results'!AI392)=1),IFERROR(ROUND((SUM(('Quantification_Results'!AI392*'Quantification_Config'!$R$11))/SUM('Quantification_Config'!$R$11)),'Quantification_Config'!$U$2),""),"")</x:f>
      </x:c>
      <x:c r="AK392" t="n">
        <x:v>1</x:v>
      </x:c>
      <x:c r="AL392" t="n">
        <x:v>5</x:v>
      </x:c>
      <x:c r="AM392"/>
      <x:c r="AN392" t="n">
        <x:f>IF(('Quantification_Results'!AK392&lt;&gt;1),"",IF(('Quantification_Results'!AM392=""),IF(ISNUMBER('Quantification_Results'!AL392),IF(('Quantification_Results'!AL392&lt;'Quantification_Config'!$S$15),"",IF(('Quantification_Results'!AL392&gt;'Quantification_Config'!$T$15),"",'Quantification_Results'!AL392)),""),IF(ISNUMBER('Quantification_Results'!AM392),IF(('Quantification_Results'!AM392&lt;'Quantification_Config'!$S$15),"",IF(('Quantification_Results'!AM392&gt;'Quantification_Config'!$T$15),"",'Quantification_Results'!AM392)),"")))</x:f>
        <x:v>5</x:v>
      </x:c>
      <x:c r="AO392" t="n">
        <x:f>IF(ISNUMBER('Quantification_Results'!AN392),IFERROR(ROUND(((('Quantification_Results'!AN392-'Quantification_Config'!$S$15)/('Quantification_Config'!$T$15-'Quantification_Config'!$S$15))*100),'Quantification_Config'!$U$2),""),"")</x:f>
        <x:v>50</x:v>
      </x:c>
      <x:c r="AP392" t="inlineStr">
        <x:is>
          <x:t xml:space="preserve">SYSTEM-TEST-ONLY-NO-NETWORK-NOT-AN-EDUCATIONAL-EVALUATION</x:t>
        </x:is>
      </x:c>
      <x:c r="AQ392" t="inlineStr">
        <x:is>
          <x:t xml:space="preserve"/>
        </x:is>
      </x:c>
      <x:c r="AR392" t="inlineStr">
        <x:is>
          <x:t xml:space="preserve">NONE</x:t>
        </x:is>
      </x:c>
      <x:c r="AS392" t="inlineStr">
        <x:is>
          <x:t xml:space="preserve"/>
        </x:is>
      </x:c>
      <x:c r="AT392" t="inlineStr">
        <x:is>
          <x:t xml:space="preserve">SUCCESS</x:t>
        </x:is>
      </x:c>
      <x:c r="AU392" t="n">
        <x:f>IF((COUNT('Quantification_Results'!AO392)=1),IFERROR(ROUND((SUM(('Quantification_Results'!AO392*'Quantification_Config'!$R$15))/SUM('Quantification_Config'!$R$15)),'Quantification_Config'!$U$2),""),"")</x:f>
        <x:v>50</x:v>
      </x:c>
      <x:c r="AV392" t="n">
        <x:f>IF((COUNT('Quantification_Results'!AU392)=1),IFERROR(ROUND((SUM(('Quantification_Results'!AU392*'Quantification_Config'!$R$14))/SUM('Quantification_Config'!$R$14)),'Quantification_Config'!$U$2),""),"")</x:f>
        <x:v>50</x:v>
      </x:c>
      <x:c r="AW392" t="n">
        <x:v>1</x:v>
      </x:c>
      <x:c r="AX392" t="n">
        <x:v>5</x:v>
      </x:c>
      <x:c r="AY392"/>
      <x:c r="AZ392" t="n">
        <x:f>IF(('Quantification_Results'!AW392&lt;&gt;1),"",IF(('Quantification_Results'!AY392=""),IF(ISNUMBER('Quantification_Results'!AX392),IF(('Quantification_Results'!AX392&lt;'Quantification_Config'!$S$19),"",IF(('Quantification_Results'!AX392&gt;'Quantification_Config'!$T$19),"",'Quantification_Results'!AX392)),""),IF(ISNUMBER('Quantification_Results'!AY392),IF(('Quantification_Results'!AY392&lt;'Quantification_Config'!$S$19),"",IF(('Quantification_Results'!AY392&gt;'Quantification_Config'!$T$19),"",'Quantification_Results'!AY392)),"")))</x:f>
        <x:v>5</x:v>
      </x:c>
      <x:c r="BA392" t="n">
        <x:f>IF(ISNUMBER('Quantification_Results'!AZ392),IFERROR(ROUND(((('Quantification_Results'!AZ392-'Quantification_Config'!$S$19)/('Quantification_Config'!$T$19-'Quantification_Config'!$S$19))*100),'Quantification_Config'!$U$2),""),"")</x:f>
        <x:v>50</x:v>
      </x:c>
      <x:c r="BB392" t="inlineStr">
        <x:is>
          <x:t xml:space="preserve">SYSTEM-TEST-ONLY-NO-NETWORK-NOT-AN-EDUCATIONAL-EVALUATION</x:t>
        </x:is>
      </x:c>
      <x:c r="BC392" t="inlineStr">
        <x:is>
          <x:t xml:space="preserve"/>
        </x:is>
      </x:c>
      <x:c r="BD392" t="inlineStr">
        <x:is>
          <x:t xml:space="preserve">NONE</x:t>
        </x:is>
      </x:c>
      <x:c r="BE392" t="inlineStr">
        <x:is>
          <x:t xml:space="preserve"/>
        </x:is>
      </x:c>
      <x:c r="BF392" t="inlineStr">
        <x:is>
          <x:t xml:space="preserve">SUCCESS</x:t>
        </x:is>
      </x:c>
      <x:c r="BG392" t="n">
        <x:f>IF((COUNT('Quantification_Results'!BA392)=1),IFERROR(ROUND((SUM(('Quantification_Results'!BA392*'Quantification_Config'!$R$19))/SUM('Quantification_Config'!$R$19)),'Quantification_Config'!$U$2),""),"")</x:f>
        <x:v>50</x:v>
      </x:c>
      <x:c r="BH392" t="n">
        <x:f>IF((COUNT('Quantification_Results'!BG392)=1),IFERROR(ROUND((SUM(('Quantification_Results'!BG392*'Quantification_Config'!$R$18))/SUM('Quantification_Config'!$R$18)),'Quantification_Config'!$U$2),""),"")</x:f>
        <x:v>50</x:v>
      </x:c>
      <x:c r="BI392">
        <x:f>IF((COUNT('Quantification_Results'!L392,'Quantification_Results'!X392,'Quantification_Results'!AJ392,'Quantification_Results'!AV392,'Quantification_Results'!BH392)=5),IFERROR(ROUND((SUM(('Quantification_Results'!L392*'Quantification_Config'!$R$4),('Quantification_Results'!X392*'Quantification_Config'!$R$7),('Quantification_Results'!AJ392*'Quantification_Config'!$R$10),('Quantification_Results'!AV392*'Quantification_Config'!$R$13),('Quantification_Results'!BH392*'Quantification_Config'!$R$16))/SUM('Quantification_Config'!$R$4,'Quantification_Config'!$R$7,'Quantification_Config'!$R$10,'Quantification_Config'!$R$13,'Quantification_Config'!$R$16)),'Quantification_Config'!$U$2),""),"")</x:f>
      </x:c>
    </x:row>
    <x:row r="393">
      <x:c r="A393" t="n">
        <x:v>1</x:v>
      </x:c>
      <x:c r="B393" t="n">
        <x:v>5</x:v>
      </x:c>
      <x:c r="C393"/>
      <x:c r="D393" t="n">
        <x:f>IF(('Quantification_Results'!A393&lt;&gt;1),"",IF(('Quantification_Results'!C393=""),IF(ISNUMBER('Quantification_Results'!B393),IF(('Quantification_Results'!B393&lt;'Quantification_Config'!$S$6),"",IF(('Quantification_Results'!B393&gt;'Quantification_Config'!$T$6),"",'Quantification_Results'!B393)),""),IF(ISNUMBER('Quantification_Results'!C393),IF(('Quantification_Results'!C393&lt;'Quantification_Config'!$S$6),"",IF(('Quantification_Results'!C393&gt;'Quantification_Config'!$T$6),"",'Quantification_Results'!C393)),"")))</x:f>
        <x:v>5</x:v>
      </x:c>
      <x:c r="E393" t="n">
        <x:f>IF(ISNUMBER('Quantification_Results'!D393),IFERROR(ROUND(((('Quantification_Results'!D393-'Quantification_Config'!$S$6)/('Quantification_Config'!$T$6-'Quantification_Config'!$S$6))*100),'Quantification_Config'!$U$2),""),"")</x:f>
        <x:v>50</x:v>
      </x:c>
      <x:c r="F393" t="inlineStr">
        <x:is>
          <x:t xml:space="preserve">SYSTEM-TEST-ONLY-NO-NETWORK-NOT-AN-EDUCATIONAL-EVALUATION</x:t>
        </x:is>
      </x:c>
      <x:c r="G393" t="inlineStr">
        <x:is>
          <x:t xml:space="preserve"/>
        </x:is>
      </x:c>
      <x:c r="H393" t="inlineStr">
        <x:is>
          <x:t xml:space="preserve">NONE</x:t>
        </x:is>
      </x:c>
      <x:c r="I393" t="inlineStr">
        <x:is>
          <x:t xml:space="preserve"/>
        </x:is>
      </x:c>
      <x:c r="J393" t="inlineStr">
        <x:is>
          <x:t xml:space="preserve">SUCCESS</x:t>
        </x:is>
      </x:c>
      <x:c r="K393" t="n">
        <x:f>IF((COUNT('Quantification_Results'!E393)=1),IFERROR(ROUND((SUM(('Quantification_Results'!E393*'Quantification_Config'!$R$6))/SUM('Quantification_Config'!$R$6)),'Quantification_Config'!$U$2),""),"")</x:f>
        <x:v>50</x:v>
      </x:c>
      <x:c r="L393" t="n">
        <x:f>IF((COUNT('Quantification_Results'!K393)=1),IFERROR(ROUND((SUM(('Quantification_Results'!K393*'Quantification_Config'!$R$5))/SUM('Quantification_Config'!$R$5)),'Quantification_Config'!$U$2),""),"")</x:f>
        <x:v>50</x:v>
      </x:c>
      <x:c r="M393" t="n">
        <x:v>1</x:v>
      </x:c>
      <x:c r="N393" t="n">
        <x:v>5</x:v>
      </x:c>
      <x:c r="O393"/>
      <x:c r="P393" t="n">
        <x:f>IF(('Quantification_Results'!M393&lt;&gt;1),"",IF(('Quantification_Results'!O393=""),IF(ISNUMBER('Quantification_Results'!N393),IF(('Quantification_Results'!N393&lt;'Quantification_Config'!$S$9),"",IF(('Quantification_Results'!N393&gt;'Quantification_Config'!$T$9),"",'Quantification_Results'!N393)),""),IF(ISNUMBER('Quantification_Results'!O393),IF(('Quantification_Results'!O393&lt;'Quantification_Config'!$S$9),"",IF(('Quantification_Results'!O393&gt;'Quantification_Config'!$T$9),"",'Quantification_Results'!O393)),"")))</x:f>
        <x:v>5</x:v>
      </x:c>
      <x:c r="Q393" t="n">
        <x:f>IF(ISNUMBER('Quantification_Results'!P393),IFERROR(ROUND(((('Quantification_Results'!P393-'Quantification_Config'!$S$9)/('Quantification_Config'!$T$9-'Quantification_Config'!$S$9))*100),'Quantification_Config'!$U$2),""),"")</x:f>
        <x:v>50</x:v>
      </x:c>
      <x:c r="R393" t="inlineStr">
        <x:is>
          <x:t xml:space="preserve">SYSTEM-TEST-ONLY-NO-NETWORK-NOT-AN-EDUCATIONAL-EVALUATION</x:t>
        </x:is>
      </x:c>
      <x:c r="S393" t="inlineStr">
        <x:is>
          <x:t xml:space="preserve"/>
        </x:is>
      </x:c>
      <x:c r="T393" t="inlineStr">
        <x:is>
          <x:t xml:space="preserve">NONE</x:t>
        </x:is>
      </x:c>
      <x:c r="U393" t="inlineStr">
        <x:is>
          <x:t xml:space="preserve"/>
        </x:is>
      </x:c>
      <x:c r="V393" t="inlineStr">
        <x:is>
          <x:t xml:space="preserve">SUCCESS</x:t>
        </x:is>
      </x:c>
      <x:c r="W393" t="n">
        <x:f>IF((COUNT('Quantification_Results'!Q393)=1),IFERROR(ROUND((SUM(('Quantification_Results'!Q393*'Quantification_Config'!$R$9))/SUM('Quantification_Config'!$R$9)),'Quantification_Config'!$U$2),""),"")</x:f>
        <x:v>50</x:v>
      </x:c>
      <x:c r="X393" t="n">
        <x:f>IF((COUNT('Quantification_Results'!W393)=1),IFERROR(ROUND((SUM(('Quantification_Results'!W393*'Quantification_Config'!$R$8))/SUM('Quantification_Config'!$R$8)),'Quantification_Config'!$U$2),""),"")</x:f>
        <x:v>50</x:v>
      </x:c>
      <x:c r="Y393" t="n">
        <x:v>0</x:v>
      </x:c>
      <x:c r="Z393"/>
      <x:c r="AA393"/>
      <x:c r="AB393">
        <x:f>IF(('Quantification_Results'!Y393&lt;&gt;1),"",IF(('Quantification_Results'!AA393=""),IF(ISNUMBER('Quantification_Results'!Z393),IF(('Quantification_Results'!Z393&lt;'Quantification_Config'!$S$12),"",IF(('Quantification_Results'!Z393&gt;'Quantification_Config'!$T$12),"",'Quantification_Results'!Z393)),""),IF(ISNUMBER('Quantification_Results'!AA393),IF(('Quantification_Results'!AA393&lt;'Quantification_Config'!$S$12),"",IF(('Quantification_Results'!AA393&gt;'Quantification_Config'!$T$12),"",'Quantification_Results'!AA393)),"")))</x:f>
      </x:c>
      <x:c r="AC393">
        <x:f>IF(ISNUMBER('Quantification_Results'!AB393),IFERROR(ROUND(((('Quantification_Results'!AB393-'Quantification_Config'!$S$12)/('Quantification_Config'!$T$12-'Quantification_Config'!$S$12))*100),'Quantification_Config'!$U$2),""),"")</x:f>
      </x:c>
      <x:c r="AD393" t="inlineStr">
        <x:is>
          <x:t xml:space="preserve"/>
        </x:is>
      </x:c>
      <x:c r="AE393" t="inlineStr">
        <x:is>
          <x:t xml:space="preserve"/>
        </x:is>
      </x:c>
      <x:c r="AF393" t="inlineStr">
        <x:is>
          <x:t xml:space="preserve"/>
        </x:is>
      </x:c>
      <x:c r="AG393" t="inlineStr">
        <x:is>
          <x:t xml:space="preserve"/>
        </x:is>
      </x:c>
      <x:c r="AH393" t="inlineStr">
        <x:is>
          <x:t xml:space="preserve">EMPTY</x:t>
        </x:is>
      </x:c>
      <x:c r="AI393">
        <x:f>IF((COUNT('Quantification_Results'!AC393)=1),IFERROR(ROUND((SUM(('Quantification_Results'!AC393*'Quantification_Config'!$R$12))/SUM('Quantification_Config'!$R$12)),'Quantification_Config'!$U$2),""),"")</x:f>
      </x:c>
      <x:c r="AJ393">
        <x:f>IF((COUNT('Quantification_Results'!AI393)=1),IFERROR(ROUND((SUM(('Quantification_Results'!AI393*'Quantification_Config'!$R$11))/SUM('Quantification_Config'!$R$11)),'Quantification_Config'!$U$2),""),"")</x:f>
      </x:c>
      <x:c r="AK393" t="n">
        <x:v>1</x:v>
      </x:c>
      <x:c r="AL393" t="n">
        <x:v>5</x:v>
      </x:c>
      <x:c r="AM393"/>
      <x:c r="AN393" t="n">
        <x:f>IF(('Quantification_Results'!AK393&lt;&gt;1),"",IF(('Quantification_Results'!AM393=""),IF(ISNUMBER('Quantification_Results'!AL393),IF(('Quantification_Results'!AL393&lt;'Quantification_Config'!$S$15),"",IF(('Quantification_Results'!AL393&gt;'Quantification_Config'!$T$15),"",'Quantification_Results'!AL393)),""),IF(ISNUMBER('Quantification_Results'!AM393),IF(('Quantification_Results'!AM393&lt;'Quantification_Config'!$S$15),"",IF(('Quantification_Results'!AM393&gt;'Quantification_Config'!$T$15),"",'Quantification_Results'!AM393)),"")))</x:f>
        <x:v>5</x:v>
      </x:c>
      <x:c r="AO393" t="n">
        <x:f>IF(ISNUMBER('Quantification_Results'!AN393),IFERROR(ROUND(((('Quantification_Results'!AN393-'Quantification_Config'!$S$15)/('Quantification_Config'!$T$15-'Quantification_Config'!$S$15))*100),'Quantification_Config'!$U$2),""),"")</x:f>
        <x:v>50</x:v>
      </x:c>
      <x:c r="AP393" t="inlineStr">
        <x:is>
          <x:t xml:space="preserve">SYSTEM-TEST-ONLY-NO-NETWORK-NOT-AN-EDUCATIONAL-EVALUATION</x:t>
        </x:is>
      </x:c>
      <x:c r="AQ393" t="inlineStr">
        <x:is>
          <x:t xml:space="preserve"/>
        </x:is>
      </x:c>
      <x:c r="AR393" t="inlineStr">
        <x:is>
          <x:t xml:space="preserve">NONE</x:t>
        </x:is>
      </x:c>
      <x:c r="AS393" t="inlineStr">
        <x:is>
          <x:t xml:space="preserve"/>
        </x:is>
      </x:c>
      <x:c r="AT393" t="inlineStr">
        <x:is>
          <x:t xml:space="preserve">SUCCESS</x:t>
        </x:is>
      </x:c>
      <x:c r="AU393" t="n">
        <x:f>IF((COUNT('Quantification_Results'!AO393)=1),IFERROR(ROUND((SUM(('Quantification_Results'!AO393*'Quantification_Config'!$R$15))/SUM('Quantification_Config'!$R$15)),'Quantification_Config'!$U$2),""),"")</x:f>
        <x:v>50</x:v>
      </x:c>
      <x:c r="AV393" t="n">
        <x:f>IF((COUNT('Quantification_Results'!AU393)=1),IFERROR(ROUND((SUM(('Quantification_Results'!AU393*'Quantification_Config'!$R$14))/SUM('Quantification_Config'!$R$14)),'Quantification_Config'!$U$2),""),"")</x:f>
        <x:v>50</x:v>
      </x:c>
      <x:c r="AW393" t="n">
        <x:v>0</x:v>
      </x:c>
      <x:c r="AX393"/>
      <x:c r="AY393"/>
      <x:c r="AZ393">
        <x:f>IF(('Quantification_Results'!AW393&lt;&gt;1),"",IF(('Quantification_Results'!AY393=""),IF(ISNUMBER('Quantification_Results'!AX393),IF(('Quantification_Results'!AX393&lt;'Quantification_Config'!$S$19),"",IF(('Quantification_Results'!AX393&gt;'Quantification_Config'!$T$19),"",'Quantification_Results'!AX393)),""),IF(ISNUMBER('Quantification_Results'!AY393),IF(('Quantification_Results'!AY393&lt;'Quantification_Config'!$S$19),"",IF(('Quantification_Results'!AY393&gt;'Quantification_Config'!$T$19),"",'Quantification_Results'!AY393)),"")))</x:f>
      </x:c>
      <x:c r="BA393">
        <x:f>IF(ISNUMBER('Quantification_Results'!AZ393),IFERROR(ROUND(((('Quantification_Results'!AZ393-'Quantification_Config'!$S$19)/('Quantification_Config'!$T$19-'Quantification_Config'!$S$19))*100),'Quantification_Config'!$U$2),""),"")</x:f>
      </x:c>
      <x:c r="BB393" t="inlineStr">
        <x:is>
          <x:t xml:space="preserve"/>
        </x:is>
      </x:c>
      <x:c r="BC393" t="inlineStr">
        <x:is>
          <x:t xml:space="preserve"/>
        </x:is>
      </x:c>
      <x:c r="BD393" t="inlineStr">
        <x:is>
          <x:t xml:space="preserve"/>
        </x:is>
      </x:c>
      <x:c r="BE393" t="inlineStr">
        <x:is>
          <x:t xml:space="preserve"/>
        </x:is>
      </x:c>
      <x:c r="BF393" t="inlineStr">
        <x:is>
          <x:t xml:space="preserve">EMPTY</x:t>
        </x:is>
      </x:c>
      <x:c r="BG393">
        <x:f>IF((COUNT('Quantification_Results'!BA393)=1),IFERROR(ROUND((SUM(('Quantification_Results'!BA393*'Quantification_Config'!$R$19))/SUM('Quantification_Config'!$R$19)),'Quantification_Config'!$U$2),""),"")</x:f>
      </x:c>
      <x:c r="BH393">
        <x:f>IF((COUNT('Quantification_Results'!BG393)=1),IFERROR(ROUND((SUM(('Quantification_Results'!BG393*'Quantification_Config'!$R$18))/SUM('Quantification_Config'!$R$18)),'Quantification_Config'!$U$2),""),"")</x:f>
      </x:c>
      <x:c r="BI393">
        <x:f>IF((COUNT('Quantification_Results'!L393,'Quantification_Results'!X393,'Quantification_Results'!AJ393,'Quantification_Results'!AV393,'Quantification_Results'!BH393)=5),IFERROR(ROUND((SUM(('Quantification_Results'!L393*'Quantification_Config'!$R$4),('Quantification_Results'!X393*'Quantification_Config'!$R$7),('Quantification_Results'!AJ393*'Quantification_Config'!$R$10),('Quantification_Results'!AV393*'Quantification_Config'!$R$13),('Quantification_Results'!BH393*'Quantification_Config'!$R$16))/SUM('Quantification_Config'!$R$4,'Quantification_Config'!$R$7,'Quantification_Config'!$R$10,'Quantification_Config'!$R$13,'Quantification_Config'!$R$16)),'Quantification_Config'!$U$2),""),"")</x:f>
      </x:c>
    </x:row>
    <x:row r="394">
      <x:c r="A394" t="n">
        <x:v>1</x:v>
      </x:c>
      <x:c r="B394" t="n">
        <x:v>5</x:v>
      </x:c>
      <x:c r="C394"/>
      <x:c r="D394" t="n">
        <x:f>IF(('Quantification_Results'!A394&lt;&gt;1),"",IF(('Quantification_Results'!C394=""),IF(ISNUMBER('Quantification_Results'!B394),IF(('Quantification_Results'!B394&lt;'Quantification_Config'!$S$6),"",IF(('Quantification_Results'!B394&gt;'Quantification_Config'!$T$6),"",'Quantification_Results'!B394)),""),IF(ISNUMBER('Quantification_Results'!C394),IF(('Quantification_Results'!C394&lt;'Quantification_Config'!$S$6),"",IF(('Quantification_Results'!C394&gt;'Quantification_Config'!$T$6),"",'Quantification_Results'!C394)),"")))</x:f>
        <x:v>5</x:v>
      </x:c>
      <x:c r="E394" t="n">
        <x:f>IF(ISNUMBER('Quantification_Results'!D394),IFERROR(ROUND(((('Quantification_Results'!D394-'Quantification_Config'!$S$6)/('Quantification_Config'!$T$6-'Quantification_Config'!$S$6))*100),'Quantification_Config'!$U$2),""),"")</x:f>
        <x:v>50</x:v>
      </x:c>
      <x:c r="F394" t="inlineStr">
        <x:is>
          <x:t xml:space="preserve">SYSTEM-TEST-ONLY-NO-NETWORK-NOT-AN-EDUCATIONAL-EVALUATION</x:t>
        </x:is>
      </x:c>
      <x:c r="G394" t="inlineStr">
        <x:is>
          <x:t xml:space="preserve"/>
        </x:is>
      </x:c>
      <x:c r="H394" t="inlineStr">
        <x:is>
          <x:t xml:space="preserve">NONE</x:t>
        </x:is>
      </x:c>
      <x:c r="I394" t="inlineStr">
        <x:is>
          <x:t xml:space="preserve"/>
        </x:is>
      </x:c>
      <x:c r="J394" t="inlineStr">
        <x:is>
          <x:t xml:space="preserve">SUCCESS</x:t>
        </x:is>
      </x:c>
      <x:c r="K394" t="n">
        <x:f>IF((COUNT('Quantification_Results'!E394)=1),IFERROR(ROUND((SUM(('Quantification_Results'!E394*'Quantification_Config'!$R$6))/SUM('Quantification_Config'!$R$6)),'Quantification_Config'!$U$2),""),"")</x:f>
        <x:v>50</x:v>
      </x:c>
      <x:c r="L394" t="n">
        <x:f>IF((COUNT('Quantification_Results'!K394)=1),IFERROR(ROUND((SUM(('Quantification_Results'!K394*'Quantification_Config'!$R$5))/SUM('Quantification_Config'!$R$5)),'Quantification_Config'!$U$2),""),"")</x:f>
        <x:v>50</x:v>
      </x:c>
      <x:c r="M394" t="n">
        <x:v>1</x:v>
      </x:c>
      <x:c r="N394" t="n">
        <x:v>5</x:v>
      </x:c>
      <x:c r="O394"/>
      <x:c r="P394" t="n">
        <x:f>IF(('Quantification_Results'!M394&lt;&gt;1),"",IF(('Quantification_Results'!O394=""),IF(ISNUMBER('Quantification_Results'!N394),IF(('Quantification_Results'!N394&lt;'Quantification_Config'!$S$9),"",IF(('Quantification_Results'!N394&gt;'Quantification_Config'!$T$9),"",'Quantification_Results'!N394)),""),IF(ISNUMBER('Quantification_Results'!O394),IF(('Quantification_Results'!O394&lt;'Quantification_Config'!$S$9),"",IF(('Quantification_Results'!O394&gt;'Quantification_Config'!$T$9),"",'Quantification_Results'!O394)),"")))</x:f>
        <x:v>5</x:v>
      </x:c>
      <x:c r="Q394" t="n">
        <x:f>IF(ISNUMBER('Quantification_Results'!P394),IFERROR(ROUND(((('Quantification_Results'!P394-'Quantification_Config'!$S$9)/('Quantification_Config'!$T$9-'Quantification_Config'!$S$9))*100),'Quantification_Config'!$U$2),""),"")</x:f>
        <x:v>50</x:v>
      </x:c>
      <x:c r="R394" t="inlineStr">
        <x:is>
          <x:t xml:space="preserve">SYSTEM-TEST-ONLY-NO-NETWORK-NOT-AN-EDUCATIONAL-EVALUATION</x:t>
        </x:is>
      </x:c>
      <x:c r="S394" t="inlineStr">
        <x:is>
          <x:t xml:space="preserve"/>
        </x:is>
      </x:c>
      <x:c r="T394" t="inlineStr">
        <x:is>
          <x:t xml:space="preserve">NONE</x:t>
        </x:is>
      </x:c>
      <x:c r="U394" t="inlineStr">
        <x:is>
          <x:t xml:space="preserve"/>
        </x:is>
      </x:c>
      <x:c r="V394" t="inlineStr">
        <x:is>
          <x:t xml:space="preserve">SUCCESS</x:t>
        </x:is>
      </x:c>
      <x:c r="W394" t="n">
        <x:f>IF((COUNT('Quantification_Results'!Q394)=1),IFERROR(ROUND((SUM(('Quantification_Results'!Q394*'Quantification_Config'!$R$9))/SUM('Quantification_Config'!$R$9)),'Quantification_Config'!$U$2),""),"")</x:f>
        <x:v>50</x:v>
      </x:c>
      <x:c r="X394" t="n">
        <x:f>IF((COUNT('Quantification_Results'!W394)=1),IFERROR(ROUND((SUM(('Quantification_Results'!W394*'Quantification_Config'!$R$8))/SUM('Quantification_Config'!$R$8)),'Quantification_Config'!$U$2),""),"")</x:f>
        <x:v>50</x:v>
      </x:c>
      <x:c r="Y394" t="n">
        <x:v>1</x:v>
      </x:c>
      <x:c r="Z394" t="n">
        <x:v>5</x:v>
      </x:c>
      <x:c r="AA394"/>
      <x:c r="AB394" t="n">
        <x:f>IF(('Quantification_Results'!Y394&lt;&gt;1),"",IF(('Quantification_Results'!AA394=""),IF(ISNUMBER('Quantification_Results'!Z394),IF(('Quantification_Results'!Z394&lt;'Quantification_Config'!$S$12),"",IF(('Quantification_Results'!Z394&gt;'Quantification_Config'!$T$12),"",'Quantification_Results'!Z394)),""),IF(ISNUMBER('Quantification_Results'!AA394),IF(('Quantification_Results'!AA394&lt;'Quantification_Config'!$S$12),"",IF(('Quantification_Results'!AA394&gt;'Quantification_Config'!$T$12),"",'Quantification_Results'!AA394)),"")))</x:f>
        <x:v>5</x:v>
      </x:c>
      <x:c r="AC394" t="n">
        <x:f>IF(ISNUMBER('Quantification_Results'!AB394),IFERROR(ROUND(((('Quantification_Results'!AB394-'Quantification_Config'!$S$12)/('Quantification_Config'!$T$12-'Quantification_Config'!$S$12))*100),'Quantification_Config'!$U$2),""),"")</x:f>
        <x:v>50</x:v>
      </x:c>
      <x:c r="AD394" t="inlineStr">
        <x:is>
          <x:t xml:space="preserve">SYSTEM-TEST-ONLY-NO-NETWORK-NOT-AN-EDUCATIONAL-EVALUATION</x:t>
        </x:is>
      </x:c>
      <x:c r="AE394" t="inlineStr">
        <x:is>
          <x:t xml:space="preserve"/>
        </x:is>
      </x:c>
      <x:c r="AF394" t="inlineStr">
        <x:is>
          <x:t xml:space="preserve">NONE</x:t>
        </x:is>
      </x:c>
      <x:c r="AG394" t="inlineStr">
        <x:is>
          <x:t xml:space="preserve"/>
        </x:is>
      </x:c>
      <x:c r="AH394" t="inlineStr">
        <x:is>
          <x:t xml:space="preserve">SUCCESS</x:t>
        </x:is>
      </x:c>
      <x:c r="AI394" t="n">
        <x:f>IF((COUNT('Quantification_Results'!AC394)=1),IFERROR(ROUND((SUM(('Quantification_Results'!AC394*'Quantification_Config'!$R$12))/SUM('Quantification_Config'!$R$12)),'Quantification_Config'!$U$2),""),"")</x:f>
        <x:v>50</x:v>
      </x:c>
      <x:c r="AJ394" t="n">
        <x:f>IF((COUNT('Quantification_Results'!AI394)=1),IFERROR(ROUND((SUM(('Quantification_Results'!AI394*'Quantification_Config'!$R$11))/SUM('Quantification_Config'!$R$11)),'Quantification_Config'!$U$2),""),"")</x:f>
        <x:v>50</x:v>
      </x:c>
      <x:c r="AK394" t="n">
        <x:v>1</x:v>
      </x:c>
      <x:c r="AL394" t="n">
        <x:v>5</x:v>
      </x:c>
      <x:c r="AM394"/>
      <x:c r="AN394" t="n">
        <x:f>IF(('Quantification_Results'!AK394&lt;&gt;1),"",IF(('Quantification_Results'!AM394=""),IF(ISNUMBER('Quantification_Results'!AL394),IF(('Quantification_Results'!AL394&lt;'Quantification_Config'!$S$15),"",IF(('Quantification_Results'!AL394&gt;'Quantification_Config'!$T$15),"",'Quantification_Results'!AL394)),""),IF(ISNUMBER('Quantification_Results'!AM394),IF(('Quantification_Results'!AM394&lt;'Quantification_Config'!$S$15),"",IF(('Quantification_Results'!AM394&gt;'Quantification_Config'!$T$15),"",'Quantification_Results'!AM394)),"")))</x:f>
        <x:v>5</x:v>
      </x:c>
      <x:c r="AO394" t="n">
        <x:f>IF(ISNUMBER('Quantification_Results'!AN394),IFERROR(ROUND(((('Quantification_Results'!AN394-'Quantification_Config'!$S$15)/('Quantification_Config'!$T$15-'Quantification_Config'!$S$15))*100),'Quantification_Config'!$U$2),""),"")</x:f>
        <x:v>50</x:v>
      </x:c>
      <x:c r="AP394" t="inlineStr">
        <x:is>
          <x:t xml:space="preserve">SYSTEM-TEST-ONLY-NO-NETWORK-NOT-AN-EDUCATIONAL-EVALUATION</x:t>
        </x:is>
      </x:c>
      <x:c r="AQ394" t="inlineStr">
        <x:is>
          <x:t xml:space="preserve"/>
        </x:is>
      </x:c>
      <x:c r="AR394" t="inlineStr">
        <x:is>
          <x:t xml:space="preserve">NONE</x:t>
        </x:is>
      </x:c>
      <x:c r="AS394" t="inlineStr">
        <x:is>
          <x:t xml:space="preserve"/>
        </x:is>
      </x:c>
      <x:c r="AT394" t="inlineStr">
        <x:is>
          <x:t xml:space="preserve">SUCCESS</x:t>
        </x:is>
      </x:c>
      <x:c r="AU394" t="n">
        <x:f>IF((COUNT('Quantification_Results'!AO394)=1),IFERROR(ROUND((SUM(('Quantification_Results'!AO394*'Quantification_Config'!$R$15))/SUM('Quantification_Config'!$R$15)),'Quantification_Config'!$U$2),""),"")</x:f>
        <x:v>50</x:v>
      </x:c>
      <x:c r="AV394" t="n">
        <x:f>IF((COUNT('Quantification_Results'!AU394)=1),IFERROR(ROUND((SUM(('Quantification_Results'!AU394*'Quantification_Config'!$R$14))/SUM('Quantification_Config'!$R$14)),'Quantification_Config'!$U$2),""),"")</x:f>
        <x:v>50</x:v>
      </x:c>
      <x:c r="AW394" t="n">
        <x:v>1</x:v>
      </x:c>
      <x:c r="AX394" t="n">
        <x:v>5</x:v>
      </x:c>
      <x:c r="AY394"/>
      <x:c r="AZ394" t="n">
        <x:f>IF(('Quantification_Results'!AW394&lt;&gt;1),"",IF(('Quantification_Results'!AY394=""),IF(ISNUMBER('Quantification_Results'!AX394),IF(('Quantification_Results'!AX394&lt;'Quantification_Config'!$S$19),"",IF(('Quantification_Results'!AX394&gt;'Quantification_Config'!$T$19),"",'Quantification_Results'!AX394)),""),IF(ISNUMBER('Quantification_Results'!AY394),IF(('Quantification_Results'!AY394&lt;'Quantification_Config'!$S$19),"",IF(('Quantification_Results'!AY394&gt;'Quantification_Config'!$T$19),"",'Quantification_Results'!AY394)),"")))</x:f>
        <x:v>5</x:v>
      </x:c>
      <x:c r="BA394" t="n">
        <x:f>IF(ISNUMBER('Quantification_Results'!AZ394),IFERROR(ROUND(((('Quantification_Results'!AZ394-'Quantification_Config'!$S$19)/('Quantification_Config'!$T$19-'Quantification_Config'!$S$19))*100),'Quantification_Config'!$U$2),""),"")</x:f>
        <x:v>50</x:v>
      </x:c>
      <x:c r="BB394" t="inlineStr">
        <x:is>
          <x:t xml:space="preserve">SYSTEM-TEST-ONLY-NO-NETWORK-NOT-AN-EDUCATIONAL-EVALUATION</x:t>
        </x:is>
      </x:c>
      <x:c r="BC394" t="inlineStr">
        <x:is>
          <x:t xml:space="preserve"/>
        </x:is>
      </x:c>
      <x:c r="BD394" t="inlineStr">
        <x:is>
          <x:t xml:space="preserve">NONE</x:t>
        </x:is>
      </x:c>
      <x:c r="BE394" t="inlineStr">
        <x:is>
          <x:t xml:space="preserve"/>
        </x:is>
      </x:c>
      <x:c r="BF394" t="inlineStr">
        <x:is>
          <x:t xml:space="preserve">SUCCESS</x:t>
        </x:is>
      </x:c>
      <x:c r="BG394" t="n">
        <x:f>IF((COUNT('Quantification_Results'!BA394)=1),IFERROR(ROUND((SUM(('Quantification_Results'!BA394*'Quantification_Config'!$R$19))/SUM('Quantification_Config'!$R$19)),'Quantification_Config'!$U$2),""),"")</x:f>
        <x:v>50</x:v>
      </x:c>
      <x:c r="BH394" t="n">
        <x:f>IF((COUNT('Quantification_Results'!BG394)=1),IFERROR(ROUND((SUM(('Quantification_Results'!BG394*'Quantification_Config'!$R$18))/SUM('Quantification_Config'!$R$18)),'Quantification_Config'!$U$2),""),"")</x:f>
        <x:v>50</x:v>
      </x:c>
      <x:c r="BI394" t="n">
        <x:f>IF((COUNT('Quantification_Results'!L394,'Quantification_Results'!X394,'Quantification_Results'!AJ394,'Quantification_Results'!AV394,'Quantification_Results'!BH394)=5),IFERROR(ROUND((SUM(('Quantification_Results'!L394*'Quantification_Config'!$R$4),('Quantification_Results'!X394*'Quantification_Config'!$R$7),('Quantification_Results'!AJ394*'Quantification_Config'!$R$10),('Quantification_Results'!AV394*'Quantification_Config'!$R$13),('Quantification_Results'!BH394*'Quantification_Config'!$R$16))/SUM('Quantification_Config'!$R$4,'Quantification_Config'!$R$7,'Quantification_Config'!$R$10,'Quantification_Config'!$R$13,'Quantification_Config'!$R$16)),'Quantification_Config'!$U$2),""),"")</x:f>
        <x:v>50</x:v>
      </x:c>
    </x:row>
    <x:row r="395">
      <x:c r="A395" t="n">
        <x:v>1</x:v>
      </x:c>
      <x:c r="B395" t="n">
        <x:v>5</x:v>
      </x:c>
      <x:c r="C395"/>
      <x:c r="D395" t="n">
        <x:f>IF(('Quantification_Results'!A395&lt;&gt;1),"",IF(('Quantification_Results'!C395=""),IF(ISNUMBER('Quantification_Results'!B395),IF(('Quantification_Results'!B395&lt;'Quantification_Config'!$S$6),"",IF(('Quantification_Results'!B395&gt;'Quantification_Config'!$T$6),"",'Quantification_Results'!B395)),""),IF(ISNUMBER('Quantification_Results'!C395),IF(('Quantification_Results'!C395&lt;'Quantification_Config'!$S$6),"",IF(('Quantification_Results'!C395&gt;'Quantification_Config'!$T$6),"",'Quantification_Results'!C395)),"")))</x:f>
        <x:v>5</x:v>
      </x:c>
      <x:c r="E395" t="n">
        <x:f>IF(ISNUMBER('Quantification_Results'!D395),IFERROR(ROUND(((('Quantification_Results'!D395-'Quantification_Config'!$S$6)/('Quantification_Config'!$T$6-'Quantification_Config'!$S$6))*100),'Quantification_Config'!$U$2),""),"")</x:f>
        <x:v>50</x:v>
      </x:c>
      <x:c r="F395" t="inlineStr">
        <x:is>
          <x:t xml:space="preserve">SYSTEM-TEST-ONLY-NO-NETWORK-NOT-AN-EDUCATIONAL-EVALUATION</x:t>
        </x:is>
      </x:c>
      <x:c r="G395" t="inlineStr">
        <x:is>
          <x:t xml:space="preserve"/>
        </x:is>
      </x:c>
      <x:c r="H395" t="inlineStr">
        <x:is>
          <x:t xml:space="preserve">NONE</x:t>
        </x:is>
      </x:c>
      <x:c r="I395" t="inlineStr">
        <x:is>
          <x:t xml:space="preserve"/>
        </x:is>
      </x:c>
      <x:c r="J395" t="inlineStr">
        <x:is>
          <x:t xml:space="preserve">SUCCESS</x:t>
        </x:is>
      </x:c>
      <x:c r="K395" t="n">
        <x:f>IF((COUNT('Quantification_Results'!E395)=1),IFERROR(ROUND((SUM(('Quantification_Results'!E395*'Quantification_Config'!$R$6))/SUM('Quantification_Config'!$R$6)),'Quantification_Config'!$U$2),""),"")</x:f>
        <x:v>50</x:v>
      </x:c>
      <x:c r="L395" t="n">
        <x:f>IF((COUNT('Quantification_Results'!K395)=1),IFERROR(ROUND((SUM(('Quantification_Results'!K395*'Quantification_Config'!$R$5))/SUM('Quantification_Config'!$R$5)),'Quantification_Config'!$U$2),""),"")</x:f>
        <x:v>50</x:v>
      </x:c>
      <x:c r="M395" t="n">
        <x:v>1</x:v>
      </x:c>
      <x:c r="N395" t="n">
        <x:v>5</x:v>
      </x:c>
      <x:c r="O395"/>
      <x:c r="P395" t="n">
        <x:f>IF(('Quantification_Results'!M395&lt;&gt;1),"",IF(('Quantification_Results'!O395=""),IF(ISNUMBER('Quantification_Results'!N395),IF(('Quantification_Results'!N395&lt;'Quantification_Config'!$S$9),"",IF(('Quantification_Results'!N395&gt;'Quantification_Config'!$T$9),"",'Quantification_Results'!N395)),""),IF(ISNUMBER('Quantification_Results'!O395),IF(('Quantification_Results'!O395&lt;'Quantification_Config'!$S$9),"",IF(('Quantification_Results'!O395&gt;'Quantification_Config'!$T$9),"",'Quantification_Results'!O395)),"")))</x:f>
        <x:v>5</x:v>
      </x:c>
      <x:c r="Q395" t="n">
        <x:f>IF(ISNUMBER('Quantification_Results'!P395),IFERROR(ROUND(((('Quantification_Results'!P395-'Quantification_Config'!$S$9)/('Quantification_Config'!$T$9-'Quantification_Config'!$S$9))*100),'Quantification_Config'!$U$2),""),"")</x:f>
        <x:v>50</x:v>
      </x:c>
      <x:c r="R395" t="inlineStr">
        <x:is>
          <x:t xml:space="preserve">SYSTEM-TEST-ONLY-NO-NETWORK-NOT-AN-EDUCATIONAL-EVALUATION</x:t>
        </x:is>
      </x:c>
      <x:c r="S395" t="inlineStr">
        <x:is>
          <x:t xml:space="preserve"/>
        </x:is>
      </x:c>
      <x:c r="T395" t="inlineStr">
        <x:is>
          <x:t xml:space="preserve">NONE</x:t>
        </x:is>
      </x:c>
      <x:c r="U395" t="inlineStr">
        <x:is>
          <x:t xml:space="preserve"/>
        </x:is>
      </x:c>
      <x:c r="V395" t="inlineStr">
        <x:is>
          <x:t xml:space="preserve">SUCCESS</x:t>
        </x:is>
      </x:c>
      <x:c r="W395" t="n">
        <x:f>IF((COUNT('Quantification_Results'!Q395)=1),IFERROR(ROUND((SUM(('Quantification_Results'!Q395*'Quantification_Config'!$R$9))/SUM('Quantification_Config'!$R$9)),'Quantification_Config'!$U$2),""),"")</x:f>
        <x:v>50</x:v>
      </x:c>
      <x:c r="X395" t="n">
        <x:f>IF((COUNT('Quantification_Results'!W395)=1),IFERROR(ROUND((SUM(('Quantification_Results'!W395*'Quantification_Config'!$R$8))/SUM('Quantification_Config'!$R$8)),'Quantification_Config'!$U$2),""),"")</x:f>
        <x:v>50</x:v>
      </x:c>
      <x:c r="Y395" t="n">
        <x:v>0</x:v>
      </x:c>
      <x:c r="Z395"/>
      <x:c r="AA395"/>
      <x:c r="AB395">
        <x:f>IF(('Quantification_Results'!Y395&lt;&gt;1),"",IF(('Quantification_Results'!AA395=""),IF(ISNUMBER('Quantification_Results'!Z395),IF(('Quantification_Results'!Z395&lt;'Quantification_Config'!$S$12),"",IF(('Quantification_Results'!Z395&gt;'Quantification_Config'!$T$12),"",'Quantification_Results'!Z395)),""),IF(ISNUMBER('Quantification_Results'!AA395),IF(('Quantification_Results'!AA395&lt;'Quantification_Config'!$S$12),"",IF(('Quantification_Results'!AA395&gt;'Quantification_Config'!$T$12),"",'Quantification_Results'!AA395)),"")))</x:f>
      </x:c>
      <x:c r="AC395">
        <x:f>IF(ISNUMBER('Quantification_Results'!AB395),IFERROR(ROUND(((('Quantification_Results'!AB395-'Quantification_Config'!$S$12)/('Quantification_Config'!$T$12-'Quantification_Config'!$S$12))*100),'Quantification_Config'!$U$2),""),"")</x:f>
      </x:c>
      <x:c r="AD395" t="inlineStr">
        <x:is>
          <x:t xml:space="preserve"/>
        </x:is>
      </x:c>
      <x:c r="AE395" t="inlineStr">
        <x:is>
          <x:t xml:space="preserve"/>
        </x:is>
      </x:c>
      <x:c r="AF395" t="inlineStr">
        <x:is>
          <x:t xml:space="preserve"/>
        </x:is>
      </x:c>
      <x:c r="AG395" t="inlineStr">
        <x:is>
          <x:t xml:space="preserve"/>
        </x:is>
      </x:c>
      <x:c r="AH395" t="inlineStr">
        <x:is>
          <x:t xml:space="preserve">EMPTY</x:t>
        </x:is>
      </x:c>
      <x:c r="AI395">
        <x:f>IF((COUNT('Quantification_Results'!AC395)=1),IFERROR(ROUND((SUM(('Quantification_Results'!AC395*'Quantification_Config'!$R$12))/SUM('Quantification_Config'!$R$12)),'Quantification_Config'!$U$2),""),"")</x:f>
      </x:c>
      <x:c r="AJ395">
        <x:f>IF((COUNT('Quantification_Results'!AI395)=1),IFERROR(ROUND((SUM(('Quantification_Results'!AI395*'Quantification_Config'!$R$11))/SUM('Quantification_Config'!$R$11)),'Quantification_Config'!$U$2),""),"")</x:f>
      </x:c>
      <x:c r="AK395" t="n">
        <x:v>1</x:v>
      </x:c>
      <x:c r="AL395" t="n">
        <x:v>5</x:v>
      </x:c>
      <x:c r="AM395"/>
      <x:c r="AN395" t="n">
        <x:f>IF(('Quantification_Results'!AK395&lt;&gt;1),"",IF(('Quantification_Results'!AM395=""),IF(ISNUMBER('Quantification_Results'!AL395),IF(('Quantification_Results'!AL395&lt;'Quantification_Config'!$S$15),"",IF(('Quantification_Results'!AL395&gt;'Quantification_Config'!$T$15),"",'Quantification_Results'!AL395)),""),IF(ISNUMBER('Quantification_Results'!AM395),IF(('Quantification_Results'!AM395&lt;'Quantification_Config'!$S$15),"",IF(('Quantification_Results'!AM395&gt;'Quantification_Config'!$T$15),"",'Quantification_Results'!AM395)),"")))</x:f>
        <x:v>5</x:v>
      </x:c>
      <x:c r="AO395" t="n">
        <x:f>IF(ISNUMBER('Quantification_Results'!AN395),IFERROR(ROUND(((('Quantification_Results'!AN395-'Quantification_Config'!$S$15)/('Quantification_Config'!$T$15-'Quantification_Config'!$S$15))*100),'Quantification_Config'!$U$2),""),"")</x:f>
        <x:v>50</x:v>
      </x:c>
      <x:c r="AP395" t="inlineStr">
        <x:is>
          <x:t xml:space="preserve">SYSTEM-TEST-ONLY-NO-NETWORK-NOT-AN-EDUCATIONAL-EVALUATION</x:t>
        </x:is>
      </x:c>
      <x:c r="AQ395" t="inlineStr">
        <x:is>
          <x:t xml:space="preserve"/>
        </x:is>
      </x:c>
      <x:c r="AR395" t="inlineStr">
        <x:is>
          <x:t xml:space="preserve">NONE</x:t>
        </x:is>
      </x:c>
      <x:c r="AS395" t="inlineStr">
        <x:is>
          <x:t xml:space="preserve"/>
        </x:is>
      </x:c>
      <x:c r="AT395" t="inlineStr">
        <x:is>
          <x:t xml:space="preserve">SUCCESS</x:t>
        </x:is>
      </x:c>
      <x:c r="AU395" t="n">
        <x:f>IF((COUNT('Quantification_Results'!AO395)=1),IFERROR(ROUND((SUM(('Quantification_Results'!AO395*'Quantification_Config'!$R$15))/SUM('Quantification_Config'!$R$15)),'Quantification_Config'!$U$2),""),"")</x:f>
        <x:v>50</x:v>
      </x:c>
      <x:c r="AV395" t="n">
        <x:f>IF((COUNT('Quantification_Results'!AU395)=1),IFERROR(ROUND((SUM(('Quantification_Results'!AU395*'Quantification_Config'!$R$14))/SUM('Quantification_Config'!$R$14)),'Quantification_Config'!$U$2),""),"")</x:f>
        <x:v>50</x:v>
      </x:c>
      <x:c r="AW395" t="n">
        <x:v>1</x:v>
      </x:c>
      <x:c r="AX395" t="n">
        <x:v>5</x:v>
      </x:c>
      <x:c r="AY395"/>
      <x:c r="AZ395" t="n">
        <x:f>IF(('Quantification_Results'!AW395&lt;&gt;1),"",IF(('Quantification_Results'!AY395=""),IF(ISNUMBER('Quantification_Results'!AX395),IF(('Quantification_Results'!AX395&lt;'Quantification_Config'!$S$19),"",IF(('Quantification_Results'!AX395&gt;'Quantification_Config'!$T$19),"",'Quantification_Results'!AX395)),""),IF(ISNUMBER('Quantification_Results'!AY395),IF(('Quantification_Results'!AY395&lt;'Quantification_Config'!$S$19),"",IF(('Quantification_Results'!AY395&gt;'Quantification_Config'!$T$19),"",'Quantification_Results'!AY395)),"")))</x:f>
        <x:v>5</x:v>
      </x:c>
      <x:c r="BA395" t="n">
        <x:f>IF(ISNUMBER('Quantification_Results'!AZ395),IFERROR(ROUND(((('Quantification_Results'!AZ395-'Quantification_Config'!$S$19)/('Quantification_Config'!$T$19-'Quantification_Config'!$S$19))*100),'Quantification_Config'!$U$2),""),"")</x:f>
        <x:v>50</x:v>
      </x:c>
      <x:c r="BB395" t="inlineStr">
        <x:is>
          <x:t xml:space="preserve">SYSTEM-TEST-ONLY-NO-NETWORK-NOT-AN-EDUCATIONAL-EVALUATION</x:t>
        </x:is>
      </x:c>
      <x:c r="BC395" t="inlineStr">
        <x:is>
          <x:t xml:space="preserve"/>
        </x:is>
      </x:c>
      <x:c r="BD395" t="inlineStr">
        <x:is>
          <x:t xml:space="preserve">NONE</x:t>
        </x:is>
      </x:c>
      <x:c r="BE395" t="inlineStr">
        <x:is>
          <x:t xml:space="preserve"/>
        </x:is>
      </x:c>
      <x:c r="BF395" t="inlineStr">
        <x:is>
          <x:t xml:space="preserve">SUCCESS</x:t>
        </x:is>
      </x:c>
      <x:c r="BG395" t="n">
        <x:f>IF((COUNT('Quantification_Results'!BA395)=1),IFERROR(ROUND((SUM(('Quantification_Results'!BA395*'Quantification_Config'!$R$19))/SUM('Quantification_Config'!$R$19)),'Quantification_Config'!$U$2),""),"")</x:f>
        <x:v>50</x:v>
      </x:c>
      <x:c r="BH395" t="n">
        <x:f>IF((COUNT('Quantification_Results'!BG395)=1),IFERROR(ROUND((SUM(('Quantification_Results'!BG395*'Quantification_Config'!$R$18))/SUM('Quantification_Config'!$R$18)),'Quantification_Config'!$U$2),""),"")</x:f>
        <x:v>50</x:v>
      </x:c>
      <x:c r="BI395">
        <x:f>IF((COUNT('Quantification_Results'!L395,'Quantification_Results'!X395,'Quantification_Results'!AJ395,'Quantification_Results'!AV395,'Quantification_Results'!BH395)=5),IFERROR(ROUND((SUM(('Quantification_Results'!L395*'Quantification_Config'!$R$4),('Quantification_Results'!X395*'Quantification_Config'!$R$7),('Quantification_Results'!AJ395*'Quantification_Config'!$R$10),('Quantification_Results'!AV395*'Quantification_Config'!$R$13),('Quantification_Results'!BH395*'Quantification_Config'!$R$16))/SUM('Quantification_Config'!$R$4,'Quantification_Config'!$R$7,'Quantification_Config'!$R$10,'Quantification_Config'!$R$13,'Quantification_Config'!$R$16)),'Quantification_Config'!$U$2),""),"")</x:f>
      </x:c>
    </x:row>
    <x:row r="396">
      <x:c r="A396" t="n">
        <x:v>1</x:v>
      </x:c>
      <x:c r="B396" t="n">
        <x:v>5</x:v>
      </x:c>
      <x:c r="C396"/>
      <x:c r="D396" t="n">
        <x:f>IF(('Quantification_Results'!A396&lt;&gt;1),"",IF(('Quantification_Results'!C396=""),IF(ISNUMBER('Quantification_Results'!B396),IF(('Quantification_Results'!B396&lt;'Quantification_Config'!$S$6),"",IF(('Quantification_Results'!B396&gt;'Quantification_Config'!$T$6),"",'Quantification_Results'!B396)),""),IF(ISNUMBER('Quantification_Results'!C396),IF(('Quantification_Results'!C396&lt;'Quantification_Config'!$S$6),"",IF(('Quantification_Results'!C396&gt;'Quantification_Config'!$T$6),"",'Quantification_Results'!C396)),"")))</x:f>
        <x:v>5</x:v>
      </x:c>
      <x:c r="E396" t="n">
        <x:f>IF(ISNUMBER('Quantification_Results'!D396),IFERROR(ROUND(((('Quantification_Results'!D396-'Quantification_Config'!$S$6)/('Quantification_Config'!$T$6-'Quantification_Config'!$S$6))*100),'Quantification_Config'!$U$2),""),"")</x:f>
        <x:v>50</x:v>
      </x:c>
      <x:c r="F396" t="inlineStr">
        <x:is>
          <x:t xml:space="preserve">SYSTEM-TEST-ONLY-NO-NETWORK-NOT-AN-EDUCATIONAL-EVALUATION</x:t>
        </x:is>
      </x:c>
      <x:c r="G396" t="inlineStr">
        <x:is>
          <x:t xml:space="preserve"/>
        </x:is>
      </x:c>
      <x:c r="H396" t="inlineStr">
        <x:is>
          <x:t xml:space="preserve">NONE</x:t>
        </x:is>
      </x:c>
      <x:c r="I396" t="inlineStr">
        <x:is>
          <x:t xml:space="preserve"/>
        </x:is>
      </x:c>
      <x:c r="J396" t="inlineStr">
        <x:is>
          <x:t xml:space="preserve">SUCCESS</x:t>
        </x:is>
      </x:c>
      <x:c r="K396" t="n">
        <x:f>IF((COUNT('Quantification_Results'!E396)=1),IFERROR(ROUND((SUM(('Quantification_Results'!E396*'Quantification_Config'!$R$6))/SUM('Quantification_Config'!$R$6)),'Quantification_Config'!$U$2),""),"")</x:f>
        <x:v>50</x:v>
      </x:c>
      <x:c r="L396" t="n">
        <x:f>IF((COUNT('Quantification_Results'!K396)=1),IFERROR(ROUND((SUM(('Quantification_Results'!K396*'Quantification_Config'!$R$5))/SUM('Quantification_Config'!$R$5)),'Quantification_Config'!$U$2),""),"")</x:f>
        <x:v>50</x:v>
      </x:c>
      <x:c r="M396" t="n">
        <x:v>0</x:v>
      </x:c>
      <x:c r="N396"/>
      <x:c r="O396"/>
      <x:c r="P396">
        <x:f>IF(('Quantification_Results'!M396&lt;&gt;1),"",IF(('Quantification_Results'!O396=""),IF(ISNUMBER('Quantification_Results'!N396),IF(('Quantification_Results'!N396&lt;'Quantification_Config'!$S$9),"",IF(('Quantification_Results'!N396&gt;'Quantification_Config'!$T$9),"",'Quantification_Results'!N396)),""),IF(ISNUMBER('Quantification_Results'!O396),IF(('Quantification_Results'!O396&lt;'Quantification_Config'!$S$9),"",IF(('Quantification_Results'!O396&gt;'Quantification_Config'!$T$9),"",'Quantification_Results'!O396)),"")))</x:f>
      </x:c>
      <x:c r="Q396">
        <x:f>IF(ISNUMBER('Quantification_Results'!P396),IFERROR(ROUND(((('Quantification_Results'!P396-'Quantification_Config'!$S$9)/('Quantification_Config'!$T$9-'Quantification_Config'!$S$9))*100),'Quantification_Config'!$U$2),""),"")</x:f>
      </x:c>
      <x:c r="R396" t="inlineStr">
        <x:is>
          <x:t xml:space="preserve"/>
        </x:is>
      </x:c>
      <x:c r="S396" t="inlineStr">
        <x:is>
          <x:t xml:space="preserve"/>
        </x:is>
      </x:c>
      <x:c r="T396" t="inlineStr">
        <x:is>
          <x:t xml:space="preserve"/>
        </x:is>
      </x:c>
      <x:c r="U396" t="inlineStr">
        <x:is>
          <x:t xml:space="preserve"/>
        </x:is>
      </x:c>
      <x:c r="V396" t="inlineStr">
        <x:is>
          <x:t xml:space="preserve">EMPTY</x:t>
        </x:is>
      </x:c>
      <x:c r="W396">
        <x:f>IF((COUNT('Quantification_Results'!Q396)=1),IFERROR(ROUND((SUM(('Quantification_Results'!Q396*'Quantification_Config'!$R$9))/SUM('Quantification_Config'!$R$9)),'Quantification_Config'!$U$2),""),"")</x:f>
      </x:c>
      <x:c r="X396">
        <x:f>IF((COUNT('Quantification_Results'!W396)=1),IFERROR(ROUND((SUM(('Quantification_Results'!W396*'Quantification_Config'!$R$8))/SUM('Quantification_Config'!$R$8)),'Quantification_Config'!$U$2),""),"")</x:f>
      </x:c>
      <x:c r="Y396" t="n">
        <x:v>1</x:v>
      </x:c>
      <x:c r="Z396" t="n">
        <x:v>5</x:v>
      </x:c>
      <x:c r="AA396"/>
      <x:c r="AB396" t="n">
        <x:f>IF(('Quantification_Results'!Y396&lt;&gt;1),"",IF(('Quantification_Results'!AA396=""),IF(ISNUMBER('Quantification_Results'!Z396),IF(('Quantification_Results'!Z396&lt;'Quantification_Config'!$S$12),"",IF(('Quantification_Results'!Z396&gt;'Quantification_Config'!$T$12),"",'Quantification_Results'!Z396)),""),IF(ISNUMBER('Quantification_Results'!AA396),IF(('Quantification_Results'!AA396&lt;'Quantification_Config'!$S$12),"",IF(('Quantification_Results'!AA396&gt;'Quantification_Config'!$T$12),"",'Quantification_Results'!AA396)),"")))</x:f>
        <x:v>5</x:v>
      </x:c>
      <x:c r="AC396" t="n">
        <x:f>IF(ISNUMBER('Quantification_Results'!AB396),IFERROR(ROUND(((('Quantification_Results'!AB396-'Quantification_Config'!$S$12)/('Quantification_Config'!$T$12-'Quantification_Config'!$S$12))*100),'Quantification_Config'!$U$2),""),"")</x:f>
        <x:v>50</x:v>
      </x:c>
      <x:c r="AD396" t="inlineStr">
        <x:is>
          <x:t xml:space="preserve">SYSTEM-TEST-ONLY-NO-NETWORK-NOT-AN-EDUCATIONAL-EVALUATION</x:t>
        </x:is>
      </x:c>
      <x:c r="AE396" t="inlineStr">
        <x:is>
          <x:t xml:space="preserve"/>
        </x:is>
      </x:c>
      <x:c r="AF396" t="inlineStr">
        <x:is>
          <x:t xml:space="preserve">NONE</x:t>
        </x:is>
      </x:c>
      <x:c r="AG396" t="inlineStr">
        <x:is>
          <x:t xml:space="preserve"/>
        </x:is>
      </x:c>
      <x:c r="AH396" t="inlineStr">
        <x:is>
          <x:t xml:space="preserve">SUCCESS</x:t>
        </x:is>
      </x:c>
      <x:c r="AI396" t="n">
        <x:f>IF((COUNT('Quantification_Results'!AC396)=1),IFERROR(ROUND((SUM(('Quantification_Results'!AC396*'Quantification_Config'!$R$12))/SUM('Quantification_Config'!$R$12)),'Quantification_Config'!$U$2),""),"")</x:f>
        <x:v>50</x:v>
      </x:c>
      <x:c r="AJ396" t="n">
        <x:f>IF((COUNT('Quantification_Results'!AI396)=1),IFERROR(ROUND((SUM(('Quantification_Results'!AI396*'Quantification_Config'!$R$11))/SUM('Quantification_Config'!$R$11)),'Quantification_Config'!$U$2),""),"")</x:f>
        <x:v>50</x:v>
      </x:c>
      <x:c r="AK396" t="n">
        <x:v>1</x:v>
      </x:c>
      <x:c r="AL396" t="n">
        <x:v>5</x:v>
      </x:c>
      <x:c r="AM396"/>
      <x:c r="AN396" t="n">
        <x:f>IF(('Quantification_Results'!AK396&lt;&gt;1),"",IF(('Quantification_Results'!AM396=""),IF(ISNUMBER('Quantification_Results'!AL396),IF(('Quantification_Results'!AL396&lt;'Quantification_Config'!$S$15),"",IF(('Quantification_Results'!AL396&gt;'Quantification_Config'!$T$15),"",'Quantification_Results'!AL396)),""),IF(ISNUMBER('Quantification_Results'!AM396),IF(('Quantification_Results'!AM396&lt;'Quantification_Config'!$S$15),"",IF(('Quantification_Results'!AM396&gt;'Quantification_Config'!$T$15),"",'Quantification_Results'!AM396)),"")))</x:f>
        <x:v>5</x:v>
      </x:c>
      <x:c r="AO396" t="n">
        <x:f>IF(ISNUMBER('Quantification_Results'!AN396),IFERROR(ROUND(((('Quantification_Results'!AN396-'Quantification_Config'!$S$15)/('Quantification_Config'!$T$15-'Quantification_Config'!$S$15))*100),'Quantification_Config'!$U$2),""),"")</x:f>
        <x:v>50</x:v>
      </x:c>
      <x:c r="AP396" t="inlineStr">
        <x:is>
          <x:t xml:space="preserve">SYSTEM-TEST-ONLY-NO-NETWORK-NOT-AN-EDUCATIONAL-EVALUATION</x:t>
        </x:is>
      </x:c>
      <x:c r="AQ396" t="inlineStr">
        <x:is>
          <x:t xml:space="preserve"/>
        </x:is>
      </x:c>
      <x:c r="AR396" t="inlineStr">
        <x:is>
          <x:t xml:space="preserve">NONE</x:t>
        </x:is>
      </x:c>
      <x:c r="AS396" t="inlineStr">
        <x:is>
          <x:t xml:space="preserve"/>
        </x:is>
      </x:c>
      <x:c r="AT396" t="inlineStr">
        <x:is>
          <x:t xml:space="preserve">SUCCESS</x:t>
        </x:is>
      </x:c>
      <x:c r="AU396" t="n">
        <x:f>IF((COUNT('Quantification_Results'!AO396)=1),IFERROR(ROUND((SUM(('Quantification_Results'!AO396*'Quantification_Config'!$R$15))/SUM('Quantification_Config'!$R$15)),'Quantification_Config'!$U$2),""),"")</x:f>
        <x:v>50</x:v>
      </x:c>
      <x:c r="AV396" t="n">
        <x:f>IF((COUNT('Quantification_Results'!AU396)=1),IFERROR(ROUND((SUM(('Quantification_Results'!AU396*'Quantification_Config'!$R$14))/SUM('Quantification_Config'!$R$14)),'Quantification_Config'!$U$2),""),"")</x:f>
        <x:v>50</x:v>
      </x:c>
      <x:c r="AW396" t="n">
        <x:v>0</x:v>
      </x:c>
      <x:c r="AX396"/>
      <x:c r="AY396"/>
      <x:c r="AZ396">
        <x:f>IF(('Quantification_Results'!AW396&lt;&gt;1),"",IF(('Quantification_Results'!AY396=""),IF(ISNUMBER('Quantification_Results'!AX396),IF(('Quantification_Results'!AX396&lt;'Quantification_Config'!$S$19),"",IF(('Quantification_Results'!AX396&gt;'Quantification_Config'!$T$19),"",'Quantification_Results'!AX396)),""),IF(ISNUMBER('Quantification_Results'!AY396),IF(('Quantification_Results'!AY396&lt;'Quantification_Config'!$S$19),"",IF(('Quantification_Results'!AY396&gt;'Quantification_Config'!$T$19),"",'Quantification_Results'!AY396)),"")))</x:f>
      </x:c>
      <x:c r="BA396">
        <x:f>IF(ISNUMBER('Quantification_Results'!AZ396),IFERROR(ROUND(((('Quantification_Results'!AZ396-'Quantification_Config'!$S$19)/('Quantification_Config'!$T$19-'Quantification_Config'!$S$19))*100),'Quantification_Config'!$U$2),""),"")</x:f>
      </x:c>
      <x:c r="BB396" t="inlineStr">
        <x:is>
          <x:t xml:space="preserve"/>
        </x:is>
      </x:c>
      <x:c r="BC396" t="inlineStr">
        <x:is>
          <x:t xml:space="preserve"/>
        </x:is>
      </x:c>
      <x:c r="BD396" t="inlineStr">
        <x:is>
          <x:t xml:space="preserve"/>
        </x:is>
      </x:c>
      <x:c r="BE396" t="inlineStr">
        <x:is>
          <x:t xml:space="preserve"/>
        </x:is>
      </x:c>
      <x:c r="BF396" t="inlineStr">
        <x:is>
          <x:t xml:space="preserve">EMPTY</x:t>
        </x:is>
      </x:c>
      <x:c r="BG396">
        <x:f>IF((COUNT('Quantification_Results'!BA396)=1),IFERROR(ROUND((SUM(('Quantification_Results'!BA396*'Quantification_Config'!$R$19))/SUM('Quantification_Config'!$R$19)),'Quantification_Config'!$U$2),""),"")</x:f>
      </x:c>
      <x:c r="BH396">
        <x:f>IF((COUNT('Quantification_Results'!BG396)=1),IFERROR(ROUND((SUM(('Quantification_Results'!BG396*'Quantification_Config'!$R$18))/SUM('Quantification_Config'!$R$18)),'Quantification_Config'!$U$2),""),"")</x:f>
      </x:c>
      <x:c r="BI396">
        <x:f>IF((COUNT('Quantification_Results'!L396,'Quantification_Results'!X396,'Quantification_Results'!AJ396,'Quantification_Results'!AV396,'Quantification_Results'!BH396)=5),IFERROR(ROUND((SUM(('Quantification_Results'!L396*'Quantification_Config'!$R$4),('Quantification_Results'!X396*'Quantification_Config'!$R$7),('Quantification_Results'!AJ396*'Quantification_Config'!$R$10),('Quantification_Results'!AV396*'Quantification_Config'!$R$13),('Quantification_Results'!BH396*'Quantification_Config'!$R$16))/SUM('Quantification_Config'!$R$4,'Quantification_Config'!$R$7,'Quantification_Config'!$R$10,'Quantification_Config'!$R$13,'Quantification_Config'!$R$16)),'Quantification_Config'!$U$2),""),"")</x:f>
      </x:c>
    </x:row>
    <x:row r="397">
      <x:c r="A397" t="n">
        <x:v>1</x:v>
      </x:c>
      <x:c r="B397" t="n">
        <x:v>5</x:v>
      </x:c>
      <x:c r="C397"/>
      <x:c r="D397" t="n">
        <x:f>IF(('Quantification_Results'!A397&lt;&gt;1),"",IF(('Quantification_Results'!C397=""),IF(ISNUMBER('Quantification_Results'!B397),IF(('Quantification_Results'!B397&lt;'Quantification_Config'!$S$6),"",IF(('Quantification_Results'!B397&gt;'Quantification_Config'!$T$6),"",'Quantification_Results'!B397)),""),IF(ISNUMBER('Quantification_Results'!C397),IF(('Quantification_Results'!C397&lt;'Quantification_Config'!$S$6),"",IF(('Quantification_Results'!C397&gt;'Quantification_Config'!$T$6),"",'Quantification_Results'!C397)),"")))</x:f>
        <x:v>5</x:v>
      </x:c>
      <x:c r="E397" t="n">
        <x:f>IF(ISNUMBER('Quantification_Results'!D397),IFERROR(ROUND(((('Quantification_Results'!D397-'Quantification_Config'!$S$6)/('Quantification_Config'!$T$6-'Quantification_Config'!$S$6))*100),'Quantification_Config'!$U$2),""),"")</x:f>
        <x:v>50</x:v>
      </x:c>
      <x:c r="F397" t="inlineStr">
        <x:is>
          <x:t xml:space="preserve">SYSTEM-TEST-ONLY-NO-NETWORK-NOT-AN-EDUCATIONAL-EVALUATION</x:t>
        </x:is>
      </x:c>
      <x:c r="G397" t="inlineStr">
        <x:is>
          <x:t xml:space="preserve"/>
        </x:is>
      </x:c>
      <x:c r="H397" t="inlineStr">
        <x:is>
          <x:t xml:space="preserve">NONE</x:t>
        </x:is>
      </x:c>
      <x:c r="I397" t="inlineStr">
        <x:is>
          <x:t xml:space="preserve"/>
        </x:is>
      </x:c>
      <x:c r="J397" t="inlineStr">
        <x:is>
          <x:t xml:space="preserve">SUCCESS</x:t>
        </x:is>
      </x:c>
      <x:c r="K397" t="n">
        <x:f>IF((COUNT('Quantification_Results'!E397)=1),IFERROR(ROUND((SUM(('Quantification_Results'!E397*'Quantification_Config'!$R$6))/SUM('Quantification_Config'!$R$6)),'Quantification_Config'!$U$2),""),"")</x:f>
        <x:v>50</x:v>
      </x:c>
      <x:c r="L397" t="n">
        <x:f>IF((COUNT('Quantification_Results'!K397)=1),IFERROR(ROUND((SUM(('Quantification_Results'!K397*'Quantification_Config'!$R$5))/SUM('Quantification_Config'!$R$5)),'Quantification_Config'!$U$2),""),"")</x:f>
        <x:v>50</x:v>
      </x:c>
      <x:c r="M397" t="n">
        <x:v>1</x:v>
      </x:c>
      <x:c r="N397" t="n">
        <x:v>5</x:v>
      </x:c>
      <x:c r="O397"/>
      <x:c r="P397" t="n">
        <x:f>IF(('Quantification_Results'!M397&lt;&gt;1),"",IF(('Quantification_Results'!O397=""),IF(ISNUMBER('Quantification_Results'!N397),IF(('Quantification_Results'!N397&lt;'Quantification_Config'!$S$9),"",IF(('Quantification_Results'!N397&gt;'Quantification_Config'!$T$9),"",'Quantification_Results'!N397)),""),IF(ISNUMBER('Quantification_Results'!O397),IF(('Quantification_Results'!O397&lt;'Quantification_Config'!$S$9),"",IF(('Quantification_Results'!O397&gt;'Quantification_Config'!$T$9),"",'Quantification_Results'!O397)),"")))</x:f>
        <x:v>5</x:v>
      </x:c>
      <x:c r="Q397" t="n">
        <x:f>IF(ISNUMBER('Quantification_Results'!P397),IFERROR(ROUND(((('Quantification_Results'!P397-'Quantification_Config'!$S$9)/('Quantification_Config'!$T$9-'Quantification_Config'!$S$9))*100),'Quantification_Config'!$U$2),""),"")</x:f>
        <x:v>50</x:v>
      </x:c>
      <x:c r="R397" t="inlineStr">
        <x:is>
          <x:t xml:space="preserve">SYSTEM-TEST-ONLY-NO-NETWORK-NOT-AN-EDUCATIONAL-EVALUATION</x:t>
        </x:is>
      </x:c>
      <x:c r="S397" t="inlineStr">
        <x:is>
          <x:t xml:space="preserve"/>
        </x:is>
      </x:c>
      <x:c r="T397" t="inlineStr">
        <x:is>
          <x:t xml:space="preserve">NONE</x:t>
        </x:is>
      </x:c>
      <x:c r="U397" t="inlineStr">
        <x:is>
          <x:t xml:space="preserve"/>
        </x:is>
      </x:c>
      <x:c r="V397" t="inlineStr">
        <x:is>
          <x:t xml:space="preserve">SUCCESS</x:t>
        </x:is>
      </x:c>
      <x:c r="W397" t="n">
        <x:f>IF((COUNT('Quantification_Results'!Q397)=1),IFERROR(ROUND((SUM(('Quantification_Results'!Q397*'Quantification_Config'!$R$9))/SUM('Quantification_Config'!$R$9)),'Quantification_Config'!$U$2),""),"")</x:f>
        <x:v>50</x:v>
      </x:c>
      <x:c r="X397" t="n">
        <x:f>IF((COUNT('Quantification_Results'!W397)=1),IFERROR(ROUND((SUM(('Quantification_Results'!W397*'Quantification_Config'!$R$8))/SUM('Quantification_Config'!$R$8)),'Quantification_Config'!$U$2),""),"")</x:f>
        <x:v>50</x:v>
      </x:c>
      <x:c r="Y397" t="n">
        <x:v>0</x:v>
      </x:c>
      <x:c r="Z397"/>
      <x:c r="AA397"/>
      <x:c r="AB397">
        <x:f>IF(('Quantification_Results'!Y397&lt;&gt;1),"",IF(('Quantification_Results'!AA397=""),IF(ISNUMBER('Quantification_Results'!Z397),IF(('Quantification_Results'!Z397&lt;'Quantification_Config'!$S$12),"",IF(('Quantification_Results'!Z397&gt;'Quantification_Config'!$T$12),"",'Quantification_Results'!Z397)),""),IF(ISNUMBER('Quantification_Results'!AA397),IF(('Quantification_Results'!AA397&lt;'Quantification_Config'!$S$12),"",IF(('Quantification_Results'!AA397&gt;'Quantification_Config'!$T$12),"",'Quantification_Results'!AA397)),"")))</x:f>
      </x:c>
      <x:c r="AC397">
        <x:f>IF(ISNUMBER('Quantification_Results'!AB397),IFERROR(ROUND(((('Quantification_Results'!AB397-'Quantification_Config'!$S$12)/('Quantification_Config'!$T$12-'Quantification_Config'!$S$12))*100),'Quantification_Config'!$U$2),""),"")</x:f>
      </x:c>
      <x:c r="AD397" t="inlineStr">
        <x:is>
          <x:t xml:space="preserve"/>
        </x:is>
      </x:c>
      <x:c r="AE397" t="inlineStr">
        <x:is>
          <x:t xml:space="preserve"/>
        </x:is>
      </x:c>
      <x:c r="AF397" t="inlineStr">
        <x:is>
          <x:t xml:space="preserve"/>
        </x:is>
      </x:c>
      <x:c r="AG397" t="inlineStr">
        <x:is>
          <x:t xml:space="preserve"/>
        </x:is>
      </x:c>
      <x:c r="AH397" t="inlineStr">
        <x:is>
          <x:t xml:space="preserve">EMPTY</x:t>
        </x:is>
      </x:c>
      <x:c r="AI397">
        <x:f>IF((COUNT('Quantification_Results'!AC397)=1),IFERROR(ROUND((SUM(('Quantification_Results'!AC397*'Quantification_Config'!$R$12))/SUM('Quantification_Config'!$R$12)),'Quantification_Config'!$U$2),""),"")</x:f>
      </x:c>
      <x:c r="AJ397">
        <x:f>IF((COUNT('Quantification_Results'!AI397)=1),IFERROR(ROUND((SUM(('Quantification_Results'!AI397*'Quantification_Config'!$R$11))/SUM('Quantification_Config'!$R$11)),'Quantification_Config'!$U$2),""),"")</x:f>
      </x:c>
      <x:c r="AK397" t="n">
        <x:v>1</x:v>
      </x:c>
      <x:c r="AL397" t="n">
        <x:v>5</x:v>
      </x:c>
      <x:c r="AM397"/>
      <x:c r="AN397" t="n">
        <x:f>IF(('Quantification_Results'!AK397&lt;&gt;1),"",IF(('Quantification_Results'!AM397=""),IF(ISNUMBER('Quantification_Results'!AL397),IF(('Quantification_Results'!AL397&lt;'Quantification_Config'!$S$15),"",IF(('Quantification_Results'!AL397&gt;'Quantification_Config'!$T$15),"",'Quantification_Results'!AL397)),""),IF(ISNUMBER('Quantification_Results'!AM397),IF(('Quantification_Results'!AM397&lt;'Quantification_Config'!$S$15),"",IF(('Quantification_Results'!AM397&gt;'Quantification_Config'!$T$15),"",'Quantification_Results'!AM397)),"")))</x:f>
        <x:v>5</x:v>
      </x:c>
      <x:c r="AO397" t="n">
        <x:f>IF(ISNUMBER('Quantification_Results'!AN397),IFERROR(ROUND(((('Quantification_Results'!AN397-'Quantification_Config'!$S$15)/('Quantification_Config'!$T$15-'Quantification_Config'!$S$15))*100),'Quantification_Config'!$U$2),""),"")</x:f>
        <x:v>50</x:v>
      </x:c>
      <x:c r="AP397" t="inlineStr">
        <x:is>
          <x:t xml:space="preserve">SYSTEM-TEST-ONLY-NO-NETWORK-NOT-AN-EDUCATIONAL-EVALUATION</x:t>
        </x:is>
      </x:c>
      <x:c r="AQ397" t="inlineStr">
        <x:is>
          <x:t xml:space="preserve"/>
        </x:is>
      </x:c>
      <x:c r="AR397" t="inlineStr">
        <x:is>
          <x:t xml:space="preserve">NONE</x:t>
        </x:is>
      </x:c>
      <x:c r="AS397" t="inlineStr">
        <x:is>
          <x:t xml:space="preserve"/>
        </x:is>
      </x:c>
      <x:c r="AT397" t="inlineStr">
        <x:is>
          <x:t xml:space="preserve">SUCCESS</x:t>
        </x:is>
      </x:c>
      <x:c r="AU397" t="n">
        <x:f>IF((COUNT('Quantification_Results'!AO397)=1),IFERROR(ROUND((SUM(('Quantification_Results'!AO397*'Quantification_Config'!$R$15))/SUM('Quantification_Config'!$R$15)),'Quantification_Config'!$U$2),""),"")</x:f>
        <x:v>50</x:v>
      </x:c>
      <x:c r="AV397" t="n">
        <x:f>IF((COUNT('Quantification_Results'!AU397)=1),IFERROR(ROUND((SUM(('Quantification_Results'!AU397*'Quantification_Config'!$R$14))/SUM('Quantification_Config'!$R$14)),'Quantification_Config'!$U$2),""),"")</x:f>
        <x:v>50</x:v>
      </x:c>
      <x:c r="AW397" t="n">
        <x:v>1</x:v>
      </x:c>
      <x:c r="AX397" t="n">
        <x:v>5</x:v>
      </x:c>
      <x:c r="AY397"/>
      <x:c r="AZ397" t="n">
        <x:f>IF(('Quantification_Results'!AW397&lt;&gt;1),"",IF(('Quantification_Results'!AY397=""),IF(ISNUMBER('Quantification_Results'!AX397),IF(('Quantification_Results'!AX397&lt;'Quantification_Config'!$S$19),"",IF(('Quantification_Results'!AX397&gt;'Quantification_Config'!$T$19),"",'Quantification_Results'!AX397)),""),IF(ISNUMBER('Quantification_Results'!AY397),IF(('Quantification_Results'!AY397&lt;'Quantification_Config'!$S$19),"",IF(('Quantification_Results'!AY397&gt;'Quantification_Config'!$T$19),"",'Quantification_Results'!AY397)),"")))</x:f>
        <x:v>5</x:v>
      </x:c>
      <x:c r="BA397" t="n">
        <x:f>IF(ISNUMBER('Quantification_Results'!AZ397),IFERROR(ROUND(((('Quantification_Results'!AZ397-'Quantification_Config'!$S$19)/('Quantification_Config'!$T$19-'Quantification_Config'!$S$19))*100),'Quantification_Config'!$U$2),""),"")</x:f>
        <x:v>50</x:v>
      </x:c>
      <x:c r="BB397" t="inlineStr">
        <x:is>
          <x:t xml:space="preserve">SYSTEM-TEST-ONLY-NO-NETWORK-NOT-AN-EDUCATIONAL-EVALUATION</x:t>
        </x:is>
      </x:c>
      <x:c r="BC397" t="inlineStr">
        <x:is>
          <x:t xml:space="preserve"/>
        </x:is>
      </x:c>
      <x:c r="BD397" t="inlineStr">
        <x:is>
          <x:t xml:space="preserve">NONE</x:t>
        </x:is>
      </x:c>
      <x:c r="BE397" t="inlineStr">
        <x:is>
          <x:t xml:space="preserve"/>
        </x:is>
      </x:c>
      <x:c r="BF397" t="inlineStr">
        <x:is>
          <x:t xml:space="preserve">SUCCESS</x:t>
        </x:is>
      </x:c>
      <x:c r="BG397" t="n">
        <x:f>IF((COUNT('Quantification_Results'!BA397)=1),IFERROR(ROUND((SUM(('Quantification_Results'!BA397*'Quantification_Config'!$R$19))/SUM('Quantification_Config'!$R$19)),'Quantification_Config'!$U$2),""),"")</x:f>
        <x:v>50</x:v>
      </x:c>
      <x:c r="BH397" t="n">
        <x:f>IF((COUNT('Quantification_Results'!BG397)=1),IFERROR(ROUND((SUM(('Quantification_Results'!BG397*'Quantification_Config'!$R$18))/SUM('Quantification_Config'!$R$18)),'Quantification_Config'!$U$2),""),"")</x:f>
        <x:v>50</x:v>
      </x:c>
      <x:c r="BI397">
        <x:f>IF((COUNT('Quantification_Results'!L397,'Quantification_Results'!X397,'Quantification_Results'!AJ397,'Quantification_Results'!AV397,'Quantification_Results'!BH397)=5),IFERROR(ROUND((SUM(('Quantification_Results'!L397*'Quantification_Config'!$R$4),('Quantification_Results'!X397*'Quantification_Config'!$R$7),('Quantification_Results'!AJ397*'Quantification_Config'!$R$10),('Quantification_Results'!AV397*'Quantification_Config'!$R$13),('Quantification_Results'!BH397*'Quantification_Config'!$R$16))/SUM('Quantification_Config'!$R$4,'Quantification_Config'!$R$7,'Quantification_Config'!$R$10,'Quantification_Config'!$R$13,'Quantification_Config'!$R$16)),'Quantification_Config'!$U$2),""),"")</x:f>
      </x:c>
    </x:row>
    <x:row r="398">
      <x:c r="A398" t="n">
        <x:v>1</x:v>
      </x:c>
      <x:c r="B398" t="n">
        <x:v>5</x:v>
      </x:c>
      <x:c r="C398"/>
      <x:c r="D398" t="n">
        <x:f>IF(('Quantification_Results'!A398&lt;&gt;1),"",IF(('Quantification_Results'!C398=""),IF(ISNUMBER('Quantification_Results'!B398),IF(('Quantification_Results'!B398&lt;'Quantification_Config'!$S$6),"",IF(('Quantification_Results'!B398&gt;'Quantification_Config'!$T$6),"",'Quantification_Results'!B398)),""),IF(ISNUMBER('Quantification_Results'!C398),IF(('Quantification_Results'!C398&lt;'Quantification_Config'!$S$6),"",IF(('Quantification_Results'!C398&gt;'Quantification_Config'!$T$6),"",'Quantification_Results'!C398)),"")))</x:f>
        <x:v>5</x:v>
      </x:c>
      <x:c r="E398" t="n">
        <x:f>IF(ISNUMBER('Quantification_Results'!D398),IFERROR(ROUND(((('Quantification_Results'!D398-'Quantification_Config'!$S$6)/('Quantification_Config'!$T$6-'Quantification_Config'!$S$6))*100),'Quantification_Config'!$U$2),""),"")</x:f>
        <x:v>50</x:v>
      </x:c>
      <x:c r="F398" t="inlineStr">
        <x:is>
          <x:t xml:space="preserve">SYSTEM-TEST-ONLY-NO-NETWORK-NOT-AN-EDUCATIONAL-EVALUATION</x:t>
        </x:is>
      </x:c>
      <x:c r="G398" t="inlineStr">
        <x:is>
          <x:t xml:space="preserve"/>
        </x:is>
      </x:c>
      <x:c r="H398" t="inlineStr">
        <x:is>
          <x:t xml:space="preserve">NONE</x:t>
        </x:is>
      </x:c>
      <x:c r="I398" t="inlineStr">
        <x:is>
          <x:t xml:space="preserve"/>
        </x:is>
      </x:c>
      <x:c r="J398" t="inlineStr">
        <x:is>
          <x:t xml:space="preserve">SUCCESS</x:t>
        </x:is>
      </x:c>
      <x:c r="K398" t="n">
        <x:f>IF((COUNT('Quantification_Results'!E398)=1),IFERROR(ROUND((SUM(('Quantification_Results'!E398*'Quantification_Config'!$R$6))/SUM('Quantification_Config'!$R$6)),'Quantification_Config'!$U$2),""),"")</x:f>
        <x:v>50</x:v>
      </x:c>
      <x:c r="L398" t="n">
        <x:f>IF((COUNT('Quantification_Results'!K398)=1),IFERROR(ROUND((SUM(('Quantification_Results'!K398*'Quantification_Config'!$R$5))/SUM('Quantification_Config'!$R$5)),'Quantification_Config'!$U$2),""),"")</x:f>
        <x:v>50</x:v>
      </x:c>
      <x:c r="M398" t="n">
        <x:v>0</x:v>
      </x:c>
      <x:c r="N398"/>
      <x:c r="O398"/>
      <x:c r="P398">
        <x:f>IF(('Quantification_Results'!M398&lt;&gt;1),"",IF(('Quantification_Results'!O398=""),IF(ISNUMBER('Quantification_Results'!N398),IF(('Quantification_Results'!N398&lt;'Quantification_Config'!$S$9),"",IF(('Quantification_Results'!N398&gt;'Quantification_Config'!$T$9),"",'Quantification_Results'!N398)),""),IF(ISNUMBER('Quantification_Results'!O398),IF(('Quantification_Results'!O398&lt;'Quantification_Config'!$S$9),"",IF(('Quantification_Results'!O398&gt;'Quantification_Config'!$T$9),"",'Quantification_Results'!O398)),"")))</x:f>
      </x:c>
      <x:c r="Q398">
        <x:f>IF(ISNUMBER('Quantification_Results'!P398),IFERROR(ROUND(((('Quantification_Results'!P398-'Quantification_Config'!$S$9)/('Quantification_Config'!$T$9-'Quantification_Config'!$S$9))*100),'Quantification_Config'!$U$2),""),"")</x:f>
      </x:c>
      <x:c r="R398" t="inlineStr">
        <x:is>
          <x:t xml:space="preserve"/>
        </x:is>
      </x:c>
      <x:c r="S398" t="inlineStr">
        <x:is>
          <x:t xml:space="preserve"/>
        </x:is>
      </x:c>
      <x:c r="T398" t="inlineStr">
        <x:is>
          <x:t xml:space="preserve"/>
        </x:is>
      </x:c>
      <x:c r="U398" t="inlineStr">
        <x:is>
          <x:t xml:space="preserve"/>
        </x:is>
      </x:c>
      <x:c r="V398" t="inlineStr">
        <x:is>
          <x:t xml:space="preserve">EMPTY</x:t>
        </x:is>
      </x:c>
      <x:c r="W398">
        <x:f>IF((COUNT('Quantification_Results'!Q398)=1),IFERROR(ROUND((SUM(('Quantification_Results'!Q398*'Quantification_Config'!$R$9))/SUM('Quantification_Config'!$R$9)),'Quantification_Config'!$U$2),""),"")</x:f>
      </x:c>
      <x:c r="X398">
        <x:f>IF((COUNT('Quantification_Results'!W398)=1),IFERROR(ROUND((SUM(('Quantification_Results'!W398*'Quantification_Config'!$R$8))/SUM('Quantification_Config'!$R$8)),'Quantification_Config'!$U$2),""),"")</x:f>
      </x:c>
      <x:c r="Y398" t="n">
        <x:v>0</x:v>
      </x:c>
      <x:c r="Z398"/>
      <x:c r="AA398"/>
      <x:c r="AB398">
        <x:f>IF(('Quantification_Results'!Y398&lt;&gt;1),"",IF(('Quantification_Results'!AA398=""),IF(ISNUMBER('Quantification_Results'!Z398),IF(('Quantification_Results'!Z398&lt;'Quantification_Config'!$S$12),"",IF(('Quantification_Results'!Z398&gt;'Quantification_Config'!$T$12),"",'Quantification_Results'!Z398)),""),IF(ISNUMBER('Quantification_Results'!AA398),IF(('Quantification_Results'!AA398&lt;'Quantification_Config'!$S$12),"",IF(('Quantification_Results'!AA398&gt;'Quantification_Config'!$T$12),"",'Quantification_Results'!AA398)),"")))</x:f>
      </x:c>
      <x:c r="AC398">
        <x:f>IF(ISNUMBER('Quantification_Results'!AB398),IFERROR(ROUND(((('Quantification_Results'!AB398-'Quantification_Config'!$S$12)/('Quantification_Config'!$T$12-'Quantification_Config'!$S$12))*100),'Quantification_Config'!$U$2),""),"")</x:f>
      </x:c>
      <x:c r="AD398" t="inlineStr">
        <x:is>
          <x:t xml:space="preserve"/>
        </x:is>
      </x:c>
      <x:c r="AE398" t="inlineStr">
        <x:is>
          <x:t xml:space="preserve"/>
        </x:is>
      </x:c>
      <x:c r="AF398" t="inlineStr">
        <x:is>
          <x:t xml:space="preserve"/>
        </x:is>
      </x:c>
      <x:c r="AG398" t="inlineStr">
        <x:is>
          <x:t xml:space="preserve"/>
        </x:is>
      </x:c>
      <x:c r="AH398" t="inlineStr">
        <x:is>
          <x:t xml:space="preserve">EMPTY</x:t>
        </x:is>
      </x:c>
      <x:c r="AI398">
        <x:f>IF((COUNT('Quantification_Results'!AC398)=1),IFERROR(ROUND((SUM(('Quantification_Results'!AC398*'Quantification_Config'!$R$12))/SUM('Quantification_Config'!$R$12)),'Quantification_Config'!$U$2),""),"")</x:f>
      </x:c>
      <x:c r="AJ398">
        <x:f>IF((COUNT('Quantification_Results'!AI398)=1),IFERROR(ROUND((SUM(('Quantification_Results'!AI398*'Quantification_Config'!$R$11))/SUM('Quantification_Config'!$R$11)),'Quantification_Config'!$U$2),""),"")</x:f>
      </x:c>
      <x:c r="AK398" t="n">
        <x:v>1</x:v>
      </x:c>
      <x:c r="AL398" t="n">
        <x:v>5</x:v>
      </x:c>
      <x:c r="AM398"/>
      <x:c r="AN398" t="n">
        <x:f>IF(('Quantification_Results'!AK398&lt;&gt;1),"",IF(('Quantification_Results'!AM398=""),IF(ISNUMBER('Quantification_Results'!AL398),IF(('Quantification_Results'!AL398&lt;'Quantification_Config'!$S$15),"",IF(('Quantification_Results'!AL398&gt;'Quantification_Config'!$T$15),"",'Quantification_Results'!AL398)),""),IF(ISNUMBER('Quantification_Results'!AM398),IF(('Quantification_Results'!AM398&lt;'Quantification_Config'!$S$15),"",IF(('Quantification_Results'!AM398&gt;'Quantification_Config'!$T$15),"",'Quantification_Results'!AM398)),"")))</x:f>
        <x:v>5</x:v>
      </x:c>
      <x:c r="AO398" t="n">
        <x:f>IF(ISNUMBER('Quantification_Results'!AN398),IFERROR(ROUND(((('Quantification_Results'!AN398-'Quantification_Config'!$S$15)/('Quantification_Config'!$T$15-'Quantification_Config'!$S$15))*100),'Quantification_Config'!$U$2),""),"")</x:f>
        <x:v>50</x:v>
      </x:c>
      <x:c r="AP398" t="inlineStr">
        <x:is>
          <x:t xml:space="preserve">SYSTEM-TEST-ONLY-NO-NETWORK-NOT-AN-EDUCATIONAL-EVALUATION</x:t>
        </x:is>
      </x:c>
      <x:c r="AQ398" t="inlineStr">
        <x:is>
          <x:t xml:space="preserve"/>
        </x:is>
      </x:c>
      <x:c r="AR398" t="inlineStr">
        <x:is>
          <x:t xml:space="preserve">NONE</x:t>
        </x:is>
      </x:c>
      <x:c r="AS398" t="inlineStr">
        <x:is>
          <x:t xml:space="preserve"/>
        </x:is>
      </x:c>
      <x:c r="AT398" t="inlineStr">
        <x:is>
          <x:t xml:space="preserve">SUCCESS</x:t>
        </x:is>
      </x:c>
      <x:c r="AU398" t="n">
        <x:f>IF((COUNT('Quantification_Results'!AO398)=1),IFERROR(ROUND((SUM(('Quantification_Results'!AO398*'Quantification_Config'!$R$15))/SUM('Quantification_Config'!$R$15)),'Quantification_Config'!$U$2),""),"")</x:f>
        <x:v>50</x:v>
      </x:c>
      <x:c r="AV398" t="n">
        <x:f>IF((COUNT('Quantification_Results'!AU398)=1),IFERROR(ROUND((SUM(('Quantification_Results'!AU398*'Quantification_Config'!$R$14))/SUM('Quantification_Config'!$R$14)),'Quantification_Config'!$U$2),""),"")</x:f>
        <x:v>50</x:v>
      </x:c>
      <x:c r="AW398" t="n">
        <x:v>1</x:v>
      </x:c>
      <x:c r="AX398" t="n">
        <x:v>5</x:v>
      </x:c>
      <x:c r="AY398"/>
      <x:c r="AZ398" t="n">
        <x:f>IF(('Quantification_Results'!AW398&lt;&gt;1),"",IF(('Quantification_Results'!AY398=""),IF(ISNUMBER('Quantification_Results'!AX398),IF(('Quantification_Results'!AX398&lt;'Quantification_Config'!$S$19),"",IF(('Quantification_Results'!AX398&gt;'Quantification_Config'!$T$19),"",'Quantification_Results'!AX398)),""),IF(ISNUMBER('Quantification_Results'!AY398),IF(('Quantification_Results'!AY398&lt;'Quantification_Config'!$S$19),"",IF(('Quantification_Results'!AY398&gt;'Quantification_Config'!$T$19),"",'Quantification_Results'!AY398)),"")))</x:f>
        <x:v>5</x:v>
      </x:c>
      <x:c r="BA398" t="n">
        <x:f>IF(ISNUMBER('Quantification_Results'!AZ398),IFERROR(ROUND(((('Quantification_Results'!AZ398-'Quantification_Config'!$S$19)/('Quantification_Config'!$T$19-'Quantification_Config'!$S$19))*100),'Quantification_Config'!$U$2),""),"")</x:f>
        <x:v>50</x:v>
      </x:c>
      <x:c r="BB398" t="inlineStr">
        <x:is>
          <x:t xml:space="preserve">SYSTEM-TEST-ONLY-NO-NETWORK-NOT-AN-EDUCATIONAL-EVALUATION</x:t>
        </x:is>
      </x:c>
      <x:c r="BC398" t="inlineStr">
        <x:is>
          <x:t xml:space="preserve"/>
        </x:is>
      </x:c>
      <x:c r="BD398" t="inlineStr">
        <x:is>
          <x:t xml:space="preserve">NONE</x:t>
        </x:is>
      </x:c>
      <x:c r="BE398" t="inlineStr">
        <x:is>
          <x:t xml:space="preserve"/>
        </x:is>
      </x:c>
      <x:c r="BF398" t="inlineStr">
        <x:is>
          <x:t xml:space="preserve">SUCCESS</x:t>
        </x:is>
      </x:c>
      <x:c r="BG398" t="n">
        <x:f>IF((COUNT('Quantification_Results'!BA398)=1),IFERROR(ROUND((SUM(('Quantification_Results'!BA398*'Quantification_Config'!$R$19))/SUM('Quantification_Config'!$R$19)),'Quantification_Config'!$U$2),""),"")</x:f>
        <x:v>50</x:v>
      </x:c>
      <x:c r="BH398" t="n">
        <x:f>IF((COUNT('Quantification_Results'!BG398)=1),IFERROR(ROUND((SUM(('Quantification_Results'!BG398*'Quantification_Config'!$R$18))/SUM('Quantification_Config'!$R$18)),'Quantification_Config'!$U$2),""),"")</x:f>
        <x:v>50</x:v>
      </x:c>
      <x:c r="BI398">
        <x:f>IF((COUNT('Quantification_Results'!L398,'Quantification_Results'!X398,'Quantification_Results'!AJ398,'Quantification_Results'!AV398,'Quantification_Results'!BH398)=5),IFERROR(ROUND((SUM(('Quantification_Results'!L398*'Quantification_Config'!$R$4),('Quantification_Results'!X398*'Quantification_Config'!$R$7),('Quantification_Results'!AJ398*'Quantification_Config'!$R$10),('Quantification_Results'!AV398*'Quantification_Config'!$R$13),('Quantification_Results'!BH398*'Quantification_Config'!$R$16))/SUM('Quantification_Config'!$R$4,'Quantification_Config'!$R$7,'Quantification_Config'!$R$10,'Quantification_Config'!$R$13,'Quantification_Config'!$R$16)),'Quantification_Config'!$U$2),""),"")</x:f>
      </x:c>
    </x:row>
    <x:row r="399">
      <x:c r="A399" t="n">
        <x:v>1</x:v>
      </x:c>
      <x:c r="B399" t="n">
        <x:v>5</x:v>
      </x:c>
      <x:c r="C399"/>
      <x:c r="D399" t="n">
        <x:f>IF(('Quantification_Results'!A399&lt;&gt;1),"",IF(('Quantification_Results'!C399=""),IF(ISNUMBER('Quantification_Results'!B399),IF(('Quantification_Results'!B399&lt;'Quantification_Config'!$S$6),"",IF(('Quantification_Results'!B399&gt;'Quantification_Config'!$T$6),"",'Quantification_Results'!B399)),""),IF(ISNUMBER('Quantification_Results'!C399),IF(('Quantification_Results'!C399&lt;'Quantification_Config'!$S$6),"",IF(('Quantification_Results'!C399&gt;'Quantification_Config'!$T$6),"",'Quantification_Results'!C399)),"")))</x:f>
        <x:v>5</x:v>
      </x:c>
      <x:c r="E399" t="n">
        <x:f>IF(ISNUMBER('Quantification_Results'!D399),IFERROR(ROUND(((('Quantification_Results'!D399-'Quantification_Config'!$S$6)/('Quantification_Config'!$T$6-'Quantification_Config'!$S$6))*100),'Quantification_Config'!$U$2),""),"")</x:f>
        <x:v>50</x:v>
      </x:c>
      <x:c r="F399" t="inlineStr">
        <x:is>
          <x:t xml:space="preserve">SYSTEM-TEST-ONLY-NO-NETWORK-NOT-AN-EDUCATIONAL-EVALUATION</x:t>
        </x:is>
      </x:c>
      <x:c r="G399" t="inlineStr">
        <x:is>
          <x:t xml:space="preserve"/>
        </x:is>
      </x:c>
      <x:c r="H399" t="inlineStr">
        <x:is>
          <x:t xml:space="preserve">NONE</x:t>
        </x:is>
      </x:c>
      <x:c r="I399" t="inlineStr">
        <x:is>
          <x:t xml:space="preserve"/>
        </x:is>
      </x:c>
      <x:c r="J399" t="inlineStr">
        <x:is>
          <x:t xml:space="preserve">SUCCESS</x:t>
        </x:is>
      </x:c>
      <x:c r="K399" t="n">
        <x:f>IF((COUNT('Quantification_Results'!E399)=1),IFERROR(ROUND((SUM(('Quantification_Results'!E399*'Quantification_Config'!$R$6))/SUM('Quantification_Config'!$R$6)),'Quantification_Config'!$U$2),""),"")</x:f>
        <x:v>50</x:v>
      </x:c>
      <x:c r="L399" t="n">
        <x:f>IF((COUNT('Quantification_Results'!K399)=1),IFERROR(ROUND((SUM(('Quantification_Results'!K399*'Quantification_Config'!$R$5))/SUM('Quantification_Config'!$R$5)),'Quantification_Config'!$U$2),""),"")</x:f>
        <x:v>50</x:v>
      </x:c>
      <x:c r="M399" t="n">
        <x:v>1</x:v>
      </x:c>
      <x:c r="N399" t="n">
        <x:v>5</x:v>
      </x:c>
      <x:c r="O399"/>
      <x:c r="P399" t="n">
        <x:f>IF(('Quantification_Results'!M399&lt;&gt;1),"",IF(('Quantification_Results'!O399=""),IF(ISNUMBER('Quantification_Results'!N399),IF(('Quantification_Results'!N399&lt;'Quantification_Config'!$S$9),"",IF(('Quantification_Results'!N399&gt;'Quantification_Config'!$T$9),"",'Quantification_Results'!N399)),""),IF(ISNUMBER('Quantification_Results'!O399),IF(('Quantification_Results'!O399&lt;'Quantification_Config'!$S$9),"",IF(('Quantification_Results'!O399&gt;'Quantification_Config'!$T$9),"",'Quantification_Results'!O399)),"")))</x:f>
        <x:v>5</x:v>
      </x:c>
      <x:c r="Q399" t="n">
        <x:f>IF(ISNUMBER('Quantification_Results'!P399),IFERROR(ROUND(((('Quantification_Results'!P399-'Quantification_Config'!$S$9)/('Quantification_Config'!$T$9-'Quantification_Config'!$S$9))*100),'Quantification_Config'!$U$2),""),"")</x:f>
        <x:v>50</x:v>
      </x:c>
      <x:c r="R399" t="inlineStr">
        <x:is>
          <x:t xml:space="preserve">SYSTEM-TEST-ONLY-NO-NETWORK-NOT-AN-EDUCATIONAL-EVALUATION</x:t>
        </x:is>
      </x:c>
      <x:c r="S399" t="inlineStr">
        <x:is>
          <x:t xml:space="preserve"/>
        </x:is>
      </x:c>
      <x:c r="T399" t="inlineStr">
        <x:is>
          <x:t xml:space="preserve">NONE</x:t>
        </x:is>
      </x:c>
      <x:c r="U399" t="inlineStr">
        <x:is>
          <x:t xml:space="preserve"/>
        </x:is>
      </x:c>
      <x:c r="V399" t="inlineStr">
        <x:is>
          <x:t xml:space="preserve">SUCCESS</x:t>
        </x:is>
      </x:c>
      <x:c r="W399" t="n">
        <x:f>IF((COUNT('Quantification_Results'!Q399)=1),IFERROR(ROUND((SUM(('Quantification_Results'!Q399*'Quantification_Config'!$R$9))/SUM('Quantification_Config'!$R$9)),'Quantification_Config'!$U$2),""),"")</x:f>
        <x:v>50</x:v>
      </x:c>
      <x:c r="X399" t="n">
        <x:f>IF((COUNT('Quantification_Results'!W399)=1),IFERROR(ROUND((SUM(('Quantification_Results'!W399*'Quantification_Config'!$R$8))/SUM('Quantification_Config'!$R$8)),'Quantification_Config'!$U$2),""),"")</x:f>
        <x:v>50</x:v>
      </x:c>
      <x:c r="Y399" t="n">
        <x:v>0</x:v>
      </x:c>
      <x:c r="Z399"/>
      <x:c r="AA399"/>
      <x:c r="AB399">
        <x:f>IF(('Quantification_Results'!Y399&lt;&gt;1),"",IF(('Quantification_Results'!AA399=""),IF(ISNUMBER('Quantification_Results'!Z399),IF(('Quantification_Results'!Z399&lt;'Quantification_Config'!$S$12),"",IF(('Quantification_Results'!Z399&gt;'Quantification_Config'!$T$12),"",'Quantification_Results'!Z399)),""),IF(ISNUMBER('Quantification_Results'!AA399),IF(('Quantification_Results'!AA399&lt;'Quantification_Config'!$S$12),"",IF(('Quantification_Results'!AA399&gt;'Quantification_Config'!$T$12),"",'Quantification_Results'!AA399)),"")))</x:f>
      </x:c>
      <x:c r="AC399">
        <x:f>IF(ISNUMBER('Quantification_Results'!AB399),IFERROR(ROUND(((('Quantification_Results'!AB399-'Quantification_Config'!$S$12)/('Quantification_Config'!$T$12-'Quantification_Config'!$S$12))*100),'Quantification_Config'!$U$2),""),"")</x:f>
      </x:c>
      <x:c r="AD399" t="inlineStr">
        <x:is>
          <x:t xml:space="preserve"/>
        </x:is>
      </x:c>
      <x:c r="AE399" t="inlineStr">
        <x:is>
          <x:t xml:space="preserve"/>
        </x:is>
      </x:c>
      <x:c r="AF399" t="inlineStr">
        <x:is>
          <x:t xml:space="preserve"/>
        </x:is>
      </x:c>
      <x:c r="AG399" t="inlineStr">
        <x:is>
          <x:t xml:space="preserve"/>
        </x:is>
      </x:c>
      <x:c r="AH399" t="inlineStr">
        <x:is>
          <x:t xml:space="preserve">EMPTY</x:t>
        </x:is>
      </x:c>
      <x:c r="AI399">
        <x:f>IF((COUNT('Quantification_Results'!AC399)=1),IFERROR(ROUND((SUM(('Quantification_Results'!AC399*'Quantification_Config'!$R$12))/SUM('Quantification_Config'!$R$12)),'Quantification_Config'!$U$2),""),"")</x:f>
      </x:c>
      <x:c r="AJ399">
        <x:f>IF((COUNT('Quantification_Results'!AI399)=1),IFERROR(ROUND((SUM(('Quantification_Results'!AI399*'Quantification_Config'!$R$11))/SUM('Quantification_Config'!$R$11)),'Quantification_Config'!$U$2),""),"")</x:f>
      </x:c>
      <x:c r="AK399" t="n">
        <x:v>1</x:v>
      </x:c>
      <x:c r="AL399" t="n">
        <x:v>5</x:v>
      </x:c>
      <x:c r="AM399"/>
      <x:c r="AN399" t="n">
        <x:f>IF(('Quantification_Results'!AK399&lt;&gt;1),"",IF(('Quantification_Results'!AM399=""),IF(ISNUMBER('Quantification_Results'!AL399),IF(('Quantification_Results'!AL399&lt;'Quantification_Config'!$S$15),"",IF(('Quantification_Results'!AL399&gt;'Quantification_Config'!$T$15),"",'Quantification_Results'!AL399)),""),IF(ISNUMBER('Quantification_Results'!AM399),IF(('Quantification_Results'!AM399&lt;'Quantification_Config'!$S$15),"",IF(('Quantification_Results'!AM399&gt;'Quantification_Config'!$T$15),"",'Quantification_Results'!AM399)),"")))</x:f>
        <x:v>5</x:v>
      </x:c>
      <x:c r="AO399" t="n">
        <x:f>IF(ISNUMBER('Quantification_Results'!AN399),IFERROR(ROUND(((('Quantification_Results'!AN399-'Quantification_Config'!$S$15)/('Quantification_Config'!$T$15-'Quantification_Config'!$S$15))*100),'Quantification_Config'!$U$2),""),"")</x:f>
        <x:v>50</x:v>
      </x:c>
      <x:c r="AP399" t="inlineStr">
        <x:is>
          <x:t xml:space="preserve">SYSTEM-TEST-ONLY-NO-NETWORK-NOT-AN-EDUCATIONAL-EVALUATION</x:t>
        </x:is>
      </x:c>
      <x:c r="AQ399" t="inlineStr">
        <x:is>
          <x:t xml:space="preserve"/>
        </x:is>
      </x:c>
      <x:c r="AR399" t="inlineStr">
        <x:is>
          <x:t xml:space="preserve">NONE</x:t>
        </x:is>
      </x:c>
      <x:c r="AS399" t="inlineStr">
        <x:is>
          <x:t xml:space="preserve"/>
        </x:is>
      </x:c>
      <x:c r="AT399" t="inlineStr">
        <x:is>
          <x:t xml:space="preserve">SUCCESS</x:t>
        </x:is>
      </x:c>
      <x:c r="AU399" t="n">
        <x:f>IF((COUNT('Quantification_Results'!AO399)=1),IFERROR(ROUND((SUM(('Quantification_Results'!AO399*'Quantification_Config'!$R$15))/SUM('Quantification_Config'!$R$15)),'Quantification_Config'!$U$2),""),"")</x:f>
        <x:v>50</x:v>
      </x:c>
      <x:c r="AV399" t="n">
        <x:f>IF((COUNT('Quantification_Results'!AU399)=1),IFERROR(ROUND((SUM(('Quantification_Results'!AU399*'Quantification_Config'!$R$14))/SUM('Quantification_Config'!$R$14)),'Quantification_Config'!$U$2),""),"")</x:f>
        <x:v>50</x:v>
      </x:c>
      <x:c r="AW399" t="n">
        <x:v>1</x:v>
      </x:c>
      <x:c r="AX399" t="n">
        <x:v>5</x:v>
      </x:c>
      <x:c r="AY399"/>
      <x:c r="AZ399" t="n">
        <x:f>IF(('Quantification_Results'!AW399&lt;&gt;1),"",IF(('Quantification_Results'!AY399=""),IF(ISNUMBER('Quantification_Results'!AX399),IF(('Quantification_Results'!AX399&lt;'Quantification_Config'!$S$19),"",IF(('Quantification_Results'!AX399&gt;'Quantification_Config'!$T$19),"",'Quantification_Results'!AX399)),""),IF(ISNUMBER('Quantification_Results'!AY399),IF(('Quantification_Results'!AY399&lt;'Quantification_Config'!$S$19),"",IF(('Quantification_Results'!AY399&gt;'Quantification_Config'!$T$19),"",'Quantification_Results'!AY399)),"")))</x:f>
        <x:v>5</x:v>
      </x:c>
      <x:c r="BA399" t="n">
        <x:f>IF(ISNUMBER('Quantification_Results'!AZ399),IFERROR(ROUND(((('Quantification_Results'!AZ399-'Quantification_Config'!$S$19)/('Quantification_Config'!$T$19-'Quantification_Config'!$S$19))*100),'Quantification_Config'!$U$2),""),"")</x:f>
        <x:v>50</x:v>
      </x:c>
      <x:c r="BB399" t="inlineStr">
        <x:is>
          <x:t xml:space="preserve">SYSTEM-TEST-ONLY-NO-NETWORK-NOT-AN-EDUCATIONAL-EVALUATION</x:t>
        </x:is>
      </x:c>
      <x:c r="BC399" t="inlineStr">
        <x:is>
          <x:t xml:space="preserve"/>
        </x:is>
      </x:c>
      <x:c r="BD399" t="inlineStr">
        <x:is>
          <x:t xml:space="preserve">NONE</x:t>
        </x:is>
      </x:c>
      <x:c r="BE399" t="inlineStr">
        <x:is>
          <x:t xml:space="preserve"/>
        </x:is>
      </x:c>
      <x:c r="BF399" t="inlineStr">
        <x:is>
          <x:t xml:space="preserve">SUCCESS</x:t>
        </x:is>
      </x:c>
      <x:c r="BG399" t="n">
        <x:f>IF((COUNT('Quantification_Results'!BA399)=1),IFERROR(ROUND((SUM(('Quantification_Results'!BA399*'Quantification_Config'!$R$19))/SUM('Quantification_Config'!$R$19)),'Quantification_Config'!$U$2),""),"")</x:f>
        <x:v>50</x:v>
      </x:c>
      <x:c r="BH399" t="n">
        <x:f>IF((COUNT('Quantification_Results'!BG399)=1),IFERROR(ROUND((SUM(('Quantification_Results'!BG399*'Quantification_Config'!$R$18))/SUM('Quantification_Config'!$R$18)),'Quantification_Config'!$U$2),""),"")</x:f>
        <x:v>50</x:v>
      </x:c>
      <x:c r="BI399">
        <x:f>IF((COUNT('Quantification_Results'!L399,'Quantification_Results'!X399,'Quantification_Results'!AJ399,'Quantification_Results'!AV399,'Quantification_Results'!BH399)=5),IFERROR(ROUND((SUM(('Quantification_Results'!L399*'Quantification_Config'!$R$4),('Quantification_Results'!X399*'Quantification_Config'!$R$7),('Quantification_Results'!AJ399*'Quantification_Config'!$R$10),('Quantification_Results'!AV399*'Quantification_Config'!$R$13),('Quantification_Results'!BH399*'Quantification_Config'!$R$16))/SUM('Quantification_Config'!$R$4,'Quantification_Config'!$R$7,'Quantification_Config'!$R$10,'Quantification_Config'!$R$13,'Quantification_Config'!$R$16)),'Quantification_Config'!$U$2),""),"")</x:f>
      </x:c>
    </x:row>
    <x:row r="400">
      <x:c r="A400" t="n">
        <x:v>1</x:v>
      </x:c>
      <x:c r="B400" t="n">
        <x:v>5</x:v>
      </x:c>
      <x:c r="C400"/>
      <x:c r="D400" t="n">
        <x:f>IF(('Quantification_Results'!A400&lt;&gt;1),"",IF(('Quantification_Results'!C400=""),IF(ISNUMBER('Quantification_Results'!B400),IF(('Quantification_Results'!B400&lt;'Quantification_Config'!$S$6),"",IF(('Quantification_Results'!B400&gt;'Quantification_Config'!$T$6),"",'Quantification_Results'!B400)),""),IF(ISNUMBER('Quantification_Results'!C400),IF(('Quantification_Results'!C400&lt;'Quantification_Config'!$S$6),"",IF(('Quantification_Results'!C400&gt;'Quantification_Config'!$T$6),"",'Quantification_Results'!C400)),"")))</x:f>
        <x:v>5</x:v>
      </x:c>
      <x:c r="E400" t="n">
        <x:f>IF(ISNUMBER('Quantification_Results'!D400),IFERROR(ROUND(((('Quantification_Results'!D400-'Quantification_Config'!$S$6)/('Quantification_Config'!$T$6-'Quantification_Config'!$S$6))*100),'Quantification_Config'!$U$2),""),"")</x:f>
        <x:v>50</x:v>
      </x:c>
      <x:c r="F400" t="inlineStr">
        <x:is>
          <x:t xml:space="preserve">SYSTEM-TEST-ONLY-NO-NETWORK-NOT-AN-EDUCATIONAL-EVALUATION</x:t>
        </x:is>
      </x:c>
      <x:c r="G400" t="inlineStr">
        <x:is>
          <x:t xml:space="preserve"/>
        </x:is>
      </x:c>
      <x:c r="H400" t="inlineStr">
        <x:is>
          <x:t xml:space="preserve">NONE</x:t>
        </x:is>
      </x:c>
      <x:c r="I400" t="inlineStr">
        <x:is>
          <x:t xml:space="preserve"/>
        </x:is>
      </x:c>
      <x:c r="J400" t="inlineStr">
        <x:is>
          <x:t xml:space="preserve">SUCCESS</x:t>
        </x:is>
      </x:c>
      <x:c r="K400" t="n">
        <x:f>IF((COUNT('Quantification_Results'!E400)=1),IFERROR(ROUND((SUM(('Quantification_Results'!E400*'Quantification_Config'!$R$6))/SUM('Quantification_Config'!$R$6)),'Quantification_Config'!$U$2),""),"")</x:f>
        <x:v>50</x:v>
      </x:c>
      <x:c r="L400" t="n">
        <x:f>IF((COUNT('Quantification_Results'!K400)=1),IFERROR(ROUND((SUM(('Quantification_Results'!K400*'Quantification_Config'!$R$5))/SUM('Quantification_Config'!$R$5)),'Quantification_Config'!$U$2),""),"")</x:f>
        <x:v>50</x:v>
      </x:c>
      <x:c r="M400" t="n">
        <x:v>1</x:v>
      </x:c>
      <x:c r="N400" t="n">
        <x:v>5</x:v>
      </x:c>
      <x:c r="O400"/>
      <x:c r="P400" t="n">
        <x:f>IF(('Quantification_Results'!M400&lt;&gt;1),"",IF(('Quantification_Results'!O400=""),IF(ISNUMBER('Quantification_Results'!N400),IF(('Quantification_Results'!N400&lt;'Quantification_Config'!$S$9),"",IF(('Quantification_Results'!N400&gt;'Quantification_Config'!$T$9),"",'Quantification_Results'!N400)),""),IF(ISNUMBER('Quantification_Results'!O400),IF(('Quantification_Results'!O400&lt;'Quantification_Config'!$S$9),"",IF(('Quantification_Results'!O400&gt;'Quantification_Config'!$T$9),"",'Quantification_Results'!O400)),"")))</x:f>
        <x:v>5</x:v>
      </x:c>
      <x:c r="Q400" t="n">
        <x:f>IF(ISNUMBER('Quantification_Results'!P400),IFERROR(ROUND(((('Quantification_Results'!P400-'Quantification_Config'!$S$9)/('Quantification_Config'!$T$9-'Quantification_Config'!$S$9))*100),'Quantification_Config'!$U$2),""),"")</x:f>
        <x:v>50</x:v>
      </x:c>
      <x:c r="R400" t="inlineStr">
        <x:is>
          <x:t xml:space="preserve">SYSTEM-TEST-ONLY-NO-NETWORK-NOT-AN-EDUCATIONAL-EVALUATION</x:t>
        </x:is>
      </x:c>
      <x:c r="S400" t="inlineStr">
        <x:is>
          <x:t xml:space="preserve"/>
        </x:is>
      </x:c>
      <x:c r="T400" t="inlineStr">
        <x:is>
          <x:t xml:space="preserve">NONE</x:t>
        </x:is>
      </x:c>
      <x:c r="U400" t="inlineStr">
        <x:is>
          <x:t xml:space="preserve"/>
        </x:is>
      </x:c>
      <x:c r="V400" t="inlineStr">
        <x:is>
          <x:t xml:space="preserve">SUCCESS</x:t>
        </x:is>
      </x:c>
      <x:c r="W400" t="n">
        <x:f>IF((COUNT('Quantification_Results'!Q400)=1),IFERROR(ROUND((SUM(('Quantification_Results'!Q400*'Quantification_Config'!$R$9))/SUM('Quantification_Config'!$R$9)),'Quantification_Config'!$U$2),""),"")</x:f>
        <x:v>50</x:v>
      </x:c>
      <x:c r="X400" t="n">
        <x:f>IF((COUNT('Quantification_Results'!W400)=1),IFERROR(ROUND((SUM(('Quantification_Results'!W400*'Quantification_Config'!$R$8))/SUM('Quantification_Config'!$R$8)),'Quantification_Config'!$U$2),""),"")</x:f>
        <x:v>50</x:v>
      </x:c>
      <x:c r="Y400" t="n">
        <x:v>0</x:v>
      </x:c>
      <x:c r="Z400"/>
      <x:c r="AA400"/>
      <x:c r="AB400">
        <x:f>IF(('Quantification_Results'!Y400&lt;&gt;1),"",IF(('Quantification_Results'!AA400=""),IF(ISNUMBER('Quantification_Results'!Z400),IF(('Quantification_Results'!Z400&lt;'Quantification_Config'!$S$12),"",IF(('Quantification_Results'!Z400&gt;'Quantification_Config'!$T$12),"",'Quantification_Results'!Z400)),""),IF(ISNUMBER('Quantification_Results'!AA400),IF(('Quantification_Results'!AA400&lt;'Quantification_Config'!$S$12),"",IF(('Quantification_Results'!AA400&gt;'Quantification_Config'!$T$12),"",'Quantification_Results'!AA400)),"")))</x:f>
      </x:c>
      <x:c r="AC400">
        <x:f>IF(ISNUMBER('Quantification_Results'!AB400),IFERROR(ROUND(((('Quantification_Results'!AB400-'Quantification_Config'!$S$12)/('Quantification_Config'!$T$12-'Quantification_Config'!$S$12))*100),'Quantification_Config'!$U$2),""),"")</x:f>
      </x:c>
      <x:c r="AD400" t="inlineStr">
        <x:is>
          <x:t xml:space="preserve"/>
        </x:is>
      </x:c>
      <x:c r="AE400" t="inlineStr">
        <x:is>
          <x:t xml:space="preserve"/>
        </x:is>
      </x:c>
      <x:c r="AF400" t="inlineStr">
        <x:is>
          <x:t xml:space="preserve"/>
        </x:is>
      </x:c>
      <x:c r="AG400" t="inlineStr">
        <x:is>
          <x:t xml:space="preserve"/>
        </x:is>
      </x:c>
      <x:c r="AH400" t="inlineStr">
        <x:is>
          <x:t xml:space="preserve">EMPTY</x:t>
        </x:is>
      </x:c>
      <x:c r="AI400">
        <x:f>IF((COUNT('Quantification_Results'!AC400)=1),IFERROR(ROUND((SUM(('Quantification_Results'!AC400*'Quantification_Config'!$R$12))/SUM('Quantification_Config'!$R$12)),'Quantification_Config'!$U$2),""),"")</x:f>
      </x:c>
      <x:c r="AJ400">
        <x:f>IF((COUNT('Quantification_Results'!AI400)=1),IFERROR(ROUND((SUM(('Quantification_Results'!AI400*'Quantification_Config'!$R$11))/SUM('Quantification_Config'!$R$11)),'Quantification_Config'!$U$2),""),"")</x:f>
      </x:c>
      <x:c r="AK400" t="n">
        <x:v>1</x:v>
      </x:c>
      <x:c r="AL400" t="n">
        <x:v>5</x:v>
      </x:c>
      <x:c r="AM400"/>
      <x:c r="AN400" t="n">
        <x:f>IF(('Quantification_Results'!AK400&lt;&gt;1),"",IF(('Quantification_Results'!AM400=""),IF(ISNUMBER('Quantification_Results'!AL400),IF(('Quantification_Results'!AL400&lt;'Quantification_Config'!$S$15),"",IF(('Quantification_Results'!AL400&gt;'Quantification_Config'!$T$15),"",'Quantification_Results'!AL400)),""),IF(ISNUMBER('Quantification_Results'!AM400),IF(('Quantification_Results'!AM400&lt;'Quantification_Config'!$S$15),"",IF(('Quantification_Results'!AM400&gt;'Quantification_Config'!$T$15),"",'Quantification_Results'!AM400)),"")))</x:f>
        <x:v>5</x:v>
      </x:c>
      <x:c r="AO400" t="n">
        <x:f>IF(ISNUMBER('Quantification_Results'!AN400),IFERROR(ROUND(((('Quantification_Results'!AN400-'Quantification_Config'!$S$15)/('Quantification_Config'!$T$15-'Quantification_Config'!$S$15))*100),'Quantification_Config'!$U$2),""),"")</x:f>
        <x:v>50</x:v>
      </x:c>
      <x:c r="AP400" t="inlineStr">
        <x:is>
          <x:t xml:space="preserve">SYSTEM-TEST-ONLY-NO-NETWORK-NOT-AN-EDUCATIONAL-EVALUATION</x:t>
        </x:is>
      </x:c>
      <x:c r="AQ400" t="inlineStr">
        <x:is>
          <x:t xml:space="preserve"/>
        </x:is>
      </x:c>
      <x:c r="AR400" t="inlineStr">
        <x:is>
          <x:t xml:space="preserve">NONE</x:t>
        </x:is>
      </x:c>
      <x:c r="AS400" t="inlineStr">
        <x:is>
          <x:t xml:space="preserve"/>
        </x:is>
      </x:c>
      <x:c r="AT400" t="inlineStr">
        <x:is>
          <x:t xml:space="preserve">SUCCESS</x:t>
        </x:is>
      </x:c>
      <x:c r="AU400" t="n">
        <x:f>IF((COUNT('Quantification_Results'!AO400)=1),IFERROR(ROUND((SUM(('Quantification_Results'!AO400*'Quantification_Config'!$R$15))/SUM('Quantification_Config'!$R$15)),'Quantification_Config'!$U$2),""),"")</x:f>
        <x:v>50</x:v>
      </x:c>
      <x:c r="AV400" t="n">
        <x:f>IF((COUNT('Quantification_Results'!AU400)=1),IFERROR(ROUND((SUM(('Quantification_Results'!AU400*'Quantification_Config'!$R$14))/SUM('Quantification_Config'!$R$14)),'Quantification_Config'!$U$2),""),"")</x:f>
        <x:v>50</x:v>
      </x:c>
      <x:c r="AW400" t="n">
        <x:v>1</x:v>
      </x:c>
      <x:c r="AX400" t="n">
        <x:v>5</x:v>
      </x:c>
      <x:c r="AY400"/>
      <x:c r="AZ400" t="n">
        <x:f>IF(('Quantification_Results'!AW400&lt;&gt;1),"",IF(('Quantification_Results'!AY400=""),IF(ISNUMBER('Quantification_Results'!AX400),IF(('Quantification_Results'!AX400&lt;'Quantification_Config'!$S$19),"",IF(('Quantification_Results'!AX400&gt;'Quantification_Config'!$T$19),"",'Quantification_Results'!AX400)),""),IF(ISNUMBER('Quantification_Results'!AY400),IF(('Quantification_Results'!AY400&lt;'Quantification_Config'!$S$19),"",IF(('Quantification_Results'!AY400&gt;'Quantification_Config'!$T$19),"",'Quantification_Results'!AY400)),"")))</x:f>
        <x:v>5</x:v>
      </x:c>
      <x:c r="BA400" t="n">
        <x:f>IF(ISNUMBER('Quantification_Results'!AZ400),IFERROR(ROUND(((('Quantification_Results'!AZ400-'Quantification_Config'!$S$19)/('Quantification_Config'!$T$19-'Quantification_Config'!$S$19))*100),'Quantification_Config'!$U$2),""),"")</x:f>
        <x:v>50</x:v>
      </x:c>
      <x:c r="BB400" t="inlineStr">
        <x:is>
          <x:t xml:space="preserve">SYSTEM-TEST-ONLY-NO-NETWORK-NOT-AN-EDUCATIONAL-EVALUATION</x:t>
        </x:is>
      </x:c>
      <x:c r="BC400" t="inlineStr">
        <x:is>
          <x:t xml:space="preserve"/>
        </x:is>
      </x:c>
      <x:c r="BD400" t="inlineStr">
        <x:is>
          <x:t xml:space="preserve">NONE</x:t>
        </x:is>
      </x:c>
      <x:c r="BE400" t="inlineStr">
        <x:is>
          <x:t xml:space="preserve"/>
        </x:is>
      </x:c>
      <x:c r="BF400" t="inlineStr">
        <x:is>
          <x:t xml:space="preserve">SUCCESS</x:t>
        </x:is>
      </x:c>
      <x:c r="BG400" t="n">
        <x:f>IF((COUNT('Quantification_Results'!BA400)=1),IFERROR(ROUND((SUM(('Quantification_Results'!BA400*'Quantification_Config'!$R$19))/SUM('Quantification_Config'!$R$19)),'Quantification_Config'!$U$2),""),"")</x:f>
        <x:v>50</x:v>
      </x:c>
      <x:c r="BH400" t="n">
        <x:f>IF((COUNT('Quantification_Results'!BG400)=1),IFERROR(ROUND((SUM(('Quantification_Results'!BG400*'Quantification_Config'!$R$18))/SUM('Quantification_Config'!$R$18)),'Quantification_Config'!$U$2),""),"")</x:f>
        <x:v>50</x:v>
      </x:c>
      <x:c r="BI400">
        <x:f>IF((COUNT('Quantification_Results'!L400,'Quantification_Results'!X400,'Quantification_Results'!AJ400,'Quantification_Results'!AV400,'Quantification_Results'!BH400)=5),IFERROR(ROUND((SUM(('Quantification_Results'!L400*'Quantification_Config'!$R$4),('Quantification_Results'!X400*'Quantification_Config'!$R$7),('Quantification_Results'!AJ400*'Quantification_Config'!$R$10),('Quantification_Results'!AV400*'Quantification_Config'!$R$13),('Quantification_Results'!BH400*'Quantification_Config'!$R$16))/SUM('Quantification_Config'!$R$4,'Quantification_Config'!$R$7,'Quantification_Config'!$R$10,'Quantification_Config'!$R$13,'Quantification_Config'!$R$16)),'Quantification_Config'!$U$2),""),"")</x:f>
      </x:c>
    </x:row>
    <x:row r="401">
      <x:c r="A401" t="n">
        <x:v>1</x:v>
      </x:c>
      <x:c r="B401" t="n">
        <x:v>5</x:v>
      </x:c>
      <x:c r="C401"/>
      <x:c r="D401" t="n">
        <x:f>IF(('Quantification_Results'!A401&lt;&gt;1),"",IF(('Quantification_Results'!C401=""),IF(ISNUMBER('Quantification_Results'!B401),IF(('Quantification_Results'!B401&lt;'Quantification_Config'!$S$6),"",IF(('Quantification_Results'!B401&gt;'Quantification_Config'!$T$6),"",'Quantification_Results'!B401)),""),IF(ISNUMBER('Quantification_Results'!C401),IF(('Quantification_Results'!C401&lt;'Quantification_Config'!$S$6),"",IF(('Quantification_Results'!C401&gt;'Quantification_Config'!$T$6),"",'Quantification_Results'!C401)),"")))</x:f>
        <x:v>5</x:v>
      </x:c>
      <x:c r="E401" t="n">
        <x:f>IF(ISNUMBER('Quantification_Results'!D401),IFERROR(ROUND(((('Quantification_Results'!D401-'Quantification_Config'!$S$6)/('Quantification_Config'!$T$6-'Quantification_Config'!$S$6))*100),'Quantification_Config'!$U$2),""),"")</x:f>
        <x:v>50</x:v>
      </x:c>
      <x:c r="F401" t="inlineStr">
        <x:is>
          <x:t xml:space="preserve">SYSTEM-TEST-ONLY-NO-NETWORK-NOT-AN-EDUCATIONAL-EVALUATION</x:t>
        </x:is>
      </x:c>
      <x:c r="G401" t="inlineStr">
        <x:is>
          <x:t xml:space="preserve"/>
        </x:is>
      </x:c>
      <x:c r="H401" t="inlineStr">
        <x:is>
          <x:t xml:space="preserve">NONE</x:t>
        </x:is>
      </x:c>
      <x:c r="I401" t="inlineStr">
        <x:is>
          <x:t xml:space="preserve"/>
        </x:is>
      </x:c>
      <x:c r="J401" t="inlineStr">
        <x:is>
          <x:t xml:space="preserve">SUCCESS</x:t>
        </x:is>
      </x:c>
      <x:c r="K401" t="n">
        <x:f>IF((COUNT('Quantification_Results'!E401)=1),IFERROR(ROUND((SUM(('Quantification_Results'!E401*'Quantification_Config'!$R$6))/SUM('Quantification_Config'!$R$6)),'Quantification_Config'!$U$2),""),"")</x:f>
        <x:v>50</x:v>
      </x:c>
      <x:c r="L401" t="n">
        <x:f>IF((COUNT('Quantification_Results'!K401)=1),IFERROR(ROUND((SUM(('Quantification_Results'!K401*'Quantification_Config'!$R$5))/SUM('Quantification_Config'!$R$5)),'Quantification_Config'!$U$2),""),"")</x:f>
        <x:v>50</x:v>
      </x:c>
      <x:c r="M401" t="n">
        <x:v>1</x:v>
      </x:c>
      <x:c r="N401" t="n">
        <x:v>5</x:v>
      </x:c>
      <x:c r="O401"/>
      <x:c r="P401" t="n">
        <x:f>IF(('Quantification_Results'!M401&lt;&gt;1),"",IF(('Quantification_Results'!O401=""),IF(ISNUMBER('Quantification_Results'!N401),IF(('Quantification_Results'!N401&lt;'Quantification_Config'!$S$9),"",IF(('Quantification_Results'!N401&gt;'Quantification_Config'!$T$9),"",'Quantification_Results'!N401)),""),IF(ISNUMBER('Quantification_Results'!O401),IF(('Quantification_Results'!O401&lt;'Quantification_Config'!$S$9),"",IF(('Quantification_Results'!O401&gt;'Quantification_Config'!$T$9),"",'Quantification_Results'!O401)),"")))</x:f>
        <x:v>5</x:v>
      </x:c>
      <x:c r="Q401" t="n">
        <x:f>IF(ISNUMBER('Quantification_Results'!P401),IFERROR(ROUND(((('Quantification_Results'!P401-'Quantification_Config'!$S$9)/('Quantification_Config'!$T$9-'Quantification_Config'!$S$9))*100),'Quantification_Config'!$U$2),""),"")</x:f>
        <x:v>50</x:v>
      </x:c>
      <x:c r="R401" t="inlineStr">
        <x:is>
          <x:t xml:space="preserve">SYSTEM-TEST-ONLY-NO-NETWORK-NOT-AN-EDUCATIONAL-EVALUATION</x:t>
        </x:is>
      </x:c>
      <x:c r="S401" t="inlineStr">
        <x:is>
          <x:t xml:space="preserve"/>
        </x:is>
      </x:c>
      <x:c r="T401" t="inlineStr">
        <x:is>
          <x:t xml:space="preserve">NONE</x:t>
        </x:is>
      </x:c>
      <x:c r="U401" t="inlineStr">
        <x:is>
          <x:t xml:space="preserve"/>
        </x:is>
      </x:c>
      <x:c r="V401" t="inlineStr">
        <x:is>
          <x:t xml:space="preserve">SUCCESS</x:t>
        </x:is>
      </x:c>
      <x:c r="W401" t="n">
        <x:f>IF((COUNT('Quantification_Results'!Q401)=1),IFERROR(ROUND((SUM(('Quantification_Results'!Q401*'Quantification_Config'!$R$9))/SUM('Quantification_Config'!$R$9)),'Quantification_Config'!$U$2),""),"")</x:f>
        <x:v>50</x:v>
      </x:c>
      <x:c r="X401" t="n">
        <x:f>IF((COUNT('Quantification_Results'!W401)=1),IFERROR(ROUND((SUM(('Quantification_Results'!W401*'Quantification_Config'!$R$8))/SUM('Quantification_Config'!$R$8)),'Quantification_Config'!$U$2),""),"")</x:f>
        <x:v>50</x:v>
      </x:c>
      <x:c r="Y401" t="n">
        <x:v>0</x:v>
      </x:c>
      <x:c r="Z401"/>
      <x:c r="AA401"/>
      <x:c r="AB401">
        <x:f>IF(('Quantification_Results'!Y401&lt;&gt;1),"",IF(('Quantification_Results'!AA401=""),IF(ISNUMBER('Quantification_Results'!Z401),IF(('Quantification_Results'!Z401&lt;'Quantification_Config'!$S$12),"",IF(('Quantification_Results'!Z401&gt;'Quantification_Config'!$T$12),"",'Quantification_Results'!Z401)),""),IF(ISNUMBER('Quantification_Results'!AA401),IF(('Quantification_Results'!AA401&lt;'Quantification_Config'!$S$12),"",IF(('Quantification_Results'!AA401&gt;'Quantification_Config'!$T$12),"",'Quantification_Results'!AA401)),"")))</x:f>
      </x:c>
      <x:c r="AC401">
        <x:f>IF(ISNUMBER('Quantification_Results'!AB401),IFERROR(ROUND(((('Quantification_Results'!AB401-'Quantification_Config'!$S$12)/('Quantification_Config'!$T$12-'Quantification_Config'!$S$12))*100),'Quantification_Config'!$U$2),""),"")</x:f>
      </x:c>
      <x:c r="AD401" t="inlineStr">
        <x:is>
          <x:t xml:space="preserve"/>
        </x:is>
      </x:c>
      <x:c r="AE401" t="inlineStr">
        <x:is>
          <x:t xml:space="preserve"/>
        </x:is>
      </x:c>
      <x:c r="AF401" t="inlineStr">
        <x:is>
          <x:t xml:space="preserve"/>
        </x:is>
      </x:c>
      <x:c r="AG401" t="inlineStr">
        <x:is>
          <x:t xml:space="preserve"/>
        </x:is>
      </x:c>
      <x:c r="AH401" t="inlineStr">
        <x:is>
          <x:t xml:space="preserve">EMPTY</x:t>
        </x:is>
      </x:c>
      <x:c r="AI401">
        <x:f>IF((COUNT('Quantification_Results'!AC401)=1),IFERROR(ROUND((SUM(('Quantification_Results'!AC401*'Quantification_Config'!$R$12))/SUM('Quantification_Config'!$R$12)),'Quantification_Config'!$U$2),""),"")</x:f>
      </x:c>
      <x:c r="AJ401">
        <x:f>IF((COUNT('Quantification_Results'!AI401)=1),IFERROR(ROUND((SUM(('Quantification_Results'!AI401*'Quantification_Config'!$R$11))/SUM('Quantification_Config'!$R$11)),'Quantification_Config'!$U$2),""),"")</x:f>
      </x:c>
      <x:c r="AK401" t="n">
        <x:v>1</x:v>
      </x:c>
      <x:c r="AL401" t="n">
        <x:v>5</x:v>
      </x:c>
      <x:c r="AM401"/>
      <x:c r="AN401" t="n">
        <x:f>IF(('Quantification_Results'!AK401&lt;&gt;1),"",IF(('Quantification_Results'!AM401=""),IF(ISNUMBER('Quantification_Results'!AL401),IF(('Quantification_Results'!AL401&lt;'Quantification_Config'!$S$15),"",IF(('Quantification_Results'!AL401&gt;'Quantification_Config'!$T$15),"",'Quantification_Results'!AL401)),""),IF(ISNUMBER('Quantification_Results'!AM401),IF(('Quantification_Results'!AM401&lt;'Quantification_Config'!$S$15),"",IF(('Quantification_Results'!AM401&gt;'Quantification_Config'!$T$15),"",'Quantification_Results'!AM401)),"")))</x:f>
        <x:v>5</x:v>
      </x:c>
      <x:c r="AO401" t="n">
        <x:f>IF(ISNUMBER('Quantification_Results'!AN401),IFERROR(ROUND(((('Quantification_Results'!AN401-'Quantification_Config'!$S$15)/('Quantification_Config'!$T$15-'Quantification_Config'!$S$15))*100),'Quantification_Config'!$U$2),""),"")</x:f>
        <x:v>50</x:v>
      </x:c>
      <x:c r="AP401" t="inlineStr">
        <x:is>
          <x:t xml:space="preserve">SYSTEM-TEST-ONLY-NO-NETWORK-NOT-AN-EDUCATIONAL-EVALUATION</x:t>
        </x:is>
      </x:c>
      <x:c r="AQ401" t="inlineStr">
        <x:is>
          <x:t xml:space="preserve"/>
        </x:is>
      </x:c>
      <x:c r="AR401" t="inlineStr">
        <x:is>
          <x:t xml:space="preserve">NONE</x:t>
        </x:is>
      </x:c>
      <x:c r="AS401" t="inlineStr">
        <x:is>
          <x:t xml:space="preserve"/>
        </x:is>
      </x:c>
      <x:c r="AT401" t="inlineStr">
        <x:is>
          <x:t xml:space="preserve">SUCCESS</x:t>
        </x:is>
      </x:c>
      <x:c r="AU401" t="n">
        <x:f>IF((COUNT('Quantification_Results'!AO401)=1),IFERROR(ROUND((SUM(('Quantification_Results'!AO401*'Quantification_Config'!$R$15))/SUM('Quantification_Config'!$R$15)),'Quantification_Config'!$U$2),""),"")</x:f>
        <x:v>50</x:v>
      </x:c>
      <x:c r="AV401" t="n">
        <x:f>IF((COUNT('Quantification_Results'!AU401)=1),IFERROR(ROUND((SUM(('Quantification_Results'!AU401*'Quantification_Config'!$R$14))/SUM('Quantification_Config'!$R$14)),'Quantification_Config'!$U$2),""),"")</x:f>
        <x:v>50</x:v>
      </x:c>
      <x:c r="AW401" t="n">
        <x:v>1</x:v>
      </x:c>
      <x:c r="AX401" t="n">
        <x:v>5</x:v>
      </x:c>
      <x:c r="AY401"/>
      <x:c r="AZ401" t="n">
        <x:f>IF(('Quantification_Results'!AW401&lt;&gt;1),"",IF(('Quantification_Results'!AY401=""),IF(ISNUMBER('Quantification_Results'!AX401),IF(('Quantification_Results'!AX401&lt;'Quantification_Config'!$S$19),"",IF(('Quantification_Results'!AX401&gt;'Quantification_Config'!$T$19),"",'Quantification_Results'!AX401)),""),IF(ISNUMBER('Quantification_Results'!AY401),IF(('Quantification_Results'!AY401&lt;'Quantification_Config'!$S$19),"",IF(('Quantification_Results'!AY401&gt;'Quantification_Config'!$T$19),"",'Quantification_Results'!AY401)),"")))</x:f>
        <x:v>5</x:v>
      </x:c>
      <x:c r="BA401" t="n">
        <x:f>IF(ISNUMBER('Quantification_Results'!AZ401),IFERROR(ROUND(((('Quantification_Results'!AZ401-'Quantification_Config'!$S$19)/('Quantification_Config'!$T$19-'Quantification_Config'!$S$19))*100),'Quantification_Config'!$U$2),""),"")</x:f>
        <x:v>50</x:v>
      </x:c>
      <x:c r="BB401" t="inlineStr">
        <x:is>
          <x:t xml:space="preserve">SYSTEM-TEST-ONLY-NO-NETWORK-NOT-AN-EDUCATIONAL-EVALUATION</x:t>
        </x:is>
      </x:c>
      <x:c r="BC401" t="inlineStr">
        <x:is>
          <x:t xml:space="preserve"/>
        </x:is>
      </x:c>
      <x:c r="BD401" t="inlineStr">
        <x:is>
          <x:t xml:space="preserve">NONE</x:t>
        </x:is>
      </x:c>
      <x:c r="BE401" t="inlineStr">
        <x:is>
          <x:t xml:space="preserve"/>
        </x:is>
      </x:c>
      <x:c r="BF401" t="inlineStr">
        <x:is>
          <x:t xml:space="preserve">SUCCESS</x:t>
        </x:is>
      </x:c>
      <x:c r="BG401" t="n">
        <x:f>IF((COUNT('Quantification_Results'!BA401)=1),IFERROR(ROUND((SUM(('Quantification_Results'!BA401*'Quantification_Config'!$R$19))/SUM('Quantification_Config'!$R$19)),'Quantification_Config'!$U$2),""),"")</x:f>
        <x:v>50</x:v>
      </x:c>
      <x:c r="BH401" t="n">
        <x:f>IF((COUNT('Quantification_Results'!BG401)=1),IFERROR(ROUND((SUM(('Quantification_Results'!BG401*'Quantification_Config'!$R$18))/SUM('Quantification_Config'!$R$18)),'Quantification_Config'!$U$2),""),"")</x:f>
        <x:v>50</x:v>
      </x:c>
      <x:c r="BI401">
        <x:f>IF((COUNT('Quantification_Results'!L401,'Quantification_Results'!X401,'Quantification_Results'!AJ401,'Quantification_Results'!AV401,'Quantification_Results'!BH401)=5),IFERROR(ROUND((SUM(('Quantification_Results'!L401*'Quantification_Config'!$R$4),('Quantification_Results'!X401*'Quantification_Config'!$R$7),('Quantification_Results'!AJ401*'Quantification_Config'!$R$10),('Quantification_Results'!AV401*'Quantification_Config'!$R$13),('Quantification_Results'!BH401*'Quantification_Config'!$R$16))/SUM('Quantification_Config'!$R$4,'Quantification_Config'!$R$7,'Quantification_Config'!$R$10,'Quantification_Config'!$R$13,'Quantification_Config'!$R$16)),'Quantification_Config'!$U$2),""),"")</x:f>
      </x:c>
    </x:row>
    <x:row r="402">
      <x:c r="A402" t="n">
        <x:v>1</x:v>
      </x:c>
      <x:c r="B402" t="n">
        <x:v>5</x:v>
      </x:c>
      <x:c r="C402"/>
      <x:c r="D402" t="n">
        <x:f>IF(('Quantification_Results'!A402&lt;&gt;1),"",IF(('Quantification_Results'!C402=""),IF(ISNUMBER('Quantification_Results'!B402),IF(('Quantification_Results'!B402&lt;'Quantification_Config'!$S$6),"",IF(('Quantification_Results'!B402&gt;'Quantification_Config'!$T$6),"",'Quantification_Results'!B402)),""),IF(ISNUMBER('Quantification_Results'!C402),IF(('Quantification_Results'!C402&lt;'Quantification_Config'!$S$6),"",IF(('Quantification_Results'!C402&gt;'Quantification_Config'!$T$6),"",'Quantification_Results'!C402)),"")))</x:f>
        <x:v>5</x:v>
      </x:c>
      <x:c r="E402" t="n">
        <x:f>IF(ISNUMBER('Quantification_Results'!D402),IFERROR(ROUND(((('Quantification_Results'!D402-'Quantification_Config'!$S$6)/('Quantification_Config'!$T$6-'Quantification_Config'!$S$6))*100),'Quantification_Config'!$U$2),""),"")</x:f>
        <x:v>50</x:v>
      </x:c>
      <x:c r="F402" t="inlineStr">
        <x:is>
          <x:t xml:space="preserve">SYSTEM-TEST-ONLY-NO-NETWORK-NOT-AN-EDUCATIONAL-EVALUATION</x:t>
        </x:is>
      </x:c>
      <x:c r="G402" t="inlineStr">
        <x:is>
          <x:t xml:space="preserve"/>
        </x:is>
      </x:c>
      <x:c r="H402" t="inlineStr">
        <x:is>
          <x:t xml:space="preserve">NONE</x:t>
        </x:is>
      </x:c>
      <x:c r="I402" t="inlineStr">
        <x:is>
          <x:t xml:space="preserve"/>
        </x:is>
      </x:c>
      <x:c r="J402" t="inlineStr">
        <x:is>
          <x:t xml:space="preserve">SUCCESS</x:t>
        </x:is>
      </x:c>
      <x:c r="K402" t="n">
        <x:f>IF((COUNT('Quantification_Results'!E402)=1),IFERROR(ROUND((SUM(('Quantification_Results'!E402*'Quantification_Config'!$R$6))/SUM('Quantification_Config'!$R$6)),'Quantification_Config'!$U$2),""),"")</x:f>
        <x:v>50</x:v>
      </x:c>
      <x:c r="L402" t="n">
        <x:f>IF((COUNT('Quantification_Results'!K402)=1),IFERROR(ROUND((SUM(('Quantification_Results'!K402*'Quantification_Config'!$R$5))/SUM('Quantification_Config'!$R$5)),'Quantification_Config'!$U$2),""),"")</x:f>
        <x:v>50</x:v>
      </x:c>
      <x:c r="M402" t="n">
        <x:v>1</x:v>
      </x:c>
      <x:c r="N402" t="n">
        <x:v>5</x:v>
      </x:c>
      <x:c r="O402"/>
      <x:c r="P402" t="n">
        <x:f>IF(('Quantification_Results'!M402&lt;&gt;1),"",IF(('Quantification_Results'!O402=""),IF(ISNUMBER('Quantification_Results'!N402),IF(('Quantification_Results'!N402&lt;'Quantification_Config'!$S$9),"",IF(('Quantification_Results'!N402&gt;'Quantification_Config'!$T$9),"",'Quantification_Results'!N402)),""),IF(ISNUMBER('Quantification_Results'!O402),IF(('Quantification_Results'!O402&lt;'Quantification_Config'!$S$9),"",IF(('Quantification_Results'!O402&gt;'Quantification_Config'!$T$9),"",'Quantification_Results'!O402)),"")))</x:f>
        <x:v>5</x:v>
      </x:c>
      <x:c r="Q402" t="n">
        <x:f>IF(ISNUMBER('Quantification_Results'!P402),IFERROR(ROUND(((('Quantification_Results'!P402-'Quantification_Config'!$S$9)/('Quantification_Config'!$T$9-'Quantification_Config'!$S$9))*100),'Quantification_Config'!$U$2),""),"")</x:f>
        <x:v>50</x:v>
      </x:c>
      <x:c r="R402" t="inlineStr">
        <x:is>
          <x:t xml:space="preserve">SYSTEM-TEST-ONLY-NO-NETWORK-NOT-AN-EDUCATIONAL-EVALUATION</x:t>
        </x:is>
      </x:c>
      <x:c r="S402" t="inlineStr">
        <x:is>
          <x:t xml:space="preserve"/>
        </x:is>
      </x:c>
      <x:c r="T402" t="inlineStr">
        <x:is>
          <x:t xml:space="preserve">NONE</x:t>
        </x:is>
      </x:c>
      <x:c r="U402" t="inlineStr">
        <x:is>
          <x:t xml:space="preserve"/>
        </x:is>
      </x:c>
      <x:c r="V402" t="inlineStr">
        <x:is>
          <x:t xml:space="preserve">SUCCESS</x:t>
        </x:is>
      </x:c>
      <x:c r="W402" t="n">
        <x:f>IF((COUNT('Quantification_Results'!Q402)=1),IFERROR(ROUND((SUM(('Quantification_Results'!Q402*'Quantification_Config'!$R$9))/SUM('Quantification_Config'!$R$9)),'Quantification_Config'!$U$2),""),"")</x:f>
        <x:v>50</x:v>
      </x:c>
      <x:c r="X402" t="n">
        <x:f>IF((COUNT('Quantification_Results'!W402)=1),IFERROR(ROUND((SUM(('Quantification_Results'!W402*'Quantification_Config'!$R$8))/SUM('Quantification_Config'!$R$8)),'Quantification_Config'!$U$2),""),"")</x:f>
        <x:v>50</x:v>
      </x:c>
      <x:c r="Y402" t="n">
        <x:v>1</x:v>
      </x:c>
      <x:c r="Z402" t="n">
        <x:v>5</x:v>
      </x:c>
      <x:c r="AA402"/>
      <x:c r="AB402" t="n">
        <x:f>IF(('Quantification_Results'!Y402&lt;&gt;1),"",IF(('Quantification_Results'!AA402=""),IF(ISNUMBER('Quantification_Results'!Z402),IF(('Quantification_Results'!Z402&lt;'Quantification_Config'!$S$12),"",IF(('Quantification_Results'!Z402&gt;'Quantification_Config'!$T$12),"",'Quantification_Results'!Z402)),""),IF(ISNUMBER('Quantification_Results'!AA402),IF(('Quantification_Results'!AA402&lt;'Quantification_Config'!$S$12),"",IF(('Quantification_Results'!AA402&gt;'Quantification_Config'!$T$12),"",'Quantification_Results'!AA402)),"")))</x:f>
        <x:v>5</x:v>
      </x:c>
      <x:c r="AC402" t="n">
        <x:f>IF(ISNUMBER('Quantification_Results'!AB402),IFERROR(ROUND(((('Quantification_Results'!AB402-'Quantification_Config'!$S$12)/('Quantification_Config'!$T$12-'Quantification_Config'!$S$12))*100),'Quantification_Config'!$U$2),""),"")</x:f>
        <x:v>50</x:v>
      </x:c>
      <x:c r="AD402" t="inlineStr">
        <x:is>
          <x:t xml:space="preserve">SYSTEM-TEST-ONLY-NO-NETWORK-NOT-AN-EDUCATIONAL-EVALUATION</x:t>
        </x:is>
      </x:c>
      <x:c r="AE402" t="inlineStr">
        <x:is>
          <x:t xml:space="preserve"/>
        </x:is>
      </x:c>
      <x:c r="AF402" t="inlineStr">
        <x:is>
          <x:t xml:space="preserve">NONE</x:t>
        </x:is>
      </x:c>
      <x:c r="AG402" t="inlineStr">
        <x:is>
          <x:t xml:space="preserve"/>
        </x:is>
      </x:c>
      <x:c r="AH402" t="inlineStr">
        <x:is>
          <x:t xml:space="preserve">SUCCESS</x:t>
        </x:is>
      </x:c>
      <x:c r="AI402" t="n">
        <x:f>IF((COUNT('Quantification_Results'!AC402)=1),IFERROR(ROUND((SUM(('Quantification_Results'!AC402*'Quantification_Config'!$R$12))/SUM('Quantification_Config'!$R$12)),'Quantification_Config'!$U$2),""),"")</x:f>
        <x:v>50</x:v>
      </x:c>
      <x:c r="AJ402" t="n">
        <x:f>IF((COUNT('Quantification_Results'!AI402)=1),IFERROR(ROUND((SUM(('Quantification_Results'!AI402*'Quantification_Config'!$R$11))/SUM('Quantification_Config'!$R$11)),'Quantification_Config'!$U$2),""),"")</x:f>
        <x:v>50</x:v>
      </x:c>
      <x:c r="AK402" t="n">
        <x:v>1</x:v>
      </x:c>
      <x:c r="AL402" t="n">
        <x:v>5</x:v>
      </x:c>
      <x:c r="AM402"/>
      <x:c r="AN402" t="n">
        <x:f>IF(('Quantification_Results'!AK402&lt;&gt;1),"",IF(('Quantification_Results'!AM402=""),IF(ISNUMBER('Quantification_Results'!AL402),IF(('Quantification_Results'!AL402&lt;'Quantification_Config'!$S$15),"",IF(('Quantification_Results'!AL402&gt;'Quantification_Config'!$T$15),"",'Quantification_Results'!AL402)),""),IF(ISNUMBER('Quantification_Results'!AM402),IF(('Quantification_Results'!AM402&lt;'Quantification_Config'!$S$15),"",IF(('Quantification_Results'!AM402&gt;'Quantification_Config'!$T$15),"",'Quantification_Results'!AM402)),"")))</x:f>
        <x:v>5</x:v>
      </x:c>
      <x:c r="AO402" t="n">
        <x:f>IF(ISNUMBER('Quantification_Results'!AN402),IFERROR(ROUND(((('Quantification_Results'!AN402-'Quantification_Config'!$S$15)/('Quantification_Config'!$T$15-'Quantification_Config'!$S$15))*100),'Quantification_Config'!$U$2),""),"")</x:f>
        <x:v>50</x:v>
      </x:c>
      <x:c r="AP402" t="inlineStr">
        <x:is>
          <x:t xml:space="preserve">SYSTEM-TEST-ONLY-NO-NETWORK-NOT-AN-EDUCATIONAL-EVALUATION</x:t>
        </x:is>
      </x:c>
      <x:c r="AQ402" t="inlineStr">
        <x:is>
          <x:t xml:space="preserve"/>
        </x:is>
      </x:c>
      <x:c r="AR402" t="inlineStr">
        <x:is>
          <x:t xml:space="preserve">NONE</x:t>
        </x:is>
      </x:c>
      <x:c r="AS402" t="inlineStr">
        <x:is>
          <x:t xml:space="preserve"/>
        </x:is>
      </x:c>
      <x:c r="AT402" t="inlineStr">
        <x:is>
          <x:t xml:space="preserve">SUCCESS</x:t>
        </x:is>
      </x:c>
      <x:c r="AU402" t="n">
        <x:f>IF((COUNT('Quantification_Results'!AO402)=1),IFERROR(ROUND((SUM(('Quantification_Results'!AO402*'Quantification_Config'!$R$15))/SUM('Quantification_Config'!$R$15)),'Quantification_Config'!$U$2),""),"")</x:f>
        <x:v>50</x:v>
      </x:c>
      <x:c r="AV402" t="n">
        <x:f>IF((COUNT('Quantification_Results'!AU402)=1),IFERROR(ROUND((SUM(('Quantification_Results'!AU402*'Quantification_Config'!$R$14))/SUM('Quantification_Config'!$R$14)),'Quantification_Config'!$U$2),""),"")</x:f>
        <x:v>50</x:v>
      </x:c>
      <x:c r="AW402" t="n">
        <x:v>1</x:v>
      </x:c>
      <x:c r="AX402" t="n">
        <x:v>5</x:v>
      </x:c>
      <x:c r="AY402"/>
      <x:c r="AZ402" t="n">
        <x:f>IF(('Quantification_Results'!AW402&lt;&gt;1),"",IF(('Quantification_Results'!AY402=""),IF(ISNUMBER('Quantification_Results'!AX402),IF(('Quantification_Results'!AX402&lt;'Quantification_Config'!$S$19),"",IF(('Quantification_Results'!AX402&gt;'Quantification_Config'!$T$19),"",'Quantification_Results'!AX402)),""),IF(ISNUMBER('Quantification_Results'!AY402),IF(('Quantification_Results'!AY402&lt;'Quantification_Config'!$S$19),"",IF(('Quantification_Results'!AY402&gt;'Quantification_Config'!$T$19),"",'Quantification_Results'!AY402)),"")))</x:f>
        <x:v>5</x:v>
      </x:c>
      <x:c r="BA402" t="n">
        <x:f>IF(ISNUMBER('Quantification_Results'!AZ402),IFERROR(ROUND(((('Quantification_Results'!AZ402-'Quantification_Config'!$S$19)/('Quantification_Config'!$T$19-'Quantification_Config'!$S$19))*100),'Quantification_Config'!$U$2),""),"")</x:f>
        <x:v>50</x:v>
      </x:c>
      <x:c r="BB402" t="inlineStr">
        <x:is>
          <x:t xml:space="preserve">SYSTEM-TEST-ONLY-NO-NETWORK-NOT-AN-EDUCATIONAL-EVALUATION</x:t>
        </x:is>
      </x:c>
      <x:c r="BC402" t="inlineStr">
        <x:is>
          <x:t xml:space="preserve"/>
        </x:is>
      </x:c>
      <x:c r="BD402" t="inlineStr">
        <x:is>
          <x:t xml:space="preserve">NONE</x:t>
        </x:is>
      </x:c>
      <x:c r="BE402" t="inlineStr">
        <x:is>
          <x:t xml:space="preserve"/>
        </x:is>
      </x:c>
      <x:c r="BF402" t="inlineStr">
        <x:is>
          <x:t xml:space="preserve">SUCCESS</x:t>
        </x:is>
      </x:c>
      <x:c r="BG402" t="n">
        <x:f>IF((COUNT('Quantification_Results'!BA402)=1),IFERROR(ROUND((SUM(('Quantification_Results'!BA402*'Quantification_Config'!$R$19))/SUM('Quantification_Config'!$R$19)),'Quantification_Config'!$U$2),""),"")</x:f>
        <x:v>50</x:v>
      </x:c>
      <x:c r="BH402" t="n">
        <x:f>IF((COUNT('Quantification_Results'!BG402)=1),IFERROR(ROUND((SUM(('Quantification_Results'!BG402*'Quantification_Config'!$R$18))/SUM('Quantification_Config'!$R$18)),'Quantification_Config'!$U$2),""),"")</x:f>
        <x:v>50</x:v>
      </x:c>
      <x:c r="BI402" t="n">
        <x:f>IF((COUNT('Quantification_Results'!L402,'Quantification_Results'!X402,'Quantification_Results'!AJ402,'Quantification_Results'!AV402,'Quantification_Results'!BH402)=5),IFERROR(ROUND((SUM(('Quantification_Results'!L402*'Quantification_Config'!$R$4),('Quantification_Results'!X402*'Quantification_Config'!$R$7),('Quantification_Results'!AJ402*'Quantification_Config'!$R$10),('Quantification_Results'!AV402*'Quantification_Config'!$R$13),('Quantification_Results'!BH402*'Quantification_Config'!$R$16))/SUM('Quantification_Config'!$R$4,'Quantification_Config'!$R$7,'Quantification_Config'!$R$10,'Quantification_Config'!$R$13,'Quantification_Config'!$R$16)),'Quantification_Config'!$U$2),""),"")</x:f>
        <x:v>50</x:v>
      </x:c>
    </x:row>
    <x:row r="403">
      <x:c r="A403" t="n">
        <x:v>1</x:v>
      </x:c>
      <x:c r="B403" t="n">
        <x:v>5</x:v>
      </x:c>
      <x:c r="C403"/>
      <x:c r="D403" t="n">
        <x:f>IF(('Quantification_Results'!A403&lt;&gt;1),"",IF(('Quantification_Results'!C403=""),IF(ISNUMBER('Quantification_Results'!B403),IF(('Quantification_Results'!B403&lt;'Quantification_Config'!$S$6),"",IF(('Quantification_Results'!B403&gt;'Quantification_Config'!$T$6),"",'Quantification_Results'!B403)),""),IF(ISNUMBER('Quantification_Results'!C403),IF(('Quantification_Results'!C403&lt;'Quantification_Config'!$S$6),"",IF(('Quantification_Results'!C403&gt;'Quantification_Config'!$T$6),"",'Quantification_Results'!C403)),"")))</x:f>
        <x:v>5</x:v>
      </x:c>
      <x:c r="E403" t="n">
        <x:f>IF(ISNUMBER('Quantification_Results'!D403),IFERROR(ROUND(((('Quantification_Results'!D403-'Quantification_Config'!$S$6)/('Quantification_Config'!$T$6-'Quantification_Config'!$S$6))*100),'Quantification_Config'!$U$2),""),"")</x:f>
        <x:v>50</x:v>
      </x:c>
      <x:c r="F403" t="inlineStr">
        <x:is>
          <x:t xml:space="preserve">SYSTEM-TEST-ONLY-NO-NETWORK-NOT-AN-EDUCATIONAL-EVALUATION</x:t>
        </x:is>
      </x:c>
      <x:c r="G403" t="inlineStr">
        <x:is>
          <x:t xml:space="preserve"/>
        </x:is>
      </x:c>
      <x:c r="H403" t="inlineStr">
        <x:is>
          <x:t xml:space="preserve">NONE</x:t>
        </x:is>
      </x:c>
      <x:c r="I403" t="inlineStr">
        <x:is>
          <x:t xml:space="preserve"/>
        </x:is>
      </x:c>
      <x:c r="J403" t="inlineStr">
        <x:is>
          <x:t xml:space="preserve">SUCCESS</x:t>
        </x:is>
      </x:c>
      <x:c r="K403" t="n">
        <x:f>IF((COUNT('Quantification_Results'!E403)=1),IFERROR(ROUND((SUM(('Quantification_Results'!E403*'Quantification_Config'!$R$6))/SUM('Quantification_Config'!$R$6)),'Quantification_Config'!$U$2),""),"")</x:f>
        <x:v>50</x:v>
      </x:c>
      <x:c r="L403" t="n">
        <x:f>IF((COUNT('Quantification_Results'!K403)=1),IFERROR(ROUND((SUM(('Quantification_Results'!K403*'Quantification_Config'!$R$5))/SUM('Quantification_Config'!$R$5)),'Quantification_Config'!$U$2),""),"")</x:f>
        <x:v>50</x:v>
      </x:c>
      <x:c r="M403" t="n">
        <x:v>1</x:v>
      </x:c>
      <x:c r="N403" t="n">
        <x:v>5</x:v>
      </x:c>
      <x:c r="O403"/>
      <x:c r="P403" t="n">
        <x:f>IF(('Quantification_Results'!M403&lt;&gt;1),"",IF(('Quantification_Results'!O403=""),IF(ISNUMBER('Quantification_Results'!N403),IF(('Quantification_Results'!N403&lt;'Quantification_Config'!$S$9),"",IF(('Quantification_Results'!N403&gt;'Quantification_Config'!$T$9),"",'Quantification_Results'!N403)),""),IF(ISNUMBER('Quantification_Results'!O403),IF(('Quantification_Results'!O403&lt;'Quantification_Config'!$S$9),"",IF(('Quantification_Results'!O403&gt;'Quantification_Config'!$T$9),"",'Quantification_Results'!O403)),"")))</x:f>
        <x:v>5</x:v>
      </x:c>
      <x:c r="Q403" t="n">
        <x:f>IF(ISNUMBER('Quantification_Results'!P403),IFERROR(ROUND(((('Quantification_Results'!P403-'Quantification_Config'!$S$9)/('Quantification_Config'!$T$9-'Quantification_Config'!$S$9))*100),'Quantification_Config'!$U$2),""),"")</x:f>
        <x:v>50</x:v>
      </x:c>
      <x:c r="R403" t="inlineStr">
        <x:is>
          <x:t xml:space="preserve">SYSTEM-TEST-ONLY-NO-NETWORK-NOT-AN-EDUCATIONAL-EVALUATION</x:t>
        </x:is>
      </x:c>
      <x:c r="S403" t="inlineStr">
        <x:is>
          <x:t xml:space="preserve"/>
        </x:is>
      </x:c>
      <x:c r="T403" t="inlineStr">
        <x:is>
          <x:t xml:space="preserve">NONE</x:t>
        </x:is>
      </x:c>
      <x:c r="U403" t="inlineStr">
        <x:is>
          <x:t xml:space="preserve"/>
        </x:is>
      </x:c>
      <x:c r="V403" t="inlineStr">
        <x:is>
          <x:t xml:space="preserve">SUCCESS</x:t>
        </x:is>
      </x:c>
      <x:c r="W403" t="n">
        <x:f>IF((COUNT('Quantification_Results'!Q403)=1),IFERROR(ROUND((SUM(('Quantification_Results'!Q403*'Quantification_Config'!$R$9))/SUM('Quantification_Config'!$R$9)),'Quantification_Config'!$U$2),""),"")</x:f>
        <x:v>50</x:v>
      </x:c>
      <x:c r="X403" t="n">
        <x:f>IF((COUNT('Quantification_Results'!W403)=1),IFERROR(ROUND((SUM(('Quantification_Results'!W403*'Quantification_Config'!$R$8))/SUM('Quantification_Config'!$R$8)),'Quantification_Config'!$U$2),""),"")</x:f>
        <x:v>50</x:v>
      </x:c>
      <x:c r="Y403" t="n">
        <x:v>0</x:v>
      </x:c>
      <x:c r="Z403"/>
      <x:c r="AA403"/>
      <x:c r="AB403">
        <x:f>IF(('Quantification_Results'!Y403&lt;&gt;1),"",IF(('Quantification_Results'!AA403=""),IF(ISNUMBER('Quantification_Results'!Z403),IF(('Quantification_Results'!Z403&lt;'Quantification_Config'!$S$12),"",IF(('Quantification_Results'!Z403&gt;'Quantification_Config'!$T$12),"",'Quantification_Results'!Z403)),""),IF(ISNUMBER('Quantification_Results'!AA403),IF(('Quantification_Results'!AA403&lt;'Quantification_Config'!$S$12),"",IF(('Quantification_Results'!AA403&gt;'Quantification_Config'!$T$12),"",'Quantification_Results'!AA403)),"")))</x:f>
      </x:c>
      <x:c r="AC403">
        <x:f>IF(ISNUMBER('Quantification_Results'!AB403),IFERROR(ROUND(((('Quantification_Results'!AB403-'Quantification_Config'!$S$12)/('Quantification_Config'!$T$12-'Quantification_Config'!$S$12))*100),'Quantification_Config'!$U$2),""),"")</x:f>
      </x:c>
      <x:c r="AD403" t="inlineStr">
        <x:is>
          <x:t xml:space="preserve"/>
        </x:is>
      </x:c>
      <x:c r="AE403" t="inlineStr">
        <x:is>
          <x:t xml:space="preserve"/>
        </x:is>
      </x:c>
      <x:c r="AF403" t="inlineStr">
        <x:is>
          <x:t xml:space="preserve"/>
        </x:is>
      </x:c>
      <x:c r="AG403" t="inlineStr">
        <x:is>
          <x:t xml:space="preserve"/>
        </x:is>
      </x:c>
      <x:c r="AH403" t="inlineStr">
        <x:is>
          <x:t xml:space="preserve">EMPTY</x:t>
        </x:is>
      </x:c>
      <x:c r="AI403">
        <x:f>IF((COUNT('Quantification_Results'!AC403)=1),IFERROR(ROUND((SUM(('Quantification_Results'!AC403*'Quantification_Config'!$R$12))/SUM('Quantification_Config'!$R$12)),'Quantification_Config'!$U$2),""),"")</x:f>
      </x:c>
      <x:c r="AJ403">
        <x:f>IF((COUNT('Quantification_Results'!AI403)=1),IFERROR(ROUND((SUM(('Quantification_Results'!AI403*'Quantification_Config'!$R$11))/SUM('Quantification_Config'!$R$11)),'Quantification_Config'!$U$2),""),"")</x:f>
      </x:c>
      <x:c r="AK403" t="n">
        <x:v>1</x:v>
      </x:c>
      <x:c r="AL403" t="n">
        <x:v>5</x:v>
      </x:c>
      <x:c r="AM403"/>
      <x:c r="AN403" t="n">
        <x:f>IF(('Quantification_Results'!AK403&lt;&gt;1),"",IF(('Quantification_Results'!AM403=""),IF(ISNUMBER('Quantification_Results'!AL403),IF(('Quantification_Results'!AL403&lt;'Quantification_Config'!$S$15),"",IF(('Quantification_Results'!AL403&gt;'Quantification_Config'!$T$15),"",'Quantification_Results'!AL403)),""),IF(ISNUMBER('Quantification_Results'!AM403),IF(('Quantification_Results'!AM403&lt;'Quantification_Config'!$S$15),"",IF(('Quantification_Results'!AM403&gt;'Quantification_Config'!$T$15),"",'Quantification_Results'!AM403)),"")))</x:f>
        <x:v>5</x:v>
      </x:c>
      <x:c r="AO403" t="n">
        <x:f>IF(ISNUMBER('Quantification_Results'!AN403),IFERROR(ROUND(((('Quantification_Results'!AN403-'Quantification_Config'!$S$15)/('Quantification_Config'!$T$15-'Quantification_Config'!$S$15))*100),'Quantification_Config'!$U$2),""),"")</x:f>
        <x:v>50</x:v>
      </x:c>
      <x:c r="AP403" t="inlineStr">
        <x:is>
          <x:t xml:space="preserve">SYSTEM-TEST-ONLY-NO-NETWORK-NOT-AN-EDUCATIONAL-EVALUATION</x:t>
        </x:is>
      </x:c>
      <x:c r="AQ403" t="inlineStr">
        <x:is>
          <x:t xml:space="preserve"/>
        </x:is>
      </x:c>
      <x:c r="AR403" t="inlineStr">
        <x:is>
          <x:t xml:space="preserve">NONE</x:t>
        </x:is>
      </x:c>
      <x:c r="AS403" t="inlineStr">
        <x:is>
          <x:t xml:space="preserve"/>
        </x:is>
      </x:c>
      <x:c r="AT403" t="inlineStr">
        <x:is>
          <x:t xml:space="preserve">SUCCESS</x:t>
        </x:is>
      </x:c>
      <x:c r="AU403" t="n">
        <x:f>IF((COUNT('Quantification_Results'!AO403)=1),IFERROR(ROUND((SUM(('Quantification_Results'!AO403*'Quantification_Config'!$R$15))/SUM('Quantification_Config'!$R$15)),'Quantification_Config'!$U$2),""),"")</x:f>
        <x:v>50</x:v>
      </x:c>
      <x:c r="AV403" t="n">
        <x:f>IF((COUNT('Quantification_Results'!AU403)=1),IFERROR(ROUND((SUM(('Quantification_Results'!AU403*'Quantification_Config'!$R$14))/SUM('Quantification_Config'!$R$14)),'Quantification_Config'!$U$2),""),"")</x:f>
        <x:v>50</x:v>
      </x:c>
      <x:c r="AW403" t="n">
        <x:v>1</x:v>
      </x:c>
      <x:c r="AX403" t="n">
        <x:v>5</x:v>
      </x:c>
      <x:c r="AY403"/>
      <x:c r="AZ403" t="n">
        <x:f>IF(('Quantification_Results'!AW403&lt;&gt;1),"",IF(('Quantification_Results'!AY403=""),IF(ISNUMBER('Quantification_Results'!AX403),IF(('Quantification_Results'!AX403&lt;'Quantification_Config'!$S$19),"",IF(('Quantification_Results'!AX403&gt;'Quantification_Config'!$T$19),"",'Quantification_Results'!AX403)),""),IF(ISNUMBER('Quantification_Results'!AY403),IF(('Quantification_Results'!AY403&lt;'Quantification_Config'!$S$19),"",IF(('Quantification_Results'!AY403&gt;'Quantification_Config'!$T$19),"",'Quantification_Results'!AY403)),"")))</x:f>
        <x:v>5</x:v>
      </x:c>
      <x:c r="BA403" t="n">
        <x:f>IF(ISNUMBER('Quantification_Results'!AZ403),IFERROR(ROUND(((('Quantification_Results'!AZ403-'Quantification_Config'!$S$19)/('Quantification_Config'!$T$19-'Quantification_Config'!$S$19))*100),'Quantification_Config'!$U$2),""),"")</x:f>
        <x:v>50</x:v>
      </x:c>
      <x:c r="BB403" t="inlineStr">
        <x:is>
          <x:t xml:space="preserve">SYSTEM-TEST-ONLY-NO-NETWORK-NOT-AN-EDUCATIONAL-EVALUATION</x:t>
        </x:is>
      </x:c>
      <x:c r="BC403" t="inlineStr">
        <x:is>
          <x:t xml:space="preserve"/>
        </x:is>
      </x:c>
      <x:c r="BD403" t="inlineStr">
        <x:is>
          <x:t xml:space="preserve">NONE</x:t>
        </x:is>
      </x:c>
      <x:c r="BE403" t="inlineStr">
        <x:is>
          <x:t xml:space="preserve"/>
        </x:is>
      </x:c>
      <x:c r="BF403" t="inlineStr">
        <x:is>
          <x:t xml:space="preserve">SUCCESS</x:t>
        </x:is>
      </x:c>
      <x:c r="BG403" t="n">
        <x:f>IF((COUNT('Quantification_Results'!BA403)=1),IFERROR(ROUND((SUM(('Quantification_Results'!BA403*'Quantification_Config'!$R$19))/SUM('Quantification_Config'!$R$19)),'Quantification_Config'!$U$2),""),"")</x:f>
        <x:v>50</x:v>
      </x:c>
      <x:c r="BH403" t="n">
        <x:f>IF((COUNT('Quantification_Results'!BG403)=1),IFERROR(ROUND((SUM(('Quantification_Results'!BG403*'Quantification_Config'!$R$18))/SUM('Quantification_Config'!$R$18)),'Quantification_Config'!$U$2),""),"")</x:f>
        <x:v>50</x:v>
      </x:c>
      <x:c r="BI403">
        <x:f>IF((COUNT('Quantification_Results'!L403,'Quantification_Results'!X403,'Quantification_Results'!AJ403,'Quantification_Results'!AV403,'Quantification_Results'!BH403)=5),IFERROR(ROUND((SUM(('Quantification_Results'!L403*'Quantification_Config'!$R$4),('Quantification_Results'!X403*'Quantification_Config'!$R$7),('Quantification_Results'!AJ403*'Quantification_Config'!$R$10),('Quantification_Results'!AV403*'Quantification_Config'!$R$13),('Quantification_Results'!BH403*'Quantification_Config'!$R$16))/SUM('Quantification_Config'!$R$4,'Quantification_Config'!$R$7,'Quantification_Config'!$R$10,'Quantification_Config'!$R$13,'Quantification_Config'!$R$16)),'Quantification_Config'!$U$2),""),"")</x:f>
      </x:c>
    </x:row>
    <x:row r="404">
      <x:c r="A404" t="n">
        <x:v>1</x:v>
      </x:c>
      <x:c r="B404" t="n">
        <x:v>5</x:v>
      </x:c>
      <x:c r="C404"/>
      <x:c r="D404" t="n">
        <x:f>IF(('Quantification_Results'!A404&lt;&gt;1),"",IF(('Quantification_Results'!C404=""),IF(ISNUMBER('Quantification_Results'!B404),IF(('Quantification_Results'!B404&lt;'Quantification_Config'!$S$6),"",IF(('Quantification_Results'!B404&gt;'Quantification_Config'!$T$6),"",'Quantification_Results'!B404)),""),IF(ISNUMBER('Quantification_Results'!C404),IF(('Quantification_Results'!C404&lt;'Quantification_Config'!$S$6),"",IF(('Quantification_Results'!C404&gt;'Quantification_Config'!$T$6),"",'Quantification_Results'!C404)),"")))</x:f>
        <x:v>5</x:v>
      </x:c>
      <x:c r="E404" t="n">
        <x:f>IF(ISNUMBER('Quantification_Results'!D404),IFERROR(ROUND(((('Quantification_Results'!D404-'Quantification_Config'!$S$6)/('Quantification_Config'!$T$6-'Quantification_Config'!$S$6))*100),'Quantification_Config'!$U$2),""),"")</x:f>
        <x:v>50</x:v>
      </x:c>
      <x:c r="F404" t="inlineStr">
        <x:is>
          <x:t xml:space="preserve">SYSTEM-TEST-ONLY-NO-NETWORK-NOT-AN-EDUCATIONAL-EVALUATION</x:t>
        </x:is>
      </x:c>
      <x:c r="G404" t="inlineStr">
        <x:is>
          <x:t xml:space="preserve"/>
        </x:is>
      </x:c>
      <x:c r="H404" t="inlineStr">
        <x:is>
          <x:t xml:space="preserve">NONE</x:t>
        </x:is>
      </x:c>
      <x:c r="I404" t="inlineStr">
        <x:is>
          <x:t xml:space="preserve"/>
        </x:is>
      </x:c>
      <x:c r="J404" t="inlineStr">
        <x:is>
          <x:t xml:space="preserve">SUCCESS</x:t>
        </x:is>
      </x:c>
      <x:c r="K404" t="n">
        <x:f>IF((COUNT('Quantification_Results'!E404)=1),IFERROR(ROUND((SUM(('Quantification_Results'!E404*'Quantification_Config'!$R$6))/SUM('Quantification_Config'!$R$6)),'Quantification_Config'!$U$2),""),"")</x:f>
        <x:v>50</x:v>
      </x:c>
      <x:c r="L404" t="n">
        <x:f>IF((COUNT('Quantification_Results'!K404)=1),IFERROR(ROUND((SUM(('Quantification_Results'!K404*'Quantification_Config'!$R$5))/SUM('Quantification_Config'!$R$5)),'Quantification_Config'!$U$2),""),"")</x:f>
        <x:v>50</x:v>
      </x:c>
      <x:c r="M404" t="n">
        <x:v>1</x:v>
      </x:c>
      <x:c r="N404" t="n">
        <x:v>5</x:v>
      </x:c>
      <x:c r="O404"/>
      <x:c r="P404" t="n">
        <x:f>IF(('Quantification_Results'!M404&lt;&gt;1),"",IF(('Quantification_Results'!O404=""),IF(ISNUMBER('Quantification_Results'!N404),IF(('Quantification_Results'!N404&lt;'Quantification_Config'!$S$9),"",IF(('Quantification_Results'!N404&gt;'Quantification_Config'!$T$9),"",'Quantification_Results'!N404)),""),IF(ISNUMBER('Quantification_Results'!O404),IF(('Quantification_Results'!O404&lt;'Quantification_Config'!$S$9),"",IF(('Quantification_Results'!O404&gt;'Quantification_Config'!$T$9),"",'Quantification_Results'!O404)),"")))</x:f>
        <x:v>5</x:v>
      </x:c>
      <x:c r="Q404" t="n">
        <x:f>IF(ISNUMBER('Quantification_Results'!P404),IFERROR(ROUND(((('Quantification_Results'!P404-'Quantification_Config'!$S$9)/('Quantification_Config'!$T$9-'Quantification_Config'!$S$9))*100),'Quantification_Config'!$U$2),""),"")</x:f>
        <x:v>50</x:v>
      </x:c>
      <x:c r="R404" t="inlineStr">
        <x:is>
          <x:t xml:space="preserve">SYSTEM-TEST-ONLY-NO-NETWORK-NOT-AN-EDUCATIONAL-EVALUATION</x:t>
        </x:is>
      </x:c>
      <x:c r="S404" t="inlineStr">
        <x:is>
          <x:t xml:space="preserve"/>
        </x:is>
      </x:c>
      <x:c r="T404" t="inlineStr">
        <x:is>
          <x:t xml:space="preserve">NONE</x:t>
        </x:is>
      </x:c>
      <x:c r="U404" t="inlineStr">
        <x:is>
          <x:t xml:space="preserve"/>
        </x:is>
      </x:c>
      <x:c r="V404" t="inlineStr">
        <x:is>
          <x:t xml:space="preserve">SUCCESS</x:t>
        </x:is>
      </x:c>
      <x:c r="W404" t="n">
        <x:f>IF((COUNT('Quantification_Results'!Q404)=1),IFERROR(ROUND((SUM(('Quantification_Results'!Q404*'Quantification_Config'!$R$9))/SUM('Quantification_Config'!$R$9)),'Quantification_Config'!$U$2),""),"")</x:f>
        <x:v>50</x:v>
      </x:c>
      <x:c r="X404" t="n">
        <x:f>IF((COUNT('Quantification_Results'!W404)=1),IFERROR(ROUND((SUM(('Quantification_Results'!W404*'Quantification_Config'!$R$8))/SUM('Quantification_Config'!$R$8)),'Quantification_Config'!$U$2),""),"")</x:f>
        <x:v>50</x:v>
      </x:c>
      <x:c r="Y404" t="n">
        <x:v>0</x:v>
      </x:c>
      <x:c r="Z404"/>
      <x:c r="AA404"/>
      <x:c r="AB404">
        <x:f>IF(('Quantification_Results'!Y404&lt;&gt;1),"",IF(('Quantification_Results'!AA404=""),IF(ISNUMBER('Quantification_Results'!Z404),IF(('Quantification_Results'!Z404&lt;'Quantification_Config'!$S$12),"",IF(('Quantification_Results'!Z404&gt;'Quantification_Config'!$T$12),"",'Quantification_Results'!Z404)),""),IF(ISNUMBER('Quantification_Results'!AA404),IF(('Quantification_Results'!AA404&lt;'Quantification_Config'!$S$12),"",IF(('Quantification_Results'!AA404&gt;'Quantification_Config'!$T$12),"",'Quantification_Results'!AA404)),"")))</x:f>
      </x:c>
      <x:c r="AC404">
        <x:f>IF(ISNUMBER('Quantification_Results'!AB404),IFERROR(ROUND(((('Quantification_Results'!AB404-'Quantification_Config'!$S$12)/('Quantification_Config'!$T$12-'Quantification_Config'!$S$12))*100),'Quantification_Config'!$U$2),""),"")</x:f>
      </x:c>
      <x:c r="AD404" t="inlineStr">
        <x:is>
          <x:t xml:space="preserve"/>
        </x:is>
      </x:c>
      <x:c r="AE404" t="inlineStr">
        <x:is>
          <x:t xml:space="preserve"/>
        </x:is>
      </x:c>
      <x:c r="AF404" t="inlineStr">
        <x:is>
          <x:t xml:space="preserve"/>
        </x:is>
      </x:c>
      <x:c r="AG404" t="inlineStr">
        <x:is>
          <x:t xml:space="preserve"/>
        </x:is>
      </x:c>
      <x:c r="AH404" t="inlineStr">
        <x:is>
          <x:t xml:space="preserve">EMPTY</x:t>
        </x:is>
      </x:c>
      <x:c r="AI404">
        <x:f>IF((COUNT('Quantification_Results'!AC404)=1),IFERROR(ROUND((SUM(('Quantification_Results'!AC404*'Quantification_Config'!$R$12))/SUM('Quantification_Config'!$R$12)),'Quantification_Config'!$U$2),""),"")</x:f>
      </x:c>
      <x:c r="AJ404">
        <x:f>IF((COUNT('Quantification_Results'!AI404)=1),IFERROR(ROUND((SUM(('Quantification_Results'!AI404*'Quantification_Config'!$R$11))/SUM('Quantification_Config'!$R$11)),'Quantification_Config'!$U$2),""),"")</x:f>
      </x:c>
      <x:c r="AK404" t="n">
        <x:v>1</x:v>
      </x:c>
      <x:c r="AL404" t="n">
        <x:v>5</x:v>
      </x:c>
      <x:c r="AM404"/>
      <x:c r="AN404" t="n">
        <x:f>IF(('Quantification_Results'!AK404&lt;&gt;1),"",IF(('Quantification_Results'!AM404=""),IF(ISNUMBER('Quantification_Results'!AL404),IF(('Quantification_Results'!AL404&lt;'Quantification_Config'!$S$15),"",IF(('Quantification_Results'!AL404&gt;'Quantification_Config'!$T$15),"",'Quantification_Results'!AL404)),""),IF(ISNUMBER('Quantification_Results'!AM404),IF(('Quantification_Results'!AM404&lt;'Quantification_Config'!$S$15),"",IF(('Quantification_Results'!AM404&gt;'Quantification_Config'!$T$15),"",'Quantification_Results'!AM404)),"")))</x:f>
        <x:v>5</x:v>
      </x:c>
      <x:c r="AO404" t="n">
        <x:f>IF(ISNUMBER('Quantification_Results'!AN404),IFERROR(ROUND(((('Quantification_Results'!AN404-'Quantification_Config'!$S$15)/('Quantification_Config'!$T$15-'Quantification_Config'!$S$15))*100),'Quantification_Config'!$U$2),""),"")</x:f>
        <x:v>50</x:v>
      </x:c>
      <x:c r="AP404" t="inlineStr">
        <x:is>
          <x:t xml:space="preserve">SYSTEM-TEST-ONLY-NO-NETWORK-NOT-AN-EDUCATIONAL-EVALUATION</x:t>
        </x:is>
      </x:c>
      <x:c r="AQ404" t="inlineStr">
        <x:is>
          <x:t xml:space="preserve"/>
        </x:is>
      </x:c>
      <x:c r="AR404" t="inlineStr">
        <x:is>
          <x:t xml:space="preserve">NONE</x:t>
        </x:is>
      </x:c>
      <x:c r="AS404" t="inlineStr">
        <x:is>
          <x:t xml:space="preserve"/>
        </x:is>
      </x:c>
      <x:c r="AT404" t="inlineStr">
        <x:is>
          <x:t xml:space="preserve">SUCCESS</x:t>
        </x:is>
      </x:c>
      <x:c r="AU404" t="n">
        <x:f>IF((COUNT('Quantification_Results'!AO404)=1),IFERROR(ROUND((SUM(('Quantification_Results'!AO404*'Quantification_Config'!$R$15))/SUM('Quantification_Config'!$R$15)),'Quantification_Config'!$U$2),""),"")</x:f>
        <x:v>50</x:v>
      </x:c>
      <x:c r="AV404" t="n">
        <x:f>IF((COUNT('Quantification_Results'!AU404)=1),IFERROR(ROUND((SUM(('Quantification_Results'!AU404*'Quantification_Config'!$R$14))/SUM('Quantification_Config'!$R$14)),'Quantification_Config'!$U$2),""),"")</x:f>
        <x:v>50</x:v>
      </x:c>
      <x:c r="AW404" t="n">
        <x:v>1</x:v>
      </x:c>
      <x:c r="AX404" t="n">
        <x:v>5</x:v>
      </x:c>
      <x:c r="AY404"/>
      <x:c r="AZ404" t="n">
        <x:f>IF(('Quantification_Results'!AW404&lt;&gt;1),"",IF(('Quantification_Results'!AY404=""),IF(ISNUMBER('Quantification_Results'!AX404),IF(('Quantification_Results'!AX404&lt;'Quantification_Config'!$S$19),"",IF(('Quantification_Results'!AX404&gt;'Quantification_Config'!$T$19),"",'Quantification_Results'!AX404)),""),IF(ISNUMBER('Quantification_Results'!AY404),IF(('Quantification_Results'!AY404&lt;'Quantification_Config'!$S$19),"",IF(('Quantification_Results'!AY404&gt;'Quantification_Config'!$T$19),"",'Quantification_Results'!AY404)),"")))</x:f>
        <x:v>5</x:v>
      </x:c>
      <x:c r="BA404" t="n">
        <x:f>IF(ISNUMBER('Quantification_Results'!AZ404),IFERROR(ROUND(((('Quantification_Results'!AZ404-'Quantification_Config'!$S$19)/('Quantification_Config'!$T$19-'Quantification_Config'!$S$19))*100),'Quantification_Config'!$U$2),""),"")</x:f>
        <x:v>50</x:v>
      </x:c>
      <x:c r="BB404" t="inlineStr">
        <x:is>
          <x:t xml:space="preserve">SYSTEM-TEST-ONLY-NO-NETWORK-NOT-AN-EDUCATIONAL-EVALUATION</x:t>
        </x:is>
      </x:c>
      <x:c r="BC404" t="inlineStr">
        <x:is>
          <x:t xml:space="preserve"/>
        </x:is>
      </x:c>
      <x:c r="BD404" t="inlineStr">
        <x:is>
          <x:t xml:space="preserve">NONE</x:t>
        </x:is>
      </x:c>
      <x:c r="BE404" t="inlineStr">
        <x:is>
          <x:t xml:space="preserve"/>
        </x:is>
      </x:c>
      <x:c r="BF404" t="inlineStr">
        <x:is>
          <x:t xml:space="preserve">SUCCESS</x:t>
        </x:is>
      </x:c>
      <x:c r="BG404" t="n">
        <x:f>IF((COUNT('Quantification_Results'!BA404)=1),IFERROR(ROUND((SUM(('Quantification_Results'!BA404*'Quantification_Config'!$R$19))/SUM('Quantification_Config'!$R$19)),'Quantification_Config'!$U$2),""),"")</x:f>
        <x:v>50</x:v>
      </x:c>
      <x:c r="BH404" t="n">
        <x:f>IF((COUNT('Quantification_Results'!BG404)=1),IFERROR(ROUND((SUM(('Quantification_Results'!BG404*'Quantification_Config'!$R$18))/SUM('Quantification_Config'!$R$18)),'Quantification_Config'!$U$2),""),"")</x:f>
        <x:v>50</x:v>
      </x:c>
      <x:c r="BI404">
        <x:f>IF((COUNT('Quantification_Results'!L404,'Quantification_Results'!X404,'Quantification_Results'!AJ404,'Quantification_Results'!AV404,'Quantification_Results'!BH404)=5),IFERROR(ROUND((SUM(('Quantification_Results'!L404*'Quantification_Config'!$R$4),('Quantification_Results'!X404*'Quantification_Config'!$R$7),('Quantification_Results'!AJ404*'Quantification_Config'!$R$10),('Quantification_Results'!AV404*'Quantification_Config'!$R$13),('Quantification_Results'!BH404*'Quantification_Config'!$R$16))/SUM('Quantification_Config'!$R$4,'Quantification_Config'!$R$7,'Quantification_Config'!$R$10,'Quantification_Config'!$R$13,'Quantification_Config'!$R$16)),'Quantification_Config'!$U$2),""),"")</x:f>
      </x:c>
    </x:row>
    <x:row r="405">
      <x:c r="A405" t="n">
        <x:v>1</x:v>
      </x:c>
      <x:c r="B405" t="n">
        <x:v>5</x:v>
      </x:c>
      <x:c r="C405"/>
      <x:c r="D405" t="n">
        <x:f>IF(('Quantification_Results'!A405&lt;&gt;1),"",IF(('Quantification_Results'!C405=""),IF(ISNUMBER('Quantification_Results'!B405),IF(('Quantification_Results'!B405&lt;'Quantification_Config'!$S$6),"",IF(('Quantification_Results'!B405&gt;'Quantification_Config'!$T$6),"",'Quantification_Results'!B405)),""),IF(ISNUMBER('Quantification_Results'!C405),IF(('Quantification_Results'!C405&lt;'Quantification_Config'!$S$6),"",IF(('Quantification_Results'!C405&gt;'Quantification_Config'!$T$6),"",'Quantification_Results'!C405)),"")))</x:f>
        <x:v>5</x:v>
      </x:c>
      <x:c r="E405" t="n">
        <x:f>IF(ISNUMBER('Quantification_Results'!D405),IFERROR(ROUND(((('Quantification_Results'!D405-'Quantification_Config'!$S$6)/('Quantification_Config'!$T$6-'Quantification_Config'!$S$6))*100),'Quantification_Config'!$U$2),""),"")</x:f>
        <x:v>50</x:v>
      </x:c>
      <x:c r="F405" t="inlineStr">
        <x:is>
          <x:t xml:space="preserve">SYSTEM-TEST-ONLY-NO-NETWORK-NOT-AN-EDUCATIONAL-EVALUATION</x:t>
        </x:is>
      </x:c>
      <x:c r="G405" t="inlineStr">
        <x:is>
          <x:t xml:space="preserve"/>
        </x:is>
      </x:c>
      <x:c r="H405" t="inlineStr">
        <x:is>
          <x:t xml:space="preserve">NONE</x:t>
        </x:is>
      </x:c>
      <x:c r="I405" t="inlineStr">
        <x:is>
          <x:t xml:space="preserve"/>
        </x:is>
      </x:c>
      <x:c r="J405" t="inlineStr">
        <x:is>
          <x:t xml:space="preserve">SUCCESS</x:t>
        </x:is>
      </x:c>
      <x:c r="K405" t="n">
        <x:f>IF((COUNT('Quantification_Results'!E405)=1),IFERROR(ROUND((SUM(('Quantification_Results'!E405*'Quantification_Config'!$R$6))/SUM('Quantification_Config'!$R$6)),'Quantification_Config'!$U$2),""),"")</x:f>
        <x:v>50</x:v>
      </x:c>
      <x:c r="L405" t="n">
        <x:f>IF((COUNT('Quantification_Results'!K405)=1),IFERROR(ROUND((SUM(('Quantification_Results'!K405*'Quantification_Config'!$R$5))/SUM('Quantification_Config'!$R$5)),'Quantification_Config'!$U$2),""),"")</x:f>
        <x:v>50</x:v>
      </x:c>
      <x:c r="M405" t="n">
        <x:v>1</x:v>
      </x:c>
      <x:c r="N405" t="n">
        <x:v>5</x:v>
      </x:c>
      <x:c r="O405"/>
      <x:c r="P405" t="n">
        <x:f>IF(('Quantification_Results'!M405&lt;&gt;1),"",IF(('Quantification_Results'!O405=""),IF(ISNUMBER('Quantification_Results'!N405),IF(('Quantification_Results'!N405&lt;'Quantification_Config'!$S$9),"",IF(('Quantification_Results'!N405&gt;'Quantification_Config'!$T$9),"",'Quantification_Results'!N405)),""),IF(ISNUMBER('Quantification_Results'!O405),IF(('Quantification_Results'!O405&lt;'Quantification_Config'!$S$9),"",IF(('Quantification_Results'!O405&gt;'Quantification_Config'!$T$9),"",'Quantification_Results'!O405)),"")))</x:f>
        <x:v>5</x:v>
      </x:c>
      <x:c r="Q405" t="n">
        <x:f>IF(ISNUMBER('Quantification_Results'!P405),IFERROR(ROUND(((('Quantification_Results'!P405-'Quantification_Config'!$S$9)/('Quantification_Config'!$T$9-'Quantification_Config'!$S$9))*100),'Quantification_Config'!$U$2),""),"")</x:f>
        <x:v>50</x:v>
      </x:c>
      <x:c r="R405" t="inlineStr">
        <x:is>
          <x:t xml:space="preserve">SYSTEM-TEST-ONLY-NO-NETWORK-NOT-AN-EDUCATIONAL-EVALUATION</x:t>
        </x:is>
      </x:c>
      <x:c r="S405" t="inlineStr">
        <x:is>
          <x:t xml:space="preserve"/>
        </x:is>
      </x:c>
      <x:c r="T405" t="inlineStr">
        <x:is>
          <x:t xml:space="preserve">NONE</x:t>
        </x:is>
      </x:c>
      <x:c r="U405" t="inlineStr">
        <x:is>
          <x:t xml:space="preserve"/>
        </x:is>
      </x:c>
      <x:c r="V405" t="inlineStr">
        <x:is>
          <x:t xml:space="preserve">SUCCESS</x:t>
        </x:is>
      </x:c>
      <x:c r="W405" t="n">
        <x:f>IF((COUNT('Quantification_Results'!Q405)=1),IFERROR(ROUND((SUM(('Quantification_Results'!Q405*'Quantification_Config'!$R$9))/SUM('Quantification_Config'!$R$9)),'Quantification_Config'!$U$2),""),"")</x:f>
        <x:v>50</x:v>
      </x:c>
      <x:c r="X405" t="n">
        <x:f>IF((COUNT('Quantification_Results'!W405)=1),IFERROR(ROUND((SUM(('Quantification_Results'!W405*'Quantification_Config'!$R$8))/SUM('Quantification_Config'!$R$8)),'Quantification_Config'!$U$2),""),"")</x:f>
        <x:v>50</x:v>
      </x:c>
      <x:c r="Y405" t="n">
        <x:v>0</x:v>
      </x:c>
      <x:c r="Z405"/>
      <x:c r="AA405"/>
      <x:c r="AB405">
        <x:f>IF(('Quantification_Results'!Y405&lt;&gt;1),"",IF(('Quantification_Results'!AA405=""),IF(ISNUMBER('Quantification_Results'!Z405),IF(('Quantification_Results'!Z405&lt;'Quantification_Config'!$S$12),"",IF(('Quantification_Results'!Z405&gt;'Quantification_Config'!$T$12),"",'Quantification_Results'!Z405)),""),IF(ISNUMBER('Quantification_Results'!AA405),IF(('Quantification_Results'!AA405&lt;'Quantification_Config'!$S$12),"",IF(('Quantification_Results'!AA405&gt;'Quantification_Config'!$T$12),"",'Quantification_Results'!AA405)),"")))</x:f>
      </x:c>
      <x:c r="AC405">
        <x:f>IF(ISNUMBER('Quantification_Results'!AB405),IFERROR(ROUND(((('Quantification_Results'!AB405-'Quantification_Config'!$S$12)/('Quantification_Config'!$T$12-'Quantification_Config'!$S$12))*100),'Quantification_Config'!$U$2),""),"")</x:f>
      </x:c>
      <x:c r="AD405" t="inlineStr">
        <x:is>
          <x:t xml:space="preserve"/>
        </x:is>
      </x:c>
      <x:c r="AE405" t="inlineStr">
        <x:is>
          <x:t xml:space="preserve"/>
        </x:is>
      </x:c>
      <x:c r="AF405" t="inlineStr">
        <x:is>
          <x:t xml:space="preserve"/>
        </x:is>
      </x:c>
      <x:c r="AG405" t="inlineStr">
        <x:is>
          <x:t xml:space="preserve"/>
        </x:is>
      </x:c>
      <x:c r="AH405" t="inlineStr">
        <x:is>
          <x:t xml:space="preserve">EMPTY</x:t>
        </x:is>
      </x:c>
      <x:c r="AI405">
        <x:f>IF((COUNT('Quantification_Results'!AC405)=1),IFERROR(ROUND((SUM(('Quantification_Results'!AC405*'Quantification_Config'!$R$12))/SUM('Quantification_Config'!$R$12)),'Quantification_Config'!$U$2),""),"")</x:f>
      </x:c>
      <x:c r="AJ405">
        <x:f>IF((COUNT('Quantification_Results'!AI405)=1),IFERROR(ROUND((SUM(('Quantification_Results'!AI405*'Quantification_Config'!$R$11))/SUM('Quantification_Config'!$R$11)),'Quantification_Config'!$U$2),""),"")</x:f>
      </x:c>
      <x:c r="AK405" t="n">
        <x:v>1</x:v>
      </x:c>
      <x:c r="AL405" t="n">
        <x:v>5</x:v>
      </x:c>
      <x:c r="AM405"/>
      <x:c r="AN405" t="n">
        <x:f>IF(('Quantification_Results'!AK405&lt;&gt;1),"",IF(('Quantification_Results'!AM405=""),IF(ISNUMBER('Quantification_Results'!AL405),IF(('Quantification_Results'!AL405&lt;'Quantification_Config'!$S$15),"",IF(('Quantification_Results'!AL405&gt;'Quantification_Config'!$T$15),"",'Quantification_Results'!AL405)),""),IF(ISNUMBER('Quantification_Results'!AM405),IF(('Quantification_Results'!AM405&lt;'Quantification_Config'!$S$15),"",IF(('Quantification_Results'!AM405&gt;'Quantification_Config'!$T$15),"",'Quantification_Results'!AM405)),"")))</x:f>
        <x:v>5</x:v>
      </x:c>
      <x:c r="AO405" t="n">
        <x:f>IF(ISNUMBER('Quantification_Results'!AN405),IFERROR(ROUND(((('Quantification_Results'!AN405-'Quantification_Config'!$S$15)/('Quantification_Config'!$T$15-'Quantification_Config'!$S$15))*100),'Quantification_Config'!$U$2),""),"")</x:f>
        <x:v>50</x:v>
      </x:c>
      <x:c r="AP405" t="inlineStr">
        <x:is>
          <x:t xml:space="preserve">SYSTEM-TEST-ONLY-NO-NETWORK-NOT-AN-EDUCATIONAL-EVALUATION</x:t>
        </x:is>
      </x:c>
      <x:c r="AQ405" t="inlineStr">
        <x:is>
          <x:t xml:space="preserve"/>
        </x:is>
      </x:c>
      <x:c r="AR405" t="inlineStr">
        <x:is>
          <x:t xml:space="preserve">NONE</x:t>
        </x:is>
      </x:c>
      <x:c r="AS405" t="inlineStr">
        <x:is>
          <x:t xml:space="preserve"/>
        </x:is>
      </x:c>
      <x:c r="AT405" t="inlineStr">
        <x:is>
          <x:t xml:space="preserve">SUCCESS</x:t>
        </x:is>
      </x:c>
      <x:c r="AU405" t="n">
        <x:f>IF((COUNT('Quantification_Results'!AO405)=1),IFERROR(ROUND((SUM(('Quantification_Results'!AO405*'Quantification_Config'!$R$15))/SUM('Quantification_Config'!$R$15)),'Quantification_Config'!$U$2),""),"")</x:f>
        <x:v>50</x:v>
      </x:c>
      <x:c r="AV405" t="n">
        <x:f>IF((COUNT('Quantification_Results'!AU405)=1),IFERROR(ROUND((SUM(('Quantification_Results'!AU405*'Quantification_Config'!$R$14))/SUM('Quantification_Config'!$R$14)),'Quantification_Config'!$U$2),""),"")</x:f>
        <x:v>50</x:v>
      </x:c>
      <x:c r="AW405" t="n">
        <x:v>1</x:v>
      </x:c>
      <x:c r="AX405" t="n">
        <x:v>5</x:v>
      </x:c>
      <x:c r="AY405"/>
      <x:c r="AZ405" t="n">
        <x:f>IF(('Quantification_Results'!AW405&lt;&gt;1),"",IF(('Quantification_Results'!AY405=""),IF(ISNUMBER('Quantification_Results'!AX405),IF(('Quantification_Results'!AX405&lt;'Quantification_Config'!$S$19),"",IF(('Quantification_Results'!AX405&gt;'Quantification_Config'!$T$19),"",'Quantification_Results'!AX405)),""),IF(ISNUMBER('Quantification_Results'!AY405),IF(('Quantification_Results'!AY405&lt;'Quantification_Config'!$S$19),"",IF(('Quantification_Results'!AY405&gt;'Quantification_Config'!$T$19),"",'Quantification_Results'!AY405)),"")))</x:f>
        <x:v>5</x:v>
      </x:c>
      <x:c r="BA405" t="n">
        <x:f>IF(ISNUMBER('Quantification_Results'!AZ405),IFERROR(ROUND(((('Quantification_Results'!AZ405-'Quantification_Config'!$S$19)/('Quantification_Config'!$T$19-'Quantification_Config'!$S$19))*100),'Quantification_Config'!$U$2),""),"")</x:f>
        <x:v>50</x:v>
      </x:c>
      <x:c r="BB405" t="inlineStr">
        <x:is>
          <x:t xml:space="preserve">SYSTEM-TEST-ONLY-NO-NETWORK-NOT-AN-EDUCATIONAL-EVALUATION</x:t>
        </x:is>
      </x:c>
      <x:c r="BC405" t="inlineStr">
        <x:is>
          <x:t xml:space="preserve"/>
        </x:is>
      </x:c>
      <x:c r="BD405" t="inlineStr">
        <x:is>
          <x:t xml:space="preserve">NONE</x:t>
        </x:is>
      </x:c>
      <x:c r="BE405" t="inlineStr">
        <x:is>
          <x:t xml:space="preserve"/>
        </x:is>
      </x:c>
      <x:c r="BF405" t="inlineStr">
        <x:is>
          <x:t xml:space="preserve">SUCCESS</x:t>
        </x:is>
      </x:c>
      <x:c r="BG405" t="n">
        <x:f>IF((COUNT('Quantification_Results'!BA405)=1),IFERROR(ROUND((SUM(('Quantification_Results'!BA405*'Quantification_Config'!$R$19))/SUM('Quantification_Config'!$R$19)),'Quantification_Config'!$U$2),""),"")</x:f>
        <x:v>50</x:v>
      </x:c>
      <x:c r="BH405" t="n">
        <x:f>IF((COUNT('Quantification_Results'!BG405)=1),IFERROR(ROUND((SUM(('Quantification_Results'!BG405*'Quantification_Config'!$R$18))/SUM('Quantification_Config'!$R$18)),'Quantification_Config'!$U$2),""),"")</x:f>
        <x:v>50</x:v>
      </x:c>
      <x:c r="BI405">
        <x:f>IF((COUNT('Quantification_Results'!L405,'Quantification_Results'!X405,'Quantification_Results'!AJ405,'Quantification_Results'!AV405,'Quantification_Results'!BH405)=5),IFERROR(ROUND((SUM(('Quantification_Results'!L405*'Quantification_Config'!$R$4),('Quantification_Results'!X405*'Quantification_Config'!$R$7),('Quantification_Results'!AJ405*'Quantification_Config'!$R$10),('Quantification_Results'!AV405*'Quantification_Config'!$R$13),('Quantification_Results'!BH405*'Quantification_Config'!$R$16))/SUM('Quantification_Config'!$R$4,'Quantification_Config'!$R$7,'Quantification_Config'!$R$10,'Quantification_Config'!$R$13,'Quantification_Config'!$R$16)),'Quantification_Config'!$U$2),""),"")</x:f>
      </x:c>
    </x:row>
    <x:row r="406">
      <x:c r="A406" t="n">
        <x:v>1</x:v>
      </x:c>
      <x:c r="B406" t="n">
        <x:v>5</x:v>
      </x:c>
      <x:c r="C406"/>
      <x:c r="D406" t="n">
        <x:f>IF(('Quantification_Results'!A406&lt;&gt;1),"",IF(('Quantification_Results'!C406=""),IF(ISNUMBER('Quantification_Results'!B406),IF(('Quantification_Results'!B406&lt;'Quantification_Config'!$S$6),"",IF(('Quantification_Results'!B406&gt;'Quantification_Config'!$T$6),"",'Quantification_Results'!B406)),""),IF(ISNUMBER('Quantification_Results'!C406),IF(('Quantification_Results'!C406&lt;'Quantification_Config'!$S$6),"",IF(('Quantification_Results'!C406&gt;'Quantification_Config'!$T$6),"",'Quantification_Results'!C406)),"")))</x:f>
        <x:v>5</x:v>
      </x:c>
      <x:c r="E406" t="n">
        <x:f>IF(ISNUMBER('Quantification_Results'!D406),IFERROR(ROUND(((('Quantification_Results'!D406-'Quantification_Config'!$S$6)/('Quantification_Config'!$T$6-'Quantification_Config'!$S$6))*100),'Quantification_Config'!$U$2),""),"")</x:f>
        <x:v>50</x:v>
      </x:c>
      <x:c r="F406" t="inlineStr">
        <x:is>
          <x:t xml:space="preserve">SYSTEM-TEST-ONLY-NO-NETWORK-NOT-AN-EDUCATIONAL-EVALUATION</x:t>
        </x:is>
      </x:c>
      <x:c r="G406" t="inlineStr">
        <x:is>
          <x:t xml:space="preserve"/>
        </x:is>
      </x:c>
      <x:c r="H406" t="inlineStr">
        <x:is>
          <x:t xml:space="preserve">NONE</x:t>
        </x:is>
      </x:c>
      <x:c r="I406" t="inlineStr">
        <x:is>
          <x:t xml:space="preserve"/>
        </x:is>
      </x:c>
      <x:c r="J406" t="inlineStr">
        <x:is>
          <x:t xml:space="preserve">SUCCESS</x:t>
        </x:is>
      </x:c>
      <x:c r="K406" t="n">
        <x:f>IF((COUNT('Quantification_Results'!E406)=1),IFERROR(ROUND((SUM(('Quantification_Results'!E406*'Quantification_Config'!$R$6))/SUM('Quantification_Config'!$R$6)),'Quantification_Config'!$U$2),""),"")</x:f>
        <x:v>50</x:v>
      </x:c>
      <x:c r="L406" t="n">
        <x:f>IF((COUNT('Quantification_Results'!K406)=1),IFERROR(ROUND((SUM(('Quantification_Results'!K406*'Quantification_Config'!$R$5))/SUM('Quantification_Config'!$R$5)),'Quantification_Config'!$U$2),""),"")</x:f>
        <x:v>50</x:v>
      </x:c>
      <x:c r="M406" t="n">
        <x:v>1</x:v>
      </x:c>
      <x:c r="N406" t="n">
        <x:v>5</x:v>
      </x:c>
      <x:c r="O406"/>
      <x:c r="P406" t="n">
        <x:f>IF(('Quantification_Results'!M406&lt;&gt;1),"",IF(('Quantification_Results'!O406=""),IF(ISNUMBER('Quantification_Results'!N406),IF(('Quantification_Results'!N406&lt;'Quantification_Config'!$S$9),"",IF(('Quantification_Results'!N406&gt;'Quantification_Config'!$T$9),"",'Quantification_Results'!N406)),""),IF(ISNUMBER('Quantification_Results'!O406),IF(('Quantification_Results'!O406&lt;'Quantification_Config'!$S$9),"",IF(('Quantification_Results'!O406&gt;'Quantification_Config'!$T$9),"",'Quantification_Results'!O406)),"")))</x:f>
        <x:v>5</x:v>
      </x:c>
      <x:c r="Q406" t="n">
        <x:f>IF(ISNUMBER('Quantification_Results'!P406),IFERROR(ROUND(((('Quantification_Results'!P406-'Quantification_Config'!$S$9)/('Quantification_Config'!$T$9-'Quantification_Config'!$S$9))*100),'Quantification_Config'!$U$2),""),"")</x:f>
        <x:v>50</x:v>
      </x:c>
      <x:c r="R406" t="inlineStr">
        <x:is>
          <x:t xml:space="preserve">SYSTEM-TEST-ONLY-NO-NETWORK-NOT-AN-EDUCATIONAL-EVALUATION</x:t>
        </x:is>
      </x:c>
      <x:c r="S406" t="inlineStr">
        <x:is>
          <x:t xml:space="preserve"/>
        </x:is>
      </x:c>
      <x:c r="T406" t="inlineStr">
        <x:is>
          <x:t xml:space="preserve">NONE</x:t>
        </x:is>
      </x:c>
      <x:c r="U406" t="inlineStr">
        <x:is>
          <x:t xml:space="preserve"/>
        </x:is>
      </x:c>
      <x:c r="V406" t="inlineStr">
        <x:is>
          <x:t xml:space="preserve">SUCCESS</x:t>
        </x:is>
      </x:c>
      <x:c r="W406" t="n">
        <x:f>IF((COUNT('Quantification_Results'!Q406)=1),IFERROR(ROUND((SUM(('Quantification_Results'!Q406*'Quantification_Config'!$R$9))/SUM('Quantification_Config'!$R$9)),'Quantification_Config'!$U$2),""),"")</x:f>
        <x:v>50</x:v>
      </x:c>
      <x:c r="X406" t="n">
        <x:f>IF((COUNT('Quantification_Results'!W406)=1),IFERROR(ROUND((SUM(('Quantification_Results'!W406*'Quantification_Config'!$R$8))/SUM('Quantification_Config'!$R$8)),'Quantification_Config'!$U$2),""),"")</x:f>
        <x:v>50</x:v>
      </x:c>
      <x:c r="Y406" t="n">
        <x:v>1</x:v>
      </x:c>
      <x:c r="Z406" t="n">
        <x:v>5</x:v>
      </x:c>
      <x:c r="AA406"/>
      <x:c r="AB406" t="n">
        <x:f>IF(('Quantification_Results'!Y406&lt;&gt;1),"",IF(('Quantification_Results'!AA406=""),IF(ISNUMBER('Quantification_Results'!Z406),IF(('Quantification_Results'!Z406&lt;'Quantification_Config'!$S$12),"",IF(('Quantification_Results'!Z406&gt;'Quantification_Config'!$T$12),"",'Quantification_Results'!Z406)),""),IF(ISNUMBER('Quantification_Results'!AA406),IF(('Quantification_Results'!AA406&lt;'Quantification_Config'!$S$12),"",IF(('Quantification_Results'!AA406&gt;'Quantification_Config'!$T$12),"",'Quantification_Results'!AA406)),"")))</x:f>
        <x:v>5</x:v>
      </x:c>
      <x:c r="AC406" t="n">
        <x:f>IF(ISNUMBER('Quantification_Results'!AB406),IFERROR(ROUND(((('Quantification_Results'!AB406-'Quantification_Config'!$S$12)/('Quantification_Config'!$T$12-'Quantification_Config'!$S$12))*100),'Quantification_Config'!$U$2),""),"")</x:f>
        <x:v>50</x:v>
      </x:c>
      <x:c r="AD406" t="inlineStr">
        <x:is>
          <x:t xml:space="preserve">SYSTEM-TEST-ONLY-NO-NETWORK-NOT-AN-EDUCATIONAL-EVALUATION</x:t>
        </x:is>
      </x:c>
      <x:c r="AE406" t="inlineStr">
        <x:is>
          <x:t xml:space="preserve"/>
        </x:is>
      </x:c>
      <x:c r="AF406" t="inlineStr">
        <x:is>
          <x:t xml:space="preserve">NONE</x:t>
        </x:is>
      </x:c>
      <x:c r="AG406" t="inlineStr">
        <x:is>
          <x:t xml:space="preserve"/>
        </x:is>
      </x:c>
      <x:c r="AH406" t="inlineStr">
        <x:is>
          <x:t xml:space="preserve">SUCCESS</x:t>
        </x:is>
      </x:c>
      <x:c r="AI406" t="n">
        <x:f>IF((COUNT('Quantification_Results'!AC406)=1),IFERROR(ROUND((SUM(('Quantification_Results'!AC406*'Quantification_Config'!$R$12))/SUM('Quantification_Config'!$R$12)),'Quantification_Config'!$U$2),""),"")</x:f>
        <x:v>50</x:v>
      </x:c>
      <x:c r="AJ406" t="n">
        <x:f>IF((COUNT('Quantification_Results'!AI406)=1),IFERROR(ROUND((SUM(('Quantification_Results'!AI406*'Quantification_Config'!$R$11))/SUM('Quantification_Config'!$R$11)),'Quantification_Config'!$U$2),""),"")</x:f>
        <x:v>50</x:v>
      </x:c>
      <x:c r="AK406" t="n">
        <x:v>1</x:v>
      </x:c>
      <x:c r="AL406" t="n">
        <x:v>5</x:v>
      </x:c>
      <x:c r="AM406"/>
      <x:c r="AN406" t="n">
        <x:f>IF(('Quantification_Results'!AK406&lt;&gt;1),"",IF(('Quantification_Results'!AM406=""),IF(ISNUMBER('Quantification_Results'!AL406),IF(('Quantification_Results'!AL406&lt;'Quantification_Config'!$S$15),"",IF(('Quantification_Results'!AL406&gt;'Quantification_Config'!$T$15),"",'Quantification_Results'!AL406)),""),IF(ISNUMBER('Quantification_Results'!AM406),IF(('Quantification_Results'!AM406&lt;'Quantification_Config'!$S$15),"",IF(('Quantification_Results'!AM406&gt;'Quantification_Config'!$T$15),"",'Quantification_Results'!AM406)),"")))</x:f>
        <x:v>5</x:v>
      </x:c>
      <x:c r="AO406" t="n">
        <x:f>IF(ISNUMBER('Quantification_Results'!AN406),IFERROR(ROUND(((('Quantification_Results'!AN406-'Quantification_Config'!$S$15)/('Quantification_Config'!$T$15-'Quantification_Config'!$S$15))*100),'Quantification_Config'!$U$2),""),"")</x:f>
        <x:v>50</x:v>
      </x:c>
      <x:c r="AP406" t="inlineStr">
        <x:is>
          <x:t xml:space="preserve">SYSTEM-TEST-ONLY-NO-NETWORK-NOT-AN-EDUCATIONAL-EVALUATION</x:t>
        </x:is>
      </x:c>
      <x:c r="AQ406" t="inlineStr">
        <x:is>
          <x:t xml:space="preserve"/>
        </x:is>
      </x:c>
      <x:c r="AR406" t="inlineStr">
        <x:is>
          <x:t xml:space="preserve">NONE</x:t>
        </x:is>
      </x:c>
      <x:c r="AS406" t="inlineStr">
        <x:is>
          <x:t xml:space="preserve"/>
        </x:is>
      </x:c>
      <x:c r="AT406" t="inlineStr">
        <x:is>
          <x:t xml:space="preserve">SUCCESS</x:t>
        </x:is>
      </x:c>
      <x:c r="AU406" t="n">
        <x:f>IF((COUNT('Quantification_Results'!AO406)=1),IFERROR(ROUND((SUM(('Quantification_Results'!AO406*'Quantification_Config'!$R$15))/SUM('Quantification_Config'!$R$15)),'Quantification_Config'!$U$2),""),"")</x:f>
        <x:v>50</x:v>
      </x:c>
      <x:c r="AV406" t="n">
        <x:f>IF((COUNT('Quantification_Results'!AU406)=1),IFERROR(ROUND((SUM(('Quantification_Results'!AU406*'Quantification_Config'!$R$14))/SUM('Quantification_Config'!$R$14)),'Quantification_Config'!$U$2),""),"")</x:f>
        <x:v>50</x:v>
      </x:c>
      <x:c r="AW406" t="n">
        <x:v>1</x:v>
      </x:c>
      <x:c r="AX406" t="n">
        <x:v>5</x:v>
      </x:c>
      <x:c r="AY406"/>
      <x:c r="AZ406" t="n">
        <x:f>IF(('Quantification_Results'!AW406&lt;&gt;1),"",IF(('Quantification_Results'!AY406=""),IF(ISNUMBER('Quantification_Results'!AX406),IF(('Quantification_Results'!AX406&lt;'Quantification_Config'!$S$19),"",IF(('Quantification_Results'!AX406&gt;'Quantification_Config'!$T$19),"",'Quantification_Results'!AX406)),""),IF(ISNUMBER('Quantification_Results'!AY406),IF(('Quantification_Results'!AY406&lt;'Quantification_Config'!$S$19),"",IF(('Quantification_Results'!AY406&gt;'Quantification_Config'!$T$19),"",'Quantification_Results'!AY406)),"")))</x:f>
        <x:v>5</x:v>
      </x:c>
      <x:c r="BA406" t="n">
        <x:f>IF(ISNUMBER('Quantification_Results'!AZ406),IFERROR(ROUND(((('Quantification_Results'!AZ406-'Quantification_Config'!$S$19)/('Quantification_Config'!$T$19-'Quantification_Config'!$S$19))*100),'Quantification_Config'!$U$2),""),"")</x:f>
        <x:v>50</x:v>
      </x:c>
      <x:c r="BB406" t="inlineStr">
        <x:is>
          <x:t xml:space="preserve">SYSTEM-TEST-ONLY-NO-NETWORK-NOT-AN-EDUCATIONAL-EVALUATION</x:t>
        </x:is>
      </x:c>
      <x:c r="BC406" t="inlineStr">
        <x:is>
          <x:t xml:space="preserve"/>
        </x:is>
      </x:c>
      <x:c r="BD406" t="inlineStr">
        <x:is>
          <x:t xml:space="preserve">NONE</x:t>
        </x:is>
      </x:c>
      <x:c r="BE406" t="inlineStr">
        <x:is>
          <x:t xml:space="preserve"/>
        </x:is>
      </x:c>
      <x:c r="BF406" t="inlineStr">
        <x:is>
          <x:t xml:space="preserve">SUCCESS</x:t>
        </x:is>
      </x:c>
      <x:c r="BG406" t="n">
        <x:f>IF((COUNT('Quantification_Results'!BA406)=1),IFERROR(ROUND((SUM(('Quantification_Results'!BA406*'Quantification_Config'!$R$19))/SUM('Quantification_Config'!$R$19)),'Quantification_Config'!$U$2),""),"")</x:f>
        <x:v>50</x:v>
      </x:c>
      <x:c r="BH406" t="n">
        <x:f>IF((COUNT('Quantification_Results'!BG406)=1),IFERROR(ROUND((SUM(('Quantification_Results'!BG406*'Quantification_Config'!$R$18))/SUM('Quantification_Config'!$R$18)),'Quantification_Config'!$U$2),""),"")</x:f>
        <x:v>50</x:v>
      </x:c>
      <x:c r="BI406" t="n">
        <x:f>IF((COUNT('Quantification_Results'!L406,'Quantification_Results'!X406,'Quantification_Results'!AJ406,'Quantification_Results'!AV406,'Quantification_Results'!BH406)=5),IFERROR(ROUND((SUM(('Quantification_Results'!L406*'Quantification_Config'!$R$4),('Quantification_Results'!X406*'Quantification_Config'!$R$7),('Quantification_Results'!AJ406*'Quantification_Config'!$R$10),('Quantification_Results'!AV406*'Quantification_Config'!$R$13),('Quantification_Results'!BH406*'Quantification_Config'!$R$16))/SUM('Quantification_Config'!$R$4,'Quantification_Config'!$R$7,'Quantification_Config'!$R$10,'Quantification_Config'!$R$13,'Quantification_Config'!$R$16)),'Quantification_Config'!$U$2),""),"")</x:f>
        <x:v>50</x:v>
      </x:c>
    </x:row>
    <x:row r="407">
      <x:c r="A407" t="n">
        <x:v>1</x:v>
      </x:c>
      <x:c r="B407" t="n">
        <x:v>5</x:v>
      </x:c>
      <x:c r="C407"/>
      <x:c r="D407" t="n">
        <x:f>IF(('Quantification_Results'!A407&lt;&gt;1),"",IF(('Quantification_Results'!C407=""),IF(ISNUMBER('Quantification_Results'!B407),IF(('Quantification_Results'!B407&lt;'Quantification_Config'!$S$6),"",IF(('Quantification_Results'!B407&gt;'Quantification_Config'!$T$6),"",'Quantification_Results'!B407)),""),IF(ISNUMBER('Quantification_Results'!C407),IF(('Quantification_Results'!C407&lt;'Quantification_Config'!$S$6),"",IF(('Quantification_Results'!C407&gt;'Quantification_Config'!$T$6),"",'Quantification_Results'!C407)),"")))</x:f>
        <x:v>5</x:v>
      </x:c>
      <x:c r="E407" t="n">
        <x:f>IF(ISNUMBER('Quantification_Results'!D407),IFERROR(ROUND(((('Quantification_Results'!D407-'Quantification_Config'!$S$6)/('Quantification_Config'!$T$6-'Quantification_Config'!$S$6))*100),'Quantification_Config'!$U$2),""),"")</x:f>
        <x:v>50</x:v>
      </x:c>
      <x:c r="F407" t="inlineStr">
        <x:is>
          <x:t xml:space="preserve">SYSTEM-TEST-ONLY-NO-NETWORK-NOT-AN-EDUCATIONAL-EVALUATION</x:t>
        </x:is>
      </x:c>
      <x:c r="G407" t="inlineStr">
        <x:is>
          <x:t xml:space="preserve"/>
        </x:is>
      </x:c>
      <x:c r="H407" t="inlineStr">
        <x:is>
          <x:t xml:space="preserve">NONE</x:t>
        </x:is>
      </x:c>
      <x:c r="I407" t="inlineStr">
        <x:is>
          <x:t xml:space="preserve"/>
        </x:is>
      </x:c>
      <x:c r="J407" t="inlineStr">
        <x:is>
          <x:t xml:space="preserve">SUCCESS</x:t>
        </x:is>
      </x:c>
      <x:c r="K407" t="n">
        <x:f>IF((COUNT('Quantification_Results'!E407)=1),IFERROR(ROUND((SUM(('Quantification_Results'!E407*'Quantification_Config'!$R$6))/SUM('Quantification_Config'!$R$6)),'Quantification_Config'!$U$2),""),"")</x:f>
        <x:v>50</x:v>
      </x:c>
      <x:c r="L407" t="n">
        <x:f>IF((COUNT('Quantification_Results'!K407)=1),IFERROR(ROUND((SUM(('Quantification_Results'!K407*'Quantification_Config'!$R$5))/SUM('Quantification_Config'!$R$5)),'Quantification_Config'!$U$2),""),"")</x:f>
        <x:v>50</x:v>
      </x:c>
      <x:c r="M407" t="n">
        <x:v>1</x:v>
      </x:c>
      <x:c r="N407" t="n">
        <x:v>5</x:v>
      </x:c>
      <x:c r="O407"/>
      <x:c r="P407" t="n">
        <x:f>IF(('Quantification_Results'!M407&lt;&gt;1),"",IF(('Quantification_Results'!O407=""),IF(ISNUMBER('Quantification_Results'!N407),IF(('Quantification_Results'!N407&lt;'Quantification_Config'!$S$9),"",IF(('Quantification_Results'!N407&gt;'Quantification_Config'!$T$9),"",'Quantification_Results'!N407)),""),IF(ISNUMBER('Quantification_Results'!O407),IF(('Quantification_Results'!O407&lt;'Quantification_Config'!$S$9),"",IF(('Quantification_Results'!O407&gt;'Quantification_Config'!$T$9),"",'Quantification_Results'!O407)),"")))</x:f>
        <x:v>5</x:v>
      </x:c>
      <x:c r="Q407" t="n">
        <x:f>IF(ISNUMBER('Quantification_Results'!P407),IFERROR(ROUND(((('Quantification_Results'!P407-'Quantification_Config'!$S$9)/('Quantification_Config'!$T$9-'Quantification_Config'!$S$9))*100),'Quantification_Config'!$U$2),""),"")</x:f>
        <x:v>50</x:v>
      </x:c>
      <x:c r="R407" t="inlineStr">
        <x:is>
          <x:t xml:space="preserve">SYSTEM-TEST-ONLY-NO-NETWORK-NOT-AN-EDUCATIONAL-EVALUATION</x:t>
        </x:is>
      </x:c>
      <x:c r="S407" t="inlineStr">
        <x:is>
          <x:t xml:space="preserve"/>
        </x:is>
      </x:c>
      <x:c r="T407" t="inlineStr">
        <x:is>
          <x:t xml:space="preserve">NONE</x:t>
        </x:is>
      </x:c>
      <x:c r="U407" t="inlineStr">
        <x:is>
          <x:t xml:space="preserve"/>
        </x:is>
      </x:c>
      <x:c r="V407" t="inlineStr">
        <x:is>
          <x:t xml:space="preserve">SUCCESS</x:t>
        </x:is>
      </x:c>
      <x:c r="W407" t="n">
        <x:f>IF((COUNT('Quantification_Results'!Q407)=1),IFERROR(ROUND((SUM(('Quantification_Results'!Q407*'Quantification_Config'!$R$9))/SUM('Quantification_Config'!$R$9)),'Quantification_Config'!$U$2),""),"")</x:f>
        <x:v>50</x:v>
      </x:c>
      <x:c r="X407" t="n">
        <x:f>IF((COUNT('Quantification_Results'!W407)=1),IFERROR(ROUND((SUM(('Quantification_Results'!W407*'Quantification_Config'!$R$8))/SUM('Quantification_Config'!$R$8)),'Quantification_Config'!$U$2),""),"")</x:f>
        <x:v>50</x:v>
      </x:c>
      <x:c r="Y407" t="n">
        <x:v>0</x:v>
      </x:c>
      <x:c r="Z407"/>
      <x:c r="AA407"/>
      <x:c r="AB407">
        <x:f>IF(('Quantification_Results'!Y407&lt;&gt;1),"",IF(('Quantification_Results'!AA407=""),IF(ISNUMBER('Quantification_Results'!Z407),IF(('Quantification_Results'!Z407&lt;'Quantification_Config'!$S$12),"",IF(('Quantification_Results'!Z407&gt;'Quantification_Config'!$T$12),"",'Quantification_Results'!Z407)),""),IF(ISNUMBER('Quantification_Results'!AA407),IF(('Quantification_Results'!AA407&lt;'Quantification_Config'!$S$12),"",IF(('Quantification_Results'!AA407&gt;'Quantification_Config'!$T$12),"",'Quantification_Results'!AA407)),"")))</x:f>
      </x:c>
      <x:c r="AC407">
        <x:f>IF(ISNUMBER('Quantification_Results'!AB407),IFERROR(ROUND(((('Quantification_Results'!AB407-'Quantification_Config'!$S$12)/('Quantification_Config'!$T$12-'Quantification_Config'!$S$12))*100),'Quantification_Config'!$U$2),""),"")</x:f>
      </x:c>
      <x:c r="AD407" t="inlineStr">
        <x:is>
          <x:t xml:space="preserve"/>
        </x:is>
      </x:c>
      <x:c r="AE407" t="inlineStr">
        <x:is>
          <x:t xml:space="preserve"/>
        </x:is>
      </x:c>
      <x:c r="AF407" t="inlineStr">
        <x:is>
          <x:t xml:space="preserve"/>
        </x:is>
      </x:c>
      <x:c r="AG407" t="inlineStr">
        <x:is>
          <x:t xml:space="preserve"/>
        </x:is>
      </x:c>
      <x:c r="AH407" t="inlineStr">
        <x:is>
          <x:t xml:space="preserve">EMPTY</x:t>
        </x:is>
      </x:c>
      <x:c r="AI407">
        <x:f>IF((COUNT('Quantification_Results'!AC407)=1),IFERROR(ROUND((SUM(('Quantification_Results'!AC407*'Quantification_Config'!$R$12))/SUM('Quantification_Config'!$R$12)),'Quantification_Config'!$U$2),""),"")</x:f>
      </x:c>
      <x:c r="AJ407">
        <x:f>IF((COUNT('Quantification_Results'!AI407)=1),IFERROR(ROUND((SUM(('Quantification_Results'!AI407*'Quantification_Config'!$R$11))/SUM('Quantification_Config'!$R$11)),'Quantification_Config'!$U$2),""),"")</x:f>
      </x:c>
      <x:c r="AK407" t="n">
        <x:v>1</x:v>
      </x:c>
      <x:c r="AL407" t="n">
        <x:v>5</x:v>
      </x:c>
      <x:c r="AM407"/>
      <x:c r="AN407" t="n">
        <x:f>IF(('Quantification_Results'!AK407&lt;&gt;1),"",IF(('Quantification_Results'!AM407=""),IF(ISNUMBER('Quantification_Results'!AL407),IF(('Quantification_Results'!AL407&lt;'Quantification_Config'!$S$15),"",IF(('Quantification_Results'!AL407&gt;'Quantification_Config'!$T$15),"",'Quantification_Results'!AL407)),""),IF(ISNUMBER('Quantification_Results'!AM407),IF(('Quantification_Results'!AM407&lt;'Quantification_Config'!$S$15),"",IF(('Quantification_Results'!AM407&gt;'Quantification_Config'!$T$15),"",'Quantification_Results'!AM407)),"")))</x:f>
        <x:v>5</x:v>
      </x:c>
      <x:c r="AO407" t="n">
        <x:f>IF(ISNUMBER('Quantification_Results'!AN407),IFERROR(ROUND(((('Quantification_Results'!AN407-'Quantification_Config'!$S$15)/('Quantification_Config'!$T$15-'Quantification_Config'!$S$15))*100),'Quantification_Config'!$U$2),""),"")</x:f>
        <x:v>50</x:v>
      </x:c>
      <x:c r="AP407" t="inlineStr">
        <x:is>
          <x:t xml:space="preserve">SYSTEM-TEST-ONLY-NO-NETWORK-NOT-AN-EDUCATIONAL-EVALUATION</x:t>
        </x:is>
      </x:c>
      <x:c r="AQ407" t="inlineStr">
        <x:is>
          <x:t xml:space="preserve"/>
        </x:is>
      </x:c>
      <x:c r="AR407" t="inlineStr">
        <x:is>
          <x:t xml:space="preserve">NONE</x:t>
        </x:is>
      </x:c>
      <x:c r="AS407" t="inlineStr">
        <x:is>
          <x:t xml:space="preserve"/>
        </x:is>
      </x:c>
      <x:c r="AT407" t="inlineStr">
        <x:is>
          <x:t xml:space="preserve">SUCCESS</x:t>
        </x:is>
      </x:c>
      <x:c r="AU407" t="n">
        <x:f>IF((COUNT('Quantification_Results'!AO407)=1),IFERROR(ROUND((SUM(('Quantification_Results'!AO407*'Quantification_Config'!$R$15))/SUM('Quantification_Config'!$R$15)),'Quantification_Config'!$U$2),""),"")</x:f>
        <x:v>50</x:v>
      </x:c>
      <x:c r="AV407" t="n">
        <x:f>IF((COUNT('Quantification_Results'!AU407)=1),IFERROR(ROUND((SUM(('Quantification_Results'!AU407*'Quantification_Config'!$R$14))/SUM('Quantification_Config'!$R$14)),'Quantification_Config'!$U$2),""),"")</x:f>
        <x:v>50</x:v>
      </x:c>
      <x:c r="AW407" t="n">
        <x:v>1</x:v>
      </x:c>
      <x:c r="AX407" t="n">
        <x:v>5</x:v>
      </x:c>
      <x:c r="AY407"/>
      <x:c r="AZ407" t="n">
        <x:f>IF(('Quantification_Results'!AW407&lt;&gt;1),"",IF(('Quantification_Results'!AY407=""),IF(ISNUMBER('Quantification_Results'!AX407),IF(('Quantification_Results'!AX407&lt;'Quantification_Config'!$S$19),"",IF(('Quantification_Results'!AX407&gt;'Quantification_Config'!$T$19),"",'Quantification_Results'!AX407)),""),IF(ISNUMBER('Quantification_Results'!AY407),IF(('Quantification_Results'!AY407&lt;'Quantification_Config'!$S$19),"",IF(('Quantification_Results'!AY407&gt;'Quantification_Config'!$T$19),"",'Quantification_Results'!AY407)),"")))</x:f>
        <x:v>5</x:v>
      </x:c>
      <x:c r="BA407" t="n">
        <x:f>IF(ISNUMBER('Quantification_Results'!AZ407),IFERROR(ROUND(((('Quantification_Results'!AZ407-'Quantification_Config'!$S$19)/('Quantification_Config'!$T$19-'Quantification_Config'!$S$19))*100),'Quantification_Config'!$U$2),""),"")</x:f>
        <x:v>50</x:v>
      </x:c>
      <x:c r="BB407" t="inlineStr">
        <x:is>
          <x:t xml:space="preserve">SYSTEM-TEST-ONLY-NO-NETWORK-NOT-AN-EDUCATIONAL-EVALUATION</x:t>
        </x:is>
      </x:c>
      <x:c r="BC407" t="inlineStr">
        <x:is>
          <x:t xml:space="preserve"/>
        </x:is>
      </x:c>
      <x:c r="BD407" t="inlineStr">
        <x:is>
          <x:t xml:space="preserve">NONE</x:t>
        </x:is>
      </x:c>
      <x:c r="BE407" t="inlineStr">
        <x:is>
          <x:t xml:space="preserve"/>
        </x:is>
      </x:c>
      <x:c r="BF407" t="inlineStr">
        <x:is>
          <x:t xml:space="preserve">SUCCESS</x:t>
        </x:is>
      </x:c>
      <x:c r="BG407" t="n">
        <x:f>IF((COUNT('Quantification_Results'!BA407)=1),IFERROR(ROUND((SUM(('Quantification_Results'!BA407*'Quantification_Config'!$R$19))/SUM('Quantification_Config'!$R$19)),'Quantification_Config'!$U$2),""),"")</x:f>
        <x:v>50</x:v>
      </x:c>
      <x:c r="BH407" t="n">
        <x:f>IF((COUNT('Quantification_Results'!BG407)=1),IFERROR(ROUND((SUM(('Quantification_Results'!BG407*'Quantification_Config'!$R$18))/SUM('Quantification_Config'!$R$18)),'Quantification_Config'!$U$2),""),"")</x:f>
        <x:v>50</x:v>
      </x:c>
      <x:c r="BI407">
        <x:f>IF((COUNT('Quantification_Results'!L407,'Quantification_Results'!X407,'Quantification_Results'!AJ407,'Quantification_Results'!AV407,'Quantification_Results'!BH407)=5),IFERROR(ROUND((SUM(('Quantification_Results'!L407*'Quantification_Config'!$R$4),('Quantification_Results'!X407*'Quantification_Config'!$R$7),('Quantification_Results'!AJ407*'Quantification_Config'!$R$10),('Quantification_Results'!AV407*'Quantification_Config'!$R$13),('Quantification_Results'!BH407*'Quantification_Config'!$R$16))/SUM('Quantification_Config'!$R$4,'Quantification_Config'!$R$7,'Quantification_Config'!$R$10,'Quantification_Config'!$R$13,'Quantification_Config'!$R$16)),'Quantification_Config'!$U$2),""),"")</x:f>
      </x:c>
    </x:row>
    <x:row r="408">
      <x:c r="A408" t="n">
        <x:v>1</x:v>
      </x:c>
      <x:c r="B408" t="n">
        <x:v>5</x:v>
      </x:c>
      <x:c r="C408"/>
      <x:c r="D408" t="n">
        <x:f>IF(('Quantification_Results'!A408&lt;&gt;1),"",IF(('Quantification_Results'!C408=""),IF(ISNUMBER('Quantification_Results'!B408),IF(('Quantification_Results'!B408&lt;'Quantification_Config'!$S$6),"",IF(('Quantification_Results'!B408&gt;'Quantification_Config'!$T$6),"",'Quantification_Results'!B408)),""),IF(ISNUMBER('Quantification_Results'!C408),IF(('Quantification_Results'!C408&lt;'Quantification_Config'!$S$6),"",IF(('Quantification_Results'!C408&gt;'Quantification_Config'!$T$6),"",'Quantification_Results'!C408)),"")))</x:f>
        <x:v>5</x:v>
      </x:c>
      <x:c r="E408" t="n">
        <x:f>IF(ISNUMBER('Quantification_Results'!D408),IFERROR(ROUND(((('Quantification_Results'!D408-'Quantification_Config'!$S$6)/('Quantification_Config'!$T$6-'Quantification_Config'!$S$6))*100),'Quantification_Config'!$U$2),""),"")</x:f>
        <x:v>50</x:v>
      </x:c>
      <x:c r="F408" t="inlineStr">
        <x:is>
          <x:t xml:space="preserve">SYSTEM-TEST-ONLY-NO-NETWORK-NOT-AN-EDUCATIONAL-EVALUATION</x:t>
        </x:is>
      </x:c>
      <x:c r="G408" t="inlineStr">
        <x:is>
          <x:t xml:space="preserve"/>
        </x:is>
      </x:c>
      <x:c r="H408" t="inlineStr">
        <x:is>
          <x:t xml:space="preserve">NONE</x:t>
        </x:is>
      </x:c>
      <x:c r="I408" t="inlineStr">
        <x:is>
          <x:t xml:space="preserve"/>
        </x:is>
      </x:c>
      <x:c r="J408" t="inlineStr">
        <x:is>
          <x:t xml:space="preserve">SUCCESS</x:t>
        </x:is>
      </x:c>
      <x:c r="K408" t="n">
        <x:f>IF((COUNT('Quantification_Results'!E408)=1),IFERROR(ROUND((SUM(('Quantification_Results'!E408*'Quantification_Config'!$R$6))/SUM('Quantification_Config'!$R$6)),'Quantification_Config'!$U$2),""),"")</x:f>
        <x:v>50</x:v>
      </x:c>
      <x:c r="L408" t="n">
        <x:f>IF((COUNT('Quantification_Results'!K408)=1),IFERROR(ROUND((SUM(('Quantification_Results'!K408*'Quantification_Config'!$R$5))/SUM('Quantification_Config'!$R$5)),'Quantification_Config'!$U$2),""),"")</x:f>
        <x:v>50</x:v>
      </x:c>
      <x:c r="M408" t="n">
        <x:v>0</x:v>
      </x:c>
      <x:c r="N408"/>
      <x:c r="O408"/>
      <x:c r="P408">
        <x:f>IF(('Quantification_Results'!M408&lt;&gt;1),"",IF(('Quantification_Results'!O408=""),IF(ISNUMBER('Quantification_Results'!N408),IF(('Quantification_Results'!N408&lt;'Quantification_Config'!$S$9),"",IF(('Quantification_Results'!N408&gt;'Quantification_Config'!$T$9),"",'Quantification_Results'!N408)),""),IF(ISNUMBER('Quantification_Results'!O408),IF(('Quantification_Results'!O408&lt;'Quantification_Config'!$S$9),"",IF(('Quantification_Results'!O408&gt;'Quantification_Config'!$T$9),"",'Quantification_Results'!O408)),"")))</x:f>
      </x:c>
      <x:c r="Q408">
        <x:f>IF(ISNUMBER('Quantification_Results'!P408),IFERROR(ROUND(((('Quantification_Results'!P408-'Quantification_Config'!$S$9)/('Quantification_Config'!$T$9-'Quantification_Config'!$S$9))*100),'Quantification_Config'!$U$2),""),"")</x:f>
      </x:c>
      <x:c r="R408" t="inlineStr">
        <x:is>
          <x:t xml:space="preserve"/>
        </x:is>
      </x:c>
      <x:c r="S408" t="inlineStr">
        <x:is>
          <x:t xml:space="preserve"/>
        </x:is>
      </x:c>
      <x:c r="T408" t="inlineStr">
        <x:is>
          <x:t xml:space="preserve"/>
        </x:is>
      </x:c>
      <x:c r="U408" t="inlineStr">
        <x:is>
          <x:t xml:space="preserve"/>
        </x:is>
      </x:c>
      <x:c r="V408" t="inlineStr">
        <x:is>
          <x:t xml:space="preserve">EMPTY</x:t>
        </x:is>
      </x:c>
      <x:c r="W408">
        <x:f>IF((COUNT('Quantification_Results'!Q408)=1),IFERROR(ROUND((SUM(('Quantification_Results'!Q408*'Quantification_Config'!$R$9))/SUM('Quantification_Config'!$R$9)),'Quantification_Config'!$U$2),""),"")</x:f>
      </x:c>
      <x:c r="X408">
        <x:f>IF((COUNT('Quantification_Results'!W408)=1),IFERROR(ROUND((SUM(('Quantification_Results'!W408*'Quantification_Config'!$R$8))/SUM('Quantification_Config'!$R$8)),'Quantification_Config'!$U$2),""),"")</x:f>
      </x:c>
      <x:c r="Y408" t="n">
        <x:v>0</x:v>
      </x:c>
      <x:c r="Z408"/>
      <x:c r="AA408"/>
      <x:c r="AB408">
        <x:f>IF(('Quantification_Results'!Y408&lt;&gt;1),"",IF(('Quantification_Results'!AA408=""),IF(ISNUMBER('Quantification_Results'!Z408),IF(('Quantification_Results'!Z408&lt;'Quantification_Config'!$S$12),"",IF(('Quantification_Results'!Z408&gt;'Quantification_Config'!$T$12),"",'Quantification_Results'!Z408)),""),IF(ISNUMBER('Quantification_Results'!AA408),IF(('Quantification_Results'!AA408&lt;'Quantification_Config'!$S$12),"",IF(('Quantification_Results'!AA408&gt;'Quantification_Config'!$T$12),"",'Quantification_Results'!AA408)),"")))</x:f>
      </x:c>
      <x:c r="AC408">
        <x:f>IF(ISNUMBER('Quantification_Results'!AB408),IFERROR(ROUND(((('Quantification_Results'!AB408-'Quantification_Config'!$S$12)/('Quantification_Config'!$T$12-'Quantification_Config'!$S$12))*100),'Quantification_Config'!$U$2),""),"")</x:f>
      </x:c>
      <x:c r="AD408" t="inlineStr">
        <x:is>
          <x:t xml:space="preserve"/>
        </x:is>
      </x:c>
      <x:c r="AE408" t="inlineStr">
        <x:is>
          <x:t xml:space="preserve"/>
        </x:is>
      </x:c>
      <x:c r="AF408" t="inlineStr">
        <x:is>
          <x:t xml:space="preserve"/>
        </x:is>
      </x:c>
      <x:c r="AG408" t="inlineStr">
        <x:is>
          <x:t xml:space="preserve"/>
        </x:is>
      </x:c>
      <x:c r="AH408" t="inlineStr">
        <x:is>
          <x:t xml:space="preserve">EMPTY</x:t>
        </x:is>
      </x:c>
      <x:c r="AI408">
        <x:f>IF((COUNT('Quantification_Results'!AC408)=1),IFERROR(ROUND((SUM(('Quantification_Results'!AC408*'Quantification_Config'!$R$12))/SUM('Quantification_Config'!$R$12)),'Quantification_Config'!$U$2),""),"")</x:f>
      </x:c>
      <x:c r="AJ408">
        <x:f>IF((COUNT('Quantification_Results'!AI408)=1),IFERROR(ROUND((SUM(('Quantification_Results'!AI408*'Quantification_Config'!$R$11))/SUM('Quantification_Config'!$R$11)),'Quantification_Config'!$U$2),""),"")</x:f>
      </x:c>
      <x:c r="AK408" t="n">
        <x:v>1</x:v>
      </x:c>
      <x:c r="AL408" t="n">
        <x:v>5</x:v>
      </x:c>
      <x:c r="AM408"/>
      <x:c r="AN408" t="n">
        <x:f>IF(('Quantification_Results'!AK408&lt;&gt;1),"",IF(('Quantification_Results'!AM408=""),IF(ISNUMBER('Quantification_Results'!AL408),IF(('Quantification_Results'!AL408&lt;'Quantification_Config'!$S$15),"",IF(('Quantification_Results'!AL408&gt;'Quantification_Config'!$T$15),"",'Quantification_Results'!AL408)),""),IF(ISNUMBER('Quantification_Results'!AM408),IF(('Quantification_Results'!AM408&lt;'Quantification_Config'!$S$15),"",IF(('Quantification_Results'!AM408&gt;'Quantification_Config'!$T$15),"",'Quantification_Results'!AM408)),"")))</x:f>
        <x:v>5</x:v>
      </x:c>
      <x:c r="AO408" t="n">
        <x:f>IF(ISNUMBER('Quantification_Results'!AN408),IFERROR(ROUND(((('Quantification_Results'!AN408-'Quantification_Config'!$S$15)/('Quantification_Config'!$T$15-'Quantification_Config'!$S$15))*100),'Quantification_Config'!$U$2),""),"")</x:f>
        <x:v>50</x:v>
      </x:c>
      <x:c r="AP408" t="inlineStr">
        <x:is>
          <x:t xml:space="preserve">SYSTEM-TEST-ONLY-NO-NETWORK-NOT-AN-EDUCATIONAL-EVALUATION</x:t>
        </x:is>
      </x:c>
      <x:c r="AQ408" t="inlineStr">
        <x:is>
          <x:t xml:space="preserve"/>
        </x:is>
      </x:c>
      <x:c r="AR408" t="inlineStr">
        <x:is>
          <x:t xml:space="preserve">NONE</x:t>
        </x:is>
      </x:c>
      <x:c r="AS408" t="inlineStr">
        <x:is>
          <x:t xml:space="preserve"/>
        </x:is>
      </x:c>
      <x:c r="AT408" t="inlineStr">
        <x:is>
          <x:t xml:space="preserve">SUCCESS</x:t>
        </x:is>
      </x:c>
      <x:c r="AU408" t="n">
        <x:f>IF((COUNT('Quantification_Results'!AO408)=1),IFERROR(ROUND((SUM(('Quantification_Results'!AO408*'Quantification_Config'!$R$15))/SUM('Quantification_Config'!$R$15)),'Quantification_Config'!$U$2),""),"")</x:f>
        <x:v>50</x:v>
      </x:c>
      <x:c r="AV408" t="n">
        <x:f>IF((COUNT('Quantification_Results'!AU408)=1),IFERROR(ROUND((SUM(('Quantification_Results'!AU408*'Quantification_Config'!$R$14))/SUM('Quantification_Config'!$R$14)),'Quantification_Config'!$U$2),""),"")</x:f>
        <x:v>50</x:v>
      </x:c>
      <x:c r="AW408" t="n">
        <x:v>0</x:v>
      </x:c>
      <x:c r="AX408"/>
      <x:c r="AY408"/>
      <x:c r="AZ408">
        <x:f>IF(('Quantification_Results'!AW408&lt;&gt;1),"",IF(('Quantification_Results'!AY408=""),IF(ISNUMBER('Quantification_Results'!AX408),IF(('Quantification_Results'!AX408&lt;'Quantification_Config'!$S$19),"",IF(('Quantification_Results'!AX408&gt;'Quantification_Config'!$T$19),"",'Quantification_Results'!AX408)),""),IF(ISNUMBER('Quantification_Results'!AY408),IF(('Quantification_Results'!AY408&lt;'Quantification_Config'!$S$19),"",IF(('Quantification_Results'!AY408&gt;'Quantification_Config'!$T$19),"",'Quantification_Results'!AY408)),"")))</x:f>
      </x:c>
      <x:c r="BA408">
        <x:f>IF(ISNUMBER('Quantification_Results'!AZ408),IFERROR(ROUND(((('Quantification_Results'!AZ408-'Quantification_Config'!$S$19)/('Quantification_Config'!$T$19-'Quantification_Config'!$S$19))*100),'Quantification_Config'!$U$2),""),"")</x:f>
      </x:c>
      <x:c r="BB408" t="inlineStr">
        <x:is>
          <x:t xml:space="preserve"/>
        </x:is>
      </x:c>
      <x:c r="BC408" t="inlineStr">
        <x:is>
          <x:t xml:space="preserve"/>
        </x:is>
      </x:c>
      <x:c r="BD408" t="inlineStr">
        <x:is>
          <x:t xml:space="preserve"/>
        </x:is>
      </x:c>
      <x:c r="BE408" t="inlineStr">
        <x:is>
          <x:t xml:space="preserve"/>
        </x:is>
      </x:c>
      <x:c r="BF408" t="inlineStr">
        <x:is>
          <x:t xml:space="preserve">EMPTY</x:t>
        </x:is>
      </x:c>
      <x:c r="BG408">
        <x:f>IF((COUNT('Quantification_Results'!BA408)=1),IFERROR(ROUND((SUM(('Quantification_Results'!BA408*'Quantification_Config'!$R$19))/SUM('Quantification_Config'!$R$19)),'Quantification_Config'!$U$2),""),"")</x:f>
      </x:c>
      <x:c r="BH408">
        <x:f>IF((COUNT('Quantification_Results'!BG408)=1),IFERROR(ROUND((SUM(('Quantification_Results'!BG408*'Quantification_Config'!$R$18))/SUM('Quantification_Config'!$R$18)),'Quantification_Config'!$U$2),""),"")</x:f>
      </x:c>
      <x:c r="BI408">
        <x:f>IF((COUNT('Quantification_Results'!L408,'Quantification_Results'!X408,'Quantification_Results'!AJ408,'Quantification_Results'!AV408,'Quantification_Results'!BH408)=5),IFERROR(ROUND((SUM(('Quantification_Results'!L408*'Quantification_Config'!$R$4),('Quantification_Results'!X408*'Quantification_Config'!$R$7),('Quantification_Results'!AJ408*'Quantification_Config'!$R$10),('Quantification_Results'!AV408*'Quantification_Config'!$R$13),('Quantification_Results'!BH408*'Quantification_Config'!$R$16))/SUM('Quantification_Config'!$R$4,'Quantification_Config'!$R$7,'Quantification_Config'!$R$10,'Quantification_Config'!$R$13,'Quantification_Config'!$R$16)),'Quantification_Config'!$U$2),""),"")</x:f>
      </x:c>
    </x:row>
    <x:row r="409">
      <x:c r="A409" t="n">
        <x:v>1</x:v>
      </x:c>
      <x:c r="B409" t="n">
        <x:v>5</x:v>
      </x:c>
      <x:c r="C409"/>
      <x:c r="D409" t="n">
        <x:f>IF(('Quantification_Results'!A409&lt;&gt;1),"",IF(('Quantification_Results'!C409=""),IF(ISNUMBER('Quantification_Results'!B409),IF(('Quantification_Results'!B409&lt;'Quantification_Config'!$S$6),"",IF(('Quantification_Results'!B409&gt;'Quantification_Config'!$T$6),"",'Quantification_Results'!B409)),""),IF(ISNUMBER('Quantification_Results'!C409),IF(('Quantification_Results'!C409&lt;'Quantification_Config'!$S$6),"",IF(('Quantification_Results'!C409&gt;'Quantification_Config'!$T$6),"",'Quantification_Results'!C409)),"")))</x:f>
        <x:v>5</x:v>
      </x:c>
      <x:c r="E409" t="n">
        <x:f>IF(ISNUMBER('Quantification_Results'!D409),IFERROR(ROUND(((('Quantification_Results'!D409-'Quantification_Config'!$S$6)/('Quantification_Config'!$T$6-'Quantification_Config'!$S$6))*100),'Quantification_Config'!$U$2),""),"")</x:f>
        <x:v>50</x:v>
      </x:c>
      <x:c r="F409" t="inlineStr">
        <x:is>
          <x:t xml:space="preserve">SYSTEM-TEST-ONLY-NO-NETWORK-NOT-AN-EDUCATIONAL-EVALUATION</x:t>
        </x:is>
      </x:c>
      <x:c r="G409" t="inlineStr">
        <x:is>
          <x:t xml:space="preserve"/>
        </x:is>
      </x:c>
      <x:c r="H409" t="inlineStr">
        <x:is>
          <x:t xml:space="preserve">NONE</x:t>
        </x:is>
      </x:c>
      <x:c r="I409" t="inlineStr">
        <x:is>
          <x:t xml:space="preserve"/>
        </x:is>
      </x:c>
      <x:c r="J409" t="inlineStr">
        <x:is>
          <x:t xml:space="preserve">SUCCESS</x:t>
        </x:is>
      </x:c>
      <x:c r="K409" t="n">
        <x:f>IF((COUNT('Quantification_Results'!E409)=1),IFERROR(ROUND((SUM(('Quantification_Results'!E409*'Quantification_Config'!$R$6))/SUM('Quantification_Config'!$R$6)),'Quantification_Config'!$U$2),""),"")</x:f>
        <x:v>50</x:v>
      </x:c>
      <x:c r="L409" t="n">
        <x:f>IF((COUNT('Quantification_Results'!K409)=1),IFERROR(ROUND((SUM(('Quantification_Results'!K409*'Quantification_Config'!$R$5))/SUM('Quantification_Config'!$R$5)),'Quantification_Config'!$U$2),""),"")</x:f>
        <x:v>50</x:v>
      </x:c>
      <x:c r="M409" t="n">
        <x:v>1</x:v>
      </x:c>
      <x:c r="N409" t="n">
        <x:v>5</x:v>
      </x:c>
      <x:c r="O409"/>
      <x:c r="P409" t="n">
        <x:f>IF(('Quantification_Results'!M409&lt;&gt;1),"",IF(('Quantification_Results'!O409=""),IF(ISNUMBER('Quantification_Results'!N409),IF(('Quantification_Results'!N409&lt;'Quantification_Config'!$S$9),"",IF(('Quantification_Results'!N409&gt;'Quantification_Config'!$T$9),"",'Quantification_Results'!N409)),""),IF(ISNUMBER('Quantification_Results'!O409),IF(('Quantification_Results'!O409&lt;'Quantification_Config'!$S$9),"",IF(('Quantification_Results'!O409&gt;'Quantification_Config'!$T$9),"",'Quantification_Results'!O409)),"")))</x:f>
        <x:v>5</x:v>
      </x:c>
      <x:c r="Q409" t="n">
        <x:f>IF(ISNUMBER('Quantification_Results'!P409),IFERROR(ROUND(((('Quantification_Results'!P409-'Quantification_Config'!$S$9)/('Quantification_Config'!$T$9-'Quantification_Config'!$S$9))*100),'Quantification_Config'!$U$2),""),"")</x:f>
        <x:v>50</x:v>
      </x:c>
      <x:c r="R409" t="inlineStr">
        <x:is>
          <x:t xml:space="preserve">SYSTEM-TEST-ONLY-NO-NETWORK-NOT-AN-EDUCATIONAL-EVALUATION</x:t>
        </x:is>
      </x:c>
      <x:c r="S409" t="inlineStr">
        <x:is>
          <x:t xml:space="preserve"/>
        </x:is>
      </x:c>
      <x:c r="T409" t="inlineStr">
        <x:is>
          <x:t xml:space="preserve">NONE</x:t>
        </x:is>
      </x:c>
      <x:c r="U409" t="inlineStr">
        <x:is>
          <x:t xml:space="preserve"/>
        </x:is>
      </x:c>
      <x:c r="V409" t="inlineStr">
        <x:is>
          <x:t xml:space="preserve">SUCCESS</x:t>
        </x:is>
      </x:c>
      <x:c r="W409" t="n">
        <x:f>IF((COUNT('Quantification_Results'!Q409)=1),IFERROR(ROUND((SUM(('Quantification_Results'!Q409*'Quantification_Config'!$R$9))/SUM('Quantification_Config'!$R$9)),'Quantification_Config'!$U$2),""),"")</x:f>
        <x:v>50</x:v>
      </x:c>
      <x:c r="X409" t="n">
        <x:f>IF((COUNT('Quantification_Results'!W409)=1),IFERROR(ROUND((SUM(('Quantification_Results'!W409*'Quantification_Config'!$R$8))/SUM('Quantification_Config'!$R$8)),'Quantification_Config'!$U$2),""),"")</x:f>
        <x:v>50</x:v>
      </x:c>
      <x:c r="Y409" t="n">
        <x:v>1</x:v>
      </x:c>
      <x:c r="Z409" t="n">
        <x:v>5</x:v>
      </x:c>
      <x:c r="AA409"/>
      <x:c r="AB409" t="n">
        <x:f>IF(('Quantification_Results'!Y409&lt;&gt;1),"",IF(('Quantification_Results'!AA409=""),IF(ISNUMBER('Quantification_Results'!Z409),IF(('Quantification_Results'!Z409&lt;'Quantification_Config'!$S$12),"",IF(('Quantification_Results'!Z409&gt;'Quantification_Config'!$T$12),"",'Quantification_Results'!Z409)),""),IF(ISNUMBER('Quantification_Results'!AA409),IF(('Quantification_Results'!AA409&lt;'Quantification_Config'!$S$12),"",IF(('Quantification_Results'!AA409&gt;'Quantification_Config'!$T$12),"",'Quantification_Results'!AA409)),"")))</x:f>
        <x:v>5</x:v>
      </x:c>
      <x:c r="AC409" t="n">
        <x:f>IF(ISNUMBER('Quantification_Results'!AB409),IFERROR(ROUND(((('Quantification_Results'!AB409-'Quantification_Config'!$S$12)/('Quantification_Config'!$T$12-'Quantification_Config'!$S$12))*100),'Quantification_Config'!$U$2),""),"")</x:f>
        <x:v>50</x:v>
      </x:c>
      <x:c r="AD409" t="inlineStr">
        <x:is>
          <x:t xml:space="preserve">SYSTEM-TEST-ONLY-NO-NETWORK-NOT-AN-EDUCATIONAL-EVALUATION</x:t>
        </x:is>
      </x:c>
      <x:c r="AE409" t="inlineStr">
        <x:is>
          <x:t xml:space="preserve"/>
        </x:is>
      </x:c>
      <x:c r="AF409" t="inlineStr">
        <x:is>
          <x:t xml:space="preserve">NONE</x:t>
        </x:is>
      </x:c>
      <x:c r="AG409" t="inlineStr">
        <x:is>
          <x:t xml:space="preserve"/>
        </x:is>
      </x:c>
      <x:c r="AH409" t="inlineStr">
        <x:is>
          <x:t xml:space="preserve">SUCCESS</x:t>
        </x:is>
      </x:c>
      <x:c r="AI409" t="n">
        <x:f>IF((COUNT('Quantification_Results'!AC409)=1),IFERROR(ROUND((SUM(('Quantification_Results'!AC409*'Quantification_Config'!$R$12))/SUM('Quantification_Config'!$R$12)),'Quantification_Config'!$U$2),""),"")</x:f>
        <x:v>50</x:v>
      </x:c>
      <x:c r="AJ409" t="n">
        <x:f>IF((COUNT('Quantification_Results'!AI409)=1),IFERROR(ROUND((SUM(('Quantification_Results'!AI409*'Quantification_Config'!$R$11))/SUM('Quantification_Config'!$R$11)),'Quantification_Config'!$U$2),""),"")</x:f>
        <x:v>50</x:v>
      </x:c>
      <x:c r="AK409" t="n">
        <x:v>1</x:v>
      </x:c>
      <x:c r="AL409" t="n">
        <x:v>5</x:v>
      </x:c>
      <x:c r="AM409"/>
      <x:c r="AN409" t="n">
        <x:f>IF(('Quantification_Results'!AK409&lt;&gt;1),"",IF(('Quantification_Results'!AM409=""),IF(ISNUMBER('Quantification_Results'!AL409),IF(('Quantification_Results'!AL409&lt;'Quantification_Config'!$S$15),"",IF(('Quantification_Results'!AL409&gt;'Quantification_Config'!$T$15),"",'Quantification_Results'!AL409)),""),IF(ISNUMBER('Quantification_Results'!AM409),IF(('Quantification_Results'!AM409&lt;'Quantification_Config'!$S$15),"",IF(('Quantification_Results'!AM409&gt;'Quantification_Config'!$T$15),"",'Quantification_Results'!AM409)),"")))</x:f>
        <x:v>5</x:v>
      </x:c>
      <x:c r="AO409" t="n">
        <x:f>IF(ISNUMBER('Quantification_Results'!AN409),IFERROR(ROUND(((('Quantification_Results'!AN409-'Quantification_Config'!$S$15)/('Quantification_Config'!$T$15-'Quantification_Config'!$S$15))*100),'Quantification_Config'!$U$2),""),"")</x:f>
        <x:v>50</x:v>
      </x:c>
      <x:c r="AP409" t="inlineStr">
        <x:is>
          <x:t xml:space="preserve">SYSTEM-TEST-ONLY-NO-NETWORK-NOT-AN-EDUCATIONAL-EVALUATION</x:t>
        </x:is>
      </x:c>
      <x:c r="AQ409" t="inlineStr">
        <x:is>
          <x:t xml:space="preserve"/>
        </x:is>
      </x:c>
      <x:c r="AR409" t="inlineStr">
        <x:is>
          <x:t xml:space="preserve">NONE</x:t>
        </x:is>
      </x:c>
      <x:c r="AS409" t="inlineStr">
        <x:is>
          <x:t xml:space="preserve"/>
        </x:is>
      </x:c>
      <x:c r="AT409" t="inlineStr">
        <x:is>
          <x:t xml:space="preserve">SUCCESS</x:t>
        </x:is>
      </x:c>
      <x:c r="AU409" t="n">
        <x:f>IF((COUNT('Quantification_Results'!AO409)=1),IFERROR(ROUND((SUM(('Quantification_Results'!AO409*'Quantification_Config'!$R$15))/SUM('Quantification_Config'!$R$15)),'Quantification_Config'!$U$2),""),"")</x:f>
        <x:v>50</x:v>
      </x:c>
      <x:c r="AV409" t="n">
        <x:f>IF((COUNT('Quantification_Results'!AU409)=1),IFERROR(ROUND((SUM(('Quantification_Results'!AU409*'Quantification_Config'!$R$14))/SUM('Quantification_Config'!$R$14)),'Quantification_Config'!$U$2),""),"")</x:f>
        <x:v>50</x:v>
      </x:c>
      <x:c r="AW409" t="n">
        <x:v>1</x:v>
      </x:c>
      <x:c r="AX409" t="n">
        <x:v>5</x:v>
      </x:c>
      <x:c r="AY409"/>
      <x:c r="AZ409" t="n">
        <x:f>IF(('Quantification_Results'!AW409&lt;&gt;1),"",IF(('Quantification_Results'!AY409=""),IF(ISNUMBER('Quantification_Results'!AX409),IF(('Quantification_Results'!AX409&lt;'Quantification_Config'!$S$19),"",IF(('Quantification_Results'!AX409&gt;'Quantification_Config'!$T$19),"",'Quantification_Results'!AX409)),""),IF(ISNUMBER('Quantification_Results'!AY409),IF(('Quantification_Results'!AY409&lt;'Quantification_Config'!$S$19),"",IF(('Quantification_Results'!AY409&gt;'Quantification_Config'!$T$19),"",'Quantification_Results'!AY409)),"")))</x:f>
        <x:v>5</x:v>
      </x:c>
      <x:c r="BA409" t="n">
        <x:f>IF(ISNUMBER('Quantification_Results'!AZ409),IFERROR(ROUND(((('Quantification_Results'!AZ409-'Quantification_Config'!$S$19)/('Quantification_Config'!$T$19-'Quantification_Config'!$S$19))*100),'Quantification_Config'!$U$2),""),"")</x:f>
        <x:v>50</x:v>
      </x:c>
      <x:c r="BB409" t="inlineStr">
        <x:is>
          <x:t xml:space="preserve">SYSTEM-TEST-ONLY-NO-NETWORK-NOT-AN-EDUCATIONAL-EVALUATION</x:t>
        </x:is>
      </x:c>
      <x:c r="BC409" t="inlineStr">
        <x:is>
          <x:t xml:space="preserve"/>
        </x:is>
      </x:c>
      <x:c r="BD409" t="inlineStr">
        <x:is>
          <x:t xml:space="preserve">NONE</x:t>
        </x:is>
      </x:c>
      <x:c r="BE409" t="inlineStr">
        <x:is>
          <x:t xml:space="preserve"/>
        </x:is>
      </x:c>
      <x:c r="BF409" t="inlineStr">
        <x:is>
          <x:t xml:space="preserve">SUCCESS</x:t>
        </x:is>
      </x:c>
      <x:c r="BG409" t="n">
        <x:f>IF((COUNT('Quantification_Results'!BA409)=1),IFERROR(ROUND((SUM(('Quantification_Results'!BA409*'Quantification_Config'!$R$19))/SUM('Quantification_Config'!$R$19)),'Quantification_Config'!$U$2),""),"")</x:f>
        <x:v>50</x:v>
      </x:c>
      <x:c r="BH409" t="n">
        <x:f>IF((COUNT('Quantification_Results'!BG409)=1),IFERROR(ROUND((SUM(('Quantification_Results'!BG409*'Quantification_Config'!$R$18))/SUM('Quantification_Config'!$R$18)),'Quantification_Config'!$U$2),""),"")</x:f>
        <x:v>50</x:v>
      </x:c>
      <x:c r="BI409" t="n">
        <x:f>IF((COUNT('Quantification_Results'!L409,'Quantification_Results'!X409,'Quantification_Results'!AJ409,'Quantification_Results'!AV409,'Quantification_Results'!BH409)=5),IFERROR(ROUND((SUM(('Quantification_Results'!L409*'Quantification_Config'!$R$4),('Quantification_Results'!X409*'Quantification_Config'!$R$7),('Quantification_Results'!AJ409*'Quantification_Config'!$R$10),('Quantification_Results'!AV409*'Quantification_Config'!$R$13),('Quantification_Results'!BH409*'Quantification_Config'!$R$16))/SUM('Quantification_Config'!$R$4,'Quantification_Config'!$R$7,'Quantification_Config'!$R$10,'Quantification_Config'!$R$13,'Quantification_Config'!$R$16)),'Quantification_Config'!$U$2),""),"")</x:f>
        <x:v>50</x:v>
      </x:c>
    </x:row>
    <x:row r="410">
      <x:c r="A410" t="n">
        <x:v>1</x:v>
      </x:c>
      <x:c r="B410" t="n">
        <x:v>5</x:v>
      </x:c>
      <x:c r="C410"/>
      <x:c r="D410" t="n">
        <x:f>IF(('Quantification_Results'!A410&lt;&gt;1),"",IF(('Quantification_Results'!C410=""),IF(ISNUMBER('Quantification_Results'!B410),IF(('Quantification_Results'!B410&lt;'Quantification_Config'!$S$6),"",IF(('Quantification_Results'!B410&gt;'Quantification_Config'!$T$6),"",'Quantification_Results'!B410)),""),IF(ISNUMBER('Quantification_Results'!C410),IF(('Quantification_Results'!C410&lt;'Quantification_Config'!$S$6),"",IF(('Quantification_Results'!C410&gt;'Quantification_Config'!$T$6),"",'Quantification_Results'!C410)),"")))</x:f>
        <x:v>5</x:v>
      </x:c>
      <x:c r="E410" t="n">
        <x:f>IF(ISNUMBER('Quantification_Results'!D410),IFERROR(ROUND(((('Quantification_Results'!D410-'Quantification_Config'!$S$6)/('Quantification_Config'!$T$6-'Quantification_Config'!$S$6))*100),'Quantification_Config'!$U$2),""),"")</x:f>
        <x:v>50</x:v>
      </x:c>
      <x:c r="F410" t="inlineStr">
        <x:is>
          <x:t xml:space="preserve">SYSTEM-TEST-ONLY-NO-NETWORK-NOT-AN-EDUCATIONAL-EVALUATION</x:t>
        </x:is>
      </x:c>
      <x:c r="G410" t="inlineStr">
        <x:is>
          <x:t xml:space="preserve"/>
        </x:is>
      </x:c>
      <x:c r="H410" t="inlineStr">
        <x:is>
          <x:t xml:space="preserve">NONE</x:t>
        </x:is>
      </x:c>
      <x:c r="I410" t="inlineStr">
        <x:is>
          <x:t xml:space="preserve"/>
        </x:is>
      </x:c>
      <x:c r="J410" t="inlineStr">
        <x:is>
          <x:t xml:space="preserve">SUCCESS</x:t>
        </x:is>
      </x:c>
      <x:c r="K410" t="n">
        <x:f>IF((COUNT('Quantification_Results'!E410)=1),IFERROR(ROUND((SUM(('Quantification_Results'!E410*'Quantification_Config'!$R$6))/SUM('Quantification_Config'!$R$6)),'Quantification_Config'!$U$2),""),"")</x:f>
        <x:v>50</x:v>
      </x:c>
      <x:c r="L410" t="n">
        <x:f>IF((COUNT('Quantification_Results'!K410)=1),IFERROR(ROUND((SUM(('Quantification_Results'!K410*'Quantification_Config'!$R$5))/SUM('Quantification_Config'!$R$5)),'Quantification_Config'!$U$2),""),"")</x:f>
        <x:v>50</x:v>
      </x:c>
      <x:c r="M410" t="n">
        <x:v>1</x:v>
      </x:c>
      <x:c r="N410" t="n">
        <x:v>5</x:v>
      </x:c>
      <x:c r="O410"/>
      <x:c r="P410" t="n">
        <x:f>IF(('Quantification_Results'!M410&lt;&gt;1),"",IF(('Quantification_Results'!O410=""),IF(ISNUMBER('Quantification_Results'!N410),IF(('Quantification_Results'!N410&lt;'Quantification_Config'!$S$9),"",IF(('Quantification_Results'!N410&gt;'Quantification_Config'!$T$9),"",'Quantification_Results'!N410)),""),IF(ISNUMBER('Quantification_Results'!O410),IF(('Quantification_Results'!O410&lt;'Quantification_Config'!$S$9),"",IF(('Quantification_Results'!O410&gt;'Quantification_Config'!$T$9),"",'Quantification_Results'!O410)),"")))</x:f>
        <x:v>5</x:v>
      </x:c>
      <x:c r="Q410" t="n">
        <x:f>IF(ISNUMBER('Quantification_Results'!P410),IFERROR(ROUND(((('Quantification_Results'!P410-'Quantification_Config'!$S$9)/('Quantification_Config'!$T$9-'Quantification_Config'!$S$9))*100),'Quantification_Config'!$U$2),""),"")</x:f>
        <x:v>50</x:v>
      </x:c>
      <x:c r="R410" t="inlineStr">
        <x:is>
          <x:t xml:space="preserve">SYSTEM-TEST-ONLY-NO-NETWORK-NOT-AN-EDUCATIONAL-EVALUATION</x:t>
        </x:is>
      </x:c>
      <x:c r="S410" t="inlineStr">
        <x:is>
          <x:t xml:space="preserve"/>
        </x:is>
      </x:c>
      <x:c r="T410" t="inlineStr">
        <x:is>
          <x:t xml:space="preserve">NONE</x:t>
        </x:is>
      </x:c>
      <x:c r="U410" t="inlineStr">
        <x:is>
          <x:t xml:space="preserve"/>
        </x:is>
      </x:c>
      <x:c r="V410" t="inlineStr">
        <x:is>
          <x:t xml:space="preserve">SUCCESS</x:t>
        </x:is>
      </x:c>
      <x:c r="W410" t="n">
        <x:f>IF((COUNT('Quantification_Results'!Q410)=1),IFERROR(ROUND((SUM(('Quantification_Results'!Q410*'Quantification_Config'!$R$9))/SUM('Quantification_Config'!$R$9)),'Quantification_Config'!$U$2),""),"")</x:f>
        <x:v>50</x:v>
      </x:c>
      <x:c r="X410" t="n">
        <x:f>IF((COUNT('Quantification_Results'!W410)=1),IFERROR(ROUND((SUM(('Quantification_Results'!W410*'Quantification_Config'!$R$8))/SUM('Quantification_Config'!$R$8)),'Quantification_Config'!$U$2),""),"")</x:f>
        <x:v>50</x:v>
      </x:c>
      <x:c r="Y410" t="n">
        <x:v>0</x:v>
      </x:c>
      <x:c r="Z410"/>
      <x:c r="AA410"/>
      <x:c r="AB410">
        <x:f>IF(('Quantification_Results'!Y410&lt;&gt;1),"",IF(('Quantification_Results'!AA410=""),IF(ISNUMBER('Quantification_Results'!Z410),IF(('Quantification_Results'!Z410&lt;'Quantification_Config'!$S$12),"",IF(('Quantification_Results'!Z410&gt;'Quantification_Config'!$T$12),"",'Quantification_Results'!Z410)),""),IF(ISNUMBER('Quantification_Results'!AA410),IF(('Quantification_Results'!AA410&lt;'Quantification_Config'!$S$12),"",IF(('Quantification_Results'!AA410&gt;'Quantification_Config'!$T$12),"",'Quantification_Results'!AA410)),"")))</x:f>
      </x:c>
      <x:c r="AC410">
        <x:f>IF(ISNUMBER('Quantification_Results'!AB410),IFERROR(ROUND(((('Quantification_Results'!AB410-'Quantification_Config'!$S$12)/('Quantification_Config'!$T$12-'Quantification_Config'!$S$12))*100),'Quantification_Config'!$U$2),""),"")</x:f>
      </x:c>
      <x:c r="AD410" t="inlineStr">
        <x:is>
          <x:t xml:space="preserve"/>
        </x:is>
      </x:c>
      <x:c r="AE410" t="inlineStr">
        <x:is>
          <x:t xml:space="preserve"/>
        </x:is>
      </x:c>
      <x:c r="AF410" t="inlineStr">
        <x:is>
          <x:t xml:space="preserve"/>
        </x:is>
      </x:c>
      <x:c r="AG410" t="inlineStr">
        <x:is>
          <x:t xml:space="preserve"/>
        </x:is>
      </x:c>
      <x:c r="AH410" t="inlineStr">
        <x:is>
          <x:t xml:space="preserve">EMPTY</x:t>
        </x:is>
      </x:c>
      <x:c r="AI410">
        <x:f>IF((COUNT('Quantification_Results'!AC410)=1),IFERROR(ROUND((SUM(('Quantification_Results'!AC410*'Quantification_Config'!$R$12))/SUM('Quantification_Config'!$R$12)),'Quantification_Config'!$U$2),""),"")</x:f>
      </x:c>
      <x:c r="AJ410">
        <x:f>IF((COUNT('Quantification_Results'!AI410)=1),IFERROR(ROUND((SUM(('Quantification_Results'!AI410*'Quantification_Config'!$R$11))/SUM('Quantification_Config'!$R$11)),'Quantification_Config'!$U$2),""),"")</x:f>
      </x:c>
      <x:c r="AK410" t="n">
        <x:v>1</x:v>
      </x:c>
      <x:c r="AL410" t="n">
        <x:v>5</x:v>
      </x:c>
      <x:c r="AM410"/>
      <x:c r="AN410" t="n">
        <x:f>IF(('Quantification_Results'!AK410&lt;&gt;1),"",IF(('Quantification_Results'!AM410=""),IF(ISNUMBER('Quantification_Results'!AL410),IF(('Quantification_Results'!AL410&lt;'Quantification_Config'!$S$15),"",IF(('Quantification_Results'!AL410&gt;'Quantification_Config'!$T$15),"",'Quantification_Results'!AL410)),""),IF(ISNUMBER('Quantification_Results'!AM410),IF(('Quantification_Results'!AM410&lt;'Quantification_Config'!$S$15),"",IF(('Quantification_Results'!AM410&gt;'Quantification_Config'!$T$15),"",'Quantification_Results'!AM410)),"")))</x:f>
        <x:v>5</x:v>
      </x:c>
      <x:c r="AO410" t="n">
        <x:f>IF(ISNUMBER('Quantification_Results'!AN410),IFERROR(ROUND(((('Quantification_Results'!AN410-'Quantification_Config'!$S$15)/('Quantification_Config'!$T$15-'Quantification_Config'!$S$15))*100),'Quantification_Config'!$U$2),""),"")</x:f>
        <x:v>50</x:v>
      </x:c>
      <x:c r="AP410" t="inlineStr">
        <x:is>
          <x:t xml:space="preserve">SYSTEM-TEST-ONLY-NO-NETWORK-NOT-AN-EDUCATIONAL-EVALUATION</x:t>
        </x:is>
      </x:c>
      <x:c r="AQ410" t="inlineStr">
        <x:is>
          <x:t xml:space="preserve"/>
        </x:is>
      </x:c>
      <x:c r="AR410" t="inlineStr">
        <x:is>
          <x:t xml:space="preserve">NONE</x:t>
        </x:is>
      </x:c>
      <x:c r="AS410" t="inlineStr">
        <x:is>
          <x:t xml:space="preserve"/>
        </x:is>
      </x:c>
      <x:c r="AT410" t="inlineStr">
        <x:is>
          <x:t xml:space="preserve">SUCCESS</x:t>
        </x:is>
      </x:c>
      <x:c r="AU410" t="n">
        <x:f>IF((COUNT('Quantification_Results'!AO410)=1),IFERROR(ROUND((SUM(('Quantification_Results'!AO410*'Quantification_Config'!$R$15))/SUM('Quantification_Config'!$R$15)),'Quantification_Config'!$U$2),""),"")</x:f>
        <x:v>50</x:v>
      </x:c>
      <x:c r="AV410" t="n">
        <x:f>IF((COUNT('Quantification_Results'!AU410)=1),IFERROR(ROUND((SUM(('Quantification_Results'!AU410*'Quantification_Config'!$R$14))/SUM('Quantification_Config'!$R$14)),'Quantification_Config'!$U$2),""),"")</x:f>
        <x:v>50</x:v>
      </x:c>
      <x:c r="AW410" t="n">
        <x:v>1</x:v>
      </x:c>
      <x:c r="AX410" t="n">
        <x:v>5</x:v>
      </x:c>
      <x:c r="AY410"/>
      <x:c r="AZ410" t="n">
        <x:f>IF(('Quantification_Results'!AW410&lt;&gt;1),"",IF(('Quantification_Results'!AY410=""),IF(ISNUMBER('Quantification_Results'!AX410),IF(('Quantification_Results'!AX410&lt;'Quantification_Config'!$S$19),"",IF(('Quantification_Results'!AX410&gt;'Quantification_Config'!$T$19),"",'Quantification_Results'!AX410)),""),IF(ISNUMBER('Quantification_Results'!AY410),IF(('Quantification_Results'!AY410&lt;'Quantification_Config'!$S$19),"",IF(('Quantification_Results'!AY410&gt;'Quantification_Config'!$T$19),"",'Quantification_Results'!AY410)),"")))</x:f>
        <x:v>5</x:v>
      </x:c>
      <x:c r="BA410" t="n">
        <x:f>IF(ISNUMBER('Quantification_Results'!AZ410),IFERROR(ROUND(((('Quantification_Results'!AZ410-'Quantification_Config'!$S$19)/('Quantification_Config'!$T$19-'Quantification_Config'!$S$19))*100),'Quantification_Config'!$U$2),""),"")</x:f>
        <x:v>50</x:v>
      </x:c>
      <x:c r="BB410" t="inlineStr">
        <x:is>
          <x:t xml:space="preserve">SYSTEM-TEST-ONLY-NO-NETWORK-NOT-AN-EDUCATIONAL-EVALUATION</x:t>
        </x:is>
      </x:c>
      <x:c r="BC410" t="inlineStr">
        <x:is>
          <x:t xml:space="preserve"/>
        </x:is>
      </x:c>
      <x:c r="BD410" t="inlineStr">
        <x:is>
          <x:t xml:space="preserve">NONE</x:t>
        </x:is>
      </x:c>
      <x:c r="BE410" t="inlineStr">
        <x:is>
          <x:t xml:space="preserve"/>
        </x:is>
      </x:c>
      <x:c r="BF410" t="inlineStr">
        <x:is>
          <x:t xml:space="preserve">SUCCESS</x:t>
        </x:is>
      </x:c>
      <x:c r="BG410" t="n">
        <x:f>IF((COUNT('Quantification_Results'!BA410)=1),IFERROR(ROUND((SUM(('Quantification_Results'!BA410*'Quantification_Config'!$R$19))/SUM('Quantification_Config'!$R$19)),'Quantification_Config'!$U$2),""),"")</x:f>
        <x:v>50</x:v>
      </x:c>
      <x:c r="BH410" t="n">
        <x:f>IF((COUNT('Quantification_Results'!BG410)=1),IFERROR(ROUND((SUM(('Quantification_Results'!BG410*'Quantification_Config'!$R$18))/SUM('Quantification_Config'!$R$18)),'Quantification_Config'!$U$2),""),"")</x:f>
        <x:v>50</x:v>
      </x:c>
      <x:c r="BI410">
        <x:f>IF((COUNT('Quantification_Results'!L410,'Quantification_Results'!X410,'Quantification_Results'!AJ410,'Quantification_Results'!AV410,'Quantification_Results'!BH410)=5),IFERROR(ROUND((SUM(('Quantification_Results'!L410*'Quantification_Config'!$R$4),('Quantification_Results'!X410*'Quantification_Config'!$R$7),('Quantification_Results'!AJ410*'Quantification_Config'!$R$10),('Quantification_Results'!AV410*'Quantification_Config'!$R$13),('Quantification_Results'!BH410*'Quantification_Config'!$R$16))/SUM('Quantification_Config'!$R$4,'Quantification_Config'!$R$7,'Quantification_Config'!$R$10,'Quantification_Config'!$R$13,'Quantification_Config'!$R$16)),'Quantification_Config'!$U$2),""),"")</x:f>
      </x:c>
    </x:row>
    <x:row r="411">
      <x:c r="A411" t="n">
        <x:v>1</x:v>
      </x:c>
      <x:c r="B411" t="n">
        <x:v>5</x:v>
      </x:c>
      <x:c r="C411"/>
      <x:c r="D411" t="n">
        <x:f>IF(('Quantification_Results'!A411&lt;&gt;1),"",IF(('Quantification_Results'!C411=""),IF(ISNUMBER('Quantification_Results'!B411),IF(('Quantification_Results'!B411&lt;'Quantification_Config'!$S$6),"",IF(('Quantification_Results'!B411&gt;'Quantification_Config'!$T$6),"",'Quantification_Results'!B411)),""),IF(ISNUMBER('Quantification_Results'!C411),IF(('Quantification_Results'!C411&lt;'Quantification_Config'!$S$6),"",IF(('Quantification_Results'!C411&gt;'Quantification_Config'!$T$6),"",'Quantification_Results'!C411)),"")))</x:f>
        <x:v>5</x:v>
      </x:c>
      <x:c r="E411" t="n">
        <x:f>IF(ISNUMBER('Quantification_Results'!D411),IFERROR(ROUND(((('Quantification_Results'!D411-'Quantification_Config'!$S$6)/('Quantification_Config'!$T$6-'Quantification_Config'!$S$6))*100),'Quantification_Config'!$U$2),""),"")</x:f>
        <x:v>50</x:v>
      </x:c>
      <x:c r="F411" t="inlineStr">
        <x:is>
          <x:t xml:space="preserve">SYSTEM-TEST-ONLY-NO-NETWORK-NOT-AN-EDUCATIONAL-EVALUATION</x:t>
        </x:is>
      </x:c>
      <x:c r="G411" t="inlineStr">
        <x:is>
          <x:t xml:space="preserve"/>
        </x:is>
      </x:c>
      <x:c r="H411" t="inlineStr">
        <x:is>
          <x:t xml:space="preserve">NONE</x:t>
        </x:is>
      </x:c>
      <x:c r="I411" t="inlineStr">
        <x:is>
          <x:t xml:space="preserve"/>
        </x:is>
      </x:c>
      <x:c r="J411" t="inlineStr">
        <x:is>
          <x:t xml:space="preserve">SUCCESS</x:t>
        </x:is>
      </x:c>
      <x:c r="K411" t="n">
        <x:f>IF((COUNT('Quantification_Results'!E411)=1),IFERROR(ROUND((SUM(('Quantification_Results'!E411*'Quantification_Config'!$R$6))/SUM('Quantification_Config'!$R$6)),'Quantification_Config'!$U$2),""),"")</x:f>
        <x:v>50</x:v>
      </x:c>
      <x:c r="L411" t="n">
        <x:f>IF((COUNT('Quantification_Results'!K411)=1),IFERROR(ROUND((SUM(('Quantification_Results'!K411*'Quantification_Config'!$R$5))/SUM('Quantification_Config'!$R$5)),'Quantification_Config'!$U$2),""),"")</x:f>
        <x:v>50</x:v>
      </x:c>
      <x:c r="M411" t="n">
        <x:v>1</x:v>
      </x:c>
      <x:c r="N411" t="n">
        <x:v>5</x:v>
      </x:c>
      <x:c r="O411"/>
      <x:c r="P411" t="n">
        <x:f>IF(('Quantification_Results'!M411&lt;&gt;1),"",IF(('Quantification_Results'!O411=""),IF(ISNUMBER('Quantification_Results'!N411),IF(('Quantification_Results'!N411&lt;'Quantification_Config'!$S$9),"",IF(('Quantification_Results'!N411&gt;'Quantification_Config'!$T$9),"",'Quantification_Results'!N411)),""),IF(ISNUMBER('Quantification_Results'!O411),IF(('Quantification_Results'!O411&lt;'Quantification_Config'!$S$9),"",IF(('Quantification_Results'!O411&gt;'Quantification_Config'!$T$9),"",'Quantification_Results'!O411)),"")))</x:f>
        <x:v>5</x:v>
      </x:c>
      <x:c r="Q411" t="n">
        <x:f>IF(ISNUMBER('Quantification_Results'!P411),IFERROR(ROUND(((('Quantification_Results'!P411-'Quantification_Config'!$S$9)/('Quantification_Config'!$T$9-'Quantification_Config'!$S$9))*100),'Quantification_Config'!$U$2),""),"")</x:f>
        <x:v>50</x:v>
      </x:c>
      <x:c r="R411" t="inlineStr">
        <x:is>
          <x:t xml:space="preserve">SYSTEM-TEST-ONLY-NO-NETWORK-NOT-AN-EDUCATIONAL-EVALUATION</x:t>
        </x:is>
      </x:c>
      <x:c r="S411" t="inlineStr">
        <x:is>
          <x:t xml:space="preserve"/>
        </x:is>
      </x:c>
      <x:c r="T411" t="inlineStr">
        <x:is>
          <x:t xml:space="preserve">NONE</x:t>
        </x:is>
      </x:c>
      <x:c r="U411" t="inlineStr">
        <x:is>
          <x:t xml:space="preserve"/>
        </x:is>
      </x:c>
      <x:c r="V411" t="inlineStr">
        <x:is>
          <x:t xml:space="preserve">SUCCESS</x:t>
        </x:is>
      </x:c>
      <x:c r="W411" t="n">
        <x:f>IF((COUNT('Quantification_Results'!Q411)=1),IFERROR(ROUND((SUM(('Quantification_Results'!Q411*'Quantification_Config'!$R$9))/SUM('Quantification_Config'!$R$9)),'Quantification_Config'!$U$2),""),"")</x:f>
        <x:v>50</x:v>
      </x:c>
      <x:c r="X411" t="n">
        <x:f>IF((COUNT('Quantification_Results'!W411)=1),IFERROR(ROUND((SUM(('Quantification_Results'!W411*'Quantification_Config'!$R$8))/SUM('Quantification_Config'!$R$8)),'Quantification_Config'!$U$2),""),"")</x:f>
        <x:v>50</x:v>
      </x:c>
      <x:c r="Y411" t="n">
        <x:v>0</x:v>
      </x:c>
      <x:c r="Z411"/>
      <x:c r="AA411"/>
      <x:c r="AB411">
        <x:f>IF(('Quantification_Results'!Y411&lt;&gt;1),"",IF(('Quantification_Results'!AA411=""),IF(ISNUMBER('Quantification_Results'!Z411),IF(('Quantification_Results'!Z411&lt;'Quantification_Config'!$S$12),"",IF(('Quantification_Results'!Z411&gt;'Quantification_Config'!$T$12),"",'Quantification_Results'!Z411)),""),IF(ISNUMBER('Quantification_Results'!AA411),IF(('Quantification_Results'!AA411&lt;'Quantification_Config'!$S$12),"",IF(('Quantification_Results'!AA411&gt;'Quantification_Config'!$T$12),"",'Quantification_Results'!AA411)),"")))</x:f>
      </x:c>
      <x:c r="AC411">
        <x:f>IF(ISNUMBER('Quantification_Results'!AB411),IFERROR(ROUND(((('Quantification_Results'!AB411-'Quantification_Config'!$S$12)/('Quantification_Config'!$T$12-'Quantification_Config'!$S$12))*100),'Quantification_Config'!$U$2),""),"")</x:f>
      </x:c>
      <x:c r="AD411" t="inlineStr">
        <x:is>
          <x:t xml:space="preserve"/>
        </x:is>
      </x:c>
      <x:c r="AE411" t="inlineStr">
        <x:is>
          <x:t xml:space="preserve"/>
        </x:is>
      </x:c>
      <x:c r="AF411" t="inlineStr">
        <x:is>
          <x:t xml:space="preserve"/>
        </x:is>
      </x:c>
      <x:c r="AG411" t="inlineStr">
        <x:is>
          <x:t xml:space="preserve"/>
        </x:is>
      </x:c>
      <x:c r="AH411" t="inlineStr">
        <x:is>
          <x:t xml:space="preserve">EMPTY</x:t>
        </x:is>
      </x:c>
      <x:c r="AI411">
        <x:f>IF((COUNT('Quantification_Results'!AC411)=1),IFERROR(ROUND((SUM(('Quantification_Results'!AC411*'Quantification_Config'!$R$12))/SUM('Quantification_Config'!$R$12)),'Quantification_Config'!$U$2),""),"")</x:f>
      </x:c>
      <x:c r="AJ411">
        <x:f>IF((COUNT('Quantification_Results'!AI411)=1),IFERROR(ROUND((SUM(('Quantification_Results'!AI411*'Quantification_Config'!$R$11))/SUM('Quantification_Config'!$R$11)),'Quantification_Config'!$U$2),""),"")</x:f>
      </x:c>
      <x:c r="AK411" t="n">
        <x:v>1</x:v>
      </x:c>
      <x:c r="AL411" t="n">
        <x:v>5</x:v>
      </x:c>
      <x:c r="AM411"/>
      <x:c r="AN411" t="n">
        <x:f>IF(('Quantification_Results'!AK411&lt;&gt;1),"",IF(('Quantification_Results'!AM411=""),IF(ISNUMBER('Quantification_Results'!AL411),IF(('Quantification_Results'!AL411&lt;'Quantification_Config'!$S$15),"",IF(('Quantification_Results'!AL411&gt;'Quantification_Config'!$T$15),"",'Quantification_Results'!AL411)),""),IF(ISNUMBER('Quantification_Results'!AM411),IF(('Quantification_Results'!AM411&lt;'Quantification_Config'!$S$15),"",IF(('Quantification_Results'!AM411&gt;'Quantification_Config'!$T$15),"",'Quantification_Results'!AM411)),"")))</x:f>
        <x:v>5</x:v>
      </x:c>
      <x:c r="AO411" t="n">
        <x:f>IF(ISNUMBER('Quantification_Results'!AN411),IFERROR(ROUND(((('Quantification_Results'!AN411-'Quantification_Config'!$S$15)/('Quantification_Config'!$T$15-'Quantification_Config'!$S$15))*100),'Quantification_Config'!$U$2),""),"")</x:f>
        <x:v>50</x:v>
      </x:c>
      <x:c r="AP411" t="inlineStr">
        <x:is>
          <x:t xml:space="preserve">SYSTEM-TEST-ONLY-NO-NETWORK-NOT-AN-EDUCATIONAL-EVALUATION</x:t>
        </x:is>
      </x:c>
      <x:c r="AQ411" t="inlineStr">
        <x:is>
          <x:t xml:space="preserve"/>
        </x:is>
      </x:c>
      <x:c r="AR411" t="inlineStr">
        <x:is>
          <x:t xml:space="preserve">NONE</x:t>
        </x:is>
      </x:c>
      <x:c r="AS411" t="inlineStr">
        <x:is>
          <x:t xml:space="preserve"/>
        </x:is>
      </x:c>
      <x:c r="AT411" t="inlineStr">
        <x:is>
          <x:t xml:space="preserve">SUCCESS</x:t>
        </x:is>
      </x:c>
      <x:c r="AU411" t="n">
        <x:f>IF((COUNT('Quantification_Results'!AO411)=1),IFERROR(ROUND((SUM(('Quantification_Results'!AO411*'Quantification_Config'!$R$15))/SUM('Quantification_Config'!$R$15)),'Quantification_Config'!$U$2),""),"")</x:f>
        <x:v>50</x:v>
      </x:c>
      <x:c r="AV411" t="n">
        <x:f>IF((COUNT('Quantification_Results'!AU411)=1),IFERROR(ROUND((SUM(('Quantification_Results'!AU411*'Quantification_Config'!$R$14))/SUM('Quantification_Config'!$R$14)),'Quantification_Config'!$U$2),""),"")</x:f>
        <x:v>50</x:v>
      </x:c>
      <x:c r="AW411" t="n">
        <x:v>1</x:v>
      </x:c>
      <x:c r="AX411" t="n">
        <x:v>5</x:v>
      </x:c>
      <x:c r="AY411"/>
      <x:c r="AZ411" t="n">
        <x:f>IF(('Quantification_Results'!AW411&lt;&gt;1),"",IF(('Quantification_Results'!AY411=""),IF(ISNUMBER('Quantification_Results'!AX411),IF(('Quantification_Results'!AX411&lt;'Quantification_Config'!$S$19),"",IF(('Quantification_Results'!AX411&gt;'Quantification_Config'!$T$19),"",'Quantification_Results'!AX411)),""),IF(ISNUMBER('Quantification_Results'!AY411),IF(('Quantification_Results'!AY411&lt;'Quantification_Config'!$S$19),"",IF(('Quantification_Results'!AY411&gt;'Quantification_Config'!$T$19),"",'Quantification_Results'!AY411)),"")))</x:f>
        <x:v>5</x:v>
      </x:c>
      <x:c r="BA411" t="n">
        <x:f>IF(ISNUMBER('Quantification_Results'!AZ411),IFERROR(ROUND(((('Quantification_Results'!AZ411-'Quantification_Config'!$S$19)/('Quantification_Config'!$T$19-'Quantification_Config'!$S$19))*100),'Quantification_Config'!$U$2),""),"")</x:f>
        <x:v>50</x:v>
      </x:c>
      <x:c r="BB411" t="inlineStr">
        <x:is>
          <x:t xml:space="preserve">SYSTEM-TEST-ONLY-NO-NETWORK-NOT-AN-EDUCATIONAL-EVALUATION</x:t>
        </x:is>
      </x:c>
      <x:c r="BC411" t="inlineStr">
        <x:is>
          <x:t xml:space="preserve"/>
        </x:is>
      </x:c>
      <x:c r="BD411" t="inlineStr">
        <x:is>
          <x:t xml:space="preserve">NONE</x:t>
        </x:is>
      </x:c>
      <x:c r="BE411" t="inlineStr">
        <x:is>
          <x:t xml:space="preserve"/>
        </x:is>
      </x:c>
      <x:c r="BF411" t="inlineStr">
        <x:is>
          <x:t xml:space="preserve">SUCCESS</x:t>
        </x:is>
      </x:c>
      <x:c r="BG411" t="n">
        <x:f>IF((COUNT('Quantification_Results'!BA411)=1),IFERROR(ROUND((SUM(('Quantification_Results'!BA411*'Quantification_Config'!$R$19))/SUM('Quantification_Config'!$R$19)),'Quantification_Config'!$U$2),""),"")</x:f>
        <x:v>50</x:v>
      </x:c>
      <x:c r="BH411" t="n">
        <x:f>IF((COUNT('Quantification_Results'!BG411)=1),IFERROR(ROUND((SUM(('Quantification_Results'!BG411*'Quantification_Config'!$R$18))/SUM('Quantification_Config'!$R$18)),'Quantification_Config'!$U$2),""),"")</x:f>
        <x:v>50</x:v>
      </x:c>
      <x:c r="BI411">
        <x:f>IF((COUNT('Quantification_Results'!L411,'Quantification_Results'!X411,'Quantification_Results'!AJ411,'Quantification_Results'!AV411,'Quantification_Results'!BH411)=5),IFERROR(ROUND((SUM(('Quantification_Results'!L411*'Quantification_Config'!$R$4),('Quantification_Results'!X411*'Quantification_Config'!$R$7),('Quantification_Results'!AJ411*'Quantification_Config'!$R$10),('Quantification_Results'!AV411*'Quantification_Config'!$R$13),('Quantification_Results'!BH411*'Quantification_Config'!$R$16))/SUM('Quantification_Config'!$R$4,'Quantification_Config'!$R$7,'Quantification_Config'!$R$10,'Quantification_Config'!$R$13,'Quantification_Config'!$R$16)),'Quantification_Config'!$U$2),""),"")</x:f>
      </x:c>
    </x:row>
    <x:row r="412">
      <x:c r="A412" t="n">
        <x:v>1</x:v>
      </x:c>
      <x:c r="B412" t="n">
        <x:v>5</x:v>
      </x:c>
      <x:c r="C412"/>
      <x:c r="D412" t="n">
        <x:f>IF(('Quantification_Results'!A412&lt;&gt;1),"",IF(('Quantification_Results'!C412=""),IF(ISNUMBER('Quantification_Results'!B412),IF(('Quantification_Results'!B412&lt;'Quantification_Config'!$S$6),"",IF(('Quantification_Results'!B412&gt;'Quantification_Config'!$T$6),"",'Quantification_Results'!B412)),""),IF(ISNUMBER('Quantification_Results'!C412),IF(('Quantification_Results'!C412&lt;'Quantification_Config'!$S$6),"",IF(('Quantification_Results'!C412&gt;'Quantification_Config'!$T$6),"",'Quantification_Results'!C412)),"")))</x:f>
        <x:v>5</x:v>
      </x:c>
      <x:c r="E412" t="n">
        <x:f>IF(ISNUMBER('Quantification_Results'!D412),IFERROR(ROUND(((('Quantification_Results'!D412-'Quantification_Config'!$S$6)/('Quantification_Config'!$T$6-'Quantification_Config'!$S$6))*100),'Quantification_Config'!$U$2),""),"")</x:f>
        <x:v>50</x:v>
      </x:c>
      <x:c r="F412" t="inlineStr">
        <x:is>
          <x:t xml:space="preserve">SYSTEM-TEST-ONLY-NO-NETWORK-NOT-AN-EDUCATIONAL-EVALUATION</x:t>
        </x:is>
      </x:c>
      <x:c r="G412" t="inlineStr">
        <x:is>
          <x:t xml:space="preserve"/>
        </x:is>
      </x:c>
      <x:c r="H412" t="inlineStr">
        <x:is>
          <x:t xml:space="preserve">NONE</x:t>
        </x:is>
      </x:c>
      <x:c r="I412" t="inlineStr">
        <x:is>
          <x:t xml:space="preserve"/>
        </x:is>
      </x:c>
      <x:c r="J412" t="inlineStr">
        <x:is>
          <x:t xml:space="preserve">SUCCESS</x:t>
        </x:is>
      </x:c>
      <x:c r="K412" t="n">
        <x:f>IF((COUNT('Quantification_Results'!E412)=1),IFERROR(ROUND((SUM(('Quantification_Results'!E412*'Quantification_Config'!$R$6))/SUM('Quantification_Config'!$R$6)),'Quantification_Config'!$U$2),""),"")</x:f>
        <x:v>50</x:v>
      </x:c>
      <x:c r="L412" t="n">
        <x:f>IF((COUNT('Quantification_Results'!K412)=1),IFERROR(ROUND((SUM(('Quantification_Results'!K412*'Quantification_Config'!$R$5))/SUM('Quantification_Config'!$R$5)),'Quantification_Config'!$U$2),""),"")</x:f>
        <x:v>50</x:v>
      </x:c>
      <x:c r="M412" t="n">
        <x:v>0</x:v>
      </x:c>
      <x:c r="N412"/>
      <x:c r="O412"/>
      <x:c r="P412">
        <x:f>IF(('Quantification_Results'!M412&lt;&gt;1),"",IF(('Quantification_Results'!O412=""),IF(ISNUMBER('Quantification_Results'!N412),IF(('Quantification_Results'!N412&lt;'Quantification_Config'!$S$9),"",IF(('Quantification_Results'!N412&gt;'Quantification_Config'!$T$9),"",'Quantification_Results'!N412)),""),IF(ISNUMBER('Quantification_Results'!O412),IF(('Quantification_Results'!O412&lt;'Quantification_Config'!$S$9),"",IF(('Quantification_Results'!O412&gt;'Quantification_Config'!$T$9),"",'Quantification_Results'!O412)),"")))</x:f>
      </x:c>
      <x:c r="Q412">
        <x:f>IF(ISNUMBER('Quantification_Results'!P412),IFERROR(ROUND(((('Quantification_Results'!P412-'Quantification_Config'!$S$9)/('Quantification_Config'!$T$9-'Quantification_Config'!$S$9))*100),'Quantification_Config'!$U$2),""),"")</x:f>
      </x:c>
      <x:c r="R412" t="inlineStr">
        <x:is>
          <x:t xml:space="preserve"/>
        </x:is>
      </x:c>
      <x:c r="S412" t="inlineStr">
        <x:is>
          <x:t xml:space="preserve"/>
        </x:is>
      </x:c>
      <x:c r="T412" t="inlineStr">
        <x:is>
          <x:t xml:space="preserve"/>
        </x:is>
      </x:c>
      <x:c r="U412" t="inlineStr">
        <x:is>
          <x:t xml:space="preserve"/>
        </x:is>
      </x:c>
      <x:c r="V412" t="inlineStr">
        <x:is>
          <x:t xml:space="preserve">EMPTY</x:t>
        </x:is>
      </x:c>
      <x:c r="W412">
        <x:f>IF((COUNT('Quantification_Results'!Q412)=1),IFERROR(ROUND((SUM(('Quantification_Results'!Q412*'Quantification_Config'!$R$9))/SUM('Quantification_Config'!$R$9)),'Quantification_Config'!$U$2),""),"")</x:f>
      </x:c>
      <x:c r="X412">
        <x:f>IF((COUNT('Quantification_Results'!W412)=1),IFERROR(ROUND((SUM(('Quantification_Results'!W412*'Quantification_Config'!$R$8))/SUM('Quantification_Config'!$R$8)),'Quantification_Config'!$U$2),""),"")</x:f>
      </x:c>
      <x:c r="Y412" t="n">
        <x:v>0</x:v>
      </x:c>
      <x:c r="Z412"/>
      <x:c r="AA412"/>
      <x:c r="AB412">
        <x:f>IF(('Quantification_Results'!Y412&lt;&gt;1),"",IF(('Quantification_Results'!AA412=""),IF(ISNUMBER('Quantification_Results'!Z412),IF(('Quantification_Results'!Z412&lt;'Quantification_Config'!$S$12),"",IF(('Quantification_Results'!Z412&gt;'Quantification_Config'!$T$12),"",'Quantification_Results'!Z412)),""),IF(ISNUMBER('Quantification_Results'!AA412),IF(('Quantification_Results'!AA412&lt;'Quantification_Config'!$S$12),"",IF(('Quantification_Results'!AA412&gt;'Quantification_Config'!$T$12),"",'Quantification_Results'!AA412)),"")))</x:f>
      </x:c>
      <x:c r="AC412">
        <x:f>IF(ISNUMBER('Quantification_Results'!AB412),IFERROR(ROUND(((('Quantification_Results'!AB412-'Quantification_Config'!$S$12)/('Quantification_Config'!$T$12-'Quantification_Config'!$S$12))*100),'Quantification_Config'!$U$2),""),"")</x:f>
      </x:c>
      <x:c r="AD412" t="inlineStr">
        <x:is>
          <x:t xml:space="preserve"/>
        </x:is>
      </x:c>
      <x:c r="AE412" t="inlineStr">
        <x:is>
          <x:t xml:space="preserve"/>
        </x:is>
      </x:c>
      <x:c r="AF412" t="inlineStr">
        <x:is>
          <x:t xml:space="preserve"/>
        </x:is>
      </x:c>
      <x:c r="AG412" t="inlineStr">
        <x:is>
          <x:t xml:space="preserve"/>
        </x:is>
      </x:c>
      <x:c r="AH412" t="inlineStr">
        <x:is>
          <x:t xml:space="preserve">EMPTY</x:t>
        </x:is>
      </x:c>
      <x:c r="AI412">
        <x:f>IF((COUNT('Quantification_Results'!AC412)=1),IFERROR(ROUND((SUM(('Quantification_Results'!AC412*'Quantification_Config'!$R$12))/SUM('Quantification_Config'!$R$12)),'Quantification_Config'!$U$2),""),"")</x:f>
      </x:c>
      <x:c r="AJ412">
        <x:f>IF((COUNT('Quantification_Results'!AI412)=1),IFERROR(ROUND((SUM(('Quantification_Results'!AI412*'Quantification_Config'!$R$11))/SUM('Quantification_Config'!$R$11)),'Quantification_Config'!$U$2),""),"")</x:f>
      </x:c>
      <x:c r="AK412" t="n">
        <x:v>1</x:v>
      </x:c>
      <x:c r="AL412" t="n">
        <x:v>5</x:v>
      </x:c>
      <x:c r="AM412"/>
      <x:c r="AN412" t="n">
        <x:f>IF(('Quantification_Results'!AK412&lt;&gt;1),"",IF(('Quantification_Results'!AM412=""),IF(ISNUMBER('Quantification_Results'!AL412),IF(('Quantification_Results'!AL412&lt;'Quantification_Config'!$S$15),"",IF(('Quantification_Results'!AL412&gt;'Quantification_Config'!$T$15),"",'Quantification_Results'!AL412)),""),IF(ISNUMBER('Quantification_Results'!AM412),IF(('Quantification_Results'!AM412&lt;'Quantification_Config'!$S$15),"",IF(('Quantification_Results'!AM412&gt;'Quantification_Config'!$T$15),"",'Quantification_Results'!AM412)),"")))</x:f>
        <x:v>5</x:v>
      </x:c>
      <x:c r="AO412" t="n">
        <x:f>IF(ISNUMBER('Quantification_Results'!AN412),IFERROR(ROUND(((('Quantification_Results'!AN412-'Quantification_Config'!$S$15)/('Quantification_Config'!$T$15-'Quantification_Config'!$S$15))*100),'Quantification_Config'!$U$2),""),"")</x:f>
        <x:v>50</x:v>
      </x:c>
      <x:c r="AP412" t="inlineStr">
        <x:is>
          <x:t xml:space="preserve">SYSTEM-TEST-ONLY-NO-NETWORK-NOT-AN-EDUCATIONAL-EVALUATION</x:t>
        </x:is>
      </x:c>
      <x:c r="AQ412" t="inlineStr">
        <x:is>
          <x:t xml:space="preserve"/>
        </x:is>
      </x:c>
      <x:c r="AR412" t="inlineStr">
        <x:is>
          <x:t xml:space="preserve">NONE</x:t>
        </x:is>
      </x:c>
      <x:c r="AS412" t="inlineStr">
        <x:is>
          <x:t xml:space="preserve"/>
        </x:is>
      </x:c>
      <x:c r="AT412" t="inlineStr">
        <x:is>
          <x:t xml:space="preserve">SUCCESS</x:t>
        </x:is>
      </x:c>
      <x:c r="AU412" t="n">
        <x:f>IF((COUNT('Quantification_Results'!AO412)=1),IFERROR(ROUND((SUM(('Quantification_Results'!AO412*'Quantification_Config'!$R$15))/SUM('Quantification_Config'!$R$15)),'Quantification_Config'!$U$2),""),"")</x:f>
        <x:v>50</x:v>
      </x:c>
      <x:c r="AV412" t="n">
        <x:f>IF((COUNT('Quantification_Results'!AU412)=1),IFERROR(ROUND((SUM(('Quantification_Results'!AU412*'Quantification_Config'!$R$14))/SUM('Quantification_Config'!$R$14)),'Quantification_Config'!$U$2),""),"")</x:f>
        <x:v>50</x:v>
      </x:c>
      <x:c r="AW412" t="n">
        <x:v>1</x:v>
      </x:c>
      <x:c r="AX412" t="n">
        <x:v>5</x:v>
      </x:c>
      <x:c r="AY412"/>
      <x:c r="AZ412" t="n">
        <x:f>IF(('Quantification_Results'!AW412&lt;&gt;1),"",IF(('Quantification_Results'!AY412=""),IF(ISNUMBER('Quantification_Results'!AX412),IF(('Quantification_Results'!AX412&lt;'Quantification_Config'!$S$19),"",IF(('Quantification_Results'!AX412&gt;'Quantification_Config'!$T$19),"",'Quantification_Results'!AX412)),""),IF(ISNUMBER('Quantification_Results'!AY412),IF(('Quantification_Results'!AY412&lt;'Quantification_Config'!$S$19),"",IF(('Quantification_Results'!AY412&gt;'Quantification_Config'!$T$19),"",'Quantification_Results'!AY412)),"")))</x:f>
        <x:v>5</x:v>
      </x:c>
      <x:c r="BA412" t="n">
        <x:f>IF(ISNUMBER('Quantification_Results'!AZ412),IFERROR(ROUND(((('Quantification_Results'!AZ412-'Quantification_Config'!$S$19)/('Quantification_Config'!$T$19-'Quantification_Config'!$S$19))*100),'Quantification_Config'!$U$2),""),"")</x:f>
        <x:v>50</x:v>
      </x:c>
      <x:c r="BB412" t="inlineStr">
        <x:is>
          <x:t xml:space="preserve">SYSTEM-TEST-ONLY-NO-NETWORK-NOT-AN-EDUCATIONAL-EVALUATION</x:t>
        </x:is>
      </x:c>
      <x:c r="BC412" t="inlineStr">
        <x:is>
          <x:t xml:space="preserve"/>
        </x:is>
      </x:c>
      <x:c r="BD412" t="inlineStr">
        <x:is>
          <x:t xml:space="preserve">NONE</x:t>
        </x:is>
      </x:c>
      <x:c r="BE412" t="inlineStr">
        <x:is>
          <x:t xml:space="preserve"/>
        </x:is>
      </x:c>
      <x:c r="BF412" t="inlineStr">
        <x:is>
          <x:t xml:space="preserve">SUCCESS</x:t>
        </x:is>
      </x:c>
      <x:c r="BG412" t="n">
        <x:f>IF((COUNT('Quantification_Results'!BA412)=1),IFERROR(ROUND((SUM(('Quantification_Results'!BA412*'Quantification_Config'!$R$19))/SUM('Quantification_Config'!$R$19)),'Quantification_Config'!$U$2),""),"")</x:f>
        <x:v>50</x:v>
      </x:c>
      <x:c r="BH412" t="n">
        <x:f>IF((COUNT('Quantification_Results'!BG412)=1),IFERROR(ROUND((SUM(('Quantification_Results'!BG412*'Quantification_Config'!$R$18))/SUM('Quantification_Config'!$R$18)),'Quantification_Config'!$U$2),""),"")</x:f>
        <x:v>50</x:v>
      </x:c>
      <x:c r="BI412">
        <x:f>IF((COUNT('Quantification_Results'!L412,'Quantification_Results'!X412,'Quantification_Results'!AJ412,'Quantification_Results'!AV412,'Quantification_Results'!BH412)=5),IFERROR(ROUND((SUM(('Quantification_Results'!L412*'Quantification_Config'!$R$4),('Quantification_Results'!X412*'Quantification_Config'!$R$7),('Quantification_Results'!AJ412*'Quantification_Config'!$R$10),('Quantification_Results'!AV412*'Quantification_Config'!$R$13),('Quantification_Results'!BH412*'Quantification_Config'!$R$16))/SUM('Quantification_Config'!$R$4,'Quantification_Config'!$R$7,'Quantification_Config'!$R$10,'Quantification_Config'!$R$13,'Quantification_Config'!$R$16)),'Quantification_Config'!$U$2),""),"")</x:f>
      </x:c>
    </x:row>
    <x:row r="413">
      <x:c r="A413" t="n">
        <x:v>1</x:v>
      </x:c>
      <x:c r="B413" t="n">
        <x:v>5</x:v>
      </x:c>
      <x:c r="C413"/>
      <x:c r="D413" t="n">
        <x:f>IF(('Quantification_Results'!A413&lt;&gt;1),"",IF(('Quantification_Results'!C413=""),IF(ISNUMBER('Quantification_Results'!B413),IF(('Quantification_Results'!B413&lt;'Quantification_Config'!$S$6),"",IF(('Quantification_Results'!B413&gt;'Quantification_Config'!$T$6),"",'Quantification_Results'!B413)),""),IF(ISNUMBER('Quantification_Results'!C413),IF(('Quantification_Results'!C413&lt;'Quantification_Config'!$S$6),"",IF(('Quantification_Results'!C413&gt;'Quantification_Config'!$T$6),"",'Quantification_Results'!C413)),"")))</x:f>
        <x:v>5</x:v>
      </x:c>
      <x:c r="E413" t="n">
        <x:f>IF(ISNUMBER('Quantification_Results'!D413),IFERROR(ROUND(((('Quantification_Results'!D413-'Quantification_Config'!$S$6)/('Quantification_Config'!$T$6-'Quantification_Config'!$S$6))*100),'Quantification_Config'!$U$2),""),"")</x:f>
        <x:v>50</x:v>
      </x:c>
      <x:c r="F413" t="inlineStr">
        <x:is>
          <x:t xml:space="preserve">SYSTEM-TEST-ONLY-NO-NETWORK-NOT-AN-EDUCATIONAL-EVALUATION</x:t>
        </x:is>
      </x:c>
      <x:c r="G413" t="inlineStr">
        <x:is>
          <x:t xml:space="preserve"/>
        </x:is>
      </x:c>
      <x:c r="H413" t="inlineStr">
        <x:is>
          <x:t xml:space="preserve">NONE</x:t>
        </x:is>
      </x:c>
      <x:c r="I413" t="inlineStr">
        <x:is>
          <x:t xml:space="preserve"/>
        </x:is>
      </x:c>
      <x:c r="J413" t="inlineStr">
        <x:is>
          <x:t xml:space="preserve">SUCCESS</x:t>
        </x:is>
      </x:c>
      <x:c r="K413" t="n">
        <x:f>IF((COUNT('Quantification_Results'!E413)=1),IFERROR(ROUND((SUM(('Quantification_Results'!E413*'Quantification_Config'!$R$6))/SUM('Quantification_Config'!$R$6)),'Quantification_Config'!$U$2),""),"")</x:f>
        <x:v>50</x:v>
      </x:c>
      <x:c r="L413" t="n">
        <x:f>IF((COUNT('Quantification_Results'!K413)=1),IFERROR(ROUND((SUM(('Quantification_Results'!K413*'Quantification_Config'!$R$5))/SUM('Quantification_Config'!$R$5)),'Quantification_Config'!$U$2),""),"")</x:f>
        <x:v>50</x:v>
      </x:c>
      <x:c r="M413" t="n">
        <x:v>1</x:v>
      </x:c>
      <x:c r="N413" t="n">
        <x:v>5</x:v>
      </x:c>
      <x:c r="O413"/>
      <x:c r="P413" t="n">
        <x:f>IF(('Quantification_Results'!M413&lt;&gt;1),"",IF(('Quantification_Results'!O413=""),IF(ISNUMBER('Quantification_Results'!N413),IF(('Quantification_Results'!N413&lt;'Quantification_Config'!$S$9),"",IF(('Quantification_Results'!N413&gt;'Quantification_Config'!$T$9),"",'Quantification_Results'!N413)),""),IF(ISNUMBER('Quantification_Results'!O413),IF(('Quantification_Results'!O413&lt;'Quantification_Config'!$S$9),"",IF(('Quantification_Results'!O413&gt;'Quantification_Config'!$T$9),"",'Quantification_Results'!O413)),"")))</x:f>
        <x:v>5</x:v>
      </x:c>
      <x:c r="Q413" t="n">
        <x:f>IF(ISNUMBER('Quantification_Results'!P413),IFERROR(ROUND(((('Quantification_Results'!P413-'Quantification_Config'!$S$9)/('Quantification_Config'!$T$9-'Quantification_Config'!$S$9))*100),'Quantification_Config'!$U$2),""),"")</x:f>
        <x:v>50</x:v>
      </x:c>
      <x:c r="R413" t="inlineStr">
        <x:is>
          <x:t xml:space="preserve">SYSTEM-TEST-ONLY-NO-NETWORK-NOT-AN-EDUCATIONAL-EVALUATION</x:t>
        </x:is>
      </x:c>
      <x:c r="S413" t="inlineStr">
        <x:is>
          <x:t xml:space="preserve"/>
        </x:is>
      </x:c>
      <x:c r="T413" t="inlineStr">
        <x:is>
          <x:t xml:space="preserve">NONE</x:t>
        </x:is>
      </x:c>
      <x:c r="U413" t="inlineStr">
        <x:is>
          <x:t xml:space="preserve"/>
        </x:is>
      </x:c>
      <x:c r="V413" t="inlineStr">
        <x:is>
          <x:t xml:space="preserve">SUCCESS</x:t>
        </x:is>
      </x:c>
      <x:c r="W413" t="n">
        <x:f>IF((COUNT('Quantification_Results'!Q413)=1),IFERROR(ROUND((SUM(('Quantification_Results'!Q413*'Quantification_Config'!$R$9))/SUM('Quantification_Config'!$R$9)),'Quantification_Config'!$U$2),""),"")</x:f>
        <x:v>50</x:v>
      </x:c>
      <x:c r="X413" t="n">
        <x:f>IF((COUNT('Quantification_Results'!W413)=1),IFERROR(ROUND((SUM(('Quantification_Results'!W413*'Quantification_Config'!$R$8))/SUM('Quantification_Config'!$R$8)),'Quantification_Config'!$U$2),""),"")</x:f>
        <x:v>50</x:v>
      </x:c>
      <x:c r="Y413" t="n">
        <x:v>0</x:v>
      </x:c>
      <x:c r="Z413"/>
      <x:c r="AA413"/>
      <x:c r="AB413">
        <x:f>IF(('Quantification_Results'!Y413&lt;&gt;1),"",IF(('Quantification_Results'!AA413=""),IF(ISNUMBER('Quantification_Results'!Z413),IF(('Quantification_Results'!Z413&lt;'Quantification_Config'!$S$12),"",IF(('Quantification_Results'!Z413&gt;'Quantification_Config'!$T$12),"",'Quantification_Results'!Z413)),""),IF(ISNUMBER('Quantification_Results'!AA413),IF(('Quantification_Results'!AA413&lt;'Quantification_Config'!$S$12),"",IF(('Quantification_Results'!AA413&gt;'Quantification_Config'!$T$12),"",'Quantification_Results'!AA413)),"")))</x:f>
      </x:c>
      <x:c r="AC413">
        <x:f>IF(ISNUMBER('Quantification_Results'!AB413),IFERROR(ROUND(((('Quantification_Results'!AB413-'Quantification_Config'!$S$12)/('Quantification_Config'!$T$12-'Quantification_Config'!$S$12))*100),'Quantification_Config'!$U$2),""),"")</x:f>
      </x:c>
      <x:c r="AD413" t="inlineStr">
        <x:is>
          <x:t xml:space="preserve"/>
        </x:is>
      </x:c>
      <x:c r="AE413" t="inlineStr">
        <x:is>
          <x:t xml:space="preserve"/>
        </x:is>
      </x:c>
      <x:c r="AF413" t="inlineStr">
        <x:is>
          <x:t xml:space="preserve"/>
        </x:is>
      </x:c>
      <x:c r="AG413" t="inlineStr">
        <x:is>
          <x:t xml:space="preserve"/>
        </x:is>
      </x:c>
      <x:c r="AH413" t="inlineStr">
        <x:is>
          <x:t xml:space="preserve">EMPTY</x:t>
        </x:is>
      </x:c>
      <x:c r="AI413">
        <x:f>IF((COUNT('Quantification_Results'!AC413)=1),IFERROR(ROUND((SUM(('Quantification_Results'!AC413*'Quantification_Config'!$R$12))/SUM('Quantification_Config'!$R$12)),'Quantification_Config'!$U$2),""),"")</x:f>
      </x:c>
      <x:c r="AJ413">
        <x:f>IF((COUNT('Quantification_Results'!AI413)=1),IFERROR(ROUND((SUM(('Quantification_Results'!AI413*'Quantification_Config'!$R$11))/SUM('Quantification_Config'!$R$11)),'Quantification_Config'!$U$2),""),"")</x:f>
      </x:c>
      <x:c r="AK413" t="n">
        <x:v>1</x:v>
      </x:c>
      <x:c r="AL413" t="n">
        <x:v>5</x:v>
      </x:c>
      <x:c r="AM413"/>
      <x:c r="AN413" t="n">
        <x:f>IF(('Quantification_Results'!AK413&lt;&gt;1),"",IF(('Quantification_Results'!AM413=""),IF(ISNUMBER('Quantification_Results'!AL413),IF(('Quantification_Results'!AL413&lt;'Quantification_Config'!$S$15),"",IF(('Quantification_Results'!AL413&gt;'Quantification_Config'!$T$15),"",'Quantification_Results'!AL413)),""),IF(ISNUMBER('Quantification_Results'!AM413),IF(('Quantification_Results'!AM413&lt;'Quantification_Config'!$S$15),"",IF(('Quantification_Results'!AM413&gt;'Quantification_Config'!$T$15),"",'Quantification_Results'!AM413)),"")))</x:f>
        <x:v>5</x:v>
      </x:c>
      <x:c r="AO413" t="n">
        <x:f>IF(ISNUMBER('Quantification_Results'!AN413),IFERROR(ROUND(((('Quantification_Results'!AN413-'Quantification_Config'!$S$15)/('Quantification_Config'!$T$15-'Quantification_Config'!$S$15))*100),'Quantification_Config'!$U$2),""),"")</x:f>
        <x:v>50</x:v>
      </x:c>
      <x:c r="AP413" t="inlineStr">
        <x:is>
          <x:t xml:space="preserve">SYSTEM-TEST-ONLY-NO-NETWORK-NOT-AN-EDUCATIONAL-EVALUATION</x:t>
        </x:is>
      </x:c>
      <x:c r="AQ413" t="inlineStr">
        <x:is>
          <x:t xml:space="preserve"/>
        </x:is>
      </x:c>
      <x:c r="AR413" t="inlineStr">
        <x:is>
          <x:t xml:space="preserve">NONE</x:t>
        </x:is>
      </x:c>
      <x:c r="AS413" t="inlineStr">
        <x:is>
          <x:t xml:space="preserve"/>
        </x:is>
      </x:c>
      <x:c r="AT413" t="inlineStr">
        <x:is>
          <x:t xml:space="preserve">SUCCESS</x:t>
        </x:is>
      </x:c>
      <x:c r="AU413" t="n">
        <x:f>IF((COUNT('Quantification_Results'!AO413)=1),IFERROR(ROUND((SUM(('Quantification_Results'!AO413*'Quantification_Config'!$R$15))/SUM('Quantification_Config'!$R$15)),'Quantification_Config'!$U$2),""),"")</x:f>
        <x:v>50</x:v>
      </x:c>
      <x:c r="AV413" t="n">
        <x:f>IF((COUNT('Quantification_Results'!AU413)=1),IFERROR(ROUND((SUM(('Quantification_Results'!AU413*'Quantification_Config'!$R$14))/SUM('Quantification_Config'!$R$14)),'Quantification_Config'!$U$2),""),"")</x:f>
        <x:v>50</x:v>
      </x:c>
      <x:c r="AW413" t="n">
        <x:v>1</x:v>
      </x:c>
      <x:c r="AX413" t="n">
        <x:v>5</x:v>
      </x:c>
      <x:c r="AY413"/>
      <x:c r="AZ413" t="n">
        <x:f>IF(('Quantification_Results'!AW413&lt;&gt;1),"",IF(('Quantification_Results'!AY413=""),IF(ISNUMBER('Quantification_Results'!AX413),IF(('Quantification_Results'!AX413&lt;'Quantification_Config'!$S$19),"",IF(('Quantification_Results'!AX413&gt;'Quantification_Config'!$T$19),"",'Quantification_Results'!AX413)),""),IF(ISNUMBER('Quantification_Results'!AY413),IF(('Quantification_Results'!AY413&lt;'Quantification_Config'!$S$19),"",IF(('Quantification_Results'!AY413&gt;'Quantification_Config'!$T$19),"",'Quantification_Results'!AY413)),"")))</x:f>
        <x:v>5</x:v>
      </x:c>
      <x:c r="BA413" t="n">
        <x:f>IF(ISNUMBER('Quantification_Results'!AZ413),IFERROR(ROUND(((('Quantification_Results'!AZ413-'Quantification_Config'!$S$19)/('Quantification_Config'!$T$19-'Quantification_Config'!$S$19))*100),'Quantification_Config'!$U$2),""),"")</x:f>
        <x:v>50</x:v>
      </x:c>
      <x:c r="BB413" t="inlineStr">
        <x:is>
          <x:t xml:space="preserve">SYSTEM-TEST-ONLY-NO-NETWORK-NOT-AN-EDUCATIONAL-EVALUATION</x:t>
        </x:is>
      </x:c>
      <x:c r="BC413" t="inlineStr">
        <x:is>
          <x:t xml:space="preserve"/>
        </x:is>
      </x:c>
      <x:c r="BD413" t="inlineStr">
        <x:is>
          <x:t xml:space="preserve">NONE</x:t>
        </x:is>
      </x:c>
      <x:c r="BE413" t="inlineStr">
        <x:is>
          <x:t xml:space="preserve"/>
        </x:is>
      </x:c>
      <x:c r="BF413" t="inlineStr">
        <x:is>
          <x:t xml:space="preserve">SUCCESS</x:t>
        </x:is>
      </x:c>
      <x:c r="BG413" t="n">
        <x:f>IF((COUNT('Quantification_Results'!BA413)=1),IFERROR(ROUND((SUM(('Quantification_Results'!BA413*'Quantification_Config'!$R$19))/SUM('Quantification_Config'!$R$19)),'Quantification_Config'!$U$2),""),"")</x:f>
        <x:v>50</x:v>
      </x:c>
      <x:c r="BH413" t="n">
        <x:f>IF((COUNT('Quantification_Results'!BG413)=1),IFERROR(ROUND((SUM(('Quantification_Results'!BG413*'Quantification_Config'!$R$18))/SUM('Quantification_Config'!$R$18)),'Quantification_Config'!$U$2),""),"")</x:f>
        <x:v>50</x:v>
      </x:c>
      <x:c r="BI413">
        <x:f>IF((COUNT('Quantification_Results'!L413,'Quantification_Results'!X413,'Quantification_Results'!AJ413,'Quantification_Results'!AV413,'Quantification_Results'!BH413)=5),IFERROR(ROUND((SUM(('Quantification_Results'!L413*'Quantification_Config'!$R$4),('Quantification_Results'!X413*'Quantification_Config'!$R$7),('Quantification_Results'!AJ413*'Quantification_Config'!$R$10),('Quantification_Results'!AV413*'Quantification_Config'!$R$13),('Quantification_Results'!BH413*'Quantification_Config'!$R$16))/SUM('Quantification_Config'!$R$4,'Quantification_Config'!$R$7,'Quantification_Config'!$R$10,'Quantification_Config'!$R$13,'Quantification_Config'!$R$16)),'Quantification_Config'!$U$2),""),"")</x:f>
      </x:c>
    </x:row>
    <x:row r="414">
      <x:c r="A414" t="n">
        <x:v>1</x:v>
      </x:c>
      <x:c r="B414" t="n">
        <x:v>5</x:v>
      </x:c>
      <x:c r="C414"/>
      <x:c r="D414" t="n">
        <x:f>IF(('Quantification_Results'!A414&lt;&gt;1),"",IF(('Quantification_Results'!C414=""),IF(ISNUMBER('Quantification_Results'!B414),IF(('Quantification_Results'!B414&lt;'Quantification_Config'!$S$6),"",IF(('Quantification_Results'!B414&gt;'Quantification_Config'!$T$6),"",'Quantification_Results'!B414)),""),IF(ISNUMBER('Quantification_Results'!C414),IF(('Quantification_Results'!C414&lt;'Quantification_Config'!$S$6),"",IF(('Quantification_Results'!C414&gt;'Quantification_Config'!$T$6),"",'Quantification_Results'!C414)),"")))</x:f>
        <x:v>5</x:v>
      </x:c>
      <x:c r="E414" t="n">
        <x:f>IF(ISNUMBER('Quantification_Results'!D414),IFERROR(ROUND(((('Quantification_Results'!D414-'Quantification_Config'!$S$6)/('Quantification_Config'!$T$6-'Quantification_Config'!$S$6))*100),'Quantification_Config'!$U$2),""),"")</x:f>
        <x:v>50</x:v>
      </x:c>
      <x:c r="F414" t="inlineStr">
        <x:is>
          <x:t xml:space="preserve">SYSTEM-TEST-ONLY-NO-NETWORK-NOT-AN-EDUCATIONAL-EVALUATION</x:t>
        </x:is>
      </x:c>
      <x:c r="G414" t="inlineStr">
        <x:is>
          <x:t xml:space="preserve"/>
        </x:is>
      </x:c>
      <x:c r="H414" t="inlineStr">
        <x:is>
          <x:t xml:space="preserve">NONE</x:t>
        </x:is>
      </x:c>
      <x:c r="I414" t="inlineStr">
        <x:is>
          <x:t xml:space="preserve"/>
        </x:is>
      </x:c>
      <x:c r="J414" t="inlineStr">
        <x:is>
          <x:t xml:space="preserve">SUCCESS</x:t>
        </x:is>
      </x:c>
      <x:c r="K414" t="n">
        <x:f>IF((COUNT('Quantification_Results'!E414)=1),IFERROR(ROUND((SUM(('Quantification_Results'!E414*'Quantification_Config'!$R$6))/SUM('Quantification_Config'!$R$6)),'Quantification_Config'!$U$2),""),"")</x:f>
        <x:v>50</x:v>
      </x:c>
      <x:c r="L414" t="n">
        <x:f>IF((COUNT('Quantification_Results'!K414)=1),IFERROR(ROUND((SUM(('Quantification_Results'!K414*'Quantification_Config'!$R$5))/SUM('Quantification_Config'!$R$5)),'Quantification_Config'!$U$2),""),"")</x:f>
        <x:v>50</x:v>
      </x:c>
      <x:c r="M414" t="n">
        <x:v>0</x:v>
      </x:c>
      <x:c r="N414"/>
      <x:c r="O414"/>
      <x:c r="P414">
        <x:f>IF(('Quantification_Results'!M414&lt;&gt;1),"",IF(('Quantification_Results'!O414=""),IF(ISNUMBER('Quantification_Results'!N414),IF(('Quantification_Results'!N414&lt;'Quantification_Config'!$S$9),"",IF(('Quantification_Results'!N414&gt;'Quantification_Config'!$T$9),"",'Quantification_Results'!N414)),""),IF(ISNUMBER('Quantification_Results'!O414),IF(('Quantification_Results'!O414&lt;'Quantification_Config'!$S$9),"",IF(('Quantification_Results'!O414&gt;'Quantification_Config'!$T$9),"",'Quantification_Results'!O414)),"")))</x:f>
      </x:c>
      <x:c r="Q414">
        <x:f>IF(ISNUMBER('Quantification_Results'!P414),IFERROR(ROUND(((('Quantification_Results'!P414-'Quantification_Config'!$S$9)/('Quantification_Config'!$T$9-'Quantification_Config'!$S$9))*100),'Quantification_Config'!$U$2),""),"")</x:f>
      </x:c>
      <x:c r="R414" t="inlineStr">
        <x:is>
          <x:t xml:space="preserve"/>
        </x:is>
      </x:c>
      <x:c r="S414" t="inlineStr">
        <x:is>
          <x:t xml:space="preserve"/>
        </x:is>
      </x:c>
      <x:c r="T414" t="inlineStr">
        <x:is>
          <x:t xml:space="preserve"/>
        </x:is>
      </x:c>
      <x:c r="U414" t="inlineStr">
        <x:is>
          <x:t xml:space="preserve"/>
        </x:is>
      </x:c>
      <x:c r="V414" t="inlineStr">
        <x:is>
          <x:t xml:space="preserve">EMPTY</x:t>
        </x:is>
      </x:c>
      <x:c r="W414">
        <x:f>IF((COUNT('Quantification_Results'!Q414)=1),IFERROR(ROUND((SUM(('Quantification_Results'!Q414*'Quantification_Config'!$R$9))/SUM('Quantification_Config'!$R$9)),'Quantification_Config'!$U$2),""),"")</x:f>
      </x:c>
      <x:c r="X414">
        <x:f>IF((COUNT('Quantification_Results'!W414)=1),IFERROR(ROUND((SUM(('Quantification_Results'!W414*'Quantification_Config'!$R$8))/SUM('Quantification_Config'!$R$8)),'Quantification_Config'!$U$2),""),"")</x:f>
      </x:c>
      <x:c r="Y414" t="n">
        <x:v>0</x:v>
      </x:c>
      <x:c r="Z414"/>
      <x:c r="AA414"/>
      <x:c r="AB414">
        <x:f>IF(('Quantification_Results'!Y414&lt;&gt;1),"",IF(('Quantification_Results'!AA414=""),IF(ISNUMBER('Quantification_Results'!Z414),IF(('Quantification_Results'!Z414&lt;'Quantification_Config'!$S$12),"",IF(('Quantification_Results'!Z414&gt;'Quantification_Config'!$T$12),"",'Quantification_Results'!Z414)),""),IF(ISNUMBER('Quantification_Results'!AA414),IF(('Quantification_Results'!AA414&lt;'Quantification_Config'!$S$12),"",IF(('Quantification_Results'!AA414&gt;'Quantification_Config'!$T$12),"",'Quantification_Results'!AA414)),"")))</x:f>
      </x:c>
      <x:c r="AC414">
        <x:f>IF(ISNUMBER('Quantification_Results'!AB414),IFERROR(ROUND(((('Quantification_Results'!AB414-'Quantification_Config'!$S$12)/('Quantification_Config'!$T$12-'Quantification_Config'!$S$12))*100),'Quantification_Config'!$U$2),""),"")</x:f>
      </x:c>
      <x:c r="AD414" t="inlineStr">
        <x:is>
          <x:t xml:space="preserve"/>
        </x:is>
      </x:c>
      <x:c r="AE414" t="inlineStr">
        <x:is>
          <x:t xml:space="preserve"/>
        </x:is>
      </x:c>
      <x:c r="AF414" t="inlineStr">
        <x:is>
          <x:t xml:space="preserve"/>
        </x:is>
      </x:c>
      <x:c r="AG414" t="inlineStr">
        <x:is>
          <x:t xml:space="preserve"/>
        </x:is>
      </x:c>
      <x:c r="AH414" t="inlineStr">
        <x:is>
          <x:t xml:space="preserve">EMPTY</x:t>
        </x:is>
      </x:c>
      <x:c r="AI414">
        <x:f>IF((COUNT('Quantification_Results'!AC414)=1),IFERROR(ROUND((SUM(('Quantification_Results'!AC414*'Quantification_Config'!$R$12))/SUM('Quantification_Config'!$R$12)),'Quantification_Config'!$U$2),""),"")</x:f>
      </x:c>
      <x:c r="AJ414">
        <x:f>IF((COUNT('Quantification_Results'!AI414)=1),IFERROR(ROUND((SUM(('Quantification_Results'!AI414*'Quantification_Config'!$R$11))/SUM('Quantification_Config'!$R$11)),'Quantification_Config'!$U$2),""),"")</x:f>
      </x:c>
      <x:c r="AK414" t="n">
        <x:v>1</x:v>
      </x:c>
      <x:c r="AL414" t="n">
        <x:v>5</x:v>
      </x:c>
      <x:c r="AM414"/>
      <x:c r="AN414" t="n">
        <x:f>IF(('Quantification_Results'!AK414&lt;&gt;1),"",IF(('Quantification_Results'!AM414=""),IF(ISNUMBER('Quantification_Results'!AL414),IF(('Quantification_Results'!AL414&lt;'Quantification_Config'!$S$15),"",IF(('Quantification_Results'!AL414&gt;'Quantification_Config'!$T$15),"",'Quantification_Results'!AL414)),""),IF(ISNUMBER('Quantification_Results'!AM414),IF(('Quantification_Results'!AM414&lt;'Quantification_Config'!$S$15),"",IF(('Quantification_Results'!AM414&gt;'Quantification_Config'!$T$15),"",'Quantification_Results'!AM414)),"")))</x:f>
        <x:v>5</x:v>
      </x:c>
      <x:c r="AO414" t="n">
        <x:f>IF(ISNUMBER('Quantification_Results'!AN414),IFERROR(ROUND(((('Quantification_Results'!AN414-'Quantification_Config'!$S$15)/('Quantification_Config'!$T$15-'Quantification_Config'!$S$15))*100),'Quantification_Config'!$U$2),""),"")</x:f>
        <x:v>50</x:v>
      </x:c>
      <x:c r="AP414" t="inlineStr">
        <x:is>
          <x:t xml:space="preserve">SYSTEM-TEST-ONLY-NO-NETWORK-NOT-AN-EDUCATIONAL-EVALUATION</x:t>
        </x:is>
      </x:c>
      <x:c r="AQ414" t="inlineStr">
        <x:is>
          <x:t xml:space="preserve"/>
        </x:is>
      </x:c>
      <x:c r="AR414" t="inlineStr">
        <x:is>
          <x:t xml:space="preserve">NONE</x:t>
        </x:is>
      </x:c>
      <x:c r="AS414" t="inlineStr">
        <x:is>
          <x:t xml:space="preserve"/>
        </x:is>
      </x:c>
      <x:c r="AT414" t="inlineStr">
        <x:is>
          <x:t xml:space="preserve">SUCCESS</x:t>
        </x:is>
      </x:c>
      <x:c r="AU414" t="n">
        <x:f>IF((COUNT('Quantification_Results'!AO414)=1),IFERROR(ROUND((SUM(('Quantification_Results'!AO414*'Quantification_Config'!$R$15))/SUM('Quantification_Config'!$R$15)),'Quantification_Config'!$U$2),""),"")</x:f>
        <x:v>50</x:v>
      </x:c>
      <x:c r="AV414" t="n">
        <x:f>IF((COUNT('Quantification_Results'!AU414)=1),IFERROR(ROUND((SUM(('Quantification_Results'!AU414*'Quantification_Config'!$R$14))/SUM('Quantification_Config'!$R$14)),'Quantification_Config'!$U$2),""),"")</x:f>
        <x:v>50</x:v>
      </x:c>
      <x:c r="AW414" t="n">
        <x:v>0</x:v>
      </x:c>
      <x:c r="AX414"/>
      <x:c r="AY414"/>
      <x:c r="AZ414">
        <x:f>IF(('Quantification_Results'!AW414&lt;&gt;1),"",IF(('Quantification_Results'!AY414=""),IF(ISNUMBER('Quantification_Results'!AX414),IF(('Quantification_Results'!AX414&lt;'Quantification_Config'!$S$19),"",IF(('Quantification_Results'!AX414&gt;'Quantification_Config'!$T$19),"",'Quantification_Results'!AX414)),""),IF(ISNUMBER('Quantification_Results'!AY414),IF(('Quantification_Results'!AY414&lt;'Quantification_Config'!$S$19),"",IF(('Quantification_Results'!AY414&gt;'Quantification_Config'!$T$19),"",'Quantification_Results'!AY414)),"")))</x:f>
      </x:c>
      <x:c r="BA414">
        <x:f>IF(ISNUMBER('Quantification_Results'!AZ414),IFERROR(ROUND(((('Quantification_Results'!AZ414-'Quantification_Config'!$S$19)/('Quantification_Config'!$T$19-'Quantification_Config'!$S$19))*100),'Quantification_Config'!$U$2),""),"")</x:f>
      </x:c>
      <x:c r="BB414" t="inlineStr">
        <x:is>
          <x:t xml:space="preserve"/>
        </x:is>
      </x:c>
      <x:c r="BC414" t="inlineStr">
        <x:is>
          <x:t xml:space="preserve"/>
        </x:is>
      </x:c>
      <x:c r="BD414" t="inlineStr">
        <x:is>
          <x:t xml:space="preserve"/>
        </x:is>
      </x:c>
      <x:c r="BE414" t="inlineStr">
        <x:is>
          <x:t xml:space="preserve"/>
        </x:is>
      </x:c>
      <x:c r="BF414" t="inlineStr">
        <x:is>
          <x:t xml:space="preserve">EMPTY</x:t>
        </x:is>
      </x:c>
      <x:c r="BG414">
        <x:f>IF((COUNT('Quantification_Results'!BA414)=1),IFERROR(ROUND((SUM(('Quantification_Results'!BA414*'Quantification_Config'!$R$19))/SUM('Quantification_Config'!$R$19)),'Quantification_Config'!$U$2),""),"")</x:f>
      </x:c>
      <x:c r="BH414">
        <x:f>IF((COUNT('Quantification_Results'!BG414)=1),IFERROR(ROUND((SUM(('Quantification_Results'!BG414*'Quantification_Config'!$R$18))/SUM('Quantification_Config'!$R$18)),'Quantification_Config'!$U$2),""),"")</x:f>
      </x:c>
      <x:c r="BI414">
        <x:f>IF((COUNT('Quantification_Results'!L414,'Quantification_Results'!X414,'Quantification_Results'!AJ414,'Quantification_Results'!AV414,'Quantification_Results'!BH414)=5),IFERROR(ROUND((SUM(('Quantification_Results'!L414*'Quantification_Config'!$R$4),('Quantification_Results'!X414*'Quantification_Config'!$R$7),('Quantification_Results'!AJ414*'Quantification_Config'!$R$10),('Quantification_Results'!AV414*'Quantification_Config'!$R$13),('Quantification_Results'!BH414*'Quantification_Config'!$R$16))/SUM('Quantification_Config'!$R$4,'Quantification_Config'!$R$7,'Quantification_Config'!$R$10,'Quantification_Config'!$R$13,'Quantification_Config'!$R$16)),'Quantification_Config'!$U$2),""),"")</x:f>
      </x:c>
    </x:row>
    <x:row r="415">
      <x:c r="A415" t="n">
        <x:v>1</x:v>
      </x:c>
      <x:c r="B415" t="n">
        <x:v>5</x:v>
      </x:c>
      <x:c r="C415"/>
      <x:c r="D415" t="n">
        <x:f>IF(('Quantification_Results'!A415&lt;&gt;1),"",IF(('Quantification_Results'!C415=""),IF(ISNUMBER('Quantification_Results'!B415),IF(('Quantification_Results'!B415&lt;'Quantification_Config'!$S$6),"",IF(('Quantification_Results'!B415&gt;'Quantification_Config'!$T$6),"",'Quantification_Results'!B415)),""),IF(ISNUMBER('Quantification_Results'!C415),IF(('Quantification_Results'!C415&lt;'Quantification_Config'!$S$6),"",IF(('Quantification_Results'!C415&gt;'Quantification_Config'!$T$6),"",'Quantification_Results'!C415)),"")))</x:f>
        <x:v>5</x:v>
      </x:c>
      <x:c r="E415" t="n">
        <x:f>IF(ISNUMBER('Quantification_Results'!D415),IFERROR(ROUND(((('Quantification_Results'!D415-'Quantification_Config'!$S$6)/('Quantification_Config'!$T$6-'Quantification_Config'!$S$6))*100),'Quantification_Config'!$U$2),""),"")</x:f>
        <x:v>50</x:v>
      </x:c>
      <x:c r="F415" t="inlineStr">
        <x:is>
          <x:t xml:space="preserve">SYSTEM-TEST-ONLY-NO-NETWORK-NOT-AN-EDUCATIONAL-EVALUATION</x:t>
        </x:is>
      </x:c>
      <x:c r="G415" t="inlineStr">
        <x:is>
          <x:t xml:space="preserve"/>
        </x:is>
      </x:c>
      <x:c r="H415" t="inlineStr">
        <x:is>
          <x:t xml:space="preserve">NONE</x:t>
        </x:is>
      </x:c>
      <x:c r="I415" t="inlineStr">
        <x:is>
          <x:t xml:space="preserve"/>
        </x:is>
      </x:c>
      <x:c r="J415" t="inlineStr">
        <x:is>
          <x:t xml:space="preserve">SUCCESS</x:t>
        </x:is>
      </x:c>
      <x:c r="K415" t="n">
        <x:f>IF((COUNT('Quantification_Results'!E415)=1),IFERROR(ROUND((SUM(('Quantification_Results'!E415*'Quantification_Config'!$R$6))/SUM('Quantification_Config'!$R$6)),'Quantification_Config'!$U$2),""),"")</x:f>
        <x:v>50</x:v>
      </x:c>
      <x:c r="L415" t="n">
        <x:f>IF((COUNT('Quantification_Results'!K415)=1),IFERROR(ROUND((SUM(('Quantification_Results'!K415*'Quantification_Config'!$R$5))/SUM('Quantification_Config'!$R$5)),'Quantification_Config'!$U$2),""),"")</x:f>
        <x:v>50</x:v>
      </x:c>
      <x:c r="M415" t="n">
        <x:v>1</x:v>
      </x:c>
      <x:c r="N415" t="n">
        <x:v>5</x:v>
      </x:c>
      <x:c r="O415"/>
      <x:c r="P415" t="n">
        <x:f>IF(('Quantification_Results'!M415&lt;&gt;1),"",IF(('Quantification_Results'!O415=""),IF(ISNUMBER('Quantification_Results'!N415),IF(('Quantification_Results'!N415&lt;'Quantification_Config'!$S$9),"",IF(('Quantification_Results'!N415&gt;'Quantification_Config'!$T$9),"",'Quantification_Results'!N415)),""),IF(ISNUMBER('Quantification_Results'!O415),IF(('Quantification_Results'!O415&lt;'Quantification_Config'!$S$9),"",IF(('Quantification_Results'!O415&gt;'Quantification_Config'!$T$9),"",'Quantification_Results'!O415)),"")))</x:f>
        <x:v>5</x:v>
      </x:c>
      <x:c r="Q415" t="n">
        <x:f>IF(ISNUMBER('Quantification_Results'!P415),IFERROR(ROUND(((('Quantification_Results'!P415-'Quantification_Config'!$S$9)/('Quantification_Config'!$T$9-'Quantification_Config'!$S$9))*100),'Quantification_Config'!$U$2),""),"")</x:f>
        <x:v>50</x:v>
      </x:c>
      <x:c r="R415" t="inlineStr">
        <x:is>
          <x:t xml:space="preserve">SYSTEM-TEST-ONLY-NO-NETWORK-NOT-AN-EDUCATIONAL-EVALUATION</x:t>
        </x:is>
      </x:c>
      <x:c r="S415" t="inlineStr">
        <x:is>
          <x:t xml:space="preserve"/>
        </x:is>
      </x:c>
      <x:c r="T415" t="inlineStr">
        <x:is>
          <x:t xml:space="preserve">NONE</x:t>
        </x:is>
      </x:c>
      <x:c r="U415" t="inlineStr">
        <x:is>
          <x:t xml:space="preserve"/>
        </x:is>
      </x:c>
      <x:c r="V415" t="inlineStr">
        <x:is>
          <x:t xml:space="preserve">SUCCESS</x:t>
        </x:is>
      </x:c>
      <x:c r="W415" t="n">
        <x:f>IF((COUNT('Quantification_Results'!Q415)=1),IFERROR(ROUND((SUM(('Quantification_Results'!Q415*'Quantification_Config'!$R$9))/SUM('Quantification_Config'!$R$9)),'Quantification_Config'!$U$2),""),"")</x:f>
        <x:v>50</x:v>
      </x:c>
      <x:c r="X415" t="n">
        <x:f>IF((COUNT('Quantification_Results'!W415)=1),IFERROR(ROUND((SUM(('Quantification_Results'!W415*'Quantification_Config'!$R$8))/SUM('Quantification_Config'!$R$8)),'Quantification_Config'!$U$2),""),"")</x:f>
        <x:v>50</x:v>
      </x:c>
      <x:c r="Y415" t="n">
        <x:v>1</x:v>
      </x:c>
      <x:c r="Z415" t="n">
        <x:v>5</x:v>
      </x:c>
      <x:c r="AA415"/>
      <x:c r="AB415" t="n">
        <x:f>IF(('Quantification_Results'!Y415&lt;&gt;1),"",IF(('Quantification_Results'!AA415=""),IF(ISNUMBER('Quantification_Results'!Z415),IF(('Quantification_Results'!Z415&lt;'Quantification_Config'!$S$12),"",IF(('Quantification_Results'!Z415&gt;'Quantification_Config'!$T$12),"",'Quantification_Results'!Z415)),""),IF(ISNUMBER('Quantification_Results'!AA415),IF(('Quantification_Results'!AA415&lt;'Quantification_Config'!$S$12),"",IF(('Quantification_Results'!AA415&gt;'Quantification_Config'!$T$12),"",'Quantification_Results'!AA415)),"")))</x:f>
        <x:v>5</x:v>
      </x:c>
      <x:c r="AC415" t="n">
        <x:f>IF(ISNUMBER('Quantification_Results'!AB415),IFERROR(ROUND(((('Quantification_Results'!AB415-'Quantification_Config'!$S$12)/('Quantification_Config'!$T$12-'Quantification_Config'!$S$12))*100),'Quantification_Config'!$U$2),""),"")</x:f>
        <x:v>50</x:v>
      </x:c>
      <x:c r="AD415" t="inlineStr">
        <x:is>
          <x:t xml:space="preserve">SYSTEM-TEST-ONLY-NO-NETWORK-NOT-AN-EDUCATIONAL-EVALUATION</x:t>
        </x:is>
      </x:c>
      <x:c r="AE415" t="inlineStr">
        <x:is>
          <x:t xml:space="preserve"/>
        </x:is>
      </x:c>
      <x:c r="AF415" t="inlineStr">
        <x:is>
          <x:t xml:space="preserve">NONE</x:t>
        </x:is>
      </x:c>
      <x:c r="AG415" t="inlineStr">
        <x:is>
          <x:t xml:space="preserve"/>
        </x:is>
      </x:c>
      <x:c r="AH415" t="inlineStr">
        <x:is>
          <x:t xml:space="preserve">SUCCESS</x:t>
        </x:is>
      </x:c>
      <x:c r="AI415" t="n">
        <x:f>IF((COUNT('Quantification_Results'!AC415)=1),IFERROR(ROUND((SUM(('Quantification_Results'!AC415*'Quantification_Config'!$R$12))/SUM('Quantification_Config'!$R$12)),'Quantification_Config'!$U$2),""),"")</x:f>
        <x:v>50</x:v>
      </x:c>
      <x:c r="AJ415" t="n">
        <x:f>IF((COUNT('Quantification_Results'!AI415)=1),IFERROR(ROUND((SUM(('Quantification_Results'!AI415*'Quantification_Config'!$R$11))/SUM('Quantification_Config'!$R$11)),'Quantification_Config'!$U$2),""),"")</x:f>
        <x:v>50</x:v>
      </x:c>
      <x:c r="AK415" t="n">
        <x:v>1</x:v>
      </x:c>
      <x:c r="AL415" t="n">
        <x:v>5</x:v>
      </x:c>
      <x:c r="AM415"/>
      <x:c r="AN415" t="n">
        <x:f>IF(('Quantification_Results'!AK415&lt;&gt;1),"",IF(('Quantification_Results'!AM415=""),IF(ISNUMBER('Quantification_Results'!AL415),IF(('Quantification_Results'!AL415&lt;'Quantification_Config'!$S$15),"",IF(('Quantification_Results'!AL415&gt;'Quantification_Config'!$T$15),"",'Quantification_Results'!AL415)),""),IF(ISNUMBER('Quantification_Results'!AM415),IF(('Quantification_Results'!AM415&lt;'Quantification_Config'!$S$15),"",IF(('Quantification_Results'!AM415&gt;'Quantification_Config'!$T$15),"",'Quantification_Results'!AM415)),"")))</x:f>
        <x:v>5</x:v>
      </x:c>
      <x:c r="AO415" t="n">
        <x:f>IF(ISNUMBER('Quantification_Results'!AN415),IFERROR(ROUND(((('Quantification_Results'!AN415-'Quantification_Config'!$S$15)/('Quantification_Config'!$T$15-'Quantification_Config'!$S$15))*100),'Quantification_Config'!$U$2),""),"")</x:f>
        <x:v>50</x:v>
      </x:c>
      <x:c r="AP415" t="inlineStr">
        <x:is>
          <x:t xml:space="preserve">SYSTEM-TEST-ONLY-NO-NETWORK-NOT-AN-EDUCATIONAL-EVALUATION</x:t>
        </x:is>
      </x:c>
      <x:c r="AQ415" t="inlineStr">
        <x:is>
          <x:t xml:space="preserve"/>
        </x:is>
      </x:c>
      <x:c r="AR415" t="inlineStr">
        <x:is>
          <x:t xml:space="preserve">NONE</x:t>
        </x:is>
      </x:c>
      <x:c r="AS415" t="inlineStr">
        <x:is>
          <x:t xml:space="preserve"/>
        </x:is>
      </x:c>
      <x:c r="AT415" t="inlineStr">
        <x:is>
          <x:t xml:space="preserve">SUCCESS</x:t>
        </x:is>
      </x:c>
      <x:c r="AU415" t="n">
        <x:f>IF((COUNT('Quantification_Results'!AO415)=1),IFERROR(ROUND((SUM(('Quantification_Results'!AO415*'Quantification_Config'!$R$15))/SUM('Quantification_Config'!$R$15)),'Quantification_Config'!$U$2),""),"")</x:f>
        <x:v>50</x:v>
      </x:c>
      <x:c r="AV415" t="n">
        <x:f>IF((COUNT('Quantification_Results'!AU415)=1),IFERROR(ROUND((SUM(('Quantification_Results'!AU415*'Quantification_Config'!$R$14))/SUM('Quantification_Config'!$R$14)),'Quantification_Config'!$U$2),""),"")</x:f>
        <x:v>50</x:v>
      </x:c>
      <x:c r="AW415" t="n">
        <x:v>1</x:v>
      </x:c>
      <x:c r="AX415" t="n">
        <x:v>5</x:v>
      </x:c>
      <x:c r="AY415"/>
      <x:c r="AZ415" t="n">
        <x:f>IF(('Quantification_Results'!AW415&lt;&gt;1),"",IF(('Quantification_Results'!AY415=""),IF(ISNUMBER('Quantification_Results'!AX415),IF(('Quantification_Results'!AX415&lt;'Quantification_Config'!$S$19),"",IF(('Quantification_Results'!AX415&gt;'Quantification_Config'!$T$19),"",'Quantification_Results'!AX415)),""),IF(ISNUMBER('Quantification_Results'!AY415),IF(('Quantification_Results'!AY415&lt;'Quantification_Config'!$S$19),"",IF(('Quantification_Results'!AY415&gt;'Quantification_Config'!$T$19),"",'Quantification_Results'!AY415)),"")))</x:f>
        <x:v>5</x:v>
      </x:c>
      <x:c r="BA415" t="n">
        <x:f>IF(ISNUMBER('Quantification_Results'!AZ415),IFERROR(ROUND(((('Quantification_Results'!AZ415-'Quantification_Config'!$S$19)/('Quantification_Config'!$T$19-'Quantification_Config'!$S$19))*100),'Quantification_Config'!$U$2),""),"")</x:f>
        <x:v>50</x:v>
      </x:c>
      <x:c r="BB415" t="inlineStr">
        <x:is>
          <x:t xml:space="preserve">SYSTEM-TEST-ONLY-NO-NETWORK-NOT-AN-EDUCATIONAL-EVALUATION</x:t>
        </x:is>
      </x:c>
      <x:c r="BC415" t="inlineStr">
        <x:is>
          <x:t xml:space="preserve"/>
        </x:is>
      </x:c>
      <x:c r="BD415" t="inlineStr">
        <x:is>
          <x:t xml:space="preserve">NONE</x:t>
        </x:is>
      </x:c>
      <x:c r="BE415" t="inlineStr">
        <x:is>
          <x:t xml:space="preserve"/>
        </x:is>
      </x:c>
      <x:c r="BF415" t="inlineStr">
        <x:is>
          <x:t xml:space="preserve">SUCCESS</x:t>
        </x:is>
      </x:c>
      <x:c r="BG415" t="n">
        <x:f>IF((COUNT('Quantification_Results'!BA415)=1),IFERROR(ROUND((SUM(('Quantification_Results'!BA415*'Quantification_Config'!$R$19))/SUM('Quantification_Config'!$R$19)),'Quantification_Config'!$U$2),""),"")</x:f>
        <x:v>50</x:v>
      </x:c>
      <x:c r="BH415" t="n">
        <x:f>IF((COUNT('Quantification_Results'!BG415)=1),IFERROR(ROUND((SUM(('Quantification_Results'!BG415*'Quantification_Config'!$R$18))/SUM('Quantification_Config'!$R$18)),'Quantification_Config'!$U$2),""),"")</x:f>
        <x:v>50</x:v>
      </x:c>
      <x:c r="BI415" t="n">
        <x:f>IF((COUNT('Quantification_Results'!L415,'Quantification_Results'!X415,'Quantification_Results'!AJ415,'Quantification_Results'!AV415,'Quantification_Results'!BH415)=5),IFERROR(ROUND((SUM(('Quantification_Results'!L415*'Quantification_Config'!$R$4),('Quantification_Results'!X415*'Quantification_Config'!$R$7),('Quantification_Results'!AJ415*'Quantification_Config'!$R$10),('Quantification_Results'!AV415*'Quantification_Config'!$R$13),('Quantification_Results'!BH415*'Quantification_Config'!$R$16))/SUM('Quantification_Config'!$R$4,'Quantification_Config'!$R$7,'Quantification_Config'!$R$10,'Quantification_Config'!$R$13,'Quantification_Config'!$R$16)),'Quantification_Config'!$U$2),""),"")</x:f>
        <x:v>50</x:v>
      </x:c>
    </x:row>
    <x:row r="416">
      <x:c r="A416" t="n">
        <x:v>1</x:v>
      </x:c>
      <x:c r="B416" t="n">
        <x:v>5</x:v>
      </x:c>
      <x:c r="C416"/>
      <x:c r="D416" t="n">
        <x:f>IF(('Quantification_Results'!A416&lt;&gt;1),"",IF(('Quantification_Results'!C416=""),IF(ISNUMBER('Quantification_Results'!B416),IF(('Quantification_Results'!B416&lt;'Quantification_Config'!$S$6),"",IF(('Quantification_Results'!B416&gt;'Quantification_Config'!$T$6),"",'Quantification_Results'!B416)),""),IF(ISNUMBER('Quantification_Results'!C416),IF(('Quantification_Results'!C416&lt;'Quantification_Config'!$S$6),"",IF(('Quantification_Results'!C416&gt;'Quantification_Config'!$T$6),"",'Quantification_Results'!C416)),"")))</x:f>
        <x:v>5</x:v>
      </x:c>
      <x:c r="E416" t="n">
        <x:f>IF(ISNUMBER('Quantification_Results'!D416),IFERROR(ROUND(((('Quantification_Results'!D416-'Quantification_Config'!$S$6)/('Quantification_Config'!$T$6-'Quantification_Config'!$S$6))*100),'Quantification_Config'!$U$2),""),"")</x:f>
        <x:v>50</x:v>
      </x:c>
      <x:c r="F416" t="inlineStr">
        <x:is>
          <x:t xml:space="preserve">SYSTEM-TEST-ONLY-NO-NETWORK-NOT-AN-EDUCATIONAL-EVALUATION</x:t>
        </x:is>
      </x:c>
      <x:c r="G416" t="inlineStr">
        <x:is>
          <x:t xml:space="preserve"/>
        </x:is>
      </x:c>
      <x:c r="H416" t="inlineStr">
        <x:is>
          <x:t xml:space="preserve">NONE</x:t>
        </x:is>
      </x:c>
      <x:c r="I416" t="inlineStr">
        <x:is>
          <x:t xml:space="preserve"/>
        </x:is>
      </x:c>
      <x:c r="J416" t="inlineStr">
        <x:is>
          <x:t xml:space="preserve">SUCCESS</x:t>
        </x:is>
      </x:c>
      <x:c r="K416" t="n">
        <x:f>IF((COUNT('Quantification_Results'!E416)=1),IFERROR(ROUND((SUM(('Quantification_Results'!E416*'Quantification_Config'!$R$6))/SUM('Quantification_Config'!$R$6)),'Quantification_Config'!$U$2),""),"")</x:f>
        <x:v>50</x:v>
      </x:c>
      <x:c r="L416" t="n">
        <x:f>IF((COUNT('Quantification_Results'!K416)=1),IFERROR(ROUND((SUM(('Quantification_Results'!K416*'Quantification_Config'!$R$5))/SUM('Quantification_Config'!$R$5)),'Quantification_Config'!$U$2),""),"")</x:f>
        <x:v>50</x:v>
      </x:c>
      <x:c r="M416" t="n">
        <x:v>1</x:v>
      </x:c>
      <x:c r="N416" t="n">
        <x:v>5</x:v>
      </x:c>
      <x:c r="O416"/>
      <x:c r="P416" t="n">
        <x:f>IF(('Quantification_Results'!M416&lt;&gt;1),"",IF(('Quantification_Results'!O416=""),IF(ISNUMBER('Quantification_Results'!N416),IF(('Quantification_Results'!N416&lt;'Quantification_Config'!$S$9),"",IF(('Quantification_Results'!N416&gt;'Quantification_Config'!$T$9),"",'Quantification_Results'!N416)),""),IF(ISNUMBER('Quantification_Results'!O416),IF(('Quantification_Results'!O416&lt;'Quantification_Config'!$S$9),"",IF(('Quantification_Results'!O416&gt;'Quantification_Config'!$T$9),"",'Quantification_Results'!O416)),"")))</x:f>
        <x:v>5</x:v>
      </x:c>
      <x:c r="Q416" t="n">
        <x:f>IF(ISNUMBER('Quantification_Results'!P416),IFERROR(ROUND(((('Quantification_Results'!P416-'Quantification_Config'!$S$9)/('Quantification_Config'!$T$9-'Quantification_Config'!$S$9))*100),'Quantification_Config'!$U$2),""),"")</x:f>
        <x:v>50</x:v>
      </x:c>
      <x:c r="R416" t="inlineStr">
        <x:is>
          <x:t xml:space="preserve">SYSTEM-TEST-ONLY-NO-NETWORK-NOT-AN-EDUCATIONAL-EVALUATION</x:t>
        </x:is>
      </x:c>
      <x:c r="S416" t="inlineStr">
        <x:is>
          <x:t xml:space="preserve"/>
        </x:is>
      </x:c>
      <x:c r="T416" t="inlineStr">
        <x:is>
          <x:t xml:space="preserve">NONE</x:t>
        </x:is>
      </x:c>
      <x:c r="U416" t="inlineStr">
        <x:is>
          <x:t xml:space="preserve"/>
        </x:is>
      </x:c>
      <x:c r="V416" t="inlineStr">
        <x:is>
          <x:t xml:space="preserve">SUCCESS</x:t>
        </x:is>
      </x:c>
      <x:c r="W416" t="n">
        <x:f>IF((COUNT('Quantification_Results'!Q416)=1),IFERROR(ROUND((SUM(('Quantification_Results'!Q416*'Quantification_Config'!$R$9))/SUM('Quantification_Config'!$R$9)),'Quantification_Config'!$U$2),""),"")</x:f>
        <x:v>50</x:v>
      </x:c>
      <x:c r="X416" t="n">
        <x:f>IF((COUNT('Quantification_Results'!W416)=1),IFERROR(ROUND((SUM(('Quantification_Results'!W416*'Quantification_Config'!$R$8))/SUM('Quantification_Config'!$R$8)),'Quantification_Config'!$U$2),""),"")</x:f>
        <x:v>50</x:v>
      </x:c>
      <x:c r="Y416" t="n">
        <x:v>0</x:v>
      </x:c>
      <x:c r="Z416"/>
      <x:c r="AA416"/>
      <x:c r="AB416">
        <x:f>IF(('Quantification_Results'!Y416&lt;&gt;1),"",IF(('Quantification_Results'!AA416=""),IF(ISNUMBER('Quantification_Results'!Z416),IF(('Quantification_Results'!Z416&lt;'Quantification_Config'!$S$12),"",IF(('Quantification_Results'!Z416&gt;'Quantification_Config'!$T$12),"",'Quantification_Results'!Z416)),""),IF(ISNUMBER('Quantification_Results'!AA416),IF(('Quantification_Results'!AA416&lt;'Quantification_Config'!$S$12),"",IF(('Quantification_Results'!AA416&gt;'Quantification_Config'!$T$12),"",'Quantification_Results'!AA416)),"")))</x:f>
      </x:c>
      <x:c r="AC416">
        <x:f>IF(ISNUMBER('Quantification_Results'!AB416),IFERROR(ROUND(((('Quantification_Results'!AB416-'Quantification_Config'!$S$12)/('Quantification_Config'!$T$12-'Quantification_Config'!$S$12))*100),'Quantification_Config'!$U$2),""),"")</x:f>
      </x:c>
      <x:c r="AD416" t="inlineStr">
        <x:is>
          <x:t xml:space="preserve"/>
        </x:is>
      </x:c>
      <x:c r="AE416" t="inlineStr">
        <x:is>
          <x:t xml:space="preserve"/>
        </x:is>
      </x:c>
      <x:c r="AF416" t="inlineStr">
        <x:is>
          <x:t xml:space="preserve"/>
        </x:is>
      </x:c>
      <x:c r="AG416" t="inlineStr">
        <x:is>
          <x:t xml:space="preserve"/>
        </x:is>
      </x:c>
      <x:c r="AH416" t="inlineStr">
        <x:is>
          <x:t xml:space="preserve">EMPTY</x:t>
        </x:is>
      </x:c>
      <x:c r="AI416">
        <x:f>IF((COUNT('Quantification_Results'!AC416)=1),IFERROR(ROUND((SUM(('Quantification_Results'!AC416*'Quantification_Config'!$R$12))/SUM('Quantification_Config'!$R$12)),'Quantification_Config'!$U$2),""),"")</x:f>
      </x:c>
      <x:c r="AJ416">
        <x:f>IF((COUNT('Quantification_Results'!AI416)=1),IFERROR(ROUND((SUM(('Quantification_Results'!AI416*'Quantification_Config'!$R$11))/SUM('Quantification_Config'!$R$11)),'Quantification_Config'!$U$2),""),"")</x:f>
      </x:c>
      <x:c r="AK416" t="n">
        <x:v>1</x:v>
      </x:c>
      <x:c r="AL416" t="n">
        <x:v>5</x:v>
      </x:c>
      <x:c r="AM416"/>
      <x:c r="AN416" t="n">
        <x:f>IF(('Quantification_Results'!AK416&lt;&gt;1),"",IF(('Quantification_Results'!AM416=""),IF(ISNUMBER('Quantification_Results'!AL416),IF(('Quantification_Results'!AL416&lt;'Quantification_Config'!$S$15),"",IF(('Quantification_Results'!AL416&gt;'Quantification_Config'!$T$15),"",'Quantification_Results'!AL416)),""),IF(ISNUMBER('Quantification_Results'!AM416),IF(('Quantification_Results'!AM416&lt;'Quantification_Config'!$S$15),"",IF(('Quantification_Results'!AM416&gt;'Quantification_Config'!$T$15),"",'Quantification_Results'!AM416)),"")))</x:f>
        <x:v>5</x:v>
      </x:c>
      <x:c r="AO416" t="n">
        <x:f>IF(ISNUMBER('Quantification_Results'!AN416),IFERROR(ROUND(((('Quantification_Results'!AN416-'Quantification_Config'!$S$15)/('Quantification_Config'!$T$15-'Quantification_Config'!$S$15))*100),'Quantification_Config'!$U$2),""),"")</x:f>
        <x:v>50</x:v>
      </x:c>
      <x:c r="AP416" t="inlineStr">
        <x:is>
          <x:t xml:space="preserve">SYSTEM-TEST-ONLY-NO-NETWORK-NOT-AN-EDUCATIONAL-EVALUATION</x:t>
        </x:is>
      </x:c>
      <x:c r="AQ416" t="inlineStr">
        <x:is>
          <x:t xml:space="preserve"/>
        </x:is>
      </x:c>
      <x:c r="AR416" t="inlineStr">
        <x:is>
          <x:t xml:space="preserve">NONE</x:t>
        </x:is>
      </x:c>
      <x:c r="AS416" t="inlineStr">
        <x:is>
          <x:t xml:space="preserve"/>
        </x:is>
      </x:c>
      <x:c r="AT416" t="inlineStr">
        <x:is>
          <x:t xml:space="preserve">SUCCESS</x:t>
        </x:is>
      </x:c>
      <x:c r="AU416" t="n">
        <x:f>IF((COUNT('Quantification_Results'!AO416)=1),IFERROR(ROUND((SUM(('Quantification_Results'!AO416*'Quantification_Config'!$R$15))/SUM('Quantification_Config'!$R$15)),'Quantification_Config'!$U$2),""),"")</x:f>
        <x:v>50</x:v>
      </x:c>
      <x:c r="AV416" t="n">
        <x:f>IF((COUNT('Quantification_Results'!AU416)=1),IFERROR(ROUND((SUM(('Quantification_Results'!AU416*'Quantification_Config'!$R$14))/SUM('Quantification_Config'!$R$14)),'Quantification_Config'!$U$2),""),"")</x:f>
        <x:v>50</x:v>
      </x:c>
      <x:c r="AW416" t="n">
        <x:v>1</x:v>
      </x:c>
      <x:c r="AX416" t="n">
        <x:v>5</x:v>
      </x:c>
      <x:c r="AY416"/>
      <x:c r="AZ416" t="n">
        <x:f>IF(('Quantification_Results'!AW416&lt;&gt;1),"",IF(('Quantification_Results'!AY416=""),IF(ISNUMBER('Quantification_Results'!AX416),IF(('Quantification_Results'!AX416&lt;'Quantification_Config'!$S$19),"",IF(('Quantification_Results'!AX416&gt;'Quantification_Config'!$T$19),"",'Quantification_Results'!AX416)),""),IF(ISNUMBER('Quantification_Results'!AY416),IF(('Quantification_Results'!AY416&lt;'Quantification_Config'!$S$19),"",IF(('Quantification_Results'!AY416&gt;'Quantification_Config'!$T$19),"",'Quantification_Results'!AY416)),"")))</x:f>
        <x:v>5</x:v>
      </x:c>
      <x:c r="BA416" t="n">
        <x:f>IF(ISNUMBER('Quantification_Results'!AZ416),IFERROR(ROUND(((('Quantification_Results'!AZ416-'Quantification_Config'!$S$19)/('Quantification_Config'!$T$19-'Quantification_Config'!$S$19))*100),'Quantification_Config'!$U$2),""),"")</x:f>
        <x:v>50</x:v>
      </x:c>
      <x:c r="BB416" t="inlineStr">
        <x:is>
          <x:t xml:space="preserve">SYSTEM-TEST-ONLY-NO-NETWORK-NOT-AN-EDUCATIONAL-EVALUATION</x:t>
        </x:is>
      </x:c>
      <x:c r="BC416" t="inlineStr">
        <x:is>
          <x:t xml:space="preserve"/>
        </x:is>
      </x:c>
      <x:c r="BD416" t="inlineStr">
        <x:is>
          <x:t xml:space="preserve">NONE</x:t>
        </x:is>
      </x:c>
      <x:c r="BE416" t="inlineStr">
        <x:is>
          <x:t xml:space="preserve"/>
        </x:is>
      </x:c>
      <x:c r="BF416" t="inlineStr">
        <x:is>
          <x:t xml:space="preserve">SUCCESS</x:t>
        </x:is>
      </x:c>
      <x:c r="BG416" t="n">
        <x:f>IF((COUNT('Quantification_Results'!BA416)=1),IFERROR(ROUND((SUM(('Quantification_Results'!BA416*'Quantification_Config'!$R$19))/SUM('Quantification_Config'!$R$19)),'Quantification_Config'!$U$2),""),"")</x:f>
        <x:v>50</x:v>
      </x:c>
      <x:c r="BH416" t="n">
        <x:f>IF((COUNT('Quantification_Results'!BG416)=1),IFERROR(ROUND((SUM(('Quantification_Results'!BG416*'Quantification_Config'!$R$18))/SUM('Quantification_Config'!$R$18)),'Quantification_Config'!$U$2),""),"")</x:f>
        <x:v>50</x:v>
      </x:c>
      <x:c r="BI416">
        <x:f>IF((COUNT('Quantification_Results'!L416,'Quantification_Results'!X416,'Quantification_Results'!AJ416,'Quantification_Results'!AV416,'Quantification_Results'!BH416)=5),IFERROR(ROUND((SUM(('Quantification_Results'!L416*'Quantification_Config'!$R$4),('Quantification_Results'!X416*'Quantification_Config'!$R$7),('Quantification_Results'!AJ416*'Quantification_Config'!$R$10),('Quantification_Results'!AV416*'Quantification_Config'!$R$13),('Quantification_Results'!BH416*'Quantification_Config'!$R$16))/SUM('Quantification_Config'!$R$4,'Quantification_Config'!$R$7,'Quantification_Config'!$R$10,'Quantification_Config'!$R$13,'Quantification_Config'!$R$16)),'Quantification_Config'!$U$2),""),"")</x:f>
      </x:c>
    </x:row>
    <x:row r="417">
      <x:c r="A417" t="n">
        <x:v>1</x:v>
      </x:c>
      <x:c r="B417" t="n">
        <x:v>5</x:v>
      </x:c>
      <x:c r="C417"/>
      <x:c r="D417" t="n">
        <x:f>IF(('Quantification_Results'!A417&lt;&gt;1),"",IF(('Quantification_Results'!C417=""),IF(ISNUMBER('Quantification_Results'!B417),IF(('Quantification_Results'!B417&lt;'Quantification_Config'!$S$6),"",IF(('Quantification_Results'!B417&gt;'Quantification_Config'!$T$6),"",'Quantification_Results'!B417)),""),IF(ISNUMBER('Quantification_Results'!C417),IF(('Quantification_Results'!C417&lt;'Quantification_Config'!$S$6),"",IF(('Quantification_Results'!C417&gt;'Quantification_Config'!$T$6),"",'Quantification_Results'!C417)),"")))</x:f>
        <x:v>5</x:v>
      </x:c>
      <x:c r="E417" t="n">
        <x:f>IF(ISNUMBER('Quantification_Results'!D417),IFERROR(ROUND(((('Quantification_Results'!D417-'Quantification_Config'!$S$6)/('Quantification_Config'!$T$6-'Quantification_Config'!$S$6))*100),'Quantification_Config'!$U$2),""),"")</x:f>
        <x:v>50</x:v>
      </x:c>
      <x:c r="F417" t="inlineStr">
        <x:is>
          <x:t xml:space="preserve">SYSTEM-TEST-ONLY-NO-NETWORK-NOT-AN-EDUCATIONAL-EVALUATION</x:t>
        </x:is>
      </x:c>
      <x:c r="G417" t="inlineStr">
        <x:is>
          <x:t xml:space="preserve"/>
        </x:is>
      </x:c>
      <x:c r="H417" t="inlineStr">
        <x:is>
          <x:t xml:space="preserve">NONE</x:t>
        </x:is>
      </x:c>
      <x:c r="I417" t="inlineStr">
        <x:is>
          <x:t xml:space="preserve"/>
        </x:is>
      </x:c>
      <x:c r="J417" t="inlineStr">
        <x:is>
          <x:t xml:space="preserve">SUCCESS</x:t>
        </x:is>
      </x:c>
      <x:c r="K417" t="n">
        <x:f>IF((COUNT('Quantification_Results'!E417)=1),IFERROR(ROUND((SUM(('Quantification_Results'!E417*'Quantification_Config'!$R$6))/SUM('Quantification_Config'!$R$6)),'Quantification_Config'!$U$2),""),"")</x:f>
        <x:v>50</x:v>
      </x:c>
      <x:c r="L417" t="n">
        <x:f>IF((COUNT('Quantification_Results'!K417)=1),IFERROR(ROUND((SUM(('Quantification_Results'!K417*'Quantification_Config'!$R$5))/SUM('Quantification_Config'!$R$5)),'Quantification_Config'!$U$2),""),"")</x:f>
        <x:v>50</x:v>
      </x:c>
      <x:c r="M417" t="n">
        <x:v>0</x:v>
      </x:c>
      <x:c r="N417"/>
      <x:c r="O417"/>
      <x:c r="P417">
        <x:f>IF(('Quantification_Results'!M417&lt;&gt;1),"",IF(('Quantification_Results'!O417=""),IF(ISNUMBER('Quantification_Results'!N417),IF(('Quantification_Results'!N417&lt;'Quantification_Config'!$S$9),"",IF(('Quantification_Results'!N417&gt;'Quantification_Config'!$T$9),"",'Quantification_Results'!N417)),""),IF(ISNUMBER('Quantification_Results'!O417),IF(('Quantification_Results'!O417&lt;'Quantification_Config'!$S$9),"",IF(('Quantification_Results'!O417&gt;'Quantification_Config'!$T$9),"",'Quantification_Results'!O417)),"")))</x:f>
      </x:c>
      <x:c r="Q417">
        <x:f>IF(ISNUMBER('Quantification_Results'!P417),IFERROR(ROUND(((('Quantification_Results'!P417-'Quantification_Config'!$S$9)/('Quantification_Config'!$T$9-'Quantification_Config'!$S$9))*100),'Quantification_Config'!$U$2),""),"")</x:f>
      </x:c>
      <x:c r="R417" t="inlineStr">
        <x:is>
          <x:t xml:space="preserve"/>
        </x:is>
      </x:c>
      <x:c r="S417" t="inlineStr">
        <x:is>
          <x:t xml:space="preserve"/>
        </x:is>
      </x:c>
      <x:c r="T417" t="inlineStr">
        <x:is>
          <x:t xml:space="preserve"/>
        </x:is>
      </x:c>
      <x:c r="U417" t="inlineStr">
        <x:is>
          <x:t xml:space="preserve"/>
        </x:is>
      </x:c>
      <x:c r="V417" t="inlineStr">
        <x:is>
          <x:t xml:space="preserve">EMPTY</x:t>
        </x:is>
      </x:c>
      <x:c r="W417">
        <x:f>IF((COUNT('Quantification_Results'!Q417)=1),IFERROR(ROUND((SUM(('Quantification_Results'!Q417*'Quantification_Config'!$R$9))/SUM('Quantification_Config'!$R$9)),'Quantification_Config'!$U$2),""),"")</x:f>
      </x:c>
      <x:c r="X417">
        <x:f>IF((COUNT('Quantification_Results'!W417)=1),IFERROR(ROUND((SUM(('Quantification_Results'!W417*'Quantification_Config'!$R$8))/SUM('Quantification_Config'!$R$8)),'Quantification_Config'!$U$2),""),"")</x:f>
      </x:c>
      <x:c r="Y417" t="n">
        <x:v>0</x:v>
      </x:c>
      <x:c r="Z417"/>
      <x:c r="AA417"/>
      <x:c r="AB417">
        <x:f>IF(('Quantification_Results'!Y417&lt;&gt;1),"",IF(('Quantification_Results'!AA417=""),IF(ISNUMBER('Quantification_Results'!Z417),IF(('Quantification_Results'!Z417&lt;'Quantification_Config'!$S$12),"",IF(('Quantification_Results'!Z417&gt;'Quantification_Config'!$T$12),"",'Quantification_Results'!Z417)),""),IF(ISNUMBER('Quantification_Results'!AA417),IF(('Quantification_Results'!AA417&lt;'Quantification_Config'!$S$12),"",IF(('Quantification_Results'!AA417&gt;'Quantification_Config'!$T$12),"",'Quantification_Results'!AA417)),"")))</x:f>
      </x:c>
      <x:c r="AC417">
        <x:f>IF(ISNUMBER('Quantification_Results'!AB417),IFERROR(ROUND(((('Quantification_Results'!AB417-'Quantification_Config'!$S$12)/('Quantification_Config'!$T$12-'Quantification_Config'!$S$12))*100),'Quantification_Config'!$U$2),""),"")</x:f>
      </x:c>
      <x:c r="AD417" t="inlineStr">
        <x:is>
          <x:t xml:space="preserve"/>
        </x:is>
      </x:c>
      <x:c r="AE417" t="inlineStr">
        <x:is>
          <x:t xml:space="preserve"/>
        </x:is>
      </x:c>
      <x:c r="AF417" t="inlineStr">
        <x:is>
          <x:t xml:space="preserve"/>
        </x:is>
      </x:c>
      <x:c r="AG417" t="inlineStr">
        <x:is>
          <x:t xml:space="preserve"/>
        </x:is>
      </x:c>
      <x:c r="AH417" t="inlineStr">
        <x:is>
          <x:t xml:space="preserve">EMPTY</x:t>
        </x:is>
      </x:c>
      <x:c r="AI417">
        <x:f>IF((COUNT('Quantification_Results'!AC417)=1),IFERROR(ROUND((SUM(('Quantification_Results'!AC417*'Quantification_Config'!$R$12))/SUM('Quantification_Config'!$R$12)),'Quantification_Config'!$U$2),""),"")</x:f>
      </x:c>
      <x:c r="AJ417">
        <x:f>IF((COUNT('Quantification_Results'!AI417)=1),IFERROR(ROUND((SUM(('Quantification_Results'!AI417*'Quantification_Config'!$R$11))/SUM('Quantification_Config'!$R$11)),'Quantification_Config'!$U$2),""),"")</x:f>
      </x:c>
      <x:c r="AK417" t="n">
        <x:v>1</x:v>
      </x:c>
      <x:c r="AL417" t="n">
        <x:v>5</x:v>
      </x:c>
      <x:c r="AM417"/>
      <x:c r="AN417" t="n">
        <x:f>IF(('Quantification_Results'!AK417&lt;&gt;1),"",IF(('Quantification_Results'!AM417=""),IF(ISNUMBER('Quantification_Results'!AL417),IF(('Quantification_Results'!AL417&lt;'Quantification_Config'!$S$15),"",IF(('Quantification_Results'!AL417&gt;'Quantification_Config'!$T$15),"",'Quantification_Results'!AL417)),""),IF(ISNUMBER('Quantification_Results'!AM417),IF(('Quantification_Results'!AM417&lt;'Quantification_Config'!$S$15),"",IF(('Quantification_Results'!AM417&gt;'Quantification_Config'!$T$15),"",'Quantification_Results'!AM417)),"")))</x:f>
        <x:v>5</x:v>
      </x:c>
      <x:c r="AO417" t="n">
        <x:f>IF(ISNUMBER('Quantification_Results'!AN417),IFERROR(ROUND(((('Quantification_Results'!AN417-'Quantification_Config'!$S$15)/('Quantification_Config'!$T$15-'Quantification_Config'!$S$15))*100),'Quantification_Config'!$U$2),""),"")</x:f>
        <x:v>50</x:v>
      </x:c>
      <x:c r="AP417" t="inlineStr">
        <x:is>
          <x:t xml:space="preserve">SYSTEM-TEST-ONLY-NO-NETWORK-NOT-AN-EDUCATIONAL-EVALUATION</x:t>
        </x:is>
      </x:c>
      <x:c r="AQ417" t="inlineStr">
        <x:is>
          <x:t xml:space="preserve"/>
        </x:is>
      </x:c>
      <x:c r="AR417" t="inlineStr">
        <x:is>
          <x:t xml:space="preserve">NONE</x:t>
        </x:is>
      </x:c>
      <x:c r="AS417" t="inlineStr">
        <x:is>
          <x:t xml:space="preserve"/>
        </x:is>
      </x:c>
      <x:c r="AT417" t="inlineStr">
        <x:is>
          <x:t xml:space="preserve">SUCCESS</x:t>
        </x:is>
      </x:c>
      <x:c r="AU417" t="n">
        <x:f>IF((COUNT('Quantification_Results'!AO417)=1),IFERROR(ROUND((SUM(('Quantification_Results'!AO417*'Quantification_Config'!$R$15))/SUM('Quantification_Config'!$R$15)),'Quantification_Config'!$U$2),""),"")</x:f>
        <x:v>50</x:v>
      </x:c>
      <x:c r="AV417" t="n">
        <x:f>IF((COUNT('Quantification_Results'!AU417)=1),IFERROR(ROUND((SUM(('Quantification_Results'!AU417*'Quantification_Config'!$R$14))/SUM('Quantification_Config'!$R$14)),'Quantification_Config'!$U$2),""),"")</x:f>
        <x:v>50</x:v>
      </x:c>
      <x:c r="AW417" t="n">
        <x:v>0</x:v>
      </x:c>
      <x:c r="AX417"/>
      <x:c r="AY417"/>
      <x:c r="AZ417">
        <x:f>IF(('Quantification_Results'!AW417&lt;&gt;1),"",IF(('Quantification_Results'!AY417=""),IF(ISNUMBER('Quantification_Results'!AX417),IF(('Quantification_Results'!AX417&lt;'Quantification_Config'!$S$19),"",IF(('Quantification_Results'!AX417&gt;'Quantification_Config'!$T$19),"",'Quantification_Results'!AX417)),""),IF(ISNUMBER('Quantification_Results'!AY417),IF(('Quantification_Results'!AY417&lt;'Quantification_Config'!$S$19),"",IF(('Quantification_Results'!AY417&gt;'Quantification_Config'!$T$19),"",'Quantification_Results'!AY417)),"")))</x:f>
      </x:c>
      <x:c r="BA417">
        <x:f>IF(ISNUMBER('Quantification_Results'!AZ417),IFERROR(ROUND(((('Quantification_Results'!AZ417-'Quantification_Config'!$S$19)/('Quantification_Config'!$T$19-'Quantification_Config'!$S$19))*100),'Quantification_Config'!$U$2),""),"")</x:f>
      </x:c>
      <x:c r="BB417" t="inlineStr">
        <x:is>
          <x:t xml:space="preserve"/>
        </x:is>
      </x:c>
      <x:c r="BC417" t="inlineStr">
        <x:is>
          <x:t xml:space="preserve"/>
        </x:is>
      </x:c>
      <x:c r="BD417" t="inlineStr">
        <x:is>
          <x:t xml:space="preserve"/>
        </x:is>
      </x:c>
      <x:c r="BE417" t="inlineStr">
        <x:is>
          <x:t xml:space="preserve"/>
        </x:is>
      </x:c>
      <x:c r="BF417" t="inlineStr">
        <x:is>
          <x:t xml:space="preserve">EMPTY</x:t>
        </x:is>
      </x:c>
      <x:c r="BG417">
        <x:f>IF((COUNT('Quantification_Results'!BA417)=1),IFERROR(ROUND((SUM(('Quantification_Results'!BA417*'Quantification_Config'!$R$19))/SUM('Quantification_Config'!$R$19)),'Quantification_Config'!$U$2),""),"")</x:f>
      </x:c>
      <x:c r="BH417">
        <x:f>IF((COUNT('Quantification_Results'!BG417)=1),IFERROR(ROUND((SUM(('Quantification_Results'!BG417*'Quantification_Config'!$R$18))/SUM('Quantification_Config'!$R$18)),'Quantification_Config'!$U$2),""),"")</x:f>
      </x:c>
      <x:c r="BI417">
        <x:f>IF((COUNT('Quantification_Results'!L417,'Quantification_Results'!X417,'Quantification_Results'!AJ417,'Quantification_Results'!AV417,'Quantification_Results'!BH417)=5),IFERROR(ROUND((SUM(('Quantification_Results'!L417*'Quantification_Config'!$R$4),('Quantification_Results'!X417*'Quantification_Config'!$R$7),('Quantification_Results'!AJ417*'Quantification_Config'!$R$10),('Quantification_Results'!AV417*'Quantification_Config'!$R$13),('Quantification_Results'!BH417*'Quantification_Config'!$R$16))/SUM('Quantification_Config'!$R$4,'Quantification_Config'!$R$7,'Quantification_Config'!$R$10,'Quantification_Config'!$R$13,'Quantification_Config'!$R$16)),'Quantification_Config'!$U$2),""),"")</x:f>
      </x:c>
    </x:row>
    <x:row r="418">
      <x:c r="A418" t="n">
        <x:v>1</x:v>
      </x:c>
      <x:c r="B418" t="n">
        <x:v>5</x:v>
      </x:c>
      <x:c r="C418"/>
      <x:c r="D418" t="n">
        <x:f>IF(('Quantification_Results'!A418&lt;&gt;1),"",IF(('Quantification_Results'!C418=""),IF(ISNUMBER('Quantification_Results'!B418),IF(('Quantification_Results'!B418&lt;'Quantification_Config'!$S$6),"",IF(('Quantification_Results'!B418&gt;'Quantification_Config'!$T$6),"",'Quantification_Results'!B418)),""),IF(ISNUMBER('Quantification_Results'!C418),IF(('Quantification_Results'!C418&lt;'Quantification_Config'!$S$6),"",IF(('Quantification_Results'!C418&gt;'Quantification_Config'!$T$6),"",'Quantification_Results'!C418)),"")))</x:f>
        <x:v>5</x:v>
      </x:c>
      <x:c r="E418" t="n">
        <x:f>IF(ISNUMBER('Quantification_Results'!D418),IFERROR(ROUND(((('Quantification_Results'!D418-'Quantification_Config'!$S$6)/('Quantification_Config'!$T$6-'Quantification_Config'!$S$6))*100),'Quantification_Config'!$U$2),""),"")</x:f>
        <x:v>50</x:v>
      </x:c>
      <x:c r="F418" t="inlineStr">
        <x:is>
          <x:t xml:space="preserve">SYSTEM-TEST-ONLY-NO-NETWORK-NOT-AN-EDUCATIONAL-EVALUATION</x:t>
        </x:is>
      </x:c>
      <x:c r="G418" t="inlineStr">
        <x:is>
          <x:t xml:space="preserve"/>
        </x:is>
      </x:c>
      <x:c r="H418" t="inlineStr">
        <x:is>
          <x:t xml:space="preserve">NONE</x:t>
        </x:is>
      </x:c>
      <x:c r="I418" t="inlineStr">
        <x:is>
          <x:t xml:space="preserve"/>
        </x:is>
      </x:c>
      <x:c r="J418" t="inlineStr">
        <x:is>
          <x:t xml:space="preserve">SUCCESS</x:t>
        </x:is>
      </x:c>
      <x:c r="K418" t="n">
        <x:f>IF((COUNT('Quantification_Results'!E418)=1),IFERROR(ROUND((SUM(('Quantification_Results'!E418*'Quantification_Config'!$R$6))/SUM('Quantification_Config'!$R$6)),'Quantification_Config'!$U$2),""),"")</x:f>
        <x:v>50</x:v>
      </x:c>
      <x:c r="L418" t="n">
        <x:f>IF((COUNT('Quantification_Results'!K418)=1),IFERROR(ROUND((SUM(('Quantification_Results'!K418*'Quantification_Config'!$R$5))/SUM('Quantification_Config'!$R$5)),'Quantification_Config'!$U$2),""),"")</x:f>
        <x:v>50</x:v>
      </x:c>
      <x:c r="M418" t="n">
        <x:v>1</x:v>
      </x:c>
      <x:c r="N418" t="n">
        <x:v>5</x:v>
      </x:c>
      <x:c r="O418"/>
      <x:c r="P418" t="n">
        <x:f>IF(('Quantification_Results'!M418&lt;&gt;1),"",IF(('Quantification_Results'!O418=""),IF(ISNUMBER('Quantification_Results'!N418),IF(('Quantification_Results'!N418&lt;'Quantification_Config'!$S$9),"",IF(('Quantification_Results'!N418&gt;'Quantification_Config'!$T$9),"",'Quantification_Results'!N418)),""),IF(ISNUMBER('Quantification_Results'!O418),IF(('Quantification_Results'!O418&lt;'Quantification_Config'!$S$9),"",IF(('Quantification_Results'!O418&gt;'Quantification_Config'!$T$9),"",'Quantification_Results'!O418)),"")))</x:f>
        <x:v>5</x:v>
      </x:c>
      <x:c r="Q418" t="n">
        <x:f>IF(ISNUMBER('Quantification_Results'!P418),IFERROR(ROUND(((('Quantification_Results'!P418-'Quantification_Config'!$S$9)/('Quantification_Config'!$T$9-'Quantification_Config'!$S$9))*100),'Quantification_Config'!$U$2),""),"")</x:f>
        <x:v>50</x:v>
      </x:c>
      <x:c r="R418" t="inlineStr">
        <x:is>
          <x:t xml:space="preserve">SYSTEM-TEST-ONLY-NO-NETWORK-NOT-AN-EDUCATIONAL-EVALUATION</x:t>
        </x:is>
      </x:c>
      <x:c r="S418" t="inlineStr">
        <x:is>
          <x:t xml:space="preserve"/>
        </x:is>
      </x:c>
      <x:c r="T418" t="inlineStr">
        <x:is>
          <x:t xml:space="preserve">NONE</x:t>
        </x:is>
      </x:c>
      <x:c r="U418" t="inlineStr">
        <x:is>
          <x:t xml:space="preserve"/>
        </x:is>
      </x:c>
      <x:c r="V418" t="inlineStr">
        <x:is>
          <x:t xml:space="preserve">SUCCESS</x:t>
        </x:is>
      </x:c>
      <x:c r="W418" t="n">
        <x:f>IF((COUNT('Quantification_Results'!Q418)=1),IFERROR(ROUND((SUM(('Quantification_Results'!Q418*'Quantification_Config'!$R$9))/SUM('Quantification_Config'!$R$9)),'Quantification_Config'!$U$2),""),"")</x:f>
        <x:v>50</x:v>
      </x:c>
      <x:c r="X418" t="n">
        <x:f>IF((COUNT('Quantification_Results'!W418)=1),IFERROR(ROUND((SUM(('Quantification_Results'!W418*'Quantification_Config'!$R$8))/SUM('Quantification_Config'!$R$8)),'Quantification_Config'!$U$2),""),"")</x:f>
        <x:v>50</x:v>
      </x:c>
      <x:c r="Y418" t="n">
        <x:v>1</x:v>
      </x:c>
      <x:c r="Z418" t="n">
        <x:v>5</x:v>
      </x:c>
      <x:c r="AA418"/>
      <x:c r="AB418" t="n">
        <x:f>IF(('Quantification_Results'!Y418&lt;&gt;1),"",IF(('Quantification_Results'!AA418=""),IF(ISNUMBER('Quantification_Results'!Z418),IF(('Quantification_Results'!Z418&lt;'Quantification_Config'!$S$12),"",IF(('Quantification_Results'!Z418&gt;'Quantification_Config'!$T$12),"",'Quantification_Results'!Z418)),""),IF(ISNUMBER('Quantification_Results'!AA418),IF(('Quantification_Results'!AA418&lt;'Quantification_Config'!$S$12),"",IF(('Quantification_Results'!AA418&gt;'Quantification_Config'!$T$12),"",'Quantification_Results'!AA418)),"")))</x:f>
        <x:v>5</x:v>
      </x:c>
      <x:c r="AC418" t="n">
        <x:f>IF(ISNUMBER('Quantification_Results'!AB418),IFERROR(ROUND(((('Quantification_Results'!AB418-'Quantification_Config'!$S$12)/('Quantification_Config'!$T$12-'Quantification_Config'!$S$12))*100),'Quantification_Config'!$U$2),""),"")</x:f>
        <x:v>50</x:v>
      </x:c>
      <x:c r="AD418" t="inlineStr">
        <x:is>
          <x:t xml:space="preserve">SYSTEM-TEST-ONLY-NO-NETWORK-NOT-AN-EDUCATIONAL-EVALUATION</x:t>
        </x:is>
      </x:c>
      <x:c r="AE418" t="inlineStr">
        <x:is>
          <x:t xml:space="preserve"/>
        </x:is>
      </x:c>
      <x:c r="AF418" t="inlineStr">
        <x:is>
          <x:t xml:space="preserve">NONE</x:t>
        </x:is>
      </x:c>
      <x:c r="AG418" t="inlineStr">
        <x:is>
          <x:t xml:space="preserve"/>
        </x:is>
      </x:c>
      <x:c r="AH418" t="inlineStr">
        <x:is>
          <x:t xml:space="preserve">SUCCESS</x:t>
        </x:is>
      </x:c>
      <x:c r="AI418" t="n">
        <x:f>IF((COUNT('Quantification_Results'!AC418)=1),IFERROR(ROUND((SUM(('Quantification_Results'!AC418*'Quantification_Config'!$R$12))/SUM('Quantification_Config'!$R$12)),'Quantification_Config'!$U$2),""),"")</x:f>
        <x:v>50</x:v>
      </x:c>
      <x:c r="AJ418" t="n">
        <x:f>IF((COUNT('Quantification_Results'!AI418)=1),IFERROR(ROUND((SUM(('Quantification_Results'!AI418*'Quantification_Config'!$R$11))/SUM('Quantification_Config'!$R$11)),'Quantification_Config'!$U$2),""),"")</x:f>
        <x:v>50</x:v>
      </x:c>
      <x:c r="AK418" t="n">
        <x:v>1</x:v>
      </x:c>
      <x:c r="AL418" t="n">
        <x:v>5</x:v>
      </x:c>
      <x:c r="AM418"/>
      <x:c r="AN418" t="n">
        <x:f>IF(('Quantification_Results'!AK418&lt;&gt;1),"",IF(('Quantification_Results'!AM418=""),IF(ISNUMBER('Quantification_Results'!AL418),IF(('Quantification_Results'!AL418&lt;'Quantification_Config'!$S$15),"",IF(('Quantification_Results'!AL418&gt;'Quantification_Config'!$T$15),"",'Quantification_Results'!AL418)),""),IF(ISNUMBER('Quantification_Results'!AM418),IF(('Quantification_Results'!AM418&lt;'Quantification_Config'!$S$15),"",IF(('Quantification_Results'!AM418&gt;'Quantification_Config'!$T$15),"",'Quantification_Results'!AM418)),"")))</x:f>
        <x:v>5</x:v>
      </x:c>
      <x:c r="AO418" t="n">
        <x:f>IF(ISNUMBER('Quantification_Results'!AN418),IFERROR(ROUND(((('Quantification_Results'!AN418-'Quantification_Config'!$S$15)/('Quantification_Config'!$T$15-'Quantification_Config'!$S$15))*100),'Quantification_Config'!$U$2),""),"")</x:f>
        <x:v>50</x:v>
      </x:c>
      <x:c r="AP418" t="inlineStr">
        <x:is>
          <x:t xml:space="preserve">SYSTEM-TEST-ONLY-NO-NETWORK-NOT-AN-EDUCATIONAL-EVALUATION</x:t>
        </x:is>
      </x:c>
      <x:c r="AQ418" t="inlineStr">
        <x:is>
          <x:t xml:space="preserve"/>
        </x:is>
      </x:c>
      <x:c r="AR418" t="inlineStr">
        <x:is>
          <x:t xml:space="preserve">NONE</x:t>
        </x:is>
      </x:c>
      <x:c r="AS418" t="inlineStr">
        <x:is>
          <x:t xml:space="preserve"/>
        </x:is>
      </x:c>
      <x:c r="AT418" t="inlineStr">
        <x:is>
          <x:t xml:space="preserve">SUCCESS</x:t>
        </x:is>
      </x:c>
      <x:c r="AU418" t="n">
        <x:f>IF((COUNT('Quantification_Results'!AO418)=1),IFERROR(ROUND((SUM(('Quantification_Results'!AO418*'Quantification_Config'!$R$15))/SUM('Quantification_Config'!$R$15)),'Quantification_Config'!$U$2),""),"")</x:f>
        <x:v>50</x:v>
      </x:c>
      <x:c r="AV418" t="n">
        <x:f>IF((COUNT('Quantification_Results'!AU418)=1),IFERROR(ROUND((SUM(('Quantification_Results'!AU418*'Quantification_Config'!$R$14))/SUM('Quantification_Config'!$R$14)),'Quantification_Config'!$U$2),""),"")</x:f>
        <x:v>50</x:v>
      </x:c>
      <x:c r="AW418" t="n">
        <x:v>1</x:v>
      </x:c>
      <x:c r="AX418" t="n">
        <x:v>5</x:v>
      </x:c>
      <x:c r="AY418"/>
      <x:c r="AZ418" t="n">
        <x:f>IF(('Quantification_Results'!AW418&lt;&gt;1),"",IF(('Quantification_Results'!AY418=""),IF(ISNUMBER('Quantification_Results'!AX418),IF(('Quantification_Results'!AX418&lt;'Quantification_Config'!$S$19),"",IF(('Quantification_Results'!AX418&gt;'Quantification_Config'!$T$19),"",'Quantification_Results'!AX418)),""),IF(ISNUMBER('Quantification_Results'!AY418),IF(('Quantification_Results'!AY418&lt;'Quantification_Config'!$S$19),"",IF(('Quantification_Results'!AY418&gt;'Quantification_Config'!$T$19),"",'Quantification_Results'!AY418)),"")))</x:f>
        <x:v>5</x:v>
      </x:c>
      <x:c r="BA418" t="n">
        <x:f>IF(ISNUMBER('Quantification_Results'!AZ418),IFERROR(ROUND(((('Quantification_Results'!AZ418-'Quantification_Config'!$S$19)/('Quantification_Config'!$T$19-'Quantification_Config'!$S$19))*100),'Quantification_Config'!$U$2),""),"")</x:f>
        <x:v>50</x:v>
      </x:c>
      <x:c r="BB418" t="inlineStr">
        <x:is>
          <x:t xml:space="preserve">SYSTEM-TEST-ONLY-NO-NETWORK-NOT-AN-EDUCATIONAL-EVALUATION</x:t>
        </x:is>
      </x:c>
      <x:c r="BC418" t="inlineStr">
        <x:is>
          <x:t xml:space="preserve"/>
        </x:is>
      </x:c>
      <x:c r="BD418" t="inlineStr">
        <x:is>
          <x:t xml:space="preserve">NONE</x:t>
        </x:is>
      </x:c>
      <x:c r="BE418" t="inlineStr">
        <x:is>
          <x:t xml:space="preserve"/>
        </x:is>
      </x:c>
      <x:c r="BF418" t="inlineStr">
        <x:is>
          <x:t xml:space="preserve">SUCCESS</x:t>
        </x:is>
      </x:c>
      <x:c r="BG418" t="n">
        <x:f>IF((COUNT('Quantification_Results'!BA418)=1),IFERROR(ROUND((SUM(('Quantification_Results'!BA418*'Quantification_Config'!$R$19))/SUM('Quantification_Config'!$R$19)),'Quantification_Config'!$U$2),""),"")</x:f>
        <x:v>50</x:v>
      </x:c>
      <x:c r="BH418" t="n">
        <x:f>IF((COUNT('Quantification_Results'!BG418)=1),IFERROR(ROUND((SUM(('Quantification_Results'!BG418*'Quantification_Config'!$R$18))/SUM('Quantification_Config'!$R$18)),'Quantification_Config'!$U$2),""),"")</x:f>
        <x:v>50</x:v>
      </x:c>
      <x:c r="BI418" t="n">
        <x:f>IF((COUNT('Quantification_Results'!L418,'Quantification_Results'!X418,'Quantification_Results'!AJ418,'Quantification_Results'!AV418,'Quantification_Results'!BH418)=5),IFERROR(ROUND((SUM(('Quantification_Results'!L418*'Quantification_Config'!$R$4),('Quantification_Results'!X418*'Quantification_Config'!$R$7),('Quantification_Results'!AJ418*'Quantification_Config'!$R$10),('Quantification_Results'!AV418*'Quantification_Config'!$R$13),('Quantification_Results'!BH418*'Quantification_Config'!$R$16))/SUM('Quantification_Config'!$R$4,'Quantification_Config'!$R$7,'Quantification_Config'!$R$10,'Quantification_Config'!$R$13,'Quantification_Config'!$R$16)),'Quantification_Config'!$U$2),""),"")</x:f>
        <x:v>50</x:v>
      </x:c>
    </x:row>
    <x:row r="419">
      <x:c r="A419" t="n">
        <x:v>1</x:v>
      </x:c>
      <x:c r="B419" t="n">
        <x:v>5</x:v>
      </x:c>
      <x:c r="C419"/>
      <x:c r="D419" t="n">
        <x:f>IF(('Quantification_Results'!A419&lt;&gt;1),"",IF(('Quantification_Results'!C419=""),IF(ISNUMBER('Quantification_Results'!B419),IF(('Quantification_Results'!B419&lt;'Quantification_Config'!$S$6),"",IF(('Quantification_Results'!B419&gt;'Quantification_Config'!$T$6),"",'Quantification_Results'!B419)),""),IF(ISNUMBER('Quantification_Results'!C419),IF(('Quantification_Results'!C419&lt;'Quantification_Config'!$S$6),"",IF(('Quantification_Results'!C419&gt;'Quantification_Config'!$T$6),"",'Quantification_Results'!C419)),"")))</x:f>
        <x:v>5</x:v>
      </x:c>
      <x:c r="E419" t="n">
        <x:f>IF(ISNUMBER('Quantification_Results'!D419),IFERROR(ROUND(((('Quantification_Results'!D419-'Quantification_Config'!$S$6)/('Quantification_Config'!$T$6-'Quantification_Config'!$S$6))*100),'Quantification_Config'!$U$2),""),"")</x:f>
        <x:v>50</x:v>
      </x:c>
      <x:c r="F419" t="inlineStr">
        <x:is>
          <x:t xml:space="preserve">SYSTEM-TEST-ONLY-NO-NETWORK-NOT-AN-EDUCATIONAL-EVALUATION</x:t>
        </x:is>
      </x:c>
      <x:c r="G419" t="inlineStr">
        <x:is>
          <x:t xml:space="preserve"/>
        </x:is>
      </x:c>
      <x:c r="H419" t="inlineStr">
        <x:is>
          <x:t xml:space="preserve">NONE</x:t>
        </x:is>
      </x:c>
      <x:c r="I419" t="inlineStr">
        <x:is>
          <x:t xml:space="preserve"/>
        </x:is>
      </x:c>
      <x:c r="J419" t="inlineStr">
        <x:is>
          <x:t xml:space="preserve">SUCCESS</x:t>
        </x:is>
      </x:c>
      <x:c r="K419" t="n">
        <x:f>IF((COUNT('Quantification_Results'!E419)=1),IFERROR(ROUND((SUM(('Quantification_Results'!E419*'Quantification_Config'!$R$6))/SUM('Quantification_Config'!$R$6)),'Quantification_Config'!$U$2),""),"")</x:f>
        <x:v>50</x:v>
      </x:c>
      <x:c r="L419" t="n">
        <x:f>IF((COUNT('Quantification_Results'!K419)=1),IFERROR(ROUND((SUM(('Quantification_Results'!K419*'Quantification_Config'!$R$5))/SUM('Quantification_Config'!$R$5)),'Quantification_Config'!$U$2),""),"")</x:f>
        <x:v>50</x:v>
      </x:c>
      <x:c r="M419" t="n">
        <x:v>1</x:v>
      </x:c>
      <x:c r="N419" t="n">
        <x:v>5</x:v>
      </x:c>
      <x:c r="O419"/>
      <x:c r="P419" t="n">
        <x:f>IF(('Quantification_Results'!M419&lt;&gt;1),"",IF(('Quantification_Results'!O419=""),IF(ISNUMBER('Quantification_Results'!N419),IF(('Quantification_Results'!N419&lt;'Quantification_Config'!$S$9),"",IF(('Quantification_Results'!N419&gt;'Quantification_Config'!$T$9),"",'Quantification_Results'!N419)),""),IF(ISNUMBER('Quantification_Results'!O419),IF(('Quantification_Results'!O419&lt;'Quantification_Config'!$S$9),"",IF(('Quantification_Results'!O419&gt;'Quantification_Config'!$T$9),"",'Quantification_Results'!O419)),"")))</x:f>
        <x:v>5</x:v>
      </x:c>
      <x:c r="Q419" t="n">
        <x:f>IF(ISNUMBER('Quantification_Results'!P419),IFERROR(ROUND(((('Quantification_Results'!P419-'Quantification_Config'!$S$9)/('Quantification_Config'!$T$9-'Quantification_Config'!$S$9))*100),'Quantification_Config'!$U$2),""),"")</x:f>
        <x:v>50</x:v>
      </x:c>
      <x:c r="R419" t="inlineStr">
        <x:is>
          <x:t xml:space="preserve">SYSTEM-TEST-ONLY-NO-NETWORK-NOT-AN-EDUCATIONAL-EVALUATION</x:t>
        </x:is>
      </x:c>
      <x:c r="S419" t="inlineStr">
        <x:is>
          <x:t xml:space="preserve"/>
        </x:is>
      </x:c>
      <x:c r="T419" t="inlineStr">
        <x:is>
          <x:t xml:space="preserve">NONE</x:t>
        </x:is>
      </x:c>
      <x:c r="U419" t="inlineStr">
        <x:is>
          <x:t xml:space="preserve"/>
        </x:is>
      </x:c>
      <x:c r="V419" t="inlineStr">
        <x:is>
          <x:t xml:space="preserve">SUCCESS</x:t>
        </x:is>
      </x:c>
      <x:c r="W419" t="n">
        <x:f>IF((COUNT('Quantification_Results'!Q419)=1),IFERROR(ROUND((SUM(('Quantification_Results'!Q419*'Quantification_Config'!$R$9))/SUM('Quantification_Config'!$R$9)),'Quantification_Config'!$U$2),""),"")</x:f>
        <x:v>50</x:v>
      </x:c>
      <x:c r="X419" t="n">
        <x:f>IF((COUNT('Quantification_Results'!W419)=1),IFERROR(ROUND((SUM(('Quantification_Results'!W419*'Quantification_Config'!$R$8))/SUM('Quantification_Config'!$R$8)),'Quantification_Config'!$U$2),""),"")</x:f>
        <x:v>50</x:v>
      </x:c>
      <x:c r="Y419" t="n">
        <x:v>0</x:v>
      </x:c>
      <x:c r="Z419"/>
      <x:c r="AA419"/>
      <x:c r="AB419">
        <x:f>IF(('Quantification_Results'!Y419&lt;&gt;1),"",IF(('Quantification_Results'!AA419=""),IF(ISNUMBER('Quantification_Results'!Z419),IF(('Quantification_Results'!Z419&lt;'Quantification_Config'!$S$12),"",IF(('Quantification_Results'!Z419&gt;'Quantification_Config'!$T$12),"",'Quantification_Results'!Z419)),""),IF(ISNUMBER('Quantification_Results'!AA419),IF(('Quantification_Results'!AA419&lt;'Quantification_Config'!$S$12),"",IF(('Quantification_Results'!AA419&gt;'Quantification_Config'!$T$12),"",'Quantification_Results'!AA419)),"")))</x:f>
      </x:c>
      <x:c r="AC419">
        <x:f>IF(ISNUMBER('Quantification_Results'!AB419),IFERROR(ROUND(((('Quantification_Results'!AB419-'Quantification_Config'!$S$12)/('Quantification_Config'!$T$12-'Quantification_Config'!$S$12))*100),'Quantification_Config'!$U$2),""),"")</x:f>
      </x:c>
      <x:c r="AD419" t="inlineStr">
        <x:is>
          <x:t xml:space="preserve"/>
        </x:is>
      </x:c>
      <x:c r="AE419" t="inlineStr">
        <x:is>
          <x:t xml:space="preserve"/>
        </x:is>
      </x:c>
      <x:c r="AF419" t="inlineStr">
        <x:is>
          <x:t xml:space="preserve"/>
        </x:is>
      </x:c>
      <x:c r="AG419" t="inlineStr">
        <x:is>
          <x:t xml:space="preserve"/>
        </x:is>
      </x:c>
      <x:c r="AH419" t="inlineStr">
        <x:is>
          <x:t xml:space="preserve">EMPTY</x:t>
        </x:is>
      </x:c>
      <x:c r="AI419">
        <x:f>IF((COUNT('Quantification_Results'!AC419)=1),IFERROR(ROUND((SUM(('Quantification_Results'!AC419*'Quantification_Config'!$R$12))/SUM('Quantification_Config'!$R$12)),'Quantification_Config'!$U$2),""),"")</x:f>
      </x:c>
      <x:c r="AJ419">
        <x:f>IF((COUNT('Quantification_Results'!AI419)=1),IFERROR(ROUND((SUM(('Quantification_Results'!AI419*'Quantification_Config'!$R$11))/SUM('Quantification_Config'!$R$11)),'Quantification_Config'!$U$2),""),"")</x:f>
      </x:c>
      <x:c r="AK419" t="n">
        <x:v>1</x:v>
      </x:c>
      <x:c r="AL419" t="n">
        <x:v>5</x:v>
      </x:c>
      <x:c r="AM419"/>
      <x:c r="AN419" t="n">
        <x:f>IF(('Quantification_Results'!AK419&lt;&gt;1),"",IF(('Quantification_Results'!AM419=""),IF(ISNUMBER('Quantification_Results'!AL419),IF(('Quantification_Results'!AL419&lt;'Quantification_Config'!$S$15),"",IF(('Quantification_Results'!AL419&gt;'Quantification_Config'!$T$15),"",'Quantification_Results'!AL419)),""),IF(ISNUMBER('Quantification_Results'!AM419),IF(('Quantification_Results'!AM419&lt;'Quantification_Config'!$S$15),"",IF(('Quantification_Results'!AM419&gt;'Quantification_Config'!$T$15),"",'Quantification_Results'!AM419)),"")))</x:f>
        <x:v>5</x:v>
      </x:c>
      <x:c r="AO419" t="n">
        <x:f>IF(ISNUMBER('Quantification_Results'!AN419),IFERROR(ROUND(((('Quantification_Results'!AN419-'Quantification_Config'!$S$15)/('Quantification_Config'!$T$15-'Quantification_Config'!$S$15))*100),'Quantification_Config'!$U$2),""),"")</x:f>
        <x:v>50</x:v>
      </x:c>
      <x:c r="AP419" t="inlineStr">
        <x:is>
          <x:t xml:space="preserve">SYSTEM-TEST-ONLY-NO-NETWORK-NOT-AN-EDUCATIONAL-EVALUATION</x:t>
        </x:is>
      </x:c>
      <x:c r="AQ419" t="inlineStr">
        <x:is>
          <x:t xml:space="preserve"/>
        </x:is>
      </x:c>
      <x:c r="AR419" t="inlineStr">
        <x:is>
          <x:t xml:space="preserve">NONE</x:t>
        </x:is>
      </x:c>
      <x:c r="AS419" t="inlineStr">
        <x:is>
          <x:t xml:space="preserve"/>
        </x:is>
      </x:c>
      <x:c r="AT419" t="inlineStr">
        <x:is>
          <x:t xml:space="preserve">SUCCESS</x:t>
        </x:is>
      </x:c>
      <x:c r="AU419" t="n">
        <x:f>IF((COUNT('Quantification_Results'!AO419)=1),IFERROR(ROUND((SUM(('Quantification_Results'!AO419*'Quantification_Config'!$R$15))/SUM('Quantification_Config'!$R$15)),'Quantification_Config'!$U$2),""),"")</x:f>
        <x:v>50</x:v>
      </x:c>
      <x:c r="AV419" t="n">
        <x:f>IF((COUNT('Quantification_Results'!AU419)=1),IFERROR(ROUND((SUM(('Quantification_Results'!AU419*'Quantification_Config'!$R$14))/SUM('Quantification_Config'!$R$14)),'Quantification_Config'!$U$2),""),"")</x:f>
        <x:v>50</x:v>
      </x:c>
      <x:c r="AW419" t="n">
        <x:v>1</x:v>
      </x:c>
      <x:c r="AX419" t="n">
        <x:v>5</x:v>
      </x:c>
      <x:c r="AY419"/>
      <x:c r="AZ419" t="n">
        <x:f>IF(('Quantification_Results'!AW419&lt;&gt;1),"",IF(('Quantification_Results'!AY419=""),IF(ISNUMBER('Quantification_Results'!AX419),IF(('Quantification_Results'!AX419&lt;'Quantification_Config'!$S$19),"",IF(('Quantification_Results'!AX419&gt;'Quantification_Config'!$T$19),"",'Quantification_Results'!AX419)),""),IF(ISNUMBER('Quantification_Results'!AY419),IF(('Quantification_Results'!AY419&lt;'Quantification_Config'!$S$19),"",IF(('Quantification_Results'!AY419&gt;'Quantification_Config'!$T$19),"",'Quantification_Results'!AY419)),"")))</x:f>
        <x:v>5</x:v>
      </x:c>
      <x:c r="BA419" t="n">
        <x:f>IF(ISNUMBER('Quantification_Results'!AZ419),IFERROR(ROUND(((('Quantification_Results'!AZ419-'Quantification_Config'!$S$19)/('Quantification_Config'!$T$19-'Quantification_Config'!$S$19))*100),'Quantification_Config'!$U$2),""),"")</x:f>
        <x:v>50</x:v>
      </x:c>
      <x:c r="BB419" t="inlineStr">
        <x:is>
          <x:t xml:space="preserve">SYSTEM-TEST-ONLY-NO-NETWORK-NOT-AN-EDUCATIONAL-EVALUATION</x:t>
        </x:is>
      </x:c>
      <x:c r="BC419" t="inlineStr">
        <x:is>
          <x:t xml:space="preserve"/>
        </x:is>
      </x:c>
      <x:c r="BD419" t="inlineStr">
        <x:is>
          <x:t xml:space="preserve">NONE</x:t>
        </x:is>
      </x:c>
      <x:c r="BE419" t="inlineStr">
        <x:is>
          <x:t xml:space="preserve"/>
        </x:is>
      </x:c>
      <x:c r="BF419" t="inlineStr">
        <x:is>
          <x:t xml:space="preserve">SUCCESS</x:t>
        </x:is>
      </x:c>
      <x:c r="BG419" t="n">
        <x:f>IF((COUNT('Quantification_Results'!BA419)=1),IFERROR(ROUND((SUM(('Quantification_Results'!BA419*'Quantification_Config'!$R$19))/SUM('Quantification_Config'!$R$19)),'Quantification_Config'!$U$2),""),"")</x:f>
        <x:v>50</x:v>
      </x:c>
      <x:c r="BH419" t="n">
        <x:f>IF((COUNT('Quantification_Results'!BG419)=1),IFERROR(ROUND((SUM(('Quantification_Results'!BG419*'Quantification_Config'!$R$18))/SUM('Quantification_Config'!$R$18)),'Quantification_Config'!$U$2),""),"")</x:f>
        <x:v>50</x:v>
      </x:c>
      <x:c r="BI419">
        <x:f>IF((COUNT('Quantification_Results'!L419,'Quantification_Results'!X419,'Quantification_Results'!AJ419,'Quantification_Results'!AV419,'Quantification_Results'!BH419)=5),IFERROR(ROUND((SUM(('Quantification_Results'!L419*'Quantification_Config'!$R$4),('Quantification_Results'!X419*'Quantification_Config'!$R$7),('Quantification_Results'!AJ419*'Quantification_Config'!$R$10),('Quantification_Results'!AV419*'Quantification_Config'!$R$13),('Quantification_Results'!BH419*'Quantification_Config'!$R$16))/SUM('Quantification_Config'!$R$4,'Quantification_Config'!$R$7,'Quantification_Config'!$R$10,'Quantification_Config'!$R$13,'Quantification_Config'!$R$16)),'Quantification_Config'!$U$2),""),"")</x:f>
      </x:c>
    </x:row>
    <x:row r="420">
      <x:c r="A420" t="n">
        <x:v>1</x:v>
      </x:c>
      <x:c r="B420" t="n">
        <x:v>5</x:v>
      </x:c>
      <x:c r="C420"/>
      <x:c r="D420" t="n">
        <x:f>IF(('Quantification_Results'!A420&lt;&gt;1),"",IF(('Quantification_Results'!C420=""),IF(ISNUMBER('Quantification_Results'!B420),IF(('Quantification_Results'!B420&lt;'Quantification_Config'!$S$6),"",IF(('Quantification_Results'!B420&gt;'Quantification_Config'!$T$6),"",'Quantification_Results'!B420)),""),IF(ISNUMBER('Quantification_Results'!C420),IF(('Quantification_Results'!C420&lt;'Quantification_Config'!$S$6),"",IF(('Quantification_Results'!C420&gt;'Quantification_Config'!$T$6),"",'Quantification_Results'!C420)),"")))</x:f>
        <x:v>5</x:v>
      </x:c>
      <x:c r="E420" t="n">
        <x:f>IF(ISNUMBER('Quantification_Results'!D420),IFERROR(ROUND(((('Quantification_Results'!D420-'Quantification_Config'!$S$6)/('Quantification_Config'!$T$6-'Quantification_Config'!$S$6))*100),'Quantification_Config'!$U$2),""),"")</x:f>
        <x:v>50</x:v>
      </x:c>
      <x:c r="F420" t="inlineStr">
        <x:is>
          <x:t xml:space="preserve">SYSTEM-TEST-ONLY-NO-NETWORK-NOT-AN-EDUCATIONAL-EVALUATION</x:t>
        </x:is>
      </x:c>
      <x:c r="G420" t="inlineStr">
        <x:is>
          <x:t xml:space="preserve"/>
        </x:is>
      </x:c>
      <x:c r="H420" t="inlineStr">
        <x:is>
          <x:t xml:space="preserve">NONE</x:t>
        </x:is>
      </x:c>
      <x:c r="I420" t="inlineStr">
        <x:is>
          <x:t xml:space="preserve"/>
        </x:is>
      </x:c>
      <x:c r="J420" t="inlineStr">
        <x:is>
          <x:t xml:space="preserve">SUCCESS</x:t>
        </x:is>
      </x:c>
      <x:c r="K420" t="n">
        <x:f>IF((COUNT('Quantification_Results'!E420)=1),IFERROR(ROUND((SUM(('Quantification_Results'!E420*'Quantification_Config'!$R$6))/SUM('Quantification_Config'!$R$6)),'Quantification_Config'!$U$2),""),"")</x:f>
        <x:v>50</x:v>
      </x:c>
      <x:c r="L420" t="n">
        <x:f>IF((COUNT('Quantification_Results'!K420)=1),IFERROR(ROUND((SUM(('Quantification_Results'!K420*'Quantification_Config'!$R$5))/SUM('Quantification_Config'!$R$5)),'Quantification_Config'!$U$2),""),"")</x:f>
        <x:v>50</x:v>
      </x:c>
      <x:c r="M420" t="n">
        <x:v>1</x:v>
      </x:c>
      <x:c r="N420" t="n">
        <x:v>5</x:v>
      </x:c>
      <x:c r="O420"/>
      <x:c r="P420" t="n">
        <x:f>IF(('Quantification_Results'!M420&lt;&gt;1),"",IF(('Quantification_Results'!O420=""),IF(ISNUMBER('Quantification_Results'!N420),IF(('Quantification_Results'!N420&lt;'Quantification_Config'!$S$9),"",IF(('Quantification_Results'!N420&gt;'Quantification_Config'!$T$9),"",'Quantification_Results'!N420)),""),IF(ISNUMBER('Quantification_Results'!O420),IF(('Quantification_Results'!O420&lt;'Quantification_Config'!$S$9),"",IF(('Quantification_Results'!O420&gt;'Quantification_Config'!$T$9),"",'Quantification_Results'!O420)),"")))</x:f>
        <x:v>5</x:v>
      </x:c>
      <x:c r="Q420" t="n">
        <x:f>IF(ISNUMBER('Quantification_Results'!P420),IFERROR(ROUND(((('Quantification_Results'!P420-'Quantification_Config'!$S$9)/('Quantification_Config'!$T$9-'Quantification_Config'!$S$9))*100),'Quantification_Config'!$U$2),""),"")</x:f>
        <x:v>50</x:v>
      </x:c>
      <x:c r="R420" t="inlineStr">
        <x:is>
          <x:t xml:space="preserve">SYSTEM-TEST-ONLY-NO-NETWORK-NOT-AN-EDUCATIONAL-EVALUATION</x:t>
        </x:is>
      </x:c>
      <x:c r="S420" t="inlineStr">
        <x:is>
          <x:t xml:space="preserve"/>
        </x:is>
      </x:c>
      <x:c r="T420" t="inlineStr">
        <x:is>
          <x:t xml:space="preserve">NONE</x:t>
        </x:is>
      </x:c>
      <x:c r="U420" t="inlineStr">
        <x:is>
          <x:t xml:space="preserve"/>
        </x:is>
      </x:c>
      <x:c r="V420" t="inlineStr">
        <x:is>
          <x:t xml:space="preserve">SUCCESS</x:t>
        </x:is>
      </x:c>
      <x:c r="W420" t="n">
        <x:f>IF((COUNT('Quantification_Results'!Q420)=1),IFERROR(ROUND((SUM(('Quantification_Results'!Q420*'Quantification_Config'!$R$9))/SUM('Quantification_Config'!$R$9)),'Quantification_Config'!$U$2),""),"")</x:f>
        <x:v>50</x:v>
      </x:c>
      <x:c r="X420" t="n">
        <x:f>IF((COUNT('Quantification_Results'!W420)=1),IFERROR(ROUND((SUM(('Quantification_Results'!W420*'Quantification_Config'!$R$8))/SUM('Quantification_Config'!$R$8)),'Quantification_Config'!$U$2),""),"")</x:f>
        <x:v>50</x:v>
      </x:c>
      <x:c r="Y420" t="n">
        <x:v>0</x:v>
      </x:c>
      <x:c r="Z420"/>
      <x:c r="AA420"/>
      <x:c r="AB420">
        <x:f>IF(('Quantification_Results'!Y420&lt;&gt;1),"",IF(('Quantification_Results'!AA420=""),IF(ISNUMBER('Quantification_Results'!Z420),IF(('Quantification_Results'!Z420&lt;'Quantification_Config'!$S$12),"",IF(('Quantification_Results'!Z420&gt;'Quantification_Config'!$T$12),"",'Quantification_Results'!Z420)),""),IF(ISNUMBER('Quantification_Results'!AA420),IF(('Quantification_Results'!AA420&lt;'Quantification_Config'!$S$12),"",IF(('Quantification_Results'!AA420&gt;'Quantification_Config'!$T$12),"",'Quantification_Results'!AA420)),"")))</x:f>
      </x:c>
      <x:c r="AC420">
        <x:f>IF(ISNUMBER('Quantification_Results'!AB420),IFERROR(ROUND(((('Quantification_Results'!AB420-'Quantification_Config'!$S$12)/('Quantification_Config'!$T$12-'Quantification_Config'!$S$12))*100),'Quantification_Config'!$U$2),""),"")</x:f>
      </x:c>
      <x:c r="AD420" t="inlineStr">
        <x:is>
          <x:t xml:space="preserve"/>
        </x:is>
      </x:c>
      <x:c r="AE420" t="inlineStr">
        <x:is>
          <x:t xml:space="preserve"/>
        </x:is>
      </x:c>
      <x:c r="AF420" t="inlineStr">
        <x:is>
          <x:t xml:space="preserve"/>
        </x:is>
      </x:c>
      <x:c r="AG420" t="inlineStr">
        <x:is>
          <x:t xml:space="preserve"/>
        </x:is>
      </x:c>
      <x:c r="AH420" t="inlineStr">
        <x:is>
          <x:t xml:space="preserve">EMPTY</x:t>
        </x:is>
      </x:c>
      <x:c r="AI420">
        <x:f>IF((COUNT('Quantification_Results'!AC420)=1),IFERROR(ROUND((SUM(('Quantification_Results'!AC420*'Quantification_Config'!$R$12))/SUM('Quantification_Config'!$R$12)),'Quantification_Config'!$U$2),""),"")</x:f>
      </x:c>
      <x:c r="AJ420">
        <x:f>IF((COUNT('Quantification_Results'!AI420)=1),IFERROR(ROUND((SUM(('Quantification_Results'!AI420*'Quantification_Config'!$R$11))/SUM('Quantification_Config'!$R$11)),'Quantification_Config'!$U$2),""),"")</x:f>
      </x:c>
      <x:c r="AK420" t="n">
        <x:v>1</x:v>
      </x:c>
      <x:c r="AL420" t="n">
        <x:v>5</x:v>
      </x:c>
      <x:c r="AM420"/>
      <x:c r="AN420" t="n">
        <x:f>IF(('Quantification_Results'!AK420&lt;&gt;1),"",IF(('Quantification_Results'!AM420=""),IF(ISNUMBER('Quantification_Results'!AL420),IF(('Quantification_Results'!AL420&lt;'Quantification_Config'!$S$15),"",IF(('Quantification_Results'!AL420&gt;'Quantification_Config'!$T$15),"",'Quantification_Results'!AL420)),""),IF(ISNUMBER('Quantification_Results'!AM420),IF(('Quantification_Results'!AM420&lt;'Quantification_Config'!$S$15),"",IF(('Quantification_Results'!AM420&gt;'Quantification_Config'!$T$15),"",'Quantification_Results'!AM420)),"")))</x:f>
        <x:v>5</x:v>
      </x:c>
      <x:c r="AO420" t="n">
        <x:f>IF(ISNUMBER('Quantification_Results'!AN420),IFERROR(ROUND(((('Quantification_Results'!AN420-'Quantification_Config'!$S$15)/('Quantification_Config'!$T$15-'Quantification_Config'!$S$15))*100),'Quantification_Config'!$U$2),""),"")</x:f>
        <x:v>50</x:v>
      </x:c>
      <x:c r="AP420" t="inlineStr">
        <x:is>
          <x:t xml:space="preserve">SYSTEM-TEST-ONLY-NO-NETWORK-NOT-AN-EDUCATIONAL-EVALUATION</x:t>
        </x:is>
      </x:c>
      <x:c r="AQ420" t="inlineStr">
        <x:is>
          <x:t xml:space="preserve"/>
        </x:is>
      </x:c>
      <x:c r="AR420" t="inlineStr">
        <x:is>
          <x:t xml:space="preserve">NONE</x:t>
        </x:is>
      </x:c>
      <x:c r="AS420" t="inlineStr">
        <x:is>
          <x:t xml:space="preserve"/>
        </x:is>
      </x:c>
      <x:c r="AT420" t="inlineStr">
        <x:is>
          <x:t xml:space="preserve">SUCCESS</x:t>
        </x:is>
      </x:c>
      <x:c r="AU420" t="n">
        <x:f>IF((COUNT('Quantification_Results'!AO420)=1),IFERROR(ROUND((SUM(('Quantification_Results'!AO420*'Quantification_Config'!$R$15))/SUM('Quantification_Config'!$R$15)),'Quantification_Config'!$U$2),""),"")</x:f>
        <x:v>50</x:v>
      </x:c>
      <x:c r="AV420" t="n">
        <x:f>IF((COUNT('Quantification_Results'!AU420)=1),IFERROR(ROUND((SUM(('Quantification_Results'!AU420*'Quantification_Config'!$R$14))/SUM('Quantification_Config'!$R$14)),'Quantification_Config'!$U$2),""),"")</x:f>
        <x:v>50</x:v>
      </x:c>
      <x:c r="AW420" t="n">
        <x:v>1</x:v>
      </x:c>
      <x:c r="AX420" t="n">
        <x:v>5</x:v>
      </x:c>
      <x:c r="AY420"/>
      <x:c r="AZ420" t="n">
        <x:f>IF(('Quantification_Results'!AW420&lt;&gt;1),"",IF(('Quantification_Results'!AY420=""),IF(ISNUMBER('Quantification_Results'!AX420),IF(('Quantification_Results'!AX420&lt;'Quantification_Config'!$S$19),"",IF(('Quantification_Results'!AX420&gt;'Quantification_Config'!$T$19),"",'Quantification_Results'!AX420)),""),IF(ISNUMBER('Quantification_Results'!AY420),IF(('Quantification_Results'!AY420&lt;'Quantification_Config'!$S$19),"",IF(('Quantification_Results'!AY420&gt;'Quantification_Config'!$T$19),"",'Quantification_Results'!AY420)),"")))</x:f>
        <x:v>5</x:v>
      </x:c>
      <x:c r="BA420" t="n">
        <x:f>IF(ISNUMBER('Quantification_Results'!AZ420),IFERROR(ROUND(((('Quantification_Results'!AZ420-'Quantification_Config'!$S$19)/('Quantification_Config'!$T$19-'Quantification_Config'!$S$19))*100),'Quantification_Config'!$U$2),""),"")</x:f>
        <x:v>50</x:v>
      </x:c>
      <x:c r="BB420" t="inlineStr">
        <x:is>
          <x:t xml:space="preserve">SYSTEM-TEST-ONLY-NO-NETWORK-NOT-AN-EDUCATIONAL-EVALUATION</x:t>
        </x:is>
      </x:c>
      <x:c r="BC420" t="inlineStr">
        <x:is>
          <x:t xml:space="preserve"/>
        </x:is>
      </x:c>
      <x:c r="BD420" t="inlineStr">
        <x:is>
          <x:t xml:space="preserve">NONE</x:t>
        </x:is>
      </x:c>
      <x:c r="BE420" t="inlineStr">
        <x:is>
          <x:t xml:space="preserve"/>
        </x:is>
      </x:c>
      <x:c r="BF420" t="inlineStr">
        <x:is>
          <x:t xml:space="preserve">SUCCESS</x:t>
        </x:is>
      </x:c>
      <x:c r="BG420" t="n">
        <x:f>IF((COUNT('Quantification_Results'!BA420)=1),IFERROR(ROUND((SUM(('Quantification_Results'!BA420*'Quantification_Config'!$R$19))/SUM('Quantification_Config'!$R$19)),'Quantification_Config'!$U$2),""),"")</x:f>
        <x:v>50</x:v>
      </x:c>
      <x:c r="BH420" t="n">
        <x:f>IF((COUNT('Quantification_Results'!BG420)=1),IFERROR(ROUND((SUM(('Quantification_Results'!BG420*'Quantification_Config'!$R$18))/SUM('Quantification_Config'!$R$18)),'Quantification_Config'!$U$2),""),"")</x:f>
        <x:v>50</x:v>
      </x:c>
      <x:c r="BI420">
        <x:f>IF((COUNT('Quantification_Results'!L420,'Quantification_Results'!X420,'Quantification_Results'!AJ420,'Quantification_Results'!AV420,'Quantification_Results'!BH420)=5),IFERROR(ROUND((SUM(('Quantification_Results'!L420*'Quantification_Config'!$R$4),('Quantification_Results'!X420*'Quantification_Config'!$R$7),('Quantification_Results'!AJ420*'Quantification_Config'!$R$10),('Quantification_Results'!AV420*'Quantification_Config'!$R$13),('Quantification_Results'!BH420*'Quantification_Config'!$R$16))/SUM('Quantification_Config'!$R$4,'Quantification_Config'!$R$7,'Quantification_Config'!$R$10,'Quantification_Config'!$R$13,'Quantification_Config'!$R$16)),'Quantification_Config'!$U$2),""),"")</x:f>
      </x:c>
    </x:row>
    <x:row r="421">
      <x:c r="A421" t="n">
        <x:v>1</x:v>
      </x:c>
      <x:c r="B421" t="n">
        <x:v>5</x:v>
      </x:c>
      <x:c r="C421"/>
      <x:c r="D421" t="n">
        <x:f>IF(('Quantification_Results'!A421&lt;&gt;1),"",IF(('Quantification_Results'!C421=""),IF(ISNUMBER('Quantification_Results'!B421),IF(('Quantification_Results'!B421&lt;'Quantification_Config'!$S$6),"",IF(('Quantification_Results'!B421&gt;'Quantification_Config'!$T$6),"",'Quantification_Results'!B421)),""),IF(ISNUMBER('Quantification_Results'!C421),IF(('Quantification_Results'!C421&lt;'Quantification_Config'!$S$6),"",IF(('Quantification_Results'!C421&gt;'Quantification_Config'!$T$6),"",'Quantification_Results'!C421)),"")))</x:f>
        <x:v>5</x:v>
      </x:c>
      <x:c r="E421" t="n">
        <x:f>IF(ISNUMBER('Quantification_Results'!D421),IFERROR(ROUND(((('Quantification_Results'!D421-'Quantification_Config'!$S$6)/('Quantification_Config'!$T$6-'Quantification_Config'!$S$6))*100),'Quantification_Config'!$U$2),""),"")</x:f>
        <x:v>50</x:v>
      </x:c>
      <x:c r="F421" t="inlineStr">
        <x:is>
          <x:t xml:space="preserve">SYSTEM-TEST-ONLY-NO-NETWORK-NOT-AN-EDUCATIONAL-EVALUATION</x:t>
        </x:is>
      </x:c>
      <x:c r="G421" t="inlineStr">
        <x:is>
          <x:t xml:space="preserve"/>
        </x:is>
      </x:c>
      <x:c r="H421" t="inlineStr">
        <x:is>
          <x:t xml:space="preserve">NONE</x:t>
        </x:is>
      </x:c>
      <x:c r="I421" t="inlineStr">
        <x:is>
          <x:t xml:space="preserve"/>
        </x:is>
      </x:c>
      <x:c r="J421" t="inlineStr">
        <x:is>
          <x:t xml:space="preserve">SUCCESS</x:t>
        </x:is>
      </x:c>
      <x:c r="K421" t="n">
        <x:f>IF((COUNT('Quantification_Results'!E421)=1),IFERROR(ROUND((SUM(('Quantification_Results'!E421*'Quantification_Config'!$R$6))/SUM('Quantification_Config'!$R$6)),'Quantification_Config'!$U$2),""),"")</x:f>
        <x:v>50</x:v>
      </x:c>
      <x:c r="L421" t="n">
        <x:f>IF((COUNT('Quantification_Results'!K421)=1),IFERROR(ROUND((SUM(('Quantification_Results'!K421*'Quantification_Config'!$R$5))/SUM('Quantification_Config'!$R$5)),'Quantification_Config'!$U$2),""),"")</x:f>
        <x:v>50</x:v>
      </x:c>
      <x:c r="M421" t="n">
        <x:v>1</x:v>
      </x:c>
      <x:c r="N421" t="n">
        <x:v>5</x:v>
      </x:c>
      <x:c r="O421"/>
      <x:c r="P421" t="n">
        <x:f>IF(('Quantification_Results'!M421&lt;&gt;1),"",IF(('Quantification_Results'!O421=""),IF(ISNUMBER('Quantification_Results'!N421),IF(('Quantification_Results'!N421&lt;'Quantification_Config'!$S$9),"",IF(('Quantification_Results'!N421&gt;'Quantification_Config'!$T$9),"",'Quantification_Results'!N421)),""),IF(ISNUMBER('Quantification_Results'!O421),IF(('Quantification_Results'!O421&lt;'Quantification_Config'!$S$9),"",IF(('Quantification_Results'!O421&gt;'Quantification_Config'!$T$9),"",'Quantification_Results'!O421)),"")))</x:f>
        <x:v>5</x:v>
      </x:c>
      <x:c r="Q421" t="n">
        <x:f>IF(ISNUMBER('Quantification_Results'!P421),IFERROR(ROUND(((('Quantification_Results'!P421-'Quantification_Config'!$S$9)/('Quantification_Config'!$T$9-'Quantification_Config'!$S$9))*100),'Quantification_Config'!$U$2),""),"")</x:f>
        <x:v>50</x:v>
      </x:c>
      <x:c r="R421" t="inlineStr">
        <x:is>
          <x:t xml:space="preserve">SYSTEM-TEST-ONLY-NO-NETWORK-NOT-AN-EDUCATIONAL-EVALUATION</x:t>
        </x:is>
      </x:c>
      <x:c r="S421" t="inlineStr">
        <x:is>
          <x:t xml:space="preserve"/>
        </x:is>
      </x:c>
      <x:c r="T421" t="inlineStr">
        <x:is>
          <x:t xml:space="preserve">NONE</x:t>
        </x:is>
      </x:c>
      <x:c r="U421" t="inlineStr">
        <x:is>
          <x:t xml:space="preserve"/>
        </x:is>
      </x:c>
      <x:c r="V421" t="inlineStr">
        <x:is>
          <x:t xml:space="preserve">SUCCESS</x:t>
        </x:is>
      </x:c>
      <x:c r="W421" t="n">
        <x:f>IF((COUNT('Quantification_Results'!Q421)=1),IFERROR(ROUND((SUM(('Quantification_Results'!Q421*'Quantification_Config'!$R$9))/SUM('Quantification_Config'!$R$9)),'Quantification_Config'!$U$2),""),"")</x:f>
        <x:v>50</x:v>
      </x:c>
      <x:c r="X421" t="n">
        <x:f>IF((COUNT('Quantification_Results'!W421)=1),IFERROR(ROUND((SUM(('Quantification_Results'!W421*'Quantification_Config'!$R$8))/SUM('Quantification_Config'!$R$8)),'Quantification_Config'!$U$2),""),"")</x:f>
        <x:v>50</x:v>
      </x:c>
      <x:c r="Y421" t="n">
        <x:v>1</x:v>
      </x:c>
      <x:c r="Z421" t="n">
        <x:v>5</x:v>
      </x:c>
      <x:c r="AA421"/>
      <x:c r="AB421" t="n">
        <x:f>IF(('Quantification_Results'!Y421&lt;&gt;1),"",IF(('Quantification_Results'!AA421=""),IF(ISNUMBER('Quantification_Results'!Z421),IF(('Quantification_Results'!Z421&lt;'Quantification_Config'!$S$12),"",IF(('Quantification_Results'!Z421&gt;'Quantification_Config'!$T$12),"",'Quantification_Results'!Z421)),""),IF(ISNUMBER('Quantification_Results'!AA421),IF(('Quantification_Results'!AA421&lt;'Quantification_Config'!$S$12),"",IF(('Quantification_Results'!AA421&gt;'Quantification_Config'!$T$12),"",'Quantification_Results'!AA421)),"")))</x:f>
        <x:v>5</x:v>
      </x:c>
      <x:c r="AC421" t="n">
        <x:f>IF(ISNUMBER('Quantification_Results'!AB421),IFERROR(ROUND(((('Quantification_Results'!AB421-'Quantification_Config'!$S$12)/('Quantification_Config'!$T$12-'Quantification_Config'!$S$12))*100),'Quantification_Config'!$U$2),""),"")</x:f>
        <x:v>50</x:v>
      </x:c>
      <x:c r="AD421" t="inlineStr">
        <x:is>
          <x:t xml:space="preserve">SYSTEM-TEST-ONLY-NO-NETWORK-NOT-AN-EDUCATIONAL-EVALUATION</x:t>
        </x:is>
      </x:c>
      <x:c r="AE421" t="inlineStr">
        <x:is>
          <x:t xml:space="preserve"/>
        </x:is>
      </x:c>
      <x:c r="AF421" t="inlineStr">
        <x:is>
          <x:t xml:space="preserve">NONE</x:t>
        </x:is>
      </x:c>
      <x:c r="AG421" t="inlineStr">
        <x:is>
          <x:t xml:space="preserve"/>
        </x:is>
      </x:c>
      <x:c r="AH421" t="inlineStr">
        <x:is>
          <x:t xml:space="preserve">SUCCESS</x:t>
        </x:is>
      </x:c>
      <x:c r="AI421" t="n">
        <x:f>IF((COUNT('Quantification_Results'!AC421)=1),IFERROR(ROUND((SUM(('Quantification_Results'!AC421*'Quantification_Config'!$R$12))/SUM('Quantification_Config'!$R$12)),'Quantification_Config'!$U$2),""),"")</x:f>
        <x:v>50</x:v>
      </x:c>
      <x:c r="AJ421" t="n">
        <x:f>IF((COUNT('Quantification_Results'!AI421)=1),IFERROR(ROUND((SUM(('Quantification_Results'!AI421*'Quantification_Config'!$R$11))/SUM('Quantification_Config'!$R$11)),'Quantification_Config'!$U$2),""),"")</x:f>
        <x:v>50</x:v>
      </x:c>
      <x:c r="AK421" t="n">
        <x:v>1</x:v>
      </x:c>
      <x:c r="AL421" t="n">
        <x:v>5</x:v>
      </x:c>
      <x:c r="AM421"/>
      <x:c r="AN421" t="n">
        <x:f>IF(('Quantification_Results'!AK421&lt;&gt;1),"",IF(('Quantification_Results'!AM421=""),IF(ISNUMBER('Quantification_Results'!AL421),IF(('Quantification_Results'!AL421&lt;'Quantification_Config'!$S$15),"",IF(('Quantification_Results'!AL421&gt;'Quantification_Config'!$T$15),"",'Quantification_Results'!AL421)),""),IF(ISNUMBER('Quantification_Results'!AM421),IF(('Quantification_Results'!AM421&lt;'Quantification_Config'!$S$15),"",IF(('Quantification_Results'!AM421&gt;'Quantification_Config'!$T$15),"",'Quantification_Results'!AM421)),"")))</x:f>
        <x:v>5</x:v>
      </x:c>
      <x:c r="AO421" t="n">
        <x:f>IF(ISNUMBER('Quantification_Results'!AN421),IFERROR(ROUND(((('Quantification_Results'!AN421-'Quantification_Config'!$S$15)/('Quantification_Config'!$T$15-'Quantification_Config'!$S$15))*100),'Quantification_Config'!$U$2),""),"")</x:f>
        <x:v>50</x:v>
      </x:c>
      <x:c r="AP421" t="inlineStr">
        <x:is>
          <x:t xml:space="preserve">SYSTEM-TEST-ONLY-NO-NETWORK-NOT-AN-EDUCATIONAL-EVALUATION</x:t>
        </x:is>
      </x:c>
      <x:c r="AQ421" t="inlineStr">
        <x:is>
          <x:t xml:space="preserve"/>
        </x:is>
      </x:c>
      <x:c r="AR421" t="inlineStr">
        <x:is>
          <x:t xml:space="preserve">NONE</x:t>
        </x:is>
      </x:c>
      <x:c r="AS421" t="inlineStr">
        <x:is>
          <x:t xml:space="preserve"/>
        </x:is>
      </x:c>
      <x:c r="AT421" t="inlineStr">
        <x:is>
          <x:t xml:space="preserve">SUCCESS</x:t>
        </x:is>
      </x:c>
      <x:c r="AU421" t="n">
        <x:f>IF((COUNT('Quantification_Results'!AO421)=1),IFERROR(ROUND((SUM(('Quantification_Results'!AO421*'Quantification_Config'!$R$15))/SUM('Quantification_Config'!$R$15)),'Quantification_Config'!$U$2),""),"")</x:f>
        <x:v>50</x:v>
      </x:c>
      <x:c r="AV421" t="n">
        <x:f>IF((COUNT('Quantification_Results'!AU421)=1),IFERROR(ROUND((SUM(('Quantification_Results'!AU421*'Quantification_Config'!$R$14))/SUM('Quantification_Config'!$R$14)),'Quantification_Config'!$U$2),""),"")</x:f>
        <x:v>50</x:v>
      </x:c>
      <x:c r="AW421" t="n">
        <x:v>1</x:v>
      </x:c>
      <x:c r="AX421" t="n">
        <x:v>5</x:v>
      </x:c>
      <x:c r="AY421"/>
      <x:c r="AZ421" t="n">
        <x:f>IF(('Quantification_Results'!AW421&lt;&gt;1),"",IF(('Quantification_Results'!AY421=""),IF(ISNUMBER('Quantification_Results'!AX421),IF(('Quantification_Results'!AX421&lt;'Quantification_Config'!$S$19),"",IF(('Quantification_Results'!AX421&gt;'Quantification_Config'!$T$19),"",'Quantification_Results'!AX421)),""),IF(ISNUMBER('Quantification_Results'!AY421),IF(('Quantification_Results'!AY421&lt;'Quantification_Config'!$S$19),"",IF(('Quantification_Results'!AY421&gt;'Quantification_Config'!$T$19),"",'Quantification_Results'!AY421)),"")))</x:f>
        <x:v>5</x:v>
      </x:c>
      <x:c r="BA421" t="n">
        <x:f>IF(ISNUMBER('Quantification_Results'!AZ421),IFERROR(ROUND(((('Quantification_Results'!AZ421-'Quantification_Config'!$S$19)/('Quantification_Config'!$T$19-'Quantification_Config'!$S$19))*100),'Quantification_Config'!$U$2),""),"")</x:f>
        <x:v>50</x:v>
      </x:c>
      <x:c r="BB421" t="inlineStr">
        <x:is>
          <x:t xml:space="preserve">SYSTEM-TEST-ONLY-NO-NETWORK-NOT-AN-EDUCATIONAL-EVALUATION</x:t>
        </x:is>
      </x:c>
      <x:c r="BC421" t="inlineStr">
        <x:is>
          <x:t xml:space="preserve"/>
        </x:is>
      </x:c>
      <x:c r="BD421" t="inlineStr">
        <x:is>
          <x:t xml:space="preserve">NONE</x:t>
        </x:is>
      </x:c>
      <x:c r="BE421" t="inlineStr">
        <x:is>
          <x:t xml:space="preserve"/>
        </x:is>
      </x:c>
      <x:c r="BF421" t="inlineStr">
        <x:is>
          <x:t xml:space="preserve">SUCCESS</x:t>
        </x:is>
      </x:c>
      <x:c r="BG421" t="n">
        <x:f>IF((COUNT('Quantification_Results'!BA421)=1),IFERROR(ROUND((SUM(('Quantification_Results'!BA421*'Quantification_Config'!$R$19))/SUM('Quantification_Config'!$R$19)),'Quantification_Config'!$U$2),""),"")</x:f>
        <x:v>50</x:v>
      </x:c>
      <x:c r="BH421" t="n">
        <x:f>IF((COUNT('Quantification_Results'!BG421)=1),IFERROR(ROUND((SUM(('Quantification_Results'!BG421*'Quantification_Config'!$R$18))/SUM('Quantification_Config'!$R$18)),'Quantification_Config'!$U$2),""),"")</x:f>
        <x:v>50</x:v>
      </x:c>
      <x:c r="BI421" t="n">
        <x:f>IF((COUNT('Quantification_Results'!L421,'Quantification_Results'!X421,'Quantification_Results'!AJ421,'Quantification_Results'!AV421,'Quantification_Results'!BH421)=5),IFERROR(ROUND((SUM(('Quantification_Results'!L421*'Quantification_Config'!$R$4),('Quantification_Results'!X421*'Quantification_Config'!$R$7),('Quantification_Results'!AJ421*'Quantification_Config'!$R$10),('Quantification_Results'!AV421*'Quantification_Config'!$R$13),('Quantification_Results'!BH421*'Quantification_Config'!$R$16))/SUM('Quantification_Config'!$R$4,'Quantification_Config'!$R$7,'Quantification_Config'!$R$10,'Quantification_Config'!$R$13,'Quantification_Config'!$R$16)),'Quantification_Config'!$U$2),""),"")</x:f>
        <x:v>50</x:v>
      </x:c>
    </x:row>
    <x:row r="422">
      <x:c r="A422" t="n">
        <x:v>1</x:v>
      </x:c>
      <x:c r="B422" t="n">
        <x:v>5</x:v>
      </x:c>
      <x:c r="C422"/>
      <x:c r="D422" t="n">
        <x:f>IF(('Quantification_Results'!A422&lt;&gt;1),"",IF(('Quantification_Results'!C422=""),IF(ISNUMBER('Quantification_Results'!B422),IF(('Quantification_Results'!B422&lt;'Quantification_Config'!$S$6),"",IF(('Quantification_Results'!B422&gt;'Quantification_Config'!$T$6),"",'Quantification_Results'!B422)),""),IF(ISNUMBER('Quantification_Results'!C422),IF(('Quantification_Results'!C422&lt;'Quantification_Config'!$S$6),"",IF(('Quantification_Results'!C422&gt;'Quantification_Config'!$T$6),"",'Quantification_Results'!C422)),"")))</x:f>
        <x:v>5</x:v>
      </x:c>
      <x:c r="E422" t="n">
        <x:f>IF(ISNUMBER('Quantification_Results'!D422),IFERROR(ROUND(((('Quantification_Results'!D422-'Quantification_Config'!$S$6)/('Quantification_Config'!$T$6-'Quantification_Config'!$S$6))*100),'Quantification_Config'!$U$2),""),"")</x:f>
        <x:v>50</x:v>
      </x:c>
      <x:c r="F422" t="inlineStr">
        <x:is>
          <x:t xml:space="preserve">SYSTEM-TEST-ONLY-NO-NETWORK-NOT-AN-EDUCATIONAL-EVALUATION</x:t>
        </x:is>
      </x:c>
      <x:c r="G422" t="inlineStr">
        <x:is>
          <x:t xml:space="preserve"/>
        </x:is>
      </x:c>
      <x:c r="H422" t="inlineStr">
        <x:is>
          <x:t xml:space="preserve">NONE</x:t>
        </x:is>
      </x:c>
      <x:c r="I422" t="inlineStr">
        <x:is>
          <x:t xml:space="preserve"/>
        </x:is>
      </x:c>
      <x:c r="J422" t="inlineStr">
        <x:is>
          <x:t xml:space="preserve">SUCCESS</x:t>
        </x:is>
      </x:c>
      <x:c r="K422" t="n">
        <x:f>IF((COUNT('Quantification_Results'!E422)=1),IFERROR(ROUND((SUM(('Quantification_Results'!E422*'Quantification_Config'!$R$6))/SUM('Quantification_Config'!$R$6)),'Quantification_Config'!$U$2),""),"")</x:f>
        <x:v>50</x:v>
      </x:c>
      <x:c r="L422" t="n">
        <x:f>IF((COUNT('Quantification_Results'!K422)=1),IFERROR(ROUND((SUM(('Quantification_Results'!K422*'Quantification_Config'!$R$5))/SUM('Quantification_Config'!$R$5)),'Quantification_Config'!$U$2),""),"")</x:f>
        <x:v>50</x:v>
      </x:c>
      <x:c r="M422" t="n">
        <x:v>1</x:v>
      </x:c>
      <x:c r="N422" t="n">
        <x:v>5</x:v>
      </x:c>
      <x:c r="O422"/>
      <x:c r="P422" t="n">
        <x:f>IF(('Quantification_Results'!M422&lt;&gt;1),"",IF(('Quantification_Results'!O422=""),IF(ISNUMBER('Quantification_Results'!N422),IF(('Quantification_Results'!N422&lt;'Quantification_Config'!$S$9),"",IF(('Quantification_Results'!N422&gt;'Quantification_Config'!$T$9),"",'Quantification_Results'!N422)),""),IF(ISNUMBER('Quantification_Results'!O422),IF(('Quantification_Results'!O422&lt;'Quantification_Config'!$S$9),"",IF(('Quantification_Results'!O422&gt;'Quantification_Config'!$T$9),"",'Quantification_Results'!O422)),"")))</x:f>
        <x:v>5</x:v>
      </x:c>
      <x:c r="Q422" t="n">
        <x:f>IF(ISNUMBER('Quantification_Results'!P422),IFERROR(ROUND(((('Quantification_Results'!P422-'Quantification_Config'!$S$9)/('Quantification_Config'!$T$9-'Quantification_Config'!$S$9))*100),'Quantification_Config'!$U$2),""),"")</x:f>
        <x:v>50</x:v>
      </x:c>
      <x:c r="R422" t="inlineStr">
        <x:is>
          <x:t xml:space="preserve">SYSTEM-TEST-ONLY-NO-NETWORK-NOT-AN-EDUCATIONAL-EVALUATION</x:t>
        </x:is>
      </x:c>
      <x:c r="S422" t="inlineStr">
        <x:is>
          <x:t xml:space="preserve"/>
        </x:is>
      </x:c>
      <x:c r="T422" t="inlineStr">
        <x:is>
          <x:t xml:space="preserve">NONE</x:t>
        </x:is>
      </x:c>
      <x:c r="U422" t="inlineStr">
        <x:is>
          <x:t xml:space="preserve"/>
        </x:is>
      </x:c>
      <x:c r="V422" t="inlineStr">
        <x:is>
          <x:t xml:space="preserve">SUCCESS</x:t>
        </x:is>
      </x:c>
      <x:c r="W422" t="n">
        <x:f>IF((COUNT('Quantification_Results'!Q422)=1),IFERROR(ROUND((SUM(('Quantification_Results'!Q422*'Quantification_Config'!$R$9))/SUM('Quantification_Config'!$R$9)),'Quantification_Config'!$U$2),""),"")</x:f>
        <x:v>50</x:v>
      </x:c>
      <x:c r="X422" t="n">
        <x:f>IF((COUNT('Quantification_Results'!W422)=1),IFERROR(ROUND((SUM(('Quantification_Results'!W422*'Quantification_Config'!$R$8))/SUM('Quantification_Config'!$R$8)),'Quantification_Config'!$U$2),""),"")</x:f>
        <x:v>50</x:v>
      </x:c>
      <x:c r="Y422" t="n">
        <x:v>0</x:v>
      </x:c>
      <x:c r="Z422"/>
      <x:c r="AA422"/>
      <x:c r="AB422">
        <x:f>IF(('Quantification_Results'!Y422&lt;&gt;1),"",IF(('Quantification_Results'!AA422=""),IF(ISNUMBER('Quantification_Results'!Z422),IF(('Quantification_Results'!Z422&lt;'Quantification_Config'!$S$12),"",IF(('Quantification_Results'!Z422&gt;'Quantification_Config'!$T$12),"",'Quantification_Results'!Z422)),""),IF(ISNUMBER('Quantification_Results'!AA422),IF(('Quantification_Results'!AA422&lt;'Quantification_Config'!$S$12),"",IF(('Quantification_Results'!AA422&gt;'Quantification_Config'!$T$12),"",'Quantification_Results'!AA422)),"")))</x:f>
      </x:c>
      <x:c r="AC422">
        <x:f>IF(ISNUMBER('Quantification_Results'!AB422),IFERROR(ROUND(((('Quantification_Results'!AB422-'Quantification_Config'!$S$12)/('Quantification_Config'!$T$12-'Quantification_Config'!$S$12))*100),'Quantification_Config'!$U$2),""),"")</x:f>
      </x:c>
      <x:c r="AD422" t="inlineStr">
        <x:is>
          <x:t xml:space="preserve"/>
        </x:is>
      </x:c>
      <x:c r="AE422" t="inlineStr">
        <x:is>
          <x:t xml:space="preserve"/>
        </x:is>
      </x:c>
      <x:c r="AF422" t="inlineStr">
        <x:is>
          <x:t xml:space="preserve"/>
        </x:is>
      </x:c>
      <x:c r="AG422" t="inlineStr">
        <x:is>
          <x:t xml:space="preserve"/>
        </x:is>
      </x:c>
      <x:c r="AH422" t="inlineStr">
        <x:is>
          <x:t xml:space="preserve">EMPTY</x:t>
        </x:is>
      </x:c>
      <x:c r="AI422">
        <x:f>IF((COUNT('Quantification_Results'!AC422)=1),IFERROR(ROUND((SUM(('Quantification_Results'!AC422*'Quantification_Config'!$R$12))/SUM('Quantification_Config'!$R$12)),'Quantification_Config'!$U$2),""),"")</x:f>
      </x:c>
      <x:c r="AJ422">
        <x:f>IF((COUNT('Quantification_Results'!AI422)=1),IFERROR(ROUND((SUM(('Quantification_Results'!AI422*'Quantification_Config'!$R$11))/SUM('Quantification_Config'!$R$11)),'Quantification_Config'!$U$2),""),"")</x:f>
      </x:c>
      <x:c r="AK422" t="n">
        <x:v>1</x:v>
      </x:c>
      <x:c r="AL422" t="n">
        <x:v>5</x:v>
      </x:c>
      <x:c r="AM422"/>
      <x:c r="AN422" t="n">
        <x:f>IF(('Quantification_Results'!AK422&lt;&gt;1),"",IF(('Quantification_Results'!AM422=""),IF(ISNUMBER('Quantification_Results'!AL422),IF(('Quantification_Results'!AL422&lt;'Quantification_Config'!$S$15),"",IF(('Quantification_Results'!AL422&gt;'Quantification_Config'!$T$15),"",'Quantification_Results'!AL422)),""),IF(ISNUMBER('Quantification_Results'!AM422),IF(('Quantification_Results'!AM422&lt;'Quantification_Config'!$S$15),"",IF(('Quantification_Results'!AM422&gt;'Quantification_Config'!$T$15),"",'Quantification_Results'!AM422)),"")))</x:f>
        <x:v>5</x:v>
      </x:c>
      <x:c r="AO422" t="n">
        <x:f>IF(ISNUMBER('Quantification_Results'!AN422),IFERROR(ROUND(((('Quantification_Results'!AN422-'Quantification_Config'!$S$15)/('Quantification_Config'!$T$15-'Quantification_Config'!$S$15))*100),'Quantification_Config'!$U$2),""),"")</x:f>
        <x:v>50</x:v>
      </x:c>
      <x:c r="AP422" t="inlineStr">
        <x:is>
          <x:t xml:space="preserve">SYSTEM-TEST-ONLY-NO-NETWORK-NOT-AN-EDUCATIONAL-EVALUATION</x:t>
        </x:is>
      </x:c>
      <x:c r="AQ422" t="inlineStr">
        <x:is>
          <x:t xml:space="preserve"/>
        </x:is>
      </x:c>
      <x:c r="AR422" t="inlineStr">
        <x:is>
          <x:t xml:space="preserve">NONE</x:t>
        </x:is>
      </x:c>
      <x:c r="AS422" t="inlineStr">
        <x:is>
          <x:t xml:space="preserve"/>
        </x:is>
      </x:c>
      <x:c r="AT422" t="inlineStr">
        <x:is>
          <x:t xml:space="preserve">SUCCESS</x:t>
        </x:is>
      </x:c>
      <x:c r="AU422" t="n">
        <x:f>IF((COUNT('Quantification_Results'!AO422)=1),IFERROR(ROUND((SUM(('Quantification_Results'!AO422*'Quantification_Config'!$R$15))/SUM('Quantification_Config'!$R$15)),'Quantification_Config'!$U$2),""),"")</x:f>
        <x:v>50</x:v>
      </x:c>
      <x:c r="AV422" t="n">
        <x:f>IF((COUNT('Quantification_Results'!AU422)=1),IFERROR(ROUND((SUM(('Quantification_Results'!AU422*'Quantification_Config'!$R$14))/SUM('Quantification_Config'!$R$14)),'Quantification_Config'!$U$2),""),"")</x:f>
        <x:v>50</x:v>
      </x:c>
      <x:c r="AW422" t="n">
        <x:v>1</x:v>
      </x:c>
      <x:c r="AX422" t="n">
        <x:v>5</x:v>
      </x:c>
      <x:c r="AY422"/>
      <x:c r="AZ422" t="n">
        <x:f>IF(('Quantification_Results'!AW422&lt;&gt;1),"",IF(('Quantification_Results'!AY422=""),IF(ISNUMBER('Quantification_Results'!AX422),IF(('Quantification_Results'!AX422&lt;'Quantification_Config'!$S$19),"",IF(('Quantification_Results'!AX422&gt;'Quantification_Config'!$T$19),"",'Quantification_Results'!AX422)),""),IF(ISNUMBER('Quantification_Results'!AY422),IF(('Quantification_Results'!AY422&lt;'Quantification_Config'!$S$19),"",IF(('Quantification_Results'!AY422&gt;'Quantification_Config'!$T$19),"",'Quantification_Results'!AY422)),"")))</x:f>
        <x:v>5</x:v>
      </x:c>
      <x:c r="BA422" t="n">
        <x:f>IF(ISNUMBER('Quantification_Results'!AZ422),IFERROR(ROUND(((('Quantification_Results'!AZ422-'Quantification_Config'!$S$19)/('Quantification_Config'!$T$19-'Quantification_Config'!$S$19))*100),'Quantification_Config'!$U$2),""),"")</x:f>
        <x:v>50</x:v>
      </x:c>
      <x:c r="BB422" t="inlineStr">
        <x:is>
          <x:t xml:space="preserve">SYSTEM-TEST-ONLY-NO-NETWORK-NOT-AN-EDUCATIONAL-EVALUATION</x:t>
        </x:is>
      </x:c>
      <x:c r="BC422" t="inlineStr">
        <x:is>
          <x:t xml:space="preserve"/>
        </x:is>
      </x:c>
      <x:c r="BD422" t="inlineStr">
        <x:is>
          <x:t xml:space="preserve">NONE</x:t>
        </x:is>
      </x:c>
      <x:c r="BE422" t="inlineStr">
        <x:is>
          <x:t xml:space="preserve"/>
        </x:is>
      </x:c>
      <x:c r="BF422" t="inlineStr">
        <x:is>
          <x:t xml:space="preserve">SUCCESS</x:t>
        </x:is>
      </x:c>
      <x:c r="BG422" t="n">
        <x:f>IF((COUNT('Quantification_Results'!BA422)=1),IFERROR(ROUND((SUM(('Quantification_Results'!BA422*'Quantification_Config'!$R$19))/SUM('Quantification_Config'!$R$19)),'Quantification_Config'!$U$2),""),"")</x:f>
        <x:v>50</x:v>
      </x:c>
      <x:c r="BH422" t="n">
        <x:f>IF((COUNT('Quantification_Results'!BG422)=1),IFERROR(ROUND((SUM(('Quantification_Results'!BG422*'Quantification_Config'!$R$18))/SUM('Quantification_Config'!$R$18)),'Quantification_Config'!$U$2),""),"")</x:f>
        <x:v>50</x:v>
      </x:c>
      <x:c r="BI422">
        <x:f>IF((COUNT('Quantification_Results'!L422,'Quantification_Results'!X422,'Quantification_Results'!AJ422,'Quantification_Results'!AV422,'Quantification_Results'!BH422)=5),IFERROR(ROUND((SUM(('Quantification_Results'!L422*'Quantification_Config'!$R$4),('Quantification_Results'!X422*'Quantification_Config'!$R$7),('Quantification_Results'!AJ422*'Quantification_Config'!$R$10),('Quantification_Results'!AV422*'Quantification_Config'!$R$13),('Quantification_Results'!BH422*'Quantification_Config'!$R$16))/SUM('Quantification_Config'!$R$4,'Quantification_Config'!$R$7,'Quantification_Config'!$R$10,'Quantification_Config'!$R$13,'Quantification_Config'!$R$16)),'Quantification_Config'!$U$2),""),"")</x:f>
      </x:c>
    </x:row>
    <x:row r="423">
      <x:c r="A423" t="n">
        <x:v>1</x:v>
      </x:c>
      <x:c r="B423" t="n">
        <x:v>5</x:v>
      </x:c>
      <x:c r="C423"/>
      <x:c r="D423" t="n">
        <x:f>IF(('Quantification_Results'!A423&lt;&gt;1),"",IF(('Quantification_Results'!C423=""),IF(ISNUMBER('Quantification_Results'!B423),IF(('Quantification_Results'!B423&lt;'Quantification_Config'!$S$6),"",IF(('Quantification_Results'!B423&gt;'Quantification_Config'!$T$6),"",'Quantification_Results'!B423)),""),IF(ISNUMBER('Quantification_Results'!C423),IF(('Quantification_Results'!C423&lt;'Quantification_Config'!$S$6),"",IF(('Quantification_Results'!C423&gt;'Quantification_Config'!$T$6),"",'Quantification_Results'!C423)),"")))</x:f>
        <x:v>5</x:v>
      </x:c>
      <x:c r="E423" t="n">
        <x:f>IF(ISNUMBER('Quantification_Results'!D423),IFERROR(ROUND(((('Quantification_Results'!D423-'Quantification_Config'!$S$6)/('Quantification_Config'!$T$6-'Quantification_Config'!$S$6))*100),'Quantification_Config'!$U$2),""),"")</x:f>
        <x:v>50</x:v>
      </x:c>
      <x:c r="F423" t="inlineStr">
        <x:is>
          <x:t xml:space="preserve">SYSTEM-TEST-ONLY-NO-NETWORK-NOT-AN-EDUCATIONAL-EVALUATION</x:t>
        </x:is>
      </x:c>
      <x:c r="G423" t="inlineStr">
        <x:is>
          <x:t xml:space="preserve"/>
        </x:is>
      </x:c>
      <x:c r="H423" t="inlineStr">
        <x:is>
          <x:t xml:space="preserve">NONE</x:t>
        </x:is>
      </x:c>
      <x:c r="I423" t="inlineStr">
        <x:is>
          <x:t xml:space="preserve"/>
        </x:is>
      </x:c>
      <x:c r="J423" t="inlineStr">
        <x:is>
          <x:t xml:space="preserve">SUCCESS</x:t>
        </x:is>
      </x:c>
      <x:c r="K423" t="n">
        <x:f>IF((COUNT('Quantification_Results'!E423)=1),IFERROR(ROUND((SUM(('Quantification_Results'!E423*'Quantification_Config'!$R$6))/SUM('Quantification_Config'!$R$6)),'Quantification_Config'!$U$2),""),"")</x:f>
        <x:v>50</x:v>
      </x:c>
      <x:c r="L423" t="n">
        <x:f>IF((COUNT('Quantification_Results'!K423)=1),IFERROR(ROUND((SUM(('Quantification_Results'!K423*'Quantification_Config'!$R$5))/SUM('Quantification_Config'!$R$5)),'Quantification_Config'!$U$2),""),"")</x:f>
        <x:v>50</x:v>
      </x:c>
      <x:c r="M423" t="n">
        <x:v>0</x:v>
      </x:c>
      <x:c r="N423"/>
      <x:c r="O423"/>
      <x:c r="P423">
        <x:f>IF(('Quantification_Results'!M423&lt;&gt;1),"",IF(('Quantification_Results'!O423=""),IF(ISNUMBER('Quantification_Results'!N423),IF(('Quantification_Results'!N423&lt;'Quantification_Config'!$S$9),"",IF(('Quantification_Results'!N423&gt;'Quantification_Config'!$T$9),"",'Quantification_Results'!N423)),""),IF(ISNUMBER('Quantification_Results'!O423),IF(('Quantification_Results'!O423&lt;'Quantification_Config'!$S$9),"",IF(('Quantification_Results'!O423&gt;'Quantification_Config'!$T$9),"",'Quantification_Results'!O423)),"")))</x:f>
      </x:c>
      <x:c r="Q423">
        <x:f>IF(ISNUMBER('Quantification_Results'!P423),IFERROR(ROUND(((('Quantification_Results'!P423-'Quantification_Config'!$S$9)/('Quantification_Config'!$T$9-'Quantification_Config'!$S$9))*100),'Quantification_Config'!$U$2),""),"")</x:f>
      </x:c>
      <x:c r="R423" t="inlineStr">
        <x:is>
          <x:t xml:space="preserve"/>
        </x:is>
      </x:c>
      <x:c r="S423" t="inlineStr">
        <x:is>
          <x:t xml:space="preserve"/>
        </x:is>
      </x:c>
      <x:c r="T423" t="inlineStr">
        <x:is>
          <x:t xml:space="preserve"/>
        </x:is>
      </x:c>
      <x:c r="U423" t="inlineStr">
        <x:is>
          <x:t xml:space="preserve"/>
        </x:is>
      </x:c>
      <x:c r="V423" t="inlineStr">
        <x:is>
          <x:t xml:space="preserve">EMPTY</x:t>
        </x:is>
      </x:c>
      <x:c r="W423">
        <x:f>IF((COUNT('Quantification_Results'!Q423)=1),IFERROR(ROUND((SUM(('Quantification_Results'!Q423*'Quantification_Config'!$R$9))/SUM('Quantification_Config'!$R$9)),'Quantification_Config'!$U$2),""),"")</x:f>
      </x:c>
      <x:c r="X423">
        <x:f>IF((COUNT('Quantification_Results'!W423)=1),IFERROR(ROUND((SUM(('Quantification_Results'!W423*'Quantification_Config'!$R$8))/SUM('Quantification_Config'!$R$8)),'Quantification_Config'!$U$2),""),"")</x:f>
      </x:c>
      <x:c r="Y423" t="n">
        <x:v>0</x:v>
      </x:c>
      <x:c r="Z423"/>
      <x:c r="AA423"/>
      <x:c r="AB423">
        <x:f>IF(('Quantification_Results'!Y423&lt;&gt;1),"",IF(('Quantification_Results'!AA423=""),IF(ISNUMBER('Quantification_Results'!Z423),IF(('Quantification_Results'!Z423&lt;'Quantification_Config'!$S$12),"",IF(('Quantification_Results'!Z423&gt;'Quantification_Config'!$T$12),"",'Quantification_Results'!Z423)),""),IF(ISNUMBER('Quantification_Results'!AA423),IF(('Quantification_Results'!AA423&lt;'Quantification_Config'!$S$12),"",IF(('Quantification_Results'!AA423&gt;'Quantification_Config'!$T$12),"",'Quantification_Results'!AA423)),"")))</x:f>
      </x:c>
      <x:c r="AC423">
        <x:f>IF(ISNUMBER('Quantification_Results'!AB423),IFERROR(ROUND(((('Quantification_Results'!AB423-'Quantification_Config'!$S$12)/('Quantification_Config'!$T$12-'Quantification_Config'!$S$12))*100),'Quantification_Config'!$U$2),""),"")</x:f>
      </x:c>
      <x:c r="AD423" t="inlineStr">
        <x:is>
          <x:t xml:space="preserve"/>
        </x:is>
      </x:c>
      <x:c r="AE423" t="inlineStr">
        <x:is>
          <x:t xml:space="preserve"/>
        </x:is>
      </x:c>
      <x:c r="AF423" t="inlineStr">
        <x:is>
          <x:t xml:space="preserve"/>
        </x:is>
      </x:c>
      <x:c r="AG423" t="inlineStr">
        <x:is>
          <x:t xml:space="preserve"/>
        </x:is>
      </x:c>
      <x:c r="AH423" t="inlineStr">
        <x:is>
          <x:t xml:space="preserve">EMPTY</x:t>
        </x:is>
      </x:c>
      <x:c r="AI423">
        <x:f>IF((COUNT('Quantification_Results'!AC423)=1),IFERROR(ROUND((SUM(('Quantification_Results'!AC423*'Quantification_Config'!$R$12))/SUM('Quantification_Config'!$R$12)),'Quantification_Config'!$U$2),""),"")</x:f>
      </x:c>
      <x:c r="AJ423">
        <x:f>IF((COUNT('Quantification_Results'!AI423)=1),IFERROR(ROUND((SUM(('Quantification_Results'!AI423*'Quantification_Config'!$R$11))/SUM('Quantification_Config'!$R$11)),'Quantification_Config'!$U$2),""),"")</x:f>
      </x:c>
      <x:c r="AK423" t="n">
        <x:v>1</x:v>
      </x:c>
      <x:c r="AL423" t="n">
        <x:v>5</x:v>
      </x:c>
      <x:c r="AM423"/>
      <x:c r="AN423" t="n">
        <x:f>IF(('Quantification_Results'!AK423&lt;&gt;1),"",IF(('Quantification_Results'!AM423=""),IF(ISNUMBER('Quantification_Results'!AL423),IF(('Quantification_Results'!AL423&lt;'Quantification_Config'!$S$15),"",IF(('Quantification_Results'!AL423&gt;'Quantification_Config'!$T$15),"",'Quantification_Results'!AL423)),""),IF(ISNUMBER('Quantification_Results'!AM423),IF(('Quantification_Results'!AM423&lt;'Quantification_Config'!$S$15),"",IF(('Quantification_Results'!AM423&gt;'Quantification_Config'!$T$15),"",'Quantification_Results'!AM423)),"")))</x:f>
        <x:v>5</x:v>
      </x:c>
      <x:c r="AO423" t="n">
        <x:f>IF(ISNUMBER('Quantification_Results'!AN423),IFERROR(ROUND(((('Quantification_Results'!AN423-'Quantification_Config'!$S$15)/('Quantification_Config'!$T$15-'Quantification_Config'!$S$15))*100),'Quantification_Config'!$U$2),""),"")</x:f>
        <x:v>50</x:v>
      </x:c>
      <x:c r="AP423" t="inlineStr">
        <x:is>
          <x:t xml:space="preserve">SYSTEM-TEST-ONLY-NO-NETWORK-NOT-AN-EDUCATIONAL-EVALUATION</x:t>
        </x:is>
      </x:c>
      <x:c r="AQ423" t="inlineStr">
        <x:is>
          <x:t xml:space="preserve"/>
        </x:is>
      </x:c>
      <x:c r="AR423" t="inlineStr">
        <x:is>
          <x:t xml:space="preserve">NONE</x:t>
        </x:is>
      </x:c>
      <x:c r="AS423" t="inlineStr">
        <x:is>
          <x:t xml:space="preserve"/>
        </x:is>
      </x:c>
      <x:c r="AT423" t="inlineStr">
        <x:is>
          <x:t xml:space="preserve">SUCCESS</x:t>
        </x:is>
      </x:c>
      <x:c r="AU423" t="n">
        <x:f>IF((COUNT('Quantification_Results'!AO423)=1),IFERROR(ROUND((SUM(('Quantification_Results'!AO423*'Quantification_Config'!$R$15))/SUM('Quantification_Config'!$R$15)),'Quantification_Config'!$U$2),""),"")</x:f>
        <x:v>50</x:v>
      </x:c>
      <x:c r="AV423" t="n">
        <x:f>IF((COUNT('Quantification_Results'!AU423)=1),IFERROR(ROUND((SUM(('Quantification_Results'!AU423*'Quantification_Config'!$R$14))/SUM('Quantification_Config'!$R$14)),'Quantification_Config'!$U$2),""),"")</x:f>
        <x:v>50</x:v>
      </x:c>
      <x:c r="AW423" t="n">
        <x:v>0</x:v>
      </x:c>
      <x:c r="AX423"/>
      <x:c r="AY423"/>
      <x:c r="AZ423">
        <x:f>IF(('Quantification_Results'!AW423&lt;&gt;1),"",IF(('Quantification_Results'!AY423=""),IF(ISNUMBER('Quantification_Results'!AX423),IF(('Quantification_Results'!AX423&lt;'Quantification_Config'!$S$19),"",IF(('Quantification_Results'!AX423&gt;'Quantification_Config'!$T$19),"",'Quantification_Results'!AX423)),""),IF(ISNUMBER('Quantification_Results'!AY423),IF(('Quantification_Results'!AY423&lt;'Quantification_Config'!$S$19),"",IF(('Quantification_Results'!AY423&gt;'Quantification_Config'!$T$19),"",'Quantification_Results'!AY423)),"")))</x:f>
      </x:c>
      <x:c r="BA423">
        <x:f>IF(ISNUMBER('Quantification_Results'!AZ423),IFERROR(ROUND(((('Quantification_Results'!AZ423-'Quantification_Config'!$S$19)/('Quantification_Config'!$T$19-'Quantification_Config'!$S$19))*100),'Quantification_Config'!$U$2),""),"")</x:f>
      </x:c>
      <x:c r="BB423" t="inlineStr">
        <x:is>
          <x:t xml:space="preserve"/>
        </x:is>
      </x:c>
      <x:c r="BC423" t="inlineStr">
        <x:is>
          <x:t xml:space="preserve"/>
        </x:is>
      </x:c>
      <x:c r="BD423" t="inlineStr">
        <x:is>
          <x:t xml:space="preserve"/>
        </x:is>
      </x:c>
      <x:c r="BE423" t="inlineStr">
        <x:is>
          <x:t xml:space="preserve"/>
        </x:is>
      </x:c>
      <x:c r="BF423" t="inlineStr">
        <x:is>
          <x:t xml:space="preserve">EMPTY</x:t>
        </x:is>
      </x:c>
      <x:c r="BG423">
        <x:f>IF((COUNT('Quantification_Results'!BA423)=1),IFERROR(ROUND((SUM(('Quantification_Results'!BA423*'Quantification_Config'!$R$19))/SUM('Quantification_Config'!$R$19)),'Quantification_Config'!$U$2),""),"")</x:f>
      </x:c>
      <x:c r="BH423">
        <x:f>IF((COUNT('Quantification_Results'!BG423)=1),IFERROR(ROUND((SUM(('Quantification_Results'!BG423*'Quantification_Config'!$R$18))/SUM('Quantification_Config'!$R$18)),'Quantification_Config'!$U$2),""),"")</x:f>
      </x:c>
      <x:c r="BI423">
        <x:f>IF((COUNT('Quantification_Results'!L423,'Quantification_Results'!X423,'Quantification_Results'!AJ423,'Quantification_Results'!AV423,'Quantification_Results'!BH423)=5),IFERROR(ROUND((SUM(('Quantification_Results'!L423*'Quantification_Config'!$R$4),('Quantification_Results'!X423*'Quantification_Config'!$R$7),('Quantification_Results'!AJ423*'Quantification_Config'!$R$10),('Quantification_Results'!AV423*'Quantification_Config'!$R$13),('Quantification_Results'!BH423*'Quantification_Config'!$R$16))/SUM('Quantification_Config'!$R$4,'Quantification_Config'!$R$7,'Quantification_Config'!$R$10,'Quantification_Config'!$R$13,'Quantification_Config'!$R$16)),'Quantification_Config'!$U$2),""),"")</x:f>
      </x:c>
    </x:row>
    <x:row r="424">
      <x:c r="A424" t="n">
        <x:v>1</x:v>
      </x:c>
      <x:c r="B424" t="n">
        <x:v>5</x:v>
      </x:c>
      <x:c r="C424"/>
      <x:c r="D424" t="n">
        <x:f>IF(('Quantification_Results'!A424&lt;&gt;1),"",IF(('Quantification_Results'!C424=""),IF(ISNUMBER('Quantification_Results'!B424),IF(('Quantification_Results'!B424&lt;'Quantification_Config'!$S$6),"",IF(('Quantification_Results'!B424&gt;'Quantification_Config'!$T$6),"",'Quantification_Results'!B424)),""),IF(ISNUMBER('Quantification_Results'!C424),IF(('Quantification_Results'!C424&lt;'Quantification_Config'!$S$6),"",IF(('Quantification_Results'!C424&gt;'Quantification_Config'!$T$6),"",'Quantification_Results'!C424)),"")))</x:f>
        <x:v>5</x:v>
      </x:c>
      <x:c r="E424" t="n">
        <x:f>IF(ISNUMBER('Quantification_Results'!D424),IFERROR(ROUND(((('Quantification_Results'!D424-'Quantification_Config'!$S$6)/('Quantification_Config'!$T$6-'Quantification_Config'!$S$6))*100),'Quantification_Config'!$U$2),""),"")</x:f>
        <x:v>50</x:v>
      </x:c>
      <x:c r="F424" t="inlineStr">
        <x:is>
          <x:t xml:space="preserve">SYSTEM-TEST-ONLY-NO-NETWORK-NOT-AN-EDUCATIONAL-EVALUATION</x:t>
        </x:is>
      </x:c>
      <x:c r="G424" t="inlineStr">
        <x:is>
          <x:t xml:space="preserve"/>
        </x:is>
      </x:c>
      <x:c r="H424" t="inlineStr">
        <x:is>
          <x:t xml:space="preserve">NONE</x:t>
        </x:is>
      </x:c>
      <x:c r="I424" t="inlineStr">
        <x:is>
          <x:t xml:space="preserve"/>
        </x:is>
      </x:c>
      <x:c r="J424" t="inlineStr">
        <x:is>
          <x:t xml:space="preserve">SUCCESS</x:t>
        </x:is>
      </x:c>
      <x:c r="K424" t="n">
        <x:f>IF((COUNT('Quantification_Results'!E424)=1),IFERROR(ROUND((SUM(('Quantification_Results'!E424*'Quantification_Config'!$R$6))/SUM('Quantification_Config'!$R$6)),'Quantification_Config'!$U$2),""),"")</x:f>
        <x:v>50</x:v>
      </x:c>
      <x:c r="L424" t="n">
        <x:f>IF((COUNT('Quantification_Results'!K424)=1),IFERROR(ROUND((SUM(('Quantification_Results'!K424*'Quantification_Config'!$R$5))/SUM('Quantification_Config'!$R$5)),'Quantification_Config'!$U$2),""),"")</x:f>
        <x:v>50</x:v>
      </x:c>
      <x:c r="M424" t="n">
        <x:v>1</x:v>
      </x:c>
      <x:c r="N424" t="n">
        <x:v>5</x:v>
      </x:c>
      <x:c r="O424"/>
      <x:c r="P424" t="n">
        <x:f>IF(('Quantification_Results'!M424&lt;&gt;1),"",IF(('Quantification_Results'!O424=""),IF(ISNUMBER('Quantification_Results'!N424),IF(('Quantification_Results'!N424&lt;'Quantification_Config'!$S$9),"",IF(('Quantification_Results'!N424&gt;'Quantification_Config'!$T$9),"",'Quantification_Results'!N424)),""),IF(ISNUMBER('Quantification_Results'!O424),IF(('Quantification_Results'!O424&lt;'Quantification_Config'!$S$9),"",IF(('Quantification_Results'!O424&gt;'Quantification_Config'!$T$9),"",'Quantification_Results'!O424)),"")))</x:f>
        <x:v>5</x:v>
      </x:c>
      <x:c r="Q424" t="n">
        <x:f>IF(ISNUMBER('Quantification_Results'!P424),IFERROR(ROUND(((('Quantification_Results'!P424-'Quantification_Config'!$S$9)/('Quantification_Config'!$T$9-'Quantification_Config'!$S$9))*100),'Quantification_Config'!$U$2),""),"")</x:f>
        <x:v>50</x:v>
      </x:c>
      <x:c r="R424" t="inlineStr">
        <x:is>
          <x:t xml:space="preserve">SYSTEM-TEST-ONLY-NO-NETWORK-NOT-AN-EDUCATIONAL-EVALUATION</x:t>
        </x:is>
      </x:c>
      <x:c r="S424" t="inlineStr">
        <x:is>
          <x:t xml:space="preserve"/>
        </x:is>
      </x:c>
      <x:c r="T424" t="inlineStr">
        <x:is>
          <x:t xml:space="preserve">NONE</x:t>
        </x:is>
      </x:c>
      <x:c r="U424" t="inlineStr">
        <x:is>
          <x:t xml:space="preserve"/>
        </x:is>
      </x:c>
      <x:c r="V424" t="inlineStr">
        <x:is>
          <x:t xml:space="preserve">SUCCESS</x:t>
        </x:is>
      </x:c>
      <x:c r="W424" t="n">
        <x:f>IF((COUNT('Quantification_Results'!Q424)=1),IFERROR(ROUND((SUM(('Quantification_Results'!Q424*'Quantification_Config'!$R$9))/SUM('Quantification_Config'!$R$9)),'Quantification_Config'!$U$2),""),"")</x:f>
        <x:v>50</x:v>
      </x:c>
      <x:c r="X424" t="n">
        <x:f>IF((COUNT('Quantification_Results'!W424)=1),IFERROR(ROUND((SUM(('Quantification_Results'!W424*'Quantification_Config'!$R$8))/SUM('Quantification_Config'!$R$8)),'Quantification_Config'!$U$2),""),"")</x:f>
        <x:v>50</x:v>
      </x:c>
      <x:c r="Y424" t="n">
        <x:v>0</x:v>
      </x:c>
      <x:c r="Z424"/>
      <x:c r="AA424"/>
      <x:c r="AB424">
        <x:f>IF(('Quantification_Results'!Y424&lt;&gt;1),"",IF(('Quantification_Results'!AA424=""),IF(ISNUMBER('Quantification_Results'!Z424),IF(('Quantification_Results'!Z424&lt;'Quantification_Config'!$S$12),"",IF(('Quantification_Results'!Z424&gt;'Quantification_Config'!$T$12),"",'Quantification_Results'!Z424)),""),IF(ISNUMBER('Quantification_Results'!AA424),IF(('Quantification_Results'!AA424&lt;'Quantification_Config'!$S$12),"",IF(('Quantification_Results'!AA424&gt;'Quantification_Config'!$T$12),"",'Quantification_Results'!AA424)),"")))</x:f>
      </x:c>
      <x:c r="AC424">
        <x:f>IF(ISNUMBER('Quantification_Results'!AB424),IFERROR(ROUND(((('Quantification_Results'!AB424-'Quantification_Config'!$S$12)/('Quantification_Config'!$T$12-'Quantification_Config'!$S$12))*100),'Quantification_Config'!$U$2),""),"")</x:f>
      </x:c>
      <x:c r="AD424" t="inlineStr">
        <x:is>
          <x:t xml:space="preserve"/>
        </x:is>
      </x:c>
      <x:c r="AE424" t="inlineStr">
        <x:is>
          <x:t xml:space="preserve"/>
        </x:is>
      </x:c>
      <x:c r="AF424" t="inlineStr">
        <x:is>
          <x:t xml:space="preserve"/>
        </x:is>
      </x:c>
      <x:c r="AG424" t="inlineStr">
        <x:is>
          <x:t xml:space="preserve"/>
        </x:is>
      </x:c>
      <x:c r="AH424" t="inlineStr">
        <x:is>
          <x:t xml:space="preserve">EMPTY</x:t>
        </x:is>
      </x:c>
      <x:c r="AI424">
        <x:f>IF((COUNT('Quantification_Results'!AC424)=1),IFERROR(ROUND((SUM(('Quantification_Results'!AC424*'Quantification_Config'!$R$12))/SUM('Quantification_Config'!$R$12)),'Quantification_Config'!$U$2),""),"")</x:f>
      </x:c>
      <x:c r="AJ424">
        <x:f>IF((COUNT('Quantification_Results'!AI424)=1),IFERROR(ROUND((SUM(('Quantification_Results'!AI424*'Quantification_Config'!$R$11))/SUM('Quantification_Config'!$R$11)),'Quantification_Config'!$U$2),""),"")</x:f>
      </x:c>
      <x:c r="AK424" t="n">
        <x:v>1</x:v>
      </x:c>
      <x:c r="AL424" t="n">
        <x:v>5</x:v>
      </x:c>
      <x:c r="AM424"/>
      <x:c r="AN424" t="n">
        <x:f>IF(('Quantification_Results'!AK424&lt;&gt;1),"",IF(('Quantification_Results'!AM424=""),IF(ISNUMBER('Quantification_Results'!AL424),IF(('Quantification_Results'!AL424&lt;'Quantification_Config'!$S$15),"",IF(('Quantification_Results'!AL424&gt;'Quantification_Config'!$T$15),"",'Quantification_Results'!AL424)),""),IF(ISNUMBER('Quantification_Results'!AM424),IF(('Quantification_Results'!AM424&lt;'Quantification_Config'!$S$15),"",IF(('Quantification_Results'!AM424&gt;'Quantification_Config'!$T$15),"",'Quantification_Results'!AM424)),"")))</x:f>
        <x:v>5</x:v>
      </x:c>
      <x:c r="AO424" t="n">
        <x:f>IF(ISNUMBER('Quantification_Results'!AN424),IFERROR(ROUND(((('Quantification_Results'!AN424-'Quantification_Config'!$S$15)/('Quantification_Config'!$T$15-'Quantification_Config'!$S$15))*100),'Quantification_Config'!$U$2),""),"")</x:f>
        <x:v>50</x:v>
      </x:c>
      <x:c r="AP424" t="inlineStr">
        <x:is>
          <x:t xml:space="preserve">SYSTEM-TEST-ONLY-NO-NETWORK-NOT-AN-EDUCATIONAL-EVALUATION</x:t>
        </x:is>
      </x:c>
      <x:c r="AQ424" t="inlineStr">
        <x:is>
          <x:t xml:space="preserve"/>
        </x:is>
      </x:c>
      <x:c r="AR424" t="inlineStr">
        <x:is>
          <x:t xml:space="preserve">NONE</x:t>
        </x:is>
      </x:c>
      <x:c r="AS424" t="inlineStr">
        <x:is>
          <x:t xml:space="preserve"/>
        </x:is>
      </x:c>
      <x:c r="AT424" t="inlineStr">
        <x:is>
          <x:t xml:space="preserve">SUCCESS</x:t>
        </x:is>
      </x:c>
      <x:c r="AU424" t="n">
        <x:f>IF((COUNT('Quantification_Results'!AO424)=1),IFERROR(ROUND((SUM(('Quantification_Results'!AO424*'Quantification_Config'!$R$15))/SUM('Quantification_Config'!$R$15)),'Quantification_Config'!$U$2),""),"")</x:f>
        <x:v>50</x:v>
      </x:c>
      <x:c r="AV424" t="n">
        <x:f>IF((COUNT('Quantification_Results'!AU424)=1),IFERROR(ROUND((SUM(('Quantification_Results'!AU424*'Quantification_Config'!$R$14))/SUM('Quantification_Config'!$R$14)),'Quantification_Config'!$U$2),""),"")</x:f>
        <x:v>50</x:v>
      </x:c>
      <x:c r="AW424" t="n">
        <x:v>1</x:v>
      </x:c>
      <x:c r="AX424" t="n">
        <x:v>5</x:v>
      </x:c>
      <x:c r="AY424"/>
      <x:c r="AZ424" t="n">
        <x:f>IF(('Quantification_Results'!AW424&lt;&gt;1),"",IF(('Quantification_Results'!AY424=""),IF(ISNUMBER('Quantification_Results'!AX424),IF(('Quantification_Results'!AX424&lt;'Quantification_Config'!$S$19),"",IF(('Quantification_Results'!AX424&gt;'Quantification_Config'!$T$19),"",'Quantification_Results'!AX424)),""),IF(ISNUMBER('Quantification_Results'!AY424),IF(('Quantification_Results'!AY424&lt;'Quantification_Config'!$S$19),"",IF(('Quantification_Results'!AY424&gt;'Quantification_Config'!$T$19),"",'Quantification_Results'!AY424)),"")))</x:f>
        <x:v>5</x:v>
      </x:c>
      <x:c r="BA424" t="n">
        <x:f>IF(ISNUMBER('Quantification_Results'!AZ424),IFERROR(ROUND(((('Quantification_Results'!AZ424-'Quantification_Config'!$S$19)/('Quantification_Config'!$T$19-'Quantification_Config'!$S$19))*100),'Quantification_Config'!$U$2),""),"")</x:f>
        <x:v>50</x:v>
      </x:c>
      <x:c r="BB424" t="inlineStr">
        <x:is>
          <x:t xml:space="preserve">SYSTEM-TEST-ONLY-NO-NETWORK-NOT-AN-EDUCATIONAL-EVALUATION</x:t>
        </x:is>
      </x:c>
      <x:c r="BC424" t="inlineStr">
        <x:is>
          <x:t xml:space="preserve"/>
        </x:is>
      </x:c>
      <x:c r="BD424" t="inlineStr">
        <x:is>
          <x:t xml:space="preserve">NONE</x:t>
        </x:is>
      </x:c>
      <x:c r="BE424" t="inlineStr">
        <x:is>
          <x:t xml:space="preserve"/>
        </x:is>
      </x:c>
      <x:c r="BF424" t="inlineStr">
        <x:is>
          <x:t xml:space="preserve">SUCCESS</x:t>
        </x:is>
      </x:c>
      <x:c r="BG424" t="n">
        <x:f>IF((COUNT('Quantification_Results'!BA424)=1),IFERROR(ROUND((SUM(('Quantification_Results'!BA424*'Quantification_Config'!$R$19))/SUM('Quantification_Config'!$R$19)),'Quantification_Config'!$U$2),""),"")</x:f>
        <x:v>50</x:v>
      </x:c>
      <x:c r="BH424" t="n">
        <x:f>IF((COUNT('Quantification_Results'!BG424)=1),IFERROR(ROUND((SUM(('Quantification_Results'!BG424*'Quantification_Config'!$R$18))/SUM('Quantification_Config'!$R$18)),'Quantification_Config'!$U$2),""),"")</x:f>
        <x:v>50</x:v>
      </x:c>
      <x:c r="BI424">
        <x:f>IF((COUNT('Quantification_Results'!L424,'Quantification_Results'!X424,'Quantification_Results'!AJ424,'Quantification_Results'!AV424,'Quantification_Results'!BH424)=5),IFERROR(ROUND((SUM(('Quantification_Results'!L424*'Quantification_Config'!$R$4),('Quantification_Results'!X424*'Quantification_Config'!$R$7),('Quantification_Results'!AJ424*'Quantification_Config'!$R$10),('Quantification_Results'!AV424*'Quantification_Config'!$R$13),('Quantification_Results'!BH424*'Quantification_Config'!$R$16))/SUM('Quantification_Config'!$R$4,'Quantification_Config'!$R$7,'Quantification_Config'!$R$10,'Quantification_Config'!$R$13,'Quantification_Config'!$R$16)),'Quantification_Config'!$U$2),""),"")</x:f>
      </x:c>
    </x:row>
    <x:row r="425">
      <x:c r="A425" t="n">
        <x:v>1</x:v>
      </x:c>
      <x:c r="B425" t="n">
        <x:v>5</x:v>
      </x:c>
      <x:c r="C425"/>
      <x:c r="D425" t="n">
        <x:f>IF(('Quantification_Results'!A425&lt;&gt;1),"",IF(('Quantification_Results'!C425=""),IF(ISNUMBER('Quantification_Results'!B425),IF(('Quantification_Results'!B425&lt;'Quantification_Config'!$S$6),"",IF(('Quantification_Results'!B425&gt;'Quantification_Config'!$T$6),"",'Quantification_Results'!B425)),""),IF(ISNUMBER('Quantification_Results'!C425),IF(('Quantification_Results'!C425&lt;'Quantification_Config'!$S$6),"",IF(('Quantification_Results'!C425&gt;'Quantification_Config'!$T$6),"",'Quantification_Results'!C425)),"")))</x:f>
        <x:v>5</x:v>
      </x:c>
      <x:c r="E425" t="n">
        <x:f>IF(ISNUMBER('Quantification_Results'!D425),IFERROR(ROUND(((('Quantification_Results'!D425-'Quantification_Config'!$S$6)/('Quantification_Config'!$T$6-'Quantification_Config'!$S$6))*100),'Quantification_Config'!$U$2),""),"")</x:f>
        <x:v>50</x:v>
      </x:c>
      <x:c r="F425" t="inlineStr">
        <x:is>
          <x:t xml:space="preserve">SYSTEM-TEST-ONLY-NO-NETWORK-NOT-AN-EDUCATIONAL-EVALUATION</x:t>
        </x:is>
      </x:c>
      <x:c r="G425" t="inlineStr">
        <x:is>
          <x:t xml:space="preserve"/>
        </x:is>
      </x:c>
      <x:c r="H425" t="inlineStr">
        <x:is>
          <x:t xml:space="preserve">NONE</x:t>
        </x:is>
      </x:c>
      <x:c r="I425" t="inlineStr">
        <x:is>
          <x:t xml:space="preserve"/>
        </x:is>
      </x:c>
      <x:c r="J425" t="inlineStr">
        <x:is>
          <x:t xml:space="preserve">SUCCESS</x:t>
        </x:is>
      </x:c>
      <x:c r="K425" t="n">
        <x:f>IF((COUNT('Quantification_Results'!E425)=1),IFERROR(ROUND((SUM(('Quantification_Results'!E425*'Quantification_Config'!$R$6))/SUM('Quantification_Config'!$R$6)),'Quantification_Config'!$U$2),""),"")</x:f>
        <x:v>50</x:v>
      </x:c>
      <x:c r="L425" t="n">
        <x:f>IF((COUNT('Quantification_Results'!K425)=1),IFERROR(ROUND((SUM(('Quantification_Results'!K425*'Quantification_Config'!$R$5))/SUM('Quantification_Config'!$R$5)),'Quantification_Config'!$U$2),""),"")</x:f>
        <x:v>50</x:v>
      </x:c>
      <x:c r="M425" t="n">
        <x:v>1</x:v>
      </x:c>
      <x:c r="N425" t="n">
        <x:v>5</x:v>
      </x:c>
      <x:c r="O425"/>
      <x:c r="P425" t="n">
        <x:f>IF(('Quantification_Results'!M425&lt;&gt;1),"",IF(('Quantification_Results'!O425=""),IF(ISNUMBER('Quantification_Results'!N425),IF(('Quantification_Results'!N425&lt;'Quantification_Config'!$S$9),"",IF(('Quantification_Results'!N425&gt;'Quantification_Config'!$T$9),"",'Quantification_Results'!N425)),""),IF(ISNUMBER('Quantification_Results'!O425),IF(('Quantification_Results'!O425&lt;'Quantification_Config'!$S$9),"",IF(('Quantification_Results'!O425&gt;'Quantification_Config'!$T$9),"",'Quantification_Results'!O425)),"")))</x:f>
        <x:v>5</x:v>
      </x:c>
      <x:c r="Q425" t="n">
        <x:f>IF(ISNUMBER('Quantification_Results'!P425),IFERROR(ROUND(((('Quantification_Results'!P425-'Quantification_Config'!$S$9)/('Quantification_Config'!$T$9-'Quantification_Config'!$S$9))*100),'Quantification_Config'!$U$2),""),"")</x:f>
        <x:v>50</x:v>
      </x:c>
      <x:c r="R425" t="inlineStr">
        <x:is>
          <x:t xml:space="preserve">SYSTEM-TEST-ONLY-NO-NETWORK-NOT-AN-EDUCATIONAL-EVALUATION</x:t>
        </x:is>
      </x:c>
      <x:c r="S425" t="inlineStr">
        <x:is>
          <x:t xml:space="preserve"/>
        </x:is>
      </x:c>
      <x:c r="T425" t="inlineStr">
        <x:is>
          <x:t xml:space="preserve">NONE</x:t>
        </x:is>
      </x:c>
      <x:c r="U425" t="inlineStr">
        <x:is>
          <x:t xml:space="preserve"/>
        </x:is>
      </x:c>
      <x:c r="V425" t="inlineStr">
        <x:is>
          <x:t xml:space="preserve">SUCCESS</x:t>
        </x:is>
      </x:c>
      <x:c r="W425" t="n">
        <x:f>IF((COUNT('Quantification_Results'!Q425)=1),IFERROR(ROUND((SUM(('Quantification_Results'!Q425*'Quantification_Config'!$R$9))/SUM('Quantification_Config'!$R$9)),'Quantification_Config'!$U$2),""),"")</x:f>
        <x:v>50</x:v>
      </x:c>
      <x:c r="X425" t="n">
        <x:f>IF((COUNT('Quantification_Results'!W425)=1),IFERROR(ROUND((SUM(('Quantification_Results'!W425*'Quantification_Config'!$R$8))/SUM('Quantification_Config'!$R$8)),'Quantification_Config'!$U$2),""),"")</x:f>
        <x:v>50</x:v>
      </x:c>
      <x:c r="Y425" t="n">
        <x:v>0</x:v>
      </x:c>
      <x:c r="Z425"/>
      <x:c r="AA425"/>
      <x:c r="AB425">
        <x:f>IF(('Quantification_Results'!Y425&lt;&gt;1),"",IF(('Quantification_Results'!AA425=""),IF(ISNUMBER('Quantification_Results'!Z425),IF(('Quantification_Results'!Z425&lt;'Quantification_Config'!$S$12),"",IF(('Quantification_Results'!Z425&gt;'Quantification_Config'!$T$12),"",'Quantification_Results'!Z425)),""),IF(ISNUMBER('Quantification_Results'!AA425),IF(('Quantification_Results'!AA425&lt;'Quantification_Config'!$S$12),"",IF(('Quantification_Results'!AA425&gt;'Quantification_Config'!$T$12),"",'Quantification_Results'!AA425)),"")))</x:f>
      </x:c>
      <x:c r="AC425">
        <x:f>IF(ISNUMBER('Quantification_Results'!AB425),IFERROR(ROUND(((('Quantification_Results'!AB425-'Quantification_Config'!$S$12)/('Quantification_Config'!$T$12-'Quantification_Config'!$S$12))*100),'Quantification_Config'!$U$2),""),"")</x:f>
      </x:c>
      <x:c r="AD425" t="inlineStr">
        <x:is>
          <x:t xml:space="preserve"/>
        </x:is>
      </x:c>
      <x:c r="AE425" t="inlineStr">
        <x:is>
          <x:t xml:space="preserve"/>
        </x:is>
      </x:c>
      <x:c r="AF425" t="inlineStr">
        <x:is>
          <x:t xml:space="preserve"/>
        </x:is>
      </x:c>
      <x:c r="AG425" t="inlineStr">
        <x:is>
          <x:t xml:space="preserve"/>
        </x:is>
      </x:c>
      <x:c r="AH425" t="inlineStr">
        <x:is>
          <x:t xml:space="preserve">EMPTY</x:t>
        </x:is>
      </x:c>
      <x:c r="AI425">
        <x:f>IF((COUNT('Quantification_Results'!AC425)=1),IFERROR(ROUND((SUM(('Quantification_Results'!AC425*'Quantification_Config'!$R$12))/SUM('Quantification_Config'!$R$12)),'Quantification_Config'!$U$2),""),"")</x:f>
      </x:c>
      <x:c r="AJ425">
        <x:f>IF((COUNT('Quantification_Results'!AI425)=1),IFERROR(ROUND((SUM(('Quantification_Results'!AI425*'Quantification_Config'!$R$11))/SUM('Quantification_Config'!$R$11)),'Quantification_Config'!$U$2),""),"")</x:f>
      </x:c>
      <x:c r="AK425" t="n">
        <x:v>1</x:v>
      </x:c>
      <x:c r="AL425" t="n">
        <x:v>5</x:v>
      </x:c>
      <x:c r="AM425"/>
      <x:c r="AN425" t="n">
        <x:f>IF(('Quantification_Results'!AK425&lt;&gt;1),"",IF(('Quantification_Results'!AM425=""),IF(ISNUMBER('Quantification_Results'!AL425),IF(('Quantification_Results'!AL425&lt;'Quantification_Config'!$S$15),"",IF(('Quantification_Results'!AL425&gt;'Quantification_Config'!$T$15),"",'Quantification_Results'!AL425)),""),IF(ISNUMBER('Quantification_Results'!AM425),IF(('Quantification_Results'!AM425&lt;'Quantification_Config'!$S$15),"",IF(('Quantification_Results'!AM425&gt;'Quantification_Config'!$T$15),"",'Quantification_Results'!AM425)),"")))</x:f>
        <x:v>5</x:v>
      </x:c>
      <x:c r="AO425" t="n">
        <x:f>IF(ISNUMBER('Quantification_Results'!AN425),IFERROR(ROUND(((('Quantification_Results'!AN425-'Quantification_Config'!$S$15)/('Quantification_Config'!$T$15-'Quantification_Config'!$S$15))*100),'Quantification_Config'!$U$2),""),"")</x:f>
        <x:v>50</x:v>
      </x:c>
      <x:c r="AP425" t="inlineStr">
        <x:is>
          <x:t xml:space="preserve">SYSTEM-TEST-ONLY-NO-NETWORK-NOT-AN-EDUCATIONAL-EVALUATION</x:t>
        </x:is>
      </x:c>
      <x:c r="AQ425" t="inlineStr">
        <x:is>
          <x:t xml:space="preserve"/>
        </x:is>
      </x:c>
      <x:c r="AR425" t="inlineStr">
        <x:is>
          <x:t xml:space="preserve">NONE</x:t>
        </x:is>
      </x:c>
      <x:c r="AS425" t="inlineStr">
        <x:is>
          <x:t xml:space="preserve"/>
        </x:is>
      </x:c>
      <x:c r="AT425" t="inlineStr">
        <x:is>
          <x:t xml:space="preserve">SUCCESS</x:t>
        </x:is>
      </x:c>
      <x:c r="AU425" t="n">
        <x:f>IF((COUNT('Quantification_Results'!AO425)=1),IFERROR(ROUND((SUM(('Quantification_Results'!AO425*'Quantification_Config'!$R$15))/SUM('Quantification_Config'!$R$15)),'Quantification_Config'!$U$2),""),"")</x:f>
        <x:v>50</x:v>
      </x:c>
      <x:c r="AV425" t="n">
        <x:f>IF((COUNT('Quantification_Results'!AU425)=1),IFERROR(ROUND((SUM(('Quantification_Results'!AU425*'Quantification_Config'!$R$14))/SUM('Quantification_Config'!$R$14)),'Quantification_Config'!$U$2),""),"")</x:f>
        <x:v>50</x:v>
      </x:c>
      <x:c r="AW425" t="n">
        <x:v>1</x:v>
      </x:c>
      <x:c r="AX425" t="n">
        <x:v>5</x:v>
      </x:c>
      <x:c r="AY425"/>
      <x:c r="AZ425" t="n">
        <x:f>IF(('Quantification_Results'!AW425&lt;&gt;1),"",IF(('Quantification_Results'!AY425=""),IF(ISNUMBER('Quantification_Results'!AX425),IF(('Quantification_Results'!AX425&lt;'Quantification_Config'!$S$19),"",IF(('Quantification_Results'!AX425&gt;'Quantification_Config'!$T$19),"",'Quantification_Results'!AX425)),""),IF(ISNUMBER('Quantification_Results'!AY425),IF(('Quantification_Results'!AY425&lt;'Quantification_Config'!$S$19),"",IF(('Quantification_Results'!AY425&gt;'Quantification_Config'!$T$19),"",'Quantification_Results'!AY425)),"")))</x:f>
        <x:v>5</x:v>
      </x:c>
      <x:c r="BA425" t="n">
        <x:f>IF(ISNUMBER('Quantification_Results'!AZ425),IFERROR(ROUND(((('Quantification_Results'!AZ425-'Quantification_Config'!$S$19)/('Quantification_Config'!$T$19-'Quantification_Config'!$S$19))*100),'Quantification_Config'!$U$2),""),"")</x:f>
        <x:v>50</x:v>
      </x:c>
      <x:c r="BB425" t="inlineStr">
        <x:is>
          <x:t xml:space="preserve">SYSTEM-TEST-ONLY-NO-NETWORK-NOT-AN-EDUCATIONAL-EVALUATION</x:t>
        </x:is>
      </x:c>
      <x:c r="BC425" t="inlineStr">
        <x:is>
          <x:t xml:space="preserve"/>
        </x:is>
      </x:c>
      <x:c r="BD425" t="inlineStr">
        <x:is>
          <x:t xml:space="preserve">NONE</x:t>
        </x:is>
      </x:c>
      <x:c r="BE425" t="inlineStr">
        <x:is>
          <x:t xml:space="preserve"/>
        </x:is>
      </x:c>
      <x:c r="BF425" t="inlineStr">
        <x:is>
          <x:t xml:space="preserve">SUCCESS</x:t>
        </x:is>
      </x:c>
      <x:c r="BG425" t="n">
        <x:f>IF((COUNT('Quantification_Results'!BA425)=1),IFERROR(ROUND((SUM(('Quantification_Results'!BA425*'Quantification_Config'!$R$19))/SUM('Quantification_Config'!$R$19)),'Quantification_Config'!$U$2),""),"")</x:f>
        <x:v>50</x:v>
      </x:c>
      <x:c r="BH425" t="n">
        <x:f>IF((COUNT('Quantification_Results'!BG425)=1),IFERROR(ROUND((SUM(('Quantification_Results'!BG425*'Quantification_Config'!$R$18))/SUM('Quantification_Config'!$R$18)),'Quantification_Config'!$U$2),""),"")</x:f>
        <x:v>50</x:v>
      </x:c>
      <x:c r="BI425">
        <x:f>IF((COUNT('Quantification_Results'!L425,'Quantification_Results'!X425,'Quantification_Results'!AJ425,'Quantification_Results'!AV425,'Quantification_Results'!BH425)=5),IFERROR(ROUND((SUM(('Quantification_Results'!L425*'Quantification_Config'!$R$4),('Quantification_Results'!X425*'Quantification_Config'!$R$7),('Quantification_Results'!AJ425*'Quantification_Config'!$R$10),('Quantification_Results'!AV425*'Quantification_Config'!$R$13),('Quantification_Results'!BH425*'Quantification_Config'!$R$16))/SUM('Quantification_Config'!$R$4,'Quantification_Config'!$R$7,'Quantification_Config'!$R$10,'Quantification_Config'!$R$13,'Quantification_Config'!$R$16)),'Quantification_Config'!$U$2),""),"")</x:f>
      </x:c>
    </x:row>
    <x:row r="426">
      <x:c r="A426" t="n">
        <x:v>1</x:v>
      </x:c>
      <x:c r="B426" t="n">
        <x:v>5</x:v>
      </x:c>
      <x:c r="C426"/>
      <x:c r="D426" t="n">
        <x:f>IF(('Quantification_Results'!A426&lt;&gt;1),"",IF(('Quantification_Results'!C426=""),IF(ISNUMBER('Quantification_Results'!B426),IF(('Quantification_Results'!B426&lt;'Quantification_Config'!$S$6),"",IF(('Quantification_Results'!B426&gt;'Quantification_Config'!$T$6),"",'Quantification_Results'!B426)),""),IF(ISNUMBER('Quantification_Results'!C426),IF(('Quantification_Results'!C426&lt;'Quantification_Config'!$S$6),"",IF(('Quantification_Results'!C426&gt;'Quantification_Config'!$T$6),"",'Quantification_Results'!C426)),"")))</x:f>
        <x:v>5</x:v>
      </x:c>
      <x:c r="E426" t="n">
        <x:f>IF(ISNUMBER('Quantification_Results'!D426),IFERROR(ROUND(((('Quantification_Results'!D426-'Quantification_Config'!$S$6)/('Quantification_Config'!$T$6-'Quantification_Config'!$S$6))*100),'Quantification_Config'!$U$2),""),"")</x:f>
        <x:v>50</x:v>
      </x:c>
      <x:c r="F426" t="inlineStr">
        <x:is>
          <x:t xml:space="preserve">SYSTEM-TEST-ONLY-NO-NETWORK-NOT-AN-EDUCATIONAL-EVALUATION</x:t>
        </x:is>
      </x:c>
      <x:c r="G426" t="inlineStr">
        <x:is>
          <x:t xml:space="preserve"/>
        </x:is>
      </x:c>
      <x:c r="H426" t="inlineStr">
        <x:is>
          <x:t xml:space="preserve">NONE</x:t>
        </x:is>
      </x:c>
      <x:c r="I426" t="inlineStr">
        <x:is>
          <x:t xml:space="preserve"/>
        </x:is>
      </x:c>
      <x:c r="J426" t="inlineStr">
        <x:is>
          <x:t xml:space="preserve">SUCCESS</x:t>
        </x:is>
      </x:c>
      <x:c r="K426" t="n">
        <x:f>IF((COUNT('Quantification_Results'!E426)=1),IFERROR(ROUND((SUM(('Quantification_Results'!E426*'Quantification_Config'!$R$6))/SUM('Quantification_Config'!$R$6)),'Quantification_Config'!$U$2),""),"")</x:f>
        <x:v>50</x:v>
      </x:c>
      <x:c r="L426" t="n">
        <x:f>IF((COUNT('Quantification_Results'!K426)=1),IFERROR(ROUND((SUM(('Quantification_Results'!K426*'Quantification_Config'!$R$5))/SUM('Quantification_Config'!$R$5)),'Quantification_Config'!$U$2),""),"")</x:f>
        <x:v>50</x:v>
      </x:c>
      <x:c r="M426" t="n">
        <x:v>0</x:v>
      </x:c>
      <x:c r="N426"/>
      <x:c r="O426"/>
      <x:c r="P426">
        <x:f>IF(('Quantification_Results'!M426&lt;&gt;1),"",IF(('Quantification_Results'!O426=""),IF(ISNUMBER('Quantification_Results'!N426),IF(('Quantification_Results'!N426&lt;'Quantification_Config'!$S$9),"",IF(('Quantification_Results'!N426&gt;'Quantification_Config'!$T$9),"",'Quantification_Results'!N426)),""),IF(ISNUMBER('Quantification_Results'!O426),IF(('Quantification_Results'!O426&lt;'Quantification_Config'!$S$9),"",IF(('Quantification_Results'!O426&gt;'Quantification_Config'!$T$9),"",'Quantification_Results'!O426)),"")))</x:f>
      </x:c>
      <x:c r="Q426">
        <x:f>IF(ISNUMBER('Quantification_Results'!P426),IFERROR(ROUND(((('Quantification_Results'!P426-'Quantification_Config'!$S$9)/('Quantification_Config'!$T$9-'Quantification_Config'!$S$9))*100),'Quantification_Config'!$U$2),""),"")</x:f>
      </x:c>
      <x:c r="R426" t="inlineStr">
        <x:is>
          <x:t xml:space="preserve"/>
        </x:is>
      </x:c>
      <x:c r="S426" t="inlineStr">
        <x:is>
          <x:t xml:space="preserve"/>
        </x:is>
      </x:c>
      <x:c r="T426" t="inlineStr">
        <x:is>
          <x:t xml:space="preserve"/>
        </x:is>
      </x:c>
      <x:c r="U426" t="inlineStr">
        <x:is>
          <x:t xml:space="preserve"/>
        </x:is>
      </x:c>
      <x:c r="V426" t="inlineStr">
        <x:is>
          <x:t xml:space="preserve">EMPTY</x:t>
        </x:is>
      </x:c>
      <x:c r="W426">
        <x:f>IF((COUNT('Quantification_Results'!Q426)=1),IFERROR(ROUND((SUM(('Quantification_Results'!Q426*'Quantification_Config'!$R$9))/SUM('Quantification_Config'!$R$9)),'Quantification_Config'!$U$2),""),"")</x:f>
      </x:c>
      <x:c r="X426">
        <x:f>IF((COUNT('Quantification_Results'!W426)=1),IFERROR(ROUND((SUM(('Quantification_Results'!W426*'Quantification_Config'!$R$8))/SUM('Quantification_Config'!$R$8)),'Quantification_Config'!$U$2),""),"")</x:f>
      </x:c>
      <x:c r="Y426" t="n">
        <x:v>0</x:v>
      </x:c>
      <x:c r="Z426"/>
      <x:c r="AA426"/>
      <x:c r="AB426">
        <x:f>IF(('Quantification_Results'!Y426&lt;&gt;1),"",IF(('Quantification_Results'!AA426=""),IF(ISNUMBER('Quantification_Results'!Z426),IF(('Quantification_Results'!Z426&lt;'Quantification_Config'!$S$12),"",IF(('Quantification_Results'!Z426&gt;'Quantification_Config'!$T$12),"",'Quantification_Results'!Z426)),""),IF(ISNUMBER('Quantification_Results'!AA426),IF(('Quantification_Results'!AA426&lt;'Quantification_Config'!$S$12),"",IF(('Quantification_Results'!AA426&gt;'Quantification_Config'!$T$12),"",'Quantification_Results'!AA426)),"")))</x:f>
      </x:c>
      <x:c r="AC426">
        <x:f>IF(ISNUMBER('Quantification_Results'!AB426),IFERROR(ROUND(((('Quantification_Results'!AB426-'Quantification_Config'!$S$12)/('Quantification_Config'!$T$12-'Quantification_Config'!$S$12))*100),'Quantification_Config'!$U$2),""),"")</x:f>
      </x:c>
      <x:c r="AD426" t="inlineStr">
        <x:is>
          <x:t xml:space="preserve"/>
        </x:is>
      </x:c>
      <x:c r="AE426" t="inlineStr">
        <x:is>
          <x:t xml:space="preserve"/>
        </x:is>
      </x:c>
      <x:c r="AF426" t="inlineStr">
        <x:is>
          <x:t xml:space="preserve"/>
        </x:is>
      </x:c>
      <x:c r="AG426" t="inlineStr">
        <x:is>
          <x:t xml:space="preserve"/>
        </x:is>
      </x:c>
      <x:c r="AH426" t="inlineStr">
        <x:is>
          <x:t xml:space="preserve">EMPTY</x:t>
        </x:is>
      </x:c>
      <x:c r="AI426">
        <x:f>IF((COUNT('Quantification_Results'!AC426)=1),IFERROR(ROUND((SUM(('Quantification_Results'!AC426*'Quantification_Config'!$R$12))/SUM('Quantification_Config'!$R$12)),'Quantification_Config'!$U$2),""),"")</x:f>
      </x:c>
      <x:c r="AJ426">
        <x:f>IF((COUNT('Quantification_Results'!AI426)=1),IFERROR(ROUND((SUM(('Quantification_Results'!AI426*'Quantification_Config'!$R$11))/SUM('Quantification_Config'!$R$11)),'Quantification_Config'!$U$2),""),"")</x:f>
      </x:c>
      <x:c r="AK426" t="n">
        <x:v>1</x:v>
      </x:c>
      <x:c r="AL426" t="n">
        <x:v>5</x:v>
      </x:c>
      <x:c r="AM426"/>
      <x:c r="AN426" t="n">
        <x:f>IF(('Quantification_Results'!AK426&lt;&gt;1),"",IF(('Quantification_Results'!AM426=""),IF(ISNUMBER('Quantification_Results'!AL426),IF(('Quantification_Results'!AL426&lt;'Quantification_Config'!$S$15),"",IF(('Quantification_Results'!AL426&gt;'Quantification_Config'!$T$15),"",'Quantification_Results'!AL426)),""),IF(ISNUMBER('Quantification_Results'!AM426),IF(('Quantification_Results'!AM426&lt;'Quantification_Config'!$S$15),"",IF(('Quantification_Results'!AM426&gt;'Quantification_Config'!$T$15),"",'Quantification_Results'!AM426)),"")))</x:f>
        <x:v>5</x:v>
      </x:c>
      <x:c r="AO426" t="n">
        <x:f>IF(ISNUMBER('Quantification_Results'!AN426),IFERROR(ROUND(((('Quantification_Results'!AN426-'Quantification_Config'!$S$15)/('Quantification_Config'!$T$15-'Quantification_Config'!$S$15))*100),'Quantification_Config'!$U$2),""),"")</x:f>
        <x:v>50</x:v>
      </x:c>
      <x:c r="AP426" t="inlineStr">
        <x:is>
          <x:t xml:space="preserve">SYSTEM-TEST-ONLY-NO-NETWORK-NOT-AN-EDUCATIONAL-EVALUATION</x:t>
        </x:is>
      </x:c>
      <x:c r="AQ426" t="inlineStr">
        <x:is>
          <x:t xml:space="preserve"/>
        </x:is>
      </x:c>
      <x:c r="AR426" t="inlineStr">
        <x:is>
          <x:t xml:space="preserve">NONE</x:t>
        </x:is>
      </x:c>
      <x:c r="AS426" t="inlineStr">
        <x:is>
          <x:t xml:space="preserve"/>
        </x:is>
      </x:c>
      <x:c r="AT426" t="inlineStr">
        <x:is>
          <x:t xml:space="preserve">SUCCESS</x:t>
        </x:is>
      </x:c>
      <x:c r="AU426" t="n">
        <x:f>IF((COUNT('Quantification_Results'!AO426)=1),IFERROR(ROUND((SUM(('Quantification_Results'!AO426*'Quantification_Config'!$R$15))/SUM('Quantification_Config'!$R$15)),'Quantification_Config'!$U$2),""),"")</x:f>
        <x:v>50</x:v>
      </x:c>
      <x:c r="AV426" t="n">
        <x:f>IF((COUNT('Quantification_Results'!AU426)=1),IFERROR(ROUND((SUM(('Quantification_Results'!AU426*'Quantification_Config'!$R$14))/SUM('Quantification_Config'!$R$14)),'Quantification_Config'!$U$2),""),"")</x:f>
        <x:v>50</x:v>
      </x:c>
      <x:c r="AW426" t="n">
        <x:v>0</x:v>
      </x:c>
      <x:c r="AX426"/>
      <x:c r="AY426"/>
      <x:c r="AZ426">
        <x:f>IF(('Quantification_Results'!AW426&lt;&gt;1),"",IF(('Quantification_Results'!AY426=""),IF(ISNUMBER('Quantification_Results'!AX426),IF(('Quantification_Results'!AX426&lt;'Quantification_Config'!$S$19),"",IF(('Quantification_Results'!AX426&gt;'Quantification_Config'!$T$19),"",'Quantification_Results'!AX426)),""),IF(ISNUMBER('Quantification_Results'!AY426),IF(('Quantification_Results'!AY426&lt;'Quantification_Config'!$S$19),"",IF(('Quantification_Results'!AY426&gt;'Quantification_Config'!$T$19),"",'Quantification_Results'!AY426)),"")))</x:f>
      </x:c>
      <x:c r="BA426">
        <x:f>IF(ISNUMBER('Quantification_Results'!AZ426),IFERROR(ROUND(((('Quantification_Results'!AZ426-'Quantification_Config'!$S$19)/('Quantification_Config'!$T$19-'Quantification_Config'!$S$19))*100),'Quantification_Config'!$U$2),""),"")</x:f>
      </x:c>
      <x:c r="BB426" t="inlineStr">
        <x:is>
          <x:t xml:space="preserve"/>
        </x:is>
      </x:c>
      <x:c r="BC426" t="inlineStr">
        <x:is>
          <x:t xml:space="preserve"/>
        </x:is>
      </x:c>
      <x:c r="BD426" t="inlineStr">
        <x:is>
          <x:t xml:space="preserve"/>
        </x:is>
      </x:c>
      <x:c r="BE426" t="inlineStr">
        <x:is>
          <x:t xml:space="preserve"/>
        </x:is>
      </x:c>
      <x:c r="BF426" t="inlineStr">
        <x:is>
          <x:t xml:space="preserve">EMPTY</x:t>
        </x:is>
      </x:c>
      <x:c r="BG426">
        <x:f>IF((COUNT('Quantification_Results'!BA426)=1),IFERROR(ROUND((SUM(('Quantification_Results'!BA426*'Quantification_Config'!$R$19))/SUM('Quantification_Config'!$R$19)),'Quantification_Config'!$U$2),""),"")</x:f>
      </x:c>
      <x:c r="BH426">
        <x:f>IF((COUNT('Quantification_Results'!BG426)=1),IFERROR(ROUND((SUM(('Quantification_Results'!BG426*'Quantification_Config'!$R$18))/SUM('Quantification_Config'!$R$18)),'Quantification_Config'!$U$2),""),"")</x:f>
      </x:c>
      <x:c r="BI426">
        <x:f>IF((COUNT('Quantification_Results'!L426,'Quantification_Results'!X426,'Quantification_Results'!AJ426,'Quantification_Results'!AV426,'Quantification_Results'!BH426)=5),IFERROR(ROUND((SUM(('Quantification_Results'!L426*'Quantification_Config'!$R$4),('Quantification_Results'!X426*'Quantification_Config'!$R$7),('Quantification_Results'!AJ426*'Quantification_Config'!$R$10),('Quantification_Results'!AV426*'Quantification_Config'!$R$13),('Quantification_Results'!BH426*'Quantification_Config'!$R$16))/SUM('Quantification_Config'!$R$4,'Quantification_Config'!$R$7,'Quantification_Config'!$R$10,'Quantification_Config'!$R$13,'Quantification_Config'!$R$16)),'Quantification_Config'!$U$2),""),"")</x:f>
      </x:c>
    </x:row>
    <x:row r="427">
      <x:c r="A427" t="n">
        <x:v>1</x:v>
      </x:c>
      <x:c r="B427" t="n">
        <x:v>5</x:v>
      </x:c>
      <x:c r="C427"/>
      <x:c r="D427" t="n">
        <x:f>IF(('Quantification_Results'!A427&lt;&gt;1),"",IF(('Quantification_Results'!C427=""),IF(ISNUMBER('Quantification_Results'!B427),IF(('Quantification_Results'!B427&lt;'Quantification_Config'!$S$6),"",IF(('Quantification_Results'!B427&gt;'Quantification_Config'!$T$6),"",'Quantification_Results'!B427)),""),IF(ISNUMBER('Quantification_Results'!C427),IF(('Quantification_Results'!C427&lt;'Quantification_Config'!$S$6),"",IF(('Quantification_Results'!C427&gt;'Quantification_Config'!$T$6),"",'Quantification_Results'!C427)),"")))</x:f>
        <x:v>5</x:v>
      </x:c>
      <x:c r="E427" t="n">
        <x:f>IF(ISNUMBER('Quantification_Results'!D427),IFERROR(ROUND(((('Quantification_Results'!D427-'Quantification_Config'!$S$6)/('Quantification_Config'!$T$6-'Quantification_Config'!$S$6))*100),'Quantification_Config'!$U$2),""),"")</x:f>
        <x:v>50</x:v>
      </x:c>
      <x:c r="F427" t="inlineStr">
        <x:is>
          <x:t xml:space="preserve">SYSTEM-TEST-ONLY-NO-NETWORK-NOT-AN-EDUCATIONAL-EVALUATION</x:t>
        </x:is>
      </x:c>
      <x:c r="G427" t="inlineStr">
        <x:is>
          <x:t xml:space="preserve"/>
        </x:is>
      </x:c>
      <x:c r="H427" t="inlineStr">
        <x:is>
          <x:t xml:space="preserve">NONE</x:t>
        </x:is>
      </x:c>
      <x:c r="I427" t="inlineStr">
        <x:is>
          <x:t xml:space="preserve"/>
        </x:is>
      </x:c>
      <x:c r="J427" t="inlineStr">
        <x:is>
          <x:t xml:space="preserve">SUCCESS</x:t>
        </x:is>
      </x:c>
      <x:c r="K427" t="n">
        <x:f>IF((COUNT('Quantification_Results'!E427)=1),IFERROR(ROUND((SUM(('Quantification_Results'!E427*'Quantification_Config'!$R$6))/SUM('Quantification_Config'!$R$6)),'Quantification_Config'!$U$2),""),"")</x:f>
        <x:v>50</x:v>
      </x:c>
      <x:c r="L427" t="n">
        <x:f>IF((COUNT('Quantification_Results'!K427)=1),IFERROR(ROUND((SUM(('Quantification_Results'!K427*'Quantification_Config'!$R$5))/SUM('Quantification_Config'!$R$5)),'Quantification_Config'!$U$2),""),"")</x:f>
        <x:v>50</x:v>
      </x:c>
      <x:c r="M427" t="n">
        <x:v>1</x:v>
      </x:c>
      <x:c r="N427" t="n">
        <x:v>5</x:v>
      </x:c>
      <x:c r="O427"/>
      <x:c r="P427" t="n">
        <x:f>IF(('Quantification_Results'!M427&lt;&gt;1),"",IF(('Quantification_Results'!O427=""),IF(ISNUMBER('Quantification_Results'!N427),IF(('Quantification_Results'!N427&lt;'Quantification_Config'!$S$9),"",IF(('Quantification_Results'!N427&gt;'Quantification_Config'!$T$9),"",'Quantification_Results'!N427)),""),IF(ISNUMBER('Quantification_Results'!O427),IF(('Quantification_Results'!O427&lt;'Quantification_Config'!$S$9),"",IF(('Quantification_Results'!O427&gt;'Quantification_Config'!$T$9),"",'Quantification_Results'!O427)),"")))</x:f>
        <x:v>5</x:v>
      </x:c>
      <x:c r="Q427" t="n">
        <x:f>IF(ISNUMBER('Quantification_Results'!P427),IFERROR(ROUND(((('Quantification_Results'!P427-'Quantification_Config'!$S$9)/('Quantification_Config'!$T$9-'Quantification_Config'!$S$9))*100),'Quantification_Config'!$U$2),""),"")</x:f>
        <x:v>50</x:v>
      </x:c>
      <x:c r="R427" t="inlineStr">
        <x:is>
          <x:t xml:space="preserve">SYSTEM-TEST-ONLY-NO-NETWORK-NOT-AN-EDUCATIONAL-EVALUATION</x:t>
        </x:is>
      </x:c>
      <x:c r="S427" t="inlineStr">
        <x:is>
          <x:t xml:space="preserve"/>
        </x:is>
      </x:c>
      <x:c r="T427" t="inlineStr">
        <x:is>
          <x:t xml:space="preserve">NONE</x:t>
        </x:is>
      </x:c>
      <x:c r="U427" t="inlineStr">
        <x:is>
          <x:t xml:space="preserve"/>
        </x:is>
      </x:c>
      <x:c r="V427" t="inlineStr">
        <x:is>
          <x:t xml:space="preserve">SUCCESS</x:t>
        </x:is>
      </x:c>
      <x:c r="W427" t="n">
        <x:f>IF((COUNT('Quantification_Results'!Q427)=1),IFERROR(ROUND((SUM(('Quantification_Results'!Q427*'Quantification_Config'!$R$9))/SUM('Quantification_Config'!$R$9)),'Quantification_Config'!$U$2),""),"")</x:f>
        <x:v>50</x:v>
      </x:c>
      <x:c r="X427" t="n">
        <x:f>IF((COUNT('Quantification_Results'!W427)=1),IFERROR(ROUND((SUM(('Quantification_Results'!W427*'Quantification_Config'!$R$8))/SUM('Quantification_Config'!$R$8)),'Quantification_Config'!$U$2),""),"")</x:f>
        <x:v>50</x:v>
      </x:c>
      <x:c r="Y427" t="n">
        <x:v>0</x:v>
      </x:c>
      <x:c r="Z427"/>
      <x:c r="AA427"/>
      <x:c r="AB427">
        <x:f>IF(('Quantification_Results'!Y427&lt;&gt;1),"",IF(('Quantification_Results'!AA427=""),IF(ISNUMBER('Quantification_Results'!Z427),IF(('Quantification_Results'!Z427&lt;'Quantification_Config'!$S$12),"",IF(('Quantification_Results'!Z427&gt;'Quantification_Config'!$T$12),"",'Quantification_Results'!Z427)),""),IF(ISNUMBER('Quantification_Results'!AA427),IF(('Quantification_Results'!AA427&lt;'Quantification_Config'!$S$12),"",IF(('Quantification_Results'!AA427&gt;'Quantification_Config'!$T$12),"",'Quantification_Results'!AA427)),"")))</x:f>
      </x:c>
      <x:c r="AC427">
        <x:f>IF(ISNUMBER('Quantification_Results'!AB427),IFERROR(ROUND(((('Quantification_Results'!AB427-'Quantification_Config'!$S$12)/('Quantification_Config'!$T$12-'Quantification_Config'!$S$12))*100),'Quantification_Config'!$U$2),""),"")</x:f>
      </x:c>
      <x:c r="AD427" t="inlineStr">
        <x:is>
          <x:t xml:space="preserve"/>
        </x:is>
      </x:c>
      <x:c r="AE427" t="inlineStr">
        <x:is>
          <x:t xml:space="preserve"/>
        </x:is>
      </x:c>
      <x:c r="AF427" t="inlineStr">
        <x:is>
          <x:t xml:space="preserve"/>
        </x:is>
      </x:c>
      <x:c r="AG427" t="inlineStr">
        <x:is>
          <x:t xml:space="preserve"/>
        </x:is>
      </x:c>
      <x:c r="AH427" t="inlineStr">
        <x:is>
          <x:t xml:space="preserve">EMPTY</x:t>
        </x:is>
      </x:c>
      <x:c r="AI427">
        <x:f>IF((COUNT('Quantification_Results'!AC427)=1),IFERROR(ROUND((SUM(('Quantification_Results'!AC427*'Quantification_Config'!$R$12))/SUM('Quantification_Config'!$R$12)),'Quantification_Config'!$U$2),""),"")</x:f>
      </x:c>
      <x:c r="AJ427">
        <x:f>IF((COUNT('Quantification_Results'!AI427)=1),IFERROR(ROUND((SUM(('Quantification_Results'!AI427*'Quantification_Config'!$R$11))/SUM('Quantification_Config'!$R$11)),'Quantification_Config'!$U$2),""),"")</x:f>
      </x:c>
      <x:c r="AK427" t="n">
        <x:v>1</x:v>
      </x:c>
      <x:c r="AL427" t="n">
        <x:v>5</x:v>
      </x:c>
      <x:c r="AM427"/>
      <x:c r="AN427" t="n">
        <x:f>IF(('Quantification_Results'!AK427&lt;&gt;1),"",IF(('Quantification_Results'!AM427=""),IF(ISNUMBER('Quantification_Results'!AL427),IF(('Quantification_Results'!AL427&lt;'Quantification_Config'!$S$15),"",IF(('Quantification_Results'!AL427&gt;'Quantification_Config'!$T$15),"",'Quantification_Results'!AL427)),""),IF(ISNUMBER('Quantification_Results'!AM427),IF(('Quantification_Results'!AM427&lt;'Quantification_Config'!$S$15),"",IF(('Quantification_Results'!AM427&gt;'Quantification_Config'!$T$15),"",'Quantification_Results'!AM427)),"")))</x:f>
        <x:v>5</x:v>
      </x:c>
      <x:c r="AO427" t="n">
        <x:f>IF(ISNUMBER('Quantification_Results'!AN427),IFERROR(ROUND(((('Quantification_Results'!AN427-'Quantification_Config'!$S$15)/('Quantification_Config'!$T$15-'Quantification_Config'!$S$15))*100),'Quantification_Config'!$U$2),""),"")</x:f>
        <x:v>50</x:v>
      </x:c>
      <x:c r="AP427" t="inlineStr">
        <x:is>
          <x:t xml:space="preserve">SYSTEM-TEST-ONLY-NO-NETWORK-NOT-AN-EDUCATIONAL-EVALUATION</x:t>
        </x:is>
      </x:c>
      <x:c r="AQ427" t="inlineStr">
        <x:is>
          <x:t xml:space="preserve"/>
        </x:is>
      </x:c>
      <x:c r="AR427" t="inlineStr">
        <x:is>
          <x:t xml:space="preserve">NONE</x:t>
        </x:is>
      </x:c>
      <x:c r="AS427" t="inlineStr">
        <x:is>
          <x:t xml:space="preserve"/>
        </x:is>
      </x:c>
      <x:c r="AT427" t="inlineStr">
        <x:is>
          <x:t xml:space="preserve">SUCCESS</x:t>
        </x:is>
      </x:c>
      <x:c r="AU427" t="n">
        <x:f>IF((COUNT('Quantification_Results'!AO427)=1),IFERROR(ROUND((SUM(('Quantification_Results'!AO427*'Quantification_Config'!$R$15))/SUM('Quantification_Config'!$R$15)),'Quantification_Config'!$U$2),""),"")</x:f>
        <x:v>50</x:v>
      </x:c>
      <x:c r="AV427" t="n">
        <x:f>IF((COUNT('Quantification_Results'!AU427)=1),IFERROR(ROUND((SUM(('Quantification_Results'!AU427*'Quantification_Config'!$R$14))/SUM('Quantification_Config'!$R$14)),'Quantification_Config'!$U$2),""),"")</x:f>
        <x:v>50</x:v>
      </x:c>
      <x:c r="AW427" t="n">
        <x:v>1</x:v>
      </x:c>
      <x:c r="AX427" t="n">
        <x:v>5</x:v>
      </x:c>
      <x:c r="AY427"/>
      <x:c r="AZ427" t="n">
        <x:f>IF(('Quantification_Results'!AW427&lt;&gt;1),"",IF(('Quantification_Results'!AY427=""),IF(ISNUMBER('Quantification_Results'!AX427),IF(('Quantification_Results'!AX427&lt;'Quantification_Config'!$S$19),"",IF(('Quantification_Results'!AX427&gt;'Quantification_Config'!$T$19),"",'Quantification_Results'!AX427)),""),IF(ISNUMBER('Quantification_Results'!AY427),IF(('Quantification_Results'!AY427&lt;'Quantification_Config'!$S$19),"",IF(('Quantification_Results'!AY427&gt;'Quantification_Config'!$T$19),"",'Quantification_Results'!AY427)),"")))</x:f>
        <x:v>5</x:v>
      </x:c>
      <x:c r="BA427" t="n">
        <x:f>IF(ISNUMBER('Quantification_Results'!AZ427),IFERROR(ROUND(((('Quantification_Results'!AZ427-'Quantification_Config'!$S$19)/('Quantification_Config'!$T$19-'Quantification_Config'!$S$19))*100),'Quantification_Config'!$U$2),""),"")</x:f>
        <x:v>50</x:v>
      </x:c>
      <x:c r="BB427" t="inlineStr">
        <x:is>
          <x:t xml:space="preserve">SYSTEM-TEST-ONLY-NO-NETWORK-NOT-AN-EDUCATIONAL-EVALUATION</x:t>
        </x:is>
      </x:c>
      <x:c r="BC427" t="inlineStr">
        <x:is>
          <x:t xml:space="preserve"/>
        </x:is>
      </x:c>
      <x:c r="BD427" t="inlineStr">
        <x:is>
          <x:t xml:space="preserve">NONE</x:t>
        </x:is>
      </x:c>
      <x:c r="BE427" t="inlineStr">
        <x:is>
          <x:t xml:space="preserve"/>
        </x:is>
      </x:c>
      <x:c r="BF427" t="inlineStr">
        <x:is>
          <x:t xml:space="preserve">SUCCESS</x:t>
        </x:is>
      </x:c>
      <x:c r="BG427" t="n">
        <x:f>IF((COUNT('Quantification_Results'!BA427)=1),IFERROR(ROUND((SUM(('Quantification_Results'!BA427*'Quantification_Config'!$R$19))/SUM('Quantification_Config'!$R$19)),'Quantification_Config'!$U$2),""),"")</x:f>
        <x:v>50</x:v>
      </x:c>
      <x:c r="BH427" t="n">
        <x:f>IF((COUNT('Quantification_Results'!BG427)=1),IFERROR(ROUND((SUM(('Quantification_Results'!BG427*'Quantification_Config'!$R$18))/SUM('Quantification_Config'!$R$18)),'Quantification_Config'!$U$2),""),"")</x:f>
        <x:v>50</x:v>
      </x:c>
      <x:c r="BI427">
        <x:f>IF((COUNT('Quantification_Results'!L427,'Quantification_Results'!X427,'Quantification_Results'!AJ427,'Quantification_Results'!AV427,'Quantification_Results'!BH427)=5),IFERROR(ROUND((SUM(('Quantification_Results'!L427*'Quantification_Config'!$R$4),('Quantification_Results'!X427*'Quantification_Config'!$R$7),('Quantification_Results'!AJ427*'Quantification_Config'!$R$10),('Quantification_Results'!AV427*'Quantification_Config'!$R$13),('Quantification_Results'!BH427*'Quantification_Config'!$R$16))/SUM('Quantification_Config'!$R$4,'Quantification_Config'!$R$7,'Quantification_Config'!$R$10,'Quantification_Config'!$R$13,'Quantification_Config'!$R$16)),'Quantification_Config'!$U$2),""),"")</x:f>
      </x:c>
    </x:row>
    <x:row r="428">
      <x:c r="A428" t="n">
        <x:v>1</x:v>
      </x:c>
      <x:c r="B428" t="n">
        <x:v>5</x:v>
      </x:c>
      <x:c r="C428"/>
      <x:c r="D428" t="n">
        <x:f>IF(('Quantification_Results'!A428&lt;&gt;1),"",IF(('Quantification_Results'!C428=""),IF(ISNUMBER('Quantification_Results'!B428),IF(('Quantification_Results'!B428&lt;'Quantification_Config'!$S$6),"",IF(('Quantification_Results'!B428&gt;'Quantification_Config'!$T$6),"",'Quantification_Results'!B428)),""),IF(ISNUMBER('Quantification_Results'!C428),IF(('Quantification_Results'!C428&lt;'Quantification_Config'!$S$6),"",IF(('Quantification_Results'!C428&gt;'Quantification_Config'!$T$6),"",'Quantification_Results'!C428)),"")))</x:f>
        <x:v>5</x:v>
      </x:c>
      <x:c r="E428" t="n">
        <x:f>IF(ISNUMBER('Quantification_Results'!D428),IFERROR(ROUND(((('Quantification_Results'!D428-'Quantification_Config'!$S$6)/('Quantification_Config'!$T$6-'Quantification_Config'!$S$6))*100),'Quantification_Config'!$U$2),""),"")</x:f>
        <x:v>50</x:v>
      </x:c>
      <x:c r="F428" t="inlineStr">
        <x:is>
          <x:t xml:space="preserve">SYSTEM-TEST-ONLY-NO-NETWORK-NOT-AN-EDUCATIONAL-EVALUATION</x:t>
        </x:is>
      </x:c>
      <x:c r="G428" t="inlineStr">
        <x:is>
          <x:t xml:space="preserve"/>
        </x:is>
      </x:c>
      <x:c r="H428" t="inlineStr">
        <x:is>
          <x:t xml:space="preserve">NONE</x:t>
        </x:is>
      </x:c>
      <x:c r="I428" t="inlineStr">
        <x:is>
          <x:t xml:space="preserve"/>
        </x:is>
      </x:c>
      <x:c r="J428" t="inlineStr">
        <x:is>
          <x:t xml:space="preserve">SUCCESS</x:t>
        </x:is>
      </x:c>
      <x:c r="K428" t="n">
        <x:f>IF((COUNT('Quantification_Results'!E428)=1),IFERROR(ROUND((SUM(('Quantification_Results'!E428*'Quantification_Config'!$R$6))/SUM('Quantification_Config'!$R$6)),'Quantification_Config'!$U$2),""),"")</x:f>
        <x:v>50</x:v>
      </x:c>
      <x:c r="L428" t="n">
        <x:f>IF((COUNT('Quantification_Results'!K428)=1),IFERROR(ROUND((SUM(('Quantification_Results'!K428*'Quantification_Config'!$R$5))/SUM('Quantification_Config'!$R$5)),'Quantification_Config'!$U$2),""),"")</x:f>
        <x:v>50</x:v>
      </x:c>
      <x:c r="M428" t="n">
        <x:v>1</x:v>
      </x:c>
      <x:c r="N428" t="n">
        <x:v>5</x:v>
      </x:c>
      <x:c r="O428"/>
      <x:c r="P428" t="n">
        <x:f>IF(('Quantification_Results'!M428&lt;&gt;1),"",IF(('Quantification_Results'!O428=""),IF(ISNUMBER('Quantification_Results'!N428),IF(('Quantification_Results'!N428&lt;'Quantification_Config'!$S$9),"",IF(('Quantification_Results'!N428&gt;'Quantification_Config'!$T$9),"",'Quantification_Results'!N428)),""),IF(ISNUMBER('Quantification_Results'!O428),IF(('Quantification_Results'!O428&lt;'Quantification_Config'!$S$9),"",IF(('Quantification_Results'!O428&gt;'Quantification_Config'!$T$9),"",'Quantification_Results'!O428)),"")))</x:f>
        <x:v>5</x:v>
      </x:c>
      <x:c r="Q428" t="n">
        <x:f>IF(ISNUMBER('Quantification_Results'!P428),IFERROR(ROUND(((('Quantification_Results'!P428-'Quantification_Config'!$S$9)/('Quantification_Config'!$T$9-'Quantification_Config'!$S$9))*100),'Quantification_Config'!$U$2),""),"")</x:f>
        <x:v>50</x:v>
      </x:c>
      <x:c r="R428" t="inlineStr">
        <x:is>
          <x:t xml:space="preserve">SYSTEM-TEST-ONLY-NO-NETWORK-NOT-AN-EDUCATIONAL-EVALUATION</x:t>
        </x:is>
      </x:c>
      <x:c r="S428" t="inlineStr">
        <x:is>
          <x:t xml:space="preserve"/>
        </x:is>
      </x:c>
      <x:c r="T428" t="inlineStr">
        <x:is>
          <x:t xml:space="preserve">NONE</x:t>
        </x:is>
      </x:c>
      <x:c r="U428" t="inlineStr">
        <x:is>
          <x:t xml:space="preserve"/>
        </x:is>
      </x:c>
      <x:c r="V428" t="inlineStr">
        <x:is>
          <x:t xml:space="preserve">SUCCESS</x:t>
        </x:is>
      </x:c>
      <x:c r="W428" t="n">
        <x:f>IF((COUNT('Quantification_Results'!Q428)=1),IFERROR(ROUND((SUM(('Quantification_Results'!Q428*'Quantification_Config'!$R$9))/SUM('Quantification_Config'!$R$9)),'Quantification_Config'!$U$2),""),"")</x:f>
        <x:v>50</x:v>
      </x:c>
      <x:c r="X428" t="n">
        <x:f>IF((COUNT('Quantification_Results'!W428)=1),IFERROR(ROUND((SUM(('Quantification_Results'!W428*'Quantification_Config'!$R$8))/SUM('Quantification_Config'!$R$8)),'Quantification_Config'!$U$2),""),"")</x:f>
        <x:v>50</x:v>
      </x:c>
      <x:c r="Y428" t="n">
        <x:v>0</x:v>
      </x:c>
      <x:c r="Z428"/>
      <x:c r="AA428"/>
      <x:c r="AB428">
        <x:f>IF(('Quantification_Results'!Y428&lt;&gt;1),"",IF(('Quantification_Results'!AA428=""),IF(ISNUMBER('Quantification_Results'!Z428),IF(('Quantification_Results'!Z428&lt;'Quantification_Config'!$S$12),"",IF(('Quantification_Results'!Z428&gt;'Quantification_Config'!$T$12),"",'Quantification_Results'!Z428)),""),IF(ISNUMBER('Quantification_Results'!AA428),IF(('Quantification_Results'!AA428&lt;'Quantification_Config'!$S$12),"",IF(('Quantification_Results'!AA428&gt;'Quantification_Config'!$T$12),"",'Quantification_Results'!AA428)),"")))</x:f>
      </x:c>
      <x:c r="AC428">
        <x:f>IF(ISNUMBER('Quantification_Results'!AB428),IFERROR(ROUND(((('Quantification_Results'!AB428-'Quantification_Config'!$S$12)/('Quantification_Config'!$T$12-'Quantification_Config'!$S$12))*100),'Quantification_Config'!$U$2),""),"")</x:f>
      </x:c>
      <x:c r="AD428" t="inlineStr">
        <x:is>
          <x:t xml:space="preserve"/>
        </x:is>
      </x:c>
      <x:c r="AE428" t="inlineStr">
        <x:is>
          <x:t xml:space="preserve"/>
        </x:is>
      </x:c>
      <x:c r="AF428" t="inlineStr">
        <x:is>
          <x:t xml:space="preserve"/>
        </x:is>
      </x:c>
      <x:c r="AG428" t="inlineStr">
        <x:is>
          <x:t xml:space="preserve"/>
        </x:is>
      </x:c>
      <x:c r="AH428" t="inlineStr">
        <x:is>
          <x:t xml:space="preserve">EMPTY</x:t>
        </x:is>
      </x:c>
      <x:c r="AI428">
        <x:f>IF((COUNT('Quantification_Results'!AC428)=1),IFERROR(ROUND((SUM(('Quantification_Results'!AC428*'Quantification_Config'!$R$12))/SUM('Quantification_Config'!$R$12)),'Quantification_Config'!$U$2),""),"")</x:f>
      </x:c>
      <x:c r="AJ428">
        <x:f>IF((COUNT('Quantification_Results'!AI428)=1),IFERROR(ROUND((SUM(('Quantification_Results'!AI428*'Quantification_Config'!$R$11))/SUM('Quantification_Config'!$R$11)),'Quantification_Config'!$U$2),""),"")</x:f>
      </x:c>
      <x:c r="AK428" t="n">
        <x:v>1</x:v>
      </x:c>
      <x:c r="AL428" t="n">
        <x:v>5</x:v>
      </x:c>
      <x:c r="AM428"/>
      <x:c r="AN428" t="n">
        <x:f>IF(('Quantification_Results'!AK428&lt;&gt;1),"",IF(('Quantification_Results'!AM428=""),IF(ISNUMBER('Quantification_Results'!AL428),IF(('Quantification_Results'!AL428&lt;'Quantification_Config'!$S$15),"",IF(('Quantification_Results'!AL428&gt;'Quantification_Config'!$T$15),"",'Quantification_Results'!AL428)),""),IF(ISNUMBER('Quantification_Results'!AM428),IF(('Quantification_Results'!AM428&lt;'Quantification_Config'!$S$15),"",IF(('Quantification_Results'!AM428&gt;'Quantification_Config'!$T$15),"",'Quantification_Results'!AM428)),"")))</x:f>
        <x:v>5</x:v>
      </x:c>
      <x:c r="AO428" t="n">
        <x:f>IF(ISNUMBER('Quantification_Results'!AN428),IFERROR(ROUND(((('Quantification_Results'!AN428-'Quantification_Config'!$S$15)/('Quantification_Config'!$T$15-'Quantification_Config'!$S$15))*100),'Quantification_Config'!$U$2),""),"")</x:f>
        <x:v>50</x:v>
      </x:c>
      <x:c r="AP428" t="inlineStr">
        <x:is>
          <x:t xml:space="preserve">SYSTEM-TEST-ONLY-NO-NETWORK-NOT-AN-EDUCATIONAL-EVALUATION</x:t>
        </x:is>
      </x:c>
      <x:c r="AQ428" t="inlineStr">
        <x:is>
          <x:t xml:space="preserve"/>
        </x:is>
      </x:c>
      <x:c r="AR428" t="inlineStr">
        <x:is>
          <x:t xml:space="preserve">NONE</x:t>
        </x:is>
      </x:c>
      <x:c r="AS428" t="inlineStr">
        <x:is>
          <x:t xml:space="preserve"/>
        </x:is>
      </x:c>
      <x:c r="AT428" t="inlineStr">
        <x:is>
          <x:t xml:space="preserve">SUCCESS</x:t>
        </x:is>
      </x:c>
      <x:c r="AU428" t="n">
        <x:f>IF((COUNT('Quantification_Results'!AO428)=1),IFERROR(ROUND((SUM(('Quantification_Results'!AO428*'Quantification_Config'!$R$15))/SUM('Quantification_Config'!$R$15)),'Quantification_Config'!$U$2),""),"")</x:f>
        <x:v>50</x:v>
      </x:c>
      <x:c r="AV428" t="n">
        <x:f>IF((COUNT('Quantification_Results'!AU428)=1),IFERROR(ROUND((SUM(('Quantification_Results'!AU428*'Quantification_Config'!$R$14))/SUM('Quantification_Config'!$R$14)),'Quantification_Config'!$U$2),""),"")</x:f>
        <x:v>50</x:v>
      </x:c>
      <x:c r="AW428" t="n">
        <x:v>1</x:v>
      </x:c>
      <x:c r="AX428" t="n">
        <x:v>5</x:v>
      </x:c>
      <x:c r="AY428"/>
      <x:c r="AZ428" t="n">
        <x:f>IF(('Quantification_Results'!AW428&lt;&gt;1),"",IF(('Quantification_Results'!AY428=""),IF(ISNUMBER('Quantification_Results'!AX428),IF(('Quantification_Results'!AX428&lt;'Quantification_Config'!$S$19),"",IF(('Quantification_Results'!AX428&gt;'Quantification_Config'!$T$19),"",'Quantification_Results'!AX428)),""),IF(ISNUMBER('Quantification_Results'!AY428),IF(('Quantification_Results'!AY428&lt;'Quantification_Config'!$S$19),"",IF(('Quantification_Results'!AY428&gt;'Quantification_Config'!$T$19),"",'Quantification_Results'!AY428)),"")))</x:f>
        <x:v>5</x:v>
      </x:c>
      <x:c r="BA428" t="n">
        <x:f>IF(ISNUMBER('Quantification_Results'!AZ428),IFERROR(ROUND(((('Quantification_Results'!AZ428-'Quantification_Config'!$S$19)/('Quantification_Config'!$T$19-'Quantification_Config'!$S$19))*100),'Quantification_Config'!$U$2),""),"")</x:f>
        <x:v>50</x:v>
      </x:c>
      <x:c r="BB428" t="inlineStr">
        <x:is>
          <x:t xml:space="preserve">SYSTEM-TEST-ONLY-NO-NETWORK-NOT-AN-EDUCATIONAL-EVALUATION</x:t>
        </x:is>
      </x:c>
      <x:c r="BC428" t="inlineStr">
        <x:is>
          <x:t xml:space="preserve"/>
        </x:is>
      </x:c>
      <x:c r="BD428" t="inlineStr">
        <x:is>
          <x:t xml:space="preserve">NONE</x:t>
        </x:is>
      </x:c>
      <x:c r="BE428" t="inlineStr">
        <x:is>
          <x:t xml:space="preserve"/>
        </x:is>
      </x:c>
      <x:c r="BF428" t="inlineStr">
        <x:is>
          <x:t xml:space="preserve">SUCCESS</x:t>
        </x:is>
      </x:c>
      <x:c r="BG428" t="n">
        <x:f>IF((COUNT('Quantification_Results'!BA428)=1),IFERROR(ROUND((SUM(('Quantification_Results'!BA428*'Quantification_Config'!$R$19))/SUM('Quantification_Config'!$R$19)),'Quantification_Config'!$U$2),""),"")</x:f>
        <x:v>50</x:v>
      </x:c>
      <x:c r="BH428" t="n">
        <x:f>IF((COUNT('Quantification_Results'!BG428)=1),IFERROR(ROUND((SUM(('Quantification_Results'!BG428*'Quantification_Config'!$R$18))/SUM('Quantification_Config'!$R$18)),'Quantification_Config'!$U$2),""),"")</x:f>
        <x:v>50</x:v>
      </x:c>
      <x:c r="BI428">
        <x:f>IF((COUNT('Quantification_Results'!L428,'Quantification_Results'!X428,'Quantification_Results'!AJ428,'Quantification_Results'!AV428,'Quantification_Results'!BH428)=5),IFERROR(ROUND((SUM(('Quantification_Results'!L428*'Quantification_Config'!$R$4),('Quantification_Results'!X428*'Quantification_Config'!$R$7),('Quantification_Results'!AJ428*'Quantification_Config'!$R$10),('Quantification_Results'!AV428*'Quantification_Config'!$R$13),('Quantification_Results'!BH428*'Quantification_Config'!$R$16))/SUM('Quantification_Config'!$R$4,'Quantification_Config'!$R$7,'Quantification_Config'!$R$10,'Quantification_Config'!$R$13,'Quantification_Config'!$R$16)),'Quantification_Config'!$U$2),""),"")</x:f>
      </x:c>
    </x:row>
    <x:row r="429">
      <x:c r="A429" t="n">
        <x:v>1</x:v>
      </x:c>
      <x:c r="B429" t="n">
        <x:v>5</x:v>
      </x:c>
      <x:c r="C429"/>
      <x:c r="D429" t="n">
        <x:f>IF(('Quantification_Results'!A429&lt;&gt;1),"",IF(('Quantification_Results'!C429=""),IF(ISNUMBER('Quantification_Results'!B429),IF(('Quantification_Results'!B429&lt;'Quantification_Config'!$S$6),"",IF(('Quantification_Results'!B429&gt;'Quantification_Config'!$T$6),"",'Quantification_Results'!B429)),""),IF(ISNUMBER('Quantification_Results'!C429),IF(('Quantification_Results'!C429&lt;'Quantification_Config'!$S$6),"",IF(('Quantification_Results'!C429&gt;'Quantification_Config'!$T$6),"",'Quantification_Results'!C429)),"")))</x:f>
        <x:v>5</x:v>
      </x:c>
      <x:c r="E429" t="n">
        <x:f>IF(ISNUMBER('Quantification_Results'!D429),IFERROR(ROUND(((('Quantification_Results'!D429-'Quantification_Config'!$S$6)/('Quantification_Config'!$T$6-'Quantification_Config'!$S$6))*100),'Quantification_Config'!$U$2),""),"")</x:f>
        <x:v>50</x:v>
      </x:c>
      <x:c r="F429" t="inlineStr">
        <x:is>
          <x:t xml:space="preserve">SYSTEM-TEST-ONLY-NO-NETWORK-NOT-AN-EDUCATIONAL-EVALUATION</x:t>
        </x:is>
      </x:c>
      <x:c r="G429" t="inlineStr">
        <x:is>
          <x:t xml:space="preserve"/>
        </x:is>
      </x:c>
      <x:c r="H429" t="inlineStr">
        <x:is>
          <x:t xml:space="preserve">NONE</x:t>
        </x:is>
      </x:c>
      <x:c r="I429" t="inlineStr">
        <x:is>
          <x:t xml:space="preserve"/>
        </x:is>
      </x:c>
      <x:c r="J429" t="inlineStr">
        <x:is>
          <x:t xml:space="preserve">SUCCESS</x:t>
        </x:is>
      </x:c>
      <x:c r="K429" t="n">
        <x:f>IF((COUNT('Quantification_Results'!E429)=1),IFERROR(ROUND((SUM(('Quantification_Results'!E429*'Quantification_Config'!$R$6))/SUM('Quantification_Config'!$R$6)),'Quantification_Config'!$U$2),""),"")</x:f>
        <x:v>50</x:v>
      </x:c>
      <x:c r="L429" t="n">
        <x:f>IF((COUNT('Quantification_Results'!K429)=1),IFERROR(ROUND((SUM(('Quantification_Results'!K429*'Quantification_Config'!$R$5))/SUM('Quantification_Config'!$R$5)),'Quantification_Config'!$U$2),""),"")</x:f>
        <x:v>50</x:v>
      </x:c>
      <x:c r="M429" t="n">
        <x:v>1</x:v>
      </x:c>
      <x:c r="N429" t="n">
        <x:v>5</x:v>
      </x:c>
      <x:c r="O429"/>
      <x:c r="P429" t="n">
        <x:f>IF(('Quantification_Results'!M429&lt;&gt;1),"",IF(('Quantification_Results'!O429=""),IF(ISNUMBER('Quantification_Results'!N429),IF(('Quantification_Results'!N429&lt;'Quantification_Config'!$S$9),"",IF(('Quantification_Results'!N429&gt;'Quantification_Config'!$T$9),"",'Quantification_Results'!N429)),""),IF(ISNUMBER('Quantification_Results'!O429),IF(('Quantification_Results'!O429&lt;'Quantification_Config'!$S$9),"",IF(('Quantification_Results'!O429&gt;'Quantification_Config'!$T$9),"",'Quantification_Results'!O429)),"")))</x:f>
        <x:v>5</x:v>
      </x:c>
      <x:c r="Q429" t="n">
        <x:f>IF(ISNUMBER('Quantification_Results'!P429),IFERROR(ROUND(((('Quantification_Results'!P429-'Quantification_Config'!$S$9)/('Quantification_Config'!$T$9-'Quantification_Config'!$S$9))*100),'Quantification_Config'!$U$2),""),"")</x:f>
        <x:v>50</x:v>
      </x:c>
      <x:c r="R429" t="inlineStr">
        <x:is>
          <x:t xml:space="preserve">SYSTEM-TEST-ONLY-NO-NETWORK-NOT-AN-EDUCATIONAL-EVALUATION</x:t>
        </x:is>
      </x:c>
      <x:c r="S429" t="inlineStr">
        <x:is>
          <x:t xml:space="preserve"/>
        </x:is>
      </x:c>
      <x:c r="T429" t="inlineStr">
        <x:is>
          <x:t xml:space="preserve">NONE</x:t>
        </x:is>
      </x:c>
      <x:c r="U429" t="inlineStr">
        <x:is>
          <x:t xml:space="preserve"/>
        </x:is>
      </x:c>
      <x:c r="V429" t="inlineStr">
        <x:is>
          <x:t xml:space="preserve">SUCCESS</x:t>
        </x:is>
      </x:c>
      <x:c r="W429" t="n">
        <x:f>IF((COUNT('Quantification_Results'!Q429)=1),IFERROR(ROUND((SUM(('Quantification_Results'!Q429*'Quantification_Config'!$R$9))/SUM('Quantification_Config'!$R$9)),'Quantification_Config'!$U$2),""),"")</x:f>
        <x:v>50</x:v>
      </x:c>
      <x:c r="X429" t="n">
        <x:f>IF((COUNT('Quantification_Results'!W429)=1),IFERROR(ROUND((SUM(('Quantification_Results'!W429*'Quantification_Config'!$R$8))/SUM('Quantification_Config'!$R$8)),'Quantification_Config'!$U$2),""),"")</x:f>
        <x:v>50</x:v>
      </x:c>
      <x:c r="Y429" t="n">
        <x:v>0</x:v>
      </x:c>
      <x:c r="Z429"/>
      <x:c r="AA429"/>
      <x:c r="AB429">
        <x:f>IF(('Quantification_Results'!Y429&lt;&gt;1),"",IF(('Quantification_Results'!AA429=""),IF(ISNUMBER('Quantification_Results'!Z429),IF(('Quantification_Results'!Z429&lt;'Quantification_Config'!$S$12),"",IF(('Quantification_Results'!Z429&gt;'Quantification_Config'!$T$12),"",'Quantification_Results'!Z429)),""),IF(ISNUMBER('Quantification_Results'!AA429),IF(('Quantification_Results'!AA429&lt;'Quantification_Config'!$S$12),"",IF(('Quantification_Results'!AA429&gt;'Quantification_Config'!$T$12),"",'Quantification_Results'!AA429)),"")))</x:f>
      </x:c>
      <x:c r="AC429">
        <x:f>IF(ISNUMBER('Quantification_Results'!AB429),IFERROR(ROUND(((('Quantification_Results'!AB429-'Quantification_Config'!$S$12)/('Quantification_Config'!$T$12-'Quantification_Config'!$S$12))*100),'Quantification_Config'!$U$2),""),"")</x:f>
      </x:c>
      <x:c r="AD429" t="inlineStr">
        <x:is>
          <x:t xml:space="preserve"/>
        </x:is>
      </x:c>
      <x:c r="AE429" t="inlineStr">
        <x:is>
          <x:t xml:space="preserve"/>
        </x:is>
      </x:c>
      <x:c r="AF429" t="inlineStr">
        <x:is>
          <x:t xml:space="preserve"/>
        </x:is>
      </x:c>
      <x:c r="AG429" t="inlineStr">
        <x:is>
          <x:t xml:space="preserve"/>
        </x:is>
      </x:c>
      <x:c r="AH429" t="inlineStr">
        <x:is>
          <x:t xml:space="preserve">EMPTY</x:t>
        </x:is>
      </x:c>
      <x:c r="AI429">
        <x:f>IF((COUNT('Quantification_Results'!AC429)=1),IFERROR(ROUND((SUM(('Quantification_Results'!AC429*'Quantification_Config'!$R$12))/SUM('Quantification_Config'!$R$12)),'Quantification_Config'!$U$2),""),"")</x:f>
      </x:c>
      <x:c r="AJ429">
        <x:f>IF((COUNT('Quantification_Results'!AI429)=1),IFERROR(ROUND((SUM(('Quantification_Results'!AI429*'Quantification_Config'!$R$11))/SUM('Quantification_Config'!$R$11)),'Quantification_Config'!$U$2),""),"")</x:f>
      </x:c>
      <x:c r="AK429" t="n">
        <x:v>1</x:v>
      </x:c>
      <x:c r="AL429" t="n">
        <x:v>5</x:v>
      </x:c>
      <x:c r="AM429"/>
      <x:c r="AN429" t="n">
        <x:f>IF(('Quantification_Results'!AK429&lt;&gt;1),"",IF(('Quantification_Results'!AM429=""),IF(ISNUMBER('Quantification_Results'!AL429),IF(('Quantification_Results'!AL429&lt;'Quantification_Config'!$S$15),"",IF(('Quantification_Results'!AL429&gt;'Quantification_Config'!$T$15),"",'Quantification_Results'!AL429)),""),IF(ISNUMBER('Quantification_Results'!AM429),IF(('Quantification_Results'!AM429&lt;'Quantification_Config'!$S$15),"",IF(('Quantification_Results'!AM429&gt;'Quantification_Config'!$T$15),"",'Quantification_Results'!AM429)),"")))</x:f>
        <x:v>5</x:v>
      </x:c>
      <x:c r="AO429" t="n">
        <x:f>IF(ISNUMBER('Quantification_Results'!AN429),IFERROR(ROUND(((('Quantification_Results'!AN429-'Quantification_Config'!$S$15)/('Quantification_Config'!$T$15-'Quantification_Config'!$S$15))*100),'Quantification_Config'!$U$2),""),"")</x:f>
        <x:v>50</x:v>
      </x:c>
      <x:c r="AP429" t="inlineStr">
        <x:is>
          <x:t xml:space="preserve">SYSTEM-TEST-ONLY-NO-NETWORK-NOT-AN-EDUCATIONAL-EVALUATION</x:t>
        </x:is>
      </x:c>
      <x:c r="AQ429" t="inlineStr">
        <x:is>
          <x:t xml:space="preserve"/>
        </x:is>
      </x:c>
      <x:c r="AR429" t="inlineStr">
        <x:is>
          <x:t xml:space="preserve">NONE</x:t>
        </x:is>
      </x:c>
      <x:c r="AS429" t="inlineStr">
        <x:is>
          <x:t xml:space="preserve"/>
        </x:is>
      </x:c>
      <x:c r="AT429" t="inlineStr">
        <x:is>
          <x:t xml:space="preserve">SUCCESS</x:t>
        </x:is>
      </x:c>
      <x:c r="AU429" t="n">
        <x:f>IF((COUNT('Quantification_Results'!AO429)=1),IFERROR(ROUND((SUM(('Quantification_Results'!AO429*'Quantification_Config'!$R$15))/SUM('Quantification_Config'!$R$15)),'Quantification_Config'!$U$2),""),"")</x:f>
        <x:v>50</x:v>
      </x:c>
      <x:c r="AV429" t="n">
        <x:f>IF((COUNT('Quantification_Results'!AU429)=1),IFERROR(ROUND((SUM(('Quantification_Results'!AU429*'Quantification_Config'!$R$14))/SUM('Quantification_Config'!$R$14)),'Quantification_Config'!$U$2),""),"")</x:f>
        <x:v>50</x:v>
      </x:c>
      <x:c r="AW429" t="n">
        <x:v>1</x:v>
      </x:c>
      <x:c r="AX429" t="n">
        <x:v>5</x:v>
      </x:c>
      <x:c r="AY429"/>
      <x:c r="AZ429" t="n">
        <x:f>IF(('Quantification_Results'!AW429&lt;&gt;1),"",IF(('Quantification_Results'!AY429=""),IF(ISNUMBER('Quantification_Results'!AX429),IF(('Quantification_Results'!AX429&lt;'Quantification_Config'!$S$19),"",IF(('Quantification_Results'!AX429&gt;'Quantification_Config'!$T$19),"",'Quantification_Results'!AX429)),""),IF(ISNUMBER('Quantification_Results'!AY429),IF(('Quantification_Results'!AY429&lt;'Quantification_Config'!$S$19),"",IF(('Quantification_Results'!AY429&gt;'Quantification_Config'!$T$19),"",'Quantification_Results'!AY429)),"")))</x:f>
        <x:v>5</x:v>
      </x:c>
      <x:c r="BA429" t="n">
        <x:f>IF(ISNUMBER('Quantification_Results'!AZ429),IFERROR(ROUND(((('Quantification_Results'!AZ429-'Quantification_Config'!$S$19)/('Quantification_Config'!$T$19-'Quantification_Config'!$S$19))*100),'Quantification_Config'!$U$2),""),"")</x:f>
        <x:v>50</x:v>
      </x:c>
      <x:c r="BB429" t="inlineStr">
        <x:is>
          <x:t xml:space="preserve">SYSTEM-TEST-ONLY-NO-NETWORK-NOT-AN-EDUCATIONAL-EVALUATION</x:t>
        </x:is>
      </x:c>
      <x:c r="BC429" t="inlineStr">
        <x:is>
          <x:t xml:space="preserve"/>
        </x:is>
      </x:c>
      <x:c r="BD429" t="inlineStr">
        <x:is>
          <x:t xml:space="preserve">NONE</x:t>
        </x:is>
      </x:c>
      <x:c r="BE429" t="inlineStr">
        <x:is>
          <x:t xml:space="preserve"/>
        </x:is>
      </x:c>
      <x:c r="BF429" t="inlineStr">
        <x:is>
          <x:t xml:space="preserve">SUCCESS</x:t>
        </x:is>
      </x:c>
      <x:c r="BG429" t="n">
        <x:f>IF((COUNT('Quantification_Results'!BA429)=1),IFERROR(ROUND((SUM(('Quantification_Results'!BA429*'Quantification_Config'!$R$19))/SUM('Quantification_Config'!$R$19)),'Quantification_Config'!$U$2),""),"")</x:f>
        <x:v>50</x:v>
      </x:c>
      <x:c r="BH429" t="n">
        <x:f>IF((COUNT('Quantification_Results'!BG429)=1),IFERROR(ROUND((SUM(('Quantification_Results'!BG429*'Quantification_Config'!$R$18))/SUM('Quantification_Config'!$R$18)),'Quantification_Config'!$U$2),""),"")</x:f>
        <x:v>50</x:v>
      </x:c>
      <x:c r="BI429">
        <x:f>IF((COUNT('Quantification_Results'!L429,'Quantification_Results'!X429,'Quantification_Results'!AJ429,'Quantification_Results'!AV429,'Quantification_Results'!BH429)=5),IFERROR(ROUND((SUM(('Quantification_Results'!L429*'Quantification_Config'!$R$4),('Quantification_Results'!X429*'Quantification_Config'!$R$7),('Quantification_Results'!AJ429*'Quantification_Config'!$R$10),('Quantification_Results'!AV429*'Quantification_Config'!$R$13),('Quantification_Results'!BH429*'Quantification_Config'!$R$16))/SUM('Quantification_Config'!$R$4,'Quantification_Config'!$R$7,'Quantification_Config'!$R$10,'Quantification_Config'!$R$13,'Quantification_Config'!$R$16)),'Quantification_Config'!$U$2),""),"")</x:f>
      </x:c>
    </x:row>
    <x:row r="430">
      <x:c r="A430" t="n">
        <x:v>1</x:v>
      </x:c>
      <x:c r="B430" t="n">
        <x:v>5</x:v>
      </x:c>
      <x:c r="C430"/>
      <x:c r="D430" t="n">
        <x:f>IF(('Quantification_Results'!A430&lt;&gt;1),"",IF(('Quantification_Results'!C430=""),IF(ISNUMBER('Quantification_Results'!B430),IF(('Quantification_Results'!B430&lt;'Quantification_Config'!$S$6),"",IF(('Quantification_Results'!B430&gt;'Quantification_Config'!$T$6),"",'Quantification_Results'!B430)),""),IF(ISNUMBER('Quantification_Results'!C430),IF(('Quantification_Results'!C430&lt;'Quantification_Config'!$S$6),"",IF(('Quantification_Results'!C430&gt;'Quantification_Config'!$T$6),"",'Quantification_Results'!C430)),"")))</x:f>
        <x:v>5</x:v>
      </x:c>
      <x:c r="E430" t="n">
        <x:f>IF(ISNUMBER('Quantification_Results'!D430),IFERROR(ROUND(((('Quantification_Results'!D430-'Quantification_Config'!$S$6)/('Quantification_Config'!$T$6-'Quantification_Config'!$S$6))*100),'Quantification_Config'!$U$2),""),"")</x:f>
        <x:v>50</x:v>
      </x:c>
      <x:c r="F430" t="inlineStr">
        <x:is>
          <x:t xml:space="preserve">SYSTEM-TEST-ONLY-NO-NETWORK-NOT-AN-EDUCATIONAL-EVALUATION</x:t>
        </x:is>
      </x:c>
      <x:c r="G430" t="inlineStr">
        <x:is>
          <x:t xml:space="preserve"/>
        </x:is>
      </x:c>
      <x:c r="H430" t="inlineStr">
        <x:is>
          <x:t xml:space="preserve">NONE</x:t>
        </x:is>
      </x:c>
      <x:c r="I430" t="inlineStr">
        <x:is>
          <x:t xml:space="preserve"/>
        </x:is>
      </x:c>
      <x:c r="J430" t="inlineStr">
        <x:is>
          <x:t xml:space="preserve">SUCCESS</x:t>
        </x:is>
      </x:c>
      <x:c r="K430" t="n">
        <x:f>IF((COUNT('Quantification_Results'!E430)=1),IFERROR(ROUND((SUM(('Quantification_Results'!E430*'Quantification_Config'!$R$6))/SUM('Quantification_Config'!$R$6)),'Quantification_Config'!$U$2),""),"")</x:f>
        <x:v>50</x:v>
      </x:c>
      <x:c r="L430" t="n">
        <x:f>IF((COUNT('Quantification_Results'!K430)=1),IFERROR(ROUND((SUM(('Quantification_Results'!K430*'Quantification_Config'!$R$5))/SUM('Quantification_Config'!$R$5)),'Quantification_Config'!$U$2),""),"")</x:f>
        <x:v>50</x:v>
      </x:c>
      <x:c r="M430" t="n">
        <x:v>1</x:v>
      </x:c>
      <x:c r="N430" t="n">
        <x:v>5</x:v>
      </x:c>
      <x:c r="O430"/>
      <x:c r="P430" t="n">
        <x:f>IF(('Quantification_Results'!M430&lt;&gt;1),"",IF(('Quantification_Results'!O430=""),IF(ISNUMBER('Quantification_Results'!N430),IF(('Quantification_Results'!N430&lt;'Quantification_Config'!$S$9),"",IF(('Quantification_Results'!N430&gt;'Quantification_Config'!$T$9),"",'Quantification_Results'!N430)),""),IF(ISNUMBER('Quantification_Results'!O430),IF(('Quantification_Results'!O430&lt;'Quantification_Config'!$S$9),"",IF(('Quantification_Results'!O430&gt;'Quantification_Config'!$T$9),"",'Quantification_Results'!O430)),"")))</x:f>
        <x:v>5</x:v>
      </x:c>
      <x:c r="Q430" t="n">
        <x:f>IF(ISNUMBER('Quantification_Results'!P430),IFERROR(ROUND(((('Quantification_Results'!P430-'Quantification_Config'!$S$9)/('Quantification_Config'!$T$9-'Quantification_Config'!$S$9))*100),'Quantification_Config'!$U$2),""),"")</x:f>
        <x:v>50</x:v>
      </x:c>
      <x:c r="R430" t="inlineStr">
        <x:is>
          <x:t xml:space="preserve">SYSTEM-TEST-ONLY-NO-NETWORK-NOT-AN-EDUCATIONAL-EVALUATION</x:t>
        </x:is>
      </x:c>
      <x:c r="S430" t="inlineStr">
        <x:is>
          <x:t xml:space="preserve"/>
        </x:is>
      </x:c>
      <x:c r="T430" t="inlineStr">
        <x:is>
          <x:t xml:space="preserve">NONE</x:t>
        </x:is>
      </x:c>
      <x:c r="U430" t="inlineStr">
        <x:is>
          <x:t xml:space="preserve"/>
        </x:is>
      </x:c>
      <x:c r="V430" t="inlineStr">
        <x:is>
          <x:t xml:space="preserve">SUCCESS</x:t>
        </x:is>
      </x:c>
      <x:c r="W430" t="n">
        <x:f>IF((COUNT('Quantification_Results'!Q430)=1),IFERROR(ROUND((SUM(('Quantification_Results'!Q430*'Quantification_Config'!$R$9))/SUM('Quantification_Config'!$R$9)),'Quantification_Config'!$U$2),""),"")</x:f>
        <x:v>50</x:v>
      </x:c>
      <x:c r="X430" t="n">
        <x:f>IF((COUNT('Quantification_Results'!W430)=1),IFERROR(ROUND((SUM(('Quantification_Results'!W430*'Quantification_Config'!$R$8))/SUM('Quantification_Config'!$R$8)),'Quantification_Config'!$U$2),""),"")</x:f>
        <x:v>50</x:v>
      </x:c>
      <x:c r="Y430" t="n">
        <x:v>0</x:v>
      </x:c>
      <x:c r="Z430"/>
      <x:c r="AA430"/>
      <x:c r="AB430">
        <x:f>IF(('Quantification_Results'!Y430&lt;&gt;1),"",IF(('Quantification_Results'!AA430=""),IF(ISNUMBER('Quantification_Results'!Z430),IF(('Quantification_Results'!Z430&lt;'Quantification_Config'!$S$12),"",IF(('Quantification_Results'!Z430&gt;'Quantification_Config'!$T$12),"",'Quantification_Results'!Z430)),""),IF(ISNUMBER('Quantification_Results'!AA430),IF(('Quantification_Results'!AA430&lt;'Quantification_Config'!$S$12),"",IF(('Quantification_Results'!AA430&gt;'Quantification_Config'!$T$12),"",'Quantification_Results'!AA430)),"")))</x:f>
      </x:c>
      <x:c r="AC430">
        <x:f>IF(ISNUMBER('Quantification_Results'!AB430),IFERROR(ROUND(((('Quantification_Results'!AB430-'Quantification_Config'!$S$12)/('Quantification_Config'!$T$12-'Quantification_Config'!$S$12))*100),'Quantification_Config'!$U$2),""),"")</x:f>
      </x:c>
      <x:c r="AD430" t="inlineStr">
        <x:is>
          <x:t xml:space="preserve"/>
        </x:is>
      </x:c>
      <x:c r="AE430" t="inlineStr">
        <x:is>
          <x:t xml:space="preserve"/>
        </x:is>
      </x:c>
      <x:c r="AF430" t="inlineStr">
        <x:is>
          <x:t xml:space="preserve"/>
        </x:is>
      </x:c>
      <x:c r="AG430" t="inlineStr">
        <x:is>
          <x:t xml:space="preserve"/>
        </x:is>
      </x:c>
      <x:c r="AH430" t="inlineStr">
        <x:is>
          <x:t xml:space="preserve">EMPTY</x:t>
        </x:is>
      </x:c>
      <x:c r="AI430">
        <x:f>IF((COUNT('Quantification_Results'!AC430)=1),IFERROR(ROUND((SUM(('Quantification_Results'!AC430*'Quantification_Config'!$R$12))/SUM('Quantification_Config'!$R$12)),'Quantification_Config'!$U$2),""),"")</x:f>
      </x:c>
      <x:c r="AJ430">
        <x:f>IF((COUNT('Quantification_Results'!AI430)=1),IFERROR(ROUND((SUM(('Quantification_Results'!AI430*'Quantification_Config'!$R$11))/SUM('Quantification_Config'!$R$11)),'Quantification_Config'!$U$2),""),"")</x:f>
      </x:c>
      <x:c r="AK430" t="n">
        <x:v>1</x:v>
      </x:c>
      <x:c r="AL430" t="n">
        <x:v>5</x:v>
      </x:c>
      <x:c r="AM430"/>
      <x:c r="AN430" t="n">
        <x:f>IF(('Quantification_Results'!AK430&lt;&gt;1),"",IF(('Quantification_Results'!AM430=""),IF(ISNUMBER('Quantification_Results'!AL430),IF(('Quantification_Results'!AL430&lt;'Quantification_Config'!$S$15),"",IF(('Quantification_Results'!AL430&gt;'Quantification_Config'!$T$15),"",'Quantification_Results'!AL430)),""),IF(ISNUMBER('Quantification_Results'!AM430),IF(('Quantification_Results'!AM430&lt;'Quantification_Config'!$S$15),"",IF(('Quantification_Results'!AM430&gt;'Quantification_Config'!$T$15),"",'Quantification_Results'!AM430)),"")))</x:f>
        <x:v>5</x:v>
      </x:c>
      <x:c r="AO430" t="n">
        <x:f>IF(ISNUMBER('Quantification_Results'!AN430),IFERROR(ROUND(((('Quantification_Results'!AN430-'Quantification_Config'!$S$15)/('Quantification_Config'!$T$15-'Quantification_Config'!$S$15))*100),'Quantification_Config'!$U$2),""),"")</x:f>
        <x:v>50</x:v>
      </x:c>
      <x:c r="AP430" t="inlineStr">
        <x:is>
          <x:t xml:space="preserve">SYSTEM-TEST-ONLY-NO-NETWORK-NOT-AN-EDUCATIONAL-EVALUATION</x:t>
        </x:is>
      </x:c>
      <x:c r="AQ430" t="inlineStr">
        <x:is>
          <x:t xml:space="preserve"/>
        </x:is>
      </x:c>
      <x:c r="AR430" t="inlineStr">
        <x:is>
          <x:t xml:space="preserve">NONE</x:t>
        </x:is>
      </x:c>
      <x:c r="AS430" t="inlineStr">
        <x:is>
          <x:t xml:space="preserve"/>
        </x:is>
      </x:c>
      <x:c r="AT430" t="inlineStr">
        <x:is>
          <x:t xml:space="preserve">SUCCESS</x:t>
        </x:is>
      </x:c>
      <x:c r="AU430" t="n">
        <x:f>IF((COUNT('Quantification_Results'!AO430)=1),IFERROR(ROUND((SUM(('Quantification_Results'!AO430*'Quantification_Config'!$R$15))/SUM('Quantification_Config'!$R$15)),'Quantification_Config'!$U$2),""),"")</x:f>
        <x:v>50</x:v>
      </x:c>
      <x:c r="AV430" t="n">
        <x:f>IF((COUNT('Quantification_Results'!AU430)=1),IFERROR(ROUND((SUM(('Quantification_Results'!AU430*'Quantification_Config'!$R$14))/SUM('Quantification_Config'!$R$14)),'Quantification_Config'!$U$2),""),"")</x:f>
        <x:v>50</x:v>
      </x:c>
      <x:c r="AW430" t="n">
        <x:v>1</x:v>
      </x:c>
      <x:c r="AX430" t="n">
        <x:v>5</x:v>
      </x:c>
      <x:c r="AY430"/>
      <x:c r="AZ430" t="n">
        <x:f>IF(('Quantification_Results'!AW430&lt;&gt;1),"",IF(('Quantification_Results'!AY430=""),IF(ISNUMBER('Quantification_Results'!AX430),IF(('Quantification_Results'!AX430&lt;'Quantification_Config'!$S$19),"",IF(('Quantification_Results'!AX430&gt;'Quantification_Config'!$T$19),"",'Quantification_Results'!AX430)),""),IF(ISNUMBER('Quantification_Results'!AY430),IF(('Quantification_Results'!AY430&lt;'Quantification_Config'!$S$19),"",IF(('Quantification_Results'!AY430&gt;'Quantification_Config'!$T$19),"",'Quantification_Results'!AY430)),"")))</x:f>
        <x:v>5</x:v>
      </x:c>
      <x:c r="BA430" t="n">
        <x:f>IF(ISNUMBER('Quantification_Results'!AZ430),IFERROR(ROUND(((('Quantification_Results'!AZ430-'Quantification_Config'!$S$19)/('Quantification_Config'!$T$19-'Quantification_Config'!$S$19))*100),'Quantification_Config'!$U$2),""),"")</x:f>
        <x:v>50</x:v>
      </x:c>
      <x:c r="BB430" t="inlineStr">
        <x:is>
          <x:t xml:space="preserve">SYSTEM-TEST-ONLY-NO-NETWORK-NOT-AN-EDUCATIONAL-EVALUATION</x:t>
        </x:is>
      </x:c>
      <x:c r="BC430" t="inlineStr">
        <x:is>
          <x:t xml:space="preserve"/>
        </x:is>
      </x:c>
      <x:c r="BD430" t="inlineStr">
        <x:is>
          <x:t xml:space="preserve">NONE</x:t>
        </x:is>
      </x:c>
      <x:c r="BE430" t="inlineStr">
        <x:is>
          <x:t xml:space="preserve"/>
        </x:is>
      </x:c>
      <x:c r="BF430" t="inlineStr">
        <x:is>
          <x:t xml:space="preserve">SUCCESS</x:t>
        </x:is>
      </x:c>
      <x:c r="BG430" t="n">
        <x:f>IF((COUNT('Quantification_Results'!BA430)=1),IFERROR(ROUND((SUM(('Quantification_Results'!BA430*'Quantification_Config'!$R$19))/SUM('Quantification_Config'!$R$19)),'Quantification_Config'!$U$2),""),"")</x:f>
        <x:v>50</x:v>
      </x:c>
      <x:c r="BH430" t="n">
        <x:f>IF((COUNT('Quantification_Results'!BG430)=1),IFERROR(ROUND((SUM(('Quantification_Results'!BG430*'Quantification_Config'!$R$18))/SUM('Quantification_Config'!$R$18)),'Quantification_Config'!$U$2),""),"")</x:f>
        <x:v>50</x:v>
      </x:c>
      <x:c r="BI430">
        <x:f>IF((COUNT('Quantification_Results'!L430,'Quantification_Results'!X430,'Quantification_Results'!AJ430,'Quantification_Results'!AV430,'Quantification_Results'!BH430)=5),IFERROR(ROUND((SUM(('Quantification_Results'!L430*'Quantification_Config'!$R$4),('Quantification_Results'!X430*'Quantification_Config'!$R$7),('Quantification_Results'!AJ430*'Quantification_Config'!$R$10),('Quantification_Results'!AV430*'Quantification_Config'!$R$13),('Quantification_Results'!BH430*'Quantification_Config'!$R$16))/SUM('Quantification_Config'!$R$4,'Quantification_Config'!$R$7,'Quantification_Config'!$R$10,'Quantification_Config'!$R$13,'Quantification_Config'!$R$16)),'Quantification_Config'!$U$2),""),"")</x:f>
      </x:c>
    </x:row>
    <x:row r="431">
      <x:c r="A431" t="n">
        <x:v>1</x:v>
      </x:c>
      <x:c r="B431" t="n">
        <x:v>5</x:v>
      </x:c>
      <x:c r="C431"/>
      <x:c r="D431" t="n">
        <x:f>IF(('Quantification_Results'!A431&lt;&gt;1),"",IF(('Quantification_Results'!C431=""),IF(ISNUMBER('Quantification_Results'!B431),IF(('Quantification_Results'!B431&lt;'Quantification_Config'!$S$6),"",IF(('Quantification_Results'!B431&gt;'Quantification_Config'!$T$6),"",'Quantification_Results'!B431)),""),IF(ISNUMBER('Quantification_Results'!C431),IF(('Quantification_Results'!C431&lt;'Quantification_Config'!$S$6),"",IF(('Quantification_Results'!C431&gt;'Quantification_Config'!$T$6),"",'Quantification_Results'!C431)),"")))</x:f>
        <x:v>5</x:v>
      </x:c>
      <x:c r="E431" t="n">
        <x:f>IF(ISNUMBER('Quantification_Results'!D431),IFERROR(ROUND(((('Quantification_Results'!D431-'Quantification_Config'!$S$6)/('Quantification_Config'!$T$6-'Quantification_Config'!$S$6))*100),'Quantification_Config'!$U$2),""),"")</x:f>
        <x:v>50</x:v>
      </x:c>
      <x:c r="F431" t="inlineStr">
        <x:is>
          <x:t xml:space="preserve">SYSTEM-TEST-ONLY-NO-NETWORK-NOT-AN-EDUCATIONAL-EVALUATION</x:t>
        </x:is>
      </x:c>
      <x:c r="G431" t="inlineStr">
        <x:is>
          <x:t xml:space="preserve"/>
        </x:is>
      </x:c>
      <x:c r="H431" t="inlineStr">
        <x:is>
          <x:t xml:space="preserve">NONE</x:t>
        </x:is>
      </x:c>
      <x:c r="I431" t="inlineStr">
        <x:is>
          <x:t xml:space="preserve"/>
        </x:is>
      </x:c>
      <x:c r="J431" t="inlineStr">
        <x:is>
          <x:t xml:space="preserve">SUCCESS</x:t>
        </x:is>
      </x:c>
      <x:c r="K431" t="n">
        <x:f>IF((COUNT('Quantification_Results'!E431)=1),IFERROR(ROUND((SUM(('Quantification_Results'!E431*'Quantification_Config'!$R$6))/SUM('Quantification_Config'!$R$6)),'Quantification_Config'!$U$2),""),"")</x:f>
        <x:v>50</x:v>
      </x:c>
      <x:c r="L431" t="n">
        <x:f>IF((COUNT('Quantification_Results'!K431)=1),IFERROR(ROUND((SUM(('Quantification_Results'!K431*'Quantification_Config'!$R$5))/SUM('Quantification_Config'!$R$5)),'Quantification_Config'!$U$2),""),"")</x:f>
        <x:v>50</x:v>
      </x:c>
      <x:c r="M431" t="n">
        <x:v>0</x:v>
      </x:c>
      <x:c r="N431"/>
      <x:c r="O431"/>
      <x:c r="P431">
        <x:f>IF(('Quantification_Results'!M431&lt;&gt;1),"",IF(('Quantification_Results'!O431=""),IF(ISNUMBER('Quantification_Results'!N431),IF(('Quantification_Results'!N431&lt;'Quantification_Config'!$S$9),"",IF(('Quantification_Results'!N431&gt;'Quantification_Config'!$T$9),"",'Quantification_Results'!N431)),""),IF(ISNUMBER('Quantification_Results'!O431),IF(('Quantification_Results'!O431&lt;'Quantification_Config'!$S$9),"",IF(('Quantification_Results'!O431&gt;'Quantification_Config'!$T$9),"",'Quantification_Results'!O431)),"")))</x:f>
      </x:c>
      <x:c r="Q431">
        <x:f>IF(ISNUMBER('Quantification_Results'!P431),IFERROR(ROUND(((('Quantification_Results'!P431-'Quantification_Config'!$S$9)/('Quantification_Config'!$T$9-'Quantification_Config'!$S$9))*100),'Quantification_Config'!$U$2),""),"")</x:f>
      </x:c>
      <x:c r="R431" t="inlineStr">
        <x:is>
          <x:t xml:space="preserve"/>
        </x:is>
      </x:c>
      <x:c r="S431" t="inlineStr">
        <x:is>
          <x:t xml:space="preserve"/>
        </x:is>
      </x:c>
      <x:c r="T431" t="inlineStr">
        <x:is>
          <x:t xml:space="preserve"/>
        </x:is>
      </x:c>
      <x:c r="U431" t="inlineStr">
        <x:is>
          <x:t xml:space="preserve"/>
        </x:is>
      </x:c>
      <x:c r="V431" t="inlineStr">
        <x:is>
          <x:t xml:space="preserve">EMPTY</x:t>
        </x:is>
      </x:c>
      <x:c r="W431">
        <x:f>IF((COUNT('Quantification_Results'!Q431)=1),IFERROR(ROUND((SUM(('Quantification_Results'!Q431*'Quantification_Config'!$R$9))/SUM('Quantification_Config'!$R$9)),'Quantification_Config'!$U$2),""),"")</x:f>
      </x:c>
      <x:c r="X431">
        <x:f>IF((COUNT('Quantification_Results'!W431)=1),IFERROR(ROUND((SUM(('Quantification_Results'!W431*'Quantification_Config'!$R$8))/SUM('Quantification_Config'!$R$8)),'Quantification_Config'!$U$2),""),"")</x:f>
      </x:c>
      <x:c r="Y431" t="n">
        <x:v>0</x:v>
      </x:c>
      <x:c r="Z431"/>
      <x:c r="AA431"/>
      <x:c r="AB431">
        <x:f>IF(('Quantification_Results'!Y431&lt;&gt;1),"",IF(('Quantification_Results'!AA431=""),IF(ISNUMBER('Quantification_Results'!Z431),IF(('Quantification_Results'!Z431&lt;'Quantification_Config'!$S$12),"",IF(('Quantification_Results'!Z431&gt;'Quantification_Config'!$T$12),"",'Quantification_Results'!Z431)),""),IF(ISNUMBER('Quantification_Results'!AA431),IF(('Quantification_Results'!AA431&lt;'Quantification_Config'!$S$12),"",IF(('Quantification_Results'!AA431&gt;'Quantification_Config'!$T$12),"",'Quantification_Results'!AA431)),"")))</x:f>
      </x:c>
      <x:c r="AC431">
        <x:f>IF(ISNUMBER('Quantification_Results'!AB431),IFERROR(ROUND(((('Quantification_Results'!AB431-'Quantification_Config'!$S$12)/('Quantification_Config'!$T$12-'Quantification_Config'!$S$12))*100),'Quantification_Config'!$U$2),""),"")</x:f>
      </x:c>
      <x:c r="AD431" t="inlineStr">
        <x:is>
          <x:t xml:space="preserve"/>
        </x:is>
      </x:c>
      <x:c r="AE431" t="inlineStr">
        <x:is>
          <x:t xml:space="preserve"/>
        </x:is>
      </x:c>
      <x:c r="AF431" t="inlineStr">
        <x:is>
          <x:t xml:space="preserve"/>
        </x:is>
      </x:c>
      <x:c r="AG431" t="inlineStr">
        <x:is>
          <x:t xml:space="preserve"/>
        </x:is>
      </x:c>
      <x:c r="AH431" t="inlineStr">
        <x:is>
          <x:t xml:space="preserve">EMPTY</x:t>
        </x:is>
      </x:c>
      <x:c r="AI431">
        <x:f>IF((COUNT('Quantification_Results'!AC431)=1),IFERROR(ROUND((SUM(('Quantification_Results'!AC431*'Quantification_Config'!$R$12))/SUM('Quantification_Config'!$R$12)),'Quantification_Config'!$U$2),""),"")</x:f>
      </x:c>
      <x:c r="AJ431">
        <x:f>IF((COUNT('Quantification_Results'!AI431)=1),IFERROR(ROUND((SUM(('Quantification_Results'!AI431*'Quantification_Config'!$R$11))/SUM('Quantification_Config'!$R$11)),'Quantification_Config'!$U$2),""),"")</x:f>
      </x:c>
      <x:c r="AK431" t="n">
        <x:v>1</x:v>
      </x:c>
      <x:c r="AL431" t="n">
        <x:v>5</x:v>
      </x:c>
      <x:c r="AM431"/>
      <x:c r="AN431" t="n">
        <x:f>IF(('Quantification_Results'!AK431&lt;&gt;1),"",IF(('Quantification_Results'!AM431=""),IF(ISNUMBER('Quantification_Results'!AL431),IF(('Quantification_Results'!AL431&lt;'Quantification_Config'!$S$15),"",IF(('Quantification_Results'!AL431&gt;'Quantification_Config'!$T$15),"",'Quantification_Results'!AL431)),""),IF(ISNUMBER('Quantification_Results'!AM431),IF(('Quantification_Results'!AM431&lt;'Quantification_Config'!$S$15),"",IF(('Quantification_Results'!AM431&gt;'Quantification_Config'!$T$15),"",'Quantification_Results'!AM431)),"")))</x:f>
        <x:v>5</x:v>
      </x:c>
      <x:c r="AO431" t="n">
        <x:f>IF(ISNUMBER('Quantification_Results'!AN431),IFERROR(ROUND(((('Quantification_Results'!AN431-'Quantification_Config'!$S$15)/('Quantification_Config'!$T$15-'Quantification_Config'!$S$15))*100),'Quantification_Config'!$U$2),""),"")</x:f>
        <x:v>50</x:v>
      </x:c>
      <x:c r="AP431" t="inlineStr">
        <x:is>
          <x:t xml:space="preserve">SYSTEM-TEST-ONLY-NO-NETWORK-NOT-AN-EDUCATIONAL-EVALUATION</x:t>
        </x:is>
      </x:c>
      <x:c r="AQ431" t="inlineStr">
        <x:is>
          <x:t xml:space="preserve"/>
        </x:is>
      </x:c>
      <x:c r="AR431" t="inlineStr">
        <x:is>
          <x:t xml:space="preserve">NONE</x:t>
        </x:is>
      </x:c>
      <x:c r="AS431" t="inlineStr">
        <x:is>
          <x:t xml:space="preserve"/>
        </x:is>
      </x:c>
      <x:c r="AT431" t="inlineStr">
        <x:is>
          <x:t xml:space="preserve">SUCCESS</x:t>
        </x:is>
      </x:c>
      <x:c r="AU431" t="n">
        <x:f>IF((COUNT('Quantification_Results'!AO431)=1),IFERROR(ROUND((SUM(('Quantification_Results'!AO431*'Quantification_Config'!$R$15))/SUM('Quantification_Config'!$R$15)),'Quantification_Config'!$U$2),""),"")</x:f>
        <x:v>50</x:v>
      </x:c>
      <x:c r="AV431" t="n">
        <x:f>IF((COUNT('Quantification_Results'!AU431)=1),IFERROR(ROUND((SUM(('Quantification_Results'!AU431*'Quantification_Config'!$R$14))/SUM('Quantification_Config'!$R$14)),'Quantification_Config'!$U$2),""),"")</x:f>
        <x:v>50</x:v>
      </x:c>
      <x:c r="AW431" t="n">
        <x:v>0</x:v>
      </x:c>
      <x:c r="AX431"/>
      <x:c r="AY431"/>
      <x:c r="AZ431">
        <x:f>IF(('Quantification_Results'!AW431&lt;&gt;1),"",IF(('Quantification_Results'!AY431=""),IF(ISNUMBER('Quantification_Results'!AX431),IF(('Quantification_Results'!AX431&lt;'Quantification_Config'!$S$19),"",IF(('Quantification_Results'!AX431&gt;'Quantification_Config'!$T$19),"",'Quantification_Results'!AX431)),""),IF(ISNUMBER('Quantification_Results'!AY431),IF(('Quantification_Results'!AY431&lt;'Quantification_Config'!$S$19),"",IF(('Quantification_Results'!AY431&gt;'Quantification_Config'!$T$19),"",'Quantification_Results'!AY431)),"")))</x:f>
      </x:c>
      <x:c r="BA431">
        <x:f>IF(ISNUMBER('Quantification_Results'!AZ431),IFERROR(ROUND(((('Quantification_Results'!AZ431-'Quantification_Config'!$S$19)/('Quantification_Config'!$T$19-'Quantification_Config'!$S$19))*100),'Quantification_Config'!$U$2),""),"")</x:f>
      </x:c>
      <x:c r="BB431" t="inlineStr">
        <x:is>
          <x:t xml:space="preserve"/>
        </x:is>
      </x:c>
      <x:c r="BC431" t="inlineStr">
        <x:is>
          <x:t xml:space="preserve"/>
        </x:is>
      </x:c>
      <x:c r="BD431" t="inlineStr">
        <x:is>
          <x:t xml:space="preserve"/>
        </x:is>
      </x:c>
      <x:c r="BE431" t="inlineStr">
        <x:is>
          <x:t xml:space="preserve"/>
        </x:is>
      </x:c>
      <x:c r="BF431" t="inlineStr">
        <x:is>
          <x:t xml:space="preserve">EMPTY</x:t>
        </x:is>
      </x:c>
      <x:c r="BG431">
        <x:f>IF((COUNT('Quantification_Results'!BA431)=1),IFERROR(ROUND((SUM(('Quantification_Results'!BA431*'Quantification_Config'!$R$19))/SUM('Quantification_Config'!$R$19)),'Quantification_Config'!$U$2),""),"")</x:f>
      </x:c>
      <x:c r="BH431">
        <x:f>IF((COUNT('Quantification_Results'!BG431)=1),IFERROR(ROUND((SUM(('Quantification_Results'!BG431*'Quantification_Config'!$R$18))/SUM('Quantification_Config'!$R$18)),'Quantification_Config'!$U$2),""),"")</x:f>
      </x:c>
      <x:c r="BI431">
        <x:f>IF((COUNT('Quantification_Results'!L431,'Quantification_Results'!X431,'Quantification_Results'!AJ431,'Quantification_Results'!AV431,'Quantification_Results'!BH431)=5),IFERROR(ROUND((SUM(('Quantification_Results'!L431*'Quantification_Config'!$R$4),('Quantification_Results'!X431*'Quantification_Config'!$R$7),('Quantification_Results'!AJ431*'Quantification_Config'!$R$10),('Quantification_Results'!AV431*'Quantification_Config'!$R$13),('Quantification_Results'!BH431*'Quantification_Config'!$R$16))/SUM('Quantification_Config'!$R$4,'Quantification_Config'!$R$7,'Quantification_Config'!$R$10,'Quantification_Config'!$R$13,'Quantification_Config'!$R$16)),'Quantification_Config'!$U$2),""),"")</x:f>
      </x:c>
    </x:row>
    <x:row r="432">
      <x:c r="A432" t="n">
        <x:v>1</x:v>
      </x:c>
      <x:c r="B432" t="n">
        <x:v>5</x:v>
      </x:c>
      <x:c r="C432"/>
      <x:c r="D432" t="n">
        <x:f>IF(('Quantification_Results'!A432&lt;&gt;1),"",IF(('Quantification_Results'!C432=""),IF(ISNUMBER('Quantification_Results'!B432),IF(('Quantification_Results'!B432&lt;'Quantification_Config'!$S$6),"",IF(('Quantification_Results'!B432&gt;'Quantification_Config'!$T$6),"",'Quantification_Results'!B432)),""),IF(ISNUMBER('Quantification_Results'!C432),IF(('Quantification_Results'!C432&lt;'Quantification_Config'!$S$6),"",IF(('Quantification_Results'!C432&gt;'Quantification_Config'!$T$6),"",'Quantification_Results'!C432)),"")))</x:f>
        <x:v>5</x:v>
      </x:c>
      <x:c r="E432" t="n">
        <x:f>IF(ISNUMBER('Quantification_Results'!D432),IFERROR(ROUND(((('Quantification_Results'!D432-'Quantification_Config'!$S$6)/('Quantification_Config'!$T$6-'Quantification_Config'!$S$6))*100),'Quantification_Config'!$U$2),""),"")</x:f>
        <x:v>50</x:v>
      </x:c>
      <x:c r="F432" t="inlineStr">
        <x:is>
          <x:t xml:space="preserve">SYSTEM-TEST-ONLY-NO-NETWORK-NOT-AN-EDUCATIONAL-EVALUATION</x:t>
        </x:is>
      </x:c>
      <x:c r="G432" t="inlineStr">
        <x:is>
          <x:t xml:space="preserve"/>
        </x:is>
      </x:c>
      <x:c r="H432" t="inlineStr">
        <x:is>
          <x:t xml:space="preserve">NONE</x:t>
        </x:is>
      </x:c>
      <x:c r="I432" t="inlineStr">
        <x:is>
          <x:t xml:space="preserve"/>
        </x:is>
      </x:c>
      <x:c r="J432" t="inlineStr">
        <x:is>
          <x:t xml:space="preserve">SUCCESS</x:t>
        </x:is>
      </x:c>
      <x:c r="K432" t="n">
        <x:f>IF((COUNT('Quantification_Results'!E432)=1),IFERROR(ROUND((SUM(('Quantification_Results'!E432*'Quantification_Config'!$R$6))/SUM('Quantification_Config'!$R$6)),'Quantification_Config'!$U$2),""),"")</x:f>
        <x:v>50</x:v>
      </x:c>
      <x:c r="L432" t="n">
        <x:f>IF((COUNT('Quantification_Results'!K432)=1),IFERROR(ROUND((SUM(('Quantification_Results'!K432*'Quantification_Config'!$R$5))/SUM('Quantification_Config'!$R$5)),'Quantification_Config'!$U$2),""),"")</x:f>
        <x:v>50</x:v>
      </x:c>
      <x:c r="M432" t="n">
        <x:v>1</x:v>
      </x:c>
      <x:c r="N432" t="n">
        <x:v>5</x:v>
      </x:c>
      <x:c r="O432"/>
      <x:c r="P432" t="n">
        <x:f>IF(('Quantification_Results'!M432&lt;&gt;1),"",IF(('Quantification_Results'!O432=""),IF(ISNUMBER('Quantification_Results'!N432),IF(('Quantification_Results'!N432&lt;'Quantification_Config'!$S$9),"",IF(('Quantification_Results'!N432&gt;'Quantification_Config'!$T$9),"",'Quantification_Results'!N432)),""),IF(ISNUMBER('Quantification_Results'!O432),IF(('Quantification_Results'!O432&lt;'Quantification_Config'!$S$9),"",IF(('Quantification_Results'!O432&gt;'Quantification_Config'!$T$9),"",'Quantification_Results'!O432)),"")))</x:f>
        <x:v>5</x:v>
      </x:c>
      <x:c r="Q432" t="n">
        <x:f>IF(ISNUMBER('Quantification_Results'!P432),IFERROR(ROUND(((('Quantification_Results'!P432-'Quantification_Config'!$S$9)/('Quantification_Config'!$T$9-'Quantification_Config'!$S$9))*100),'Quantification_Config'!$U$2),""),"")</x:f>
        <x:v>50</x:v>
      </x:c>
      <x:c r="R432" t="inlineStr">
        <x:is>
          <x:t xml:space="preserve">SYSTEM-TEST-ONLY-NO-NETWORK-NOT-AN-EDUCATIONAL-EVALUATION</x:t>
        </x:is>
      </x:c>
      <x:c r="S432" t="inlineStr">
        <x:is>
          <x:t xml:space="preserve"/>
        </x:is>
      </x:c>
      <x:c r="T432" t="inlineStr">
        <x:is>
          <x:t xml:space="preserve">NONE</x:t>
        </x:is>
      </x:c>
      <x:c r="U432" t="inlineStr">
        <x:is>
          <x:t xml:space="preserve"/>
        </x:is>
      </x:c>
      <x:c r="V432" t="inlineStr">
        <x:is>
          <x:t xml:space="preserve">SUCCESS</x:t>
        </x:is>
      </x:c>
      <x:c r="W432" t="n">
        <x:f>IF((COUNT('Quantification_Results'!Q432)=1),IFERROR(ROUND((SUM(('Quantification_Results'!Q432*'Quantification_Config'!$R$9))/SUM('Quantification_Config'!$R$9)),'Quantification_Config'!$U$2),""),"")</x:f>
        <x:v>50</x:v>
      </x:c>
      <x:c r="X432" t="n">
        <x:f>IF((COUNT('Quantification_Results'!W432)=1),IFERROR(ROUND((SUM(('Quantification_Results'!W432*'Quantification_Config'!$R$8))/SUM('Quantification_Config'!$R$8)),'Quantification_Config'!$U$2),""),"")</x:f>
        <x:v>50</x:v>
      </x:c>
      <x:c r="Y432" t="n">
        <x:v>0</x:v>
      </x:c>
      <x:c r="Z432"/>
      <x:c r="AA432"/>
      <x:c r="AB432">
        <x:f>IF(('Quantification_Results'!Y432&lt;&gt;1),"",IF(('Quantification_Results'!AA432=""),IF(ISNUMBER('Quantification_Results'!Z432),IF(('Quantification_Results'!Z432&lt;'Quantification_Config'!$S$12),"",IF(('Quantification_Results'!Z432&gt;'Quantification_Config'!$T$12),"",'Quantification_Results'!Z432)),""),IF(ISNUMBER('Quantification_Results'!AA432),IF(('Quantification_Results'!AA432&lt;'Quantification_Config'!$S$12),"",IF(('Quantification_Results'!AA432&gt;'Quantification_Config'!$T$12),"",'Quantification_Results'!AA432)),"")))</x:f>
      </x:c>
      <x:c r="AC432">
        <x:f>IF(ISNUMBER('Quantification_Results'!AB432),IFERROR(ROUND(((('Quantification_Results'!AB432-'Quantification_Config'!$S$12)/('Quantification_Config'!$T$12-'Quantification_Config'!$S$12))*100),'Quantification_Config'!$U$2),""),"")</x:f>
      </x:c>
      <x:c r="AD432" t="inlineStr">
        <x:is>
          <x:t xml:space="preserve"/>
        </x:is>
      </x:c>
      <x:c r="AE432" t="inlineStr">
        <x:is>
          <x:t xml:space="preserve"/>
        </x:is>
      </x:c>
      <x:c r="AF432" t="inlineStr">
        <x:is>
          <x:t xml:space="preserve"/>
        </x:is>
      </x:c>
      <x:c r="AG432" t="inlineStr">
        <x:is>
          <x:t xml:space="preserve"/>
        </x:is>
      </x:c>
      <x:c r="AH432" t="inlineStr">
        <x:is>
          <x:t xml:space="preserve">EMPTY</x:t>
        </x:is>
      </x:c>
      <x:c r="AI432">
        <x:f>IF((COUNT('Quantification_Results'!AC432)=1),IFERROR(ROUND((SUM(('Quantification_Results'!AC432*'Quantification_Config'!$R$12))/SUM('Quantification_Config'!$R$12)),'Quantification_Config'!$U$2),""),"")</x:f>
      </x:c>
      <x:c r="AJ432">
        <x:f>IF((COUNT('Quantification_Results'!AI432)=1),IFERROR(ROUND((SUM(('Quantification_Results'!AI432*'Quantification_Config'!$R$11))/SUM('Quantification_Config'!$R$11)),'Quantification_Config'!$U$2),""),"")</x:f>
      </x:c>
      <x:c r="AK432" t="n">
        <x:v>1</x:v>
      </x:c>
      <x:c r="AL432" t="n">
        <x:v>5</x:v>
      </x:c>
      <x:c r="AM432"/>
      <x:c r="AN432" t="n">
        <x:f>IF(('Quantification_Results'!AK432&lt;&gt;1),"",IF(('Quantification_Results'!AM432=""),IF(ISNUMBER('Quantification_Results'!AL432),IF(('Quantification_Results'!AL432&lt;'Quantification_Config'!$S$15),"",IF(('Quantification_Results'!AL432&gt;'Quantification_Config'!$T$15),"",'Quantification_Results'!AL432)),""),IF(ISNUMBER('Quantification_Results'!AM432),IF(('Quantification_Results'!AM432&lt;'Quantification_Config'!$S$15),"",IF(('Quantification_Results'!AM432&gt;'Quantification_Config'!$T$15),"",'Quantification_Results'!AM432)),"")))</x:f>
        <x:v>5</x:v>
      </x:c>
      <x:c r="AO432" t="n">
        <x:f>IF(ISNUMBER('Quantification_Results'!AN432),IFERROR(ROUND(((('Quantification_Results'!AN432-'Quantification_Config'!$S$15)/('Quantification_Config'!$T$15-'Quantification_Config'!$S$15))*100),'Quantification_Config'!$U$2),""),"")</x:f>
        <x:v>50</x:v>
      </x:c>
      <x:c r="AP432" t="inlineStr">
        <x:is>
          <x:t xml:space="preserve">SYSTEM-TEST-ONLY-NO-NETWORK-NOT-AN-EDUCATIONAL-EVALUATION</x:t>
        </x:is>
      </x:c>
      <x:c r="AQ432" t="inlineStr">
        <x:is>
          <x:t xml:space="preserve"/>
        </x:is>
      </x:c>
      <x:c r="AR432" t="inlineStr">
        <x:is>
          <x:t xml:space="preserve">NONE</x:t>
        </x:is>
      </x:c>
      <x:c r="AS432" t="inlineStr">
        <x:is>
          <x:t xml:space="preserve"/>
        </x:is>
      </x:c>
      <x:c r="AT432" t="inlineStr">
        <x:is>
          <x:t xml:space="preserve">SUCCESS</x:t>
        </x:is>
      </x:c>
      <x:c r="AU432" t="n">
        <x:f>IF((COUNT('Quantification_Results'!AO432)=1),IFERROR(ROUND((SUM(('Quantification_Results'!AO432*'Quantification_Config'!$R$15))/SUM('Quantification_Config'!$R$15)),'Quantification_Config'!$U$2),""),"")</x:f>
        <x:v>50</x:v>
      </x:c>
      <x:c r="AV432" t="n">
        <x:f>IF((COUNT('Quantification_Results'!AU432)=1),IFERROR(ROUND((SUM(('Quantification_Results'!AU432*'Quantification_Config'!$R$14))/SUM('Quantification_Config'!$R$14)),'Quantification_Config'!$U$2),""),"")</x:f>
        <x:v>50</x:v>
      </x:c>
      <x:c r="AW432" t="n">
        <x:v>1</x:v>
      </x:c>
      <x:c r="AX432" t="n">
        <x:v>5</x:v>
      </x:c>
      <x:c r="AY432"/>
      <x:c r="AZ432" t="n">
        <x:f>IF(('Quantification_Results'!AW432&lt;&gt;1),"",IF(('Quantification_Results'!AY432=""),IF(ISNUMBER('Quantification_Results'!AX432),IF(('Quantification_Results'!AX432&lt;'Quantification_Config'!$S$19),"",IF(('Quantification_Results'!AX432&gt;'Quantification_Config'!$T$19),"",'Quantification_Results'!AX432)),""),IF(ISNUMBER('Quantification_Results'!AY432),IF(('Quantification_Results'!AY432&lt;'Quantification_Config'!$S$19),"",IF(('Quantification_Results'!AY432&gt;'Quantification_Config'!$T$19),"",'Quantification_Results'!AY432)),"")))</x:f>
        <x:v>5</x:v>
      </x:c>
      <x:c r="BA432" t="n">
        <x:f>IF(ISNUMBER('Quantification_Results'!AZ432),IFERROR(ROUND(((('Quantification_Results'!AZ432-'Quantification_Config'!$S$19)/('Quantification_Config'!$T$19-'Quantification_Config'!$S$19))*100),'Quantification_Config'!$U$2),""),"")</x:f>
        <x:v>50</x:v>
      </x:c>
      <x:c r="BB432" t="inlineStr">
        <x:is>
          <x:t xml:space="preserve">SYSTEM-TEST-ONLY-NO-NETWORK-NOT-AN-EDUCATIONAL-EVALUATION</x:t>
        </x:is>
      </x:c>
      <x:c r="BC432" t="inlineStr">
        <x:is>
          <x:t xml:space="preserve"/>
        </x:is>
      </x:c>
      <x:c r="BD432" t="inlineStr">
        <x:is>
          <x:t xml:space="preserve">NONE</x:t>
        </x:is>
      </x:c>
      <x:c r="BE432" t="inlineStr">
        <x:is>
          <x:t xml:space="preserve"/>
        </x:is>
      </x:c>
      <x:c r="BF432" t="inlineStr">
        <x:is>
          <x:t xml:space="preserve">SUCCESS</x:t>
        </x:is>
      </x:c>
      <x:c r="BG432" t="n">
        <x:f>IF((COUNT('Quantification_Results'!BA432)=1),IFERROR(ROUND((SUM(('Quantification_Results'!BA432*'Quantification_Config'!$R$19))/SUM('Quantification_Config'!$R$19)),'Quantification_Config'!$U$2),""),"")</x:f>
        <x:v>50</x:v>
      </x:c>
      <x:c r="BH432" t="n">
        <x:f>IF((COUNT('Quantification_Results'!BG432)=1),IFERROR(ROUND((SUM(('Quantification_Results'!BG432*'Quantification_Config'!$R$18))/SUM('Quantification_Config'!$R$18)),'Quantification_Config'!$U$2),""),"")</x:f>
        <x:v>50</x:v>
      </x:c>
      <x:c r="BI432">
        <x:f>IF((COUNT('Quantification_Results'!L432,'Quantification_Results'!X432,'Quantification_Results'!AJ432,'Quantification_Results'!AV432,'Quantification_Results'!BH432)=5),IFERROR(ROUND((SUM(('Quantification_Results'!L432*'Quantification_Config'!$R$4),('Quantification_Results'!X432*'Quantification_Config'!$R$7),('Quantification_Results'!AJ432*'Quantification_Config'!$R$10),('Quantification_Results'!AV432*'Quantification_Config'!$R$13),('Quantification_Results'!BH432*'Quantification_Config'!$R$16))/SUM('Quantification_Config'!$R$4,'Quantification_Config'!$R$7,'Quantification_Config'!$R$10,'Quantification_Config'!$R$13,'Quantification_Config'!$R$16)),'Quantification_Config'!$U$2),""),"")</x:f>
      </x:c>
    </x:row>
    <x:row r="433">
      <x:c r="A433" t="n">
        <x:v>1</x:v>
      </x:c>
      <x:c r="B433" t="n">
        <x:v>5</x:v>
      </x:c>
      <x:c r="C433"/>
      <x:c r="D433" t="n">
        <x:f>IF(('Quantification_Results'!A433&lt;&gt;1),"",IF(('Quantification_Results'!C433=""),IF(ISNUMBER('Quantification_Results'!B433),IF(('Quantification_Results'!B433&lt;'Quantification_Config'!$S$6),"",IF(('Quantification_Results'!B433&gt;'Quantification_Config'!$T$6),"",'Quantification_Results'!B433)),""),IF(ISNUMBER('Quantification_Results'!C433),IF(('Quantification_Results'!C433&lt;'Quantification_Config'!$S$6),"",IF(('Quantification_Results'!C433&gt;'Quantification_Config'!$T$6),"",'Quantification_Results'!C433)),"")))</x:f>
        <x:v>5</x:v>
      </x:c>
      <x:c r="E433" t="n">
        <x:f>IF(ISNUMBER('Quantification_Results'!D433),IFERROR(ROUND(((('Quantification_Results'!D433-'Quantification_Config'!$S$6)/('Quantification_Config'!$T$6-'Quantification_Config'!$S$6))*100),'Quantification_Config'!$U$2),""),"")</x:f>
        <x:v>50</x:v>
      </x:c>
      <x:c r="F433" t="inlineStr">
        <x:is>
          <x:t xml:space="preserve">SYSTEM-TEST-ONLY-NO-NETWORK-NOT-AN-EDUCATIONAL-EVALUATION</x:t>
        </x:is>
      </x:c>
      <x:c r="G433" t="inlineStr">
        <x:is>
          <x:t xml:space="preserve"/>
        </x:is>
      </x:c>
      <x:c r="H433" t="inlineStr">
        <x:is>
          <x:t xml:space="preserve">NONE</x:t>
        </x:is>
      </x:c>
      <x:c r="I433" t="inlineStr">
        <x:is>
          <x:t xml:space="preserve"/>
        </x:is>
      </x:c>
      <x:c r="J433" t="inlineStr">
        <x:is>
          <x:t xml:space="preserve">SUCCESS</x:t>
        </x:is>
      </x:c>
      <x:c r="K433" t="n">
        <x:f>IF((COUNT('Quantification_Results'!E433)=1),IFERROR(ROUND((SUM(('Quantification_Results'!E433*'Quantification_Config'!$R$6))/SUM('Quantification_Config'!$R$6)),'Quantification_Config'!$U$2),""),"")</x:f>
        <x:v>50</x:v>
      </x:c>
      <x:c r="L433" t="n">
        <x:f>IF((COUNT('Quantification_Results'!K433)=1),IFERROR(ROUND((SUM(('Quantification_Results'!K433*'Quantification_Config'!$R$5))/SUM('Quantification_Config'!$R$5)),'Quantification_Config'!$U$2),""),"")</x:f>
        <x:v>50</x:v>
      </x:c>
      <x:c r="M433" t="n">
        <x:v>1</x:v>
      </x:c>
      <x:c r="N433" t="n">
        <x:v>5</x:v>
      </x:c>
      <x:c r="O433"/>
      <x:c r="P433" t="n">
        <x:f>IF(('Quantification_Results'!M433&lt;&gt;1),"",IF(('Quantification_Results'!O433=""),IF(ISNUMBER('Quantification_Results'!N433),IF(('Quantification_Results'!N433&lt;'Quantification_Config'!$S$9),"",IF(('Quantification_Results'!N433&gt;'Quantification_Config'!$T$9),"",'Quantification_Results'!N433)),""),IF(ISNUMBER('Quantification_Results'!O433),IF(('Quantification_Results'!O433&lt;'Quantification_Config'!$S$9),"",IF(('Quantification_Results'!O433&gt;'Quantification_Config'!$T$9),"",'Quantification_Results'!O433)),"")))</x:f>
        <x:v>5</x:v>
      </x:c>
      <x:c r="Q433" t="n">
        <x:f>IF(ISNUMBER('Quantification_Results'!P433),IFERROR(ROUND(((('Quantification_Results'!P433-'Quantification_Config'!$S$9)/('Quantification_Config'!$T$9-'Quantification_Config'!$S$9))*100),'Quantification_Config'!$U$2),""),"")</x:f>
        <x:v>50</x:v>
      </x:c>
      <x:c r="R433" t="inlineStr">
        <x:is>
          <x:t xml:space="preserve">SYSTEM-TEST-ONLY-NO-NETWORK-NOT-AN-EDUCATIONAL-EVALUATION</x:t>
        </x:is>
      </x:c>
      <x:c r="S433" t="inlineStr">
        <x:is>
          <x:t xml:space="preserve"/>
        </x:is>
      </x:c>
      <x:c r="T433" t="inlineStr">
        <x:is>
          <x:t xml:space="preserve">NONE</x:t>
        </x:is>
      </x:c>
      <x:c r="U433" t="inlineStr">
        <x:is>
          <x:t xml:space="preserve"/>
        </x:is>
      </x:c>
      <x:c r="V433" t="inlineStr">
        <x:is>
          <x:t xml:space="preserve">SUCCESS</x:t>
        </x:is>
      </x:c>
      <x:c r="W433" t="n">
        <x:f>IF((COUNT('Quantification_Results'!Q433)=1),IFERROR(ROUND((SUM(('Quantification_Results'!Q433*'Quantification_Config'!$R$9))/SUM('Quantification_Config'!$R$9)),'Quantification_Config'!$U$2),""),"")</x:f>
        <x:v>50</x:v>
      </x:c>
      <x:c r="X433" t="n">
        <x:f>IF((COUNT('Quantification_Results'!W433)=1),IFERROR(ROUND((SUM(('Quantification_Results'!W433*'Quantification_Config'!$R$8))/SUM('Quantification_Config'!$R$8)),'Quantification_Config'!$U$2),""),"")</x:f>
        <x:v>50</x:v>
      </x:c>
      <x:c r="Y433" t="n">
        <x:v>0</x:v>
      </x:c>
      <x:c r="Z433"/>
      <x:c r="AA433"/>
      <x:c r="AB433">
        <x:f>IF(('Quantification_Results'!Y433&lt;&gt;1),"",IF(('Quantification_Results'!AA433=""),IF(ISNUMBER('Quantification_Results'!Z433),IF(('Quantification_Results'!Z433&lt;'Quantification_Config'!$S$12),"",IF(('Quantification_Results'!Z433&gt;'Quantification_Config'!$T$12),"",'Quantification_Results'!Z433)),""),IF(ISNUMBER('Quantification_Results'!AA433),IF(('Quantification_Results'!AA433&lt;'Quantification_Config'!$S$12),"",IF(('Quantification_Results'!AA433&gt;'Quantification_Config'!$T$12),"",'Quantification_Results'!AA433)),"")))</x:f>
      </x:c>
      <x:c r="AC433">
        <x:f>IF(ISNUMBER('Quantification_Results'!AB433),IFERROR(ROUND(((('Quantification_Results'!AB433-'Quantification_Config'!$S$12)/('Quantification_Config'!$T$12-'Quantification_Config'!$S$12))*100),'Quantification_Config'!$U$2),""),"")</x:f>
      </x:c>
      <x:c r="AD433" t="inlineStr">
        <x:is>
          <x:t xml:space="preserve"/>
        </x:is>
      </x:c>
      <x:c r="AE433" t="inlineStr">
        <x:is>
          <x:t xml:space="preserve"/>
        </x:is>
      </x:c>
      <x:c r="AF433" t="inlineStr">
        <x:is>
          <x:t xml:space="preserve"/>
        </x:is>
      </x:c>
      <x:c r="AG433" t="inlineStr">
        <x:is>
          <x:t xml:space="preserve"/>
        </x:is>
      </x:c>
      <x:c r="AH433" t="inlineStr">
        <x:is>
          <x:t xml:space="preserve">EMPTY</x:t>
        </x:is>
      </x:c>
      <x:c r="AI433">
        <x:f>IF((COUNT('Quantification_Results'!AC433)=1),IFERROR(ROUND((SUM(('Quantification_Results'!AC433*'Quantification_Config'!$R$12))/SUM('Quantification_Config'!$R$12)),'Quantification_Config'!$U$2),""),"")</x:f>
      </x:c>
      <x:c r="AJ433">
        <x:f>IF((COUNT('Quantification_Results'!AI433)=1),IFERROR(ROUND((SUM(('Quantification_Results'!AI433*'Quantification_Config'!$R$11))/SUM('Quantification_Config'!$R$11)),'Quantification_Config'!$U$2),""),"")</x:f>
      </x:c>
      <x:c r="AK433" t="n">
        <x:v>1</x:v>
      </x:c>
      <x:c r="AL433" t="n">
        <x:v>5</x:v>
      </x:c>
      <x:c r="AM433"/>
      <x:c r="AN433" t="n">
        <x:f>IF(('Quantification_Results'!AK433&lt;&gt;1),"",IF(('Quantification_Results'!AM433=""),IF(ISNUMBER('Quantification_Results'!AL433),IF(('Quantification_Results'!AL433&lt;'Quantification_Config'!$S$15),"",IF(('Quantification_Results'!AL433&gt;'Quantification_Config'!$T$15),"",'Quantification_Results'!AL433)),""),IF(ISNUMBER('Quantification_Results'!AM433),IF(('Quantification_Results'!AM433&lt;'Quantification_Config'!$S$15),"",IF(('Quantification_Results'!AM433&gt;'Quantification_Config'!$T$15),"",'Quantification_Results'!AM433)),"")))</x:f>
        <x:v>5</x:v>
      </x:c>
      <x:c r="AO433" t="n">
        <x:f>IF(ISNUMBER('Quantification_Results'!AN433),IFERROR(ROUND(((('Quantification_Results'!AN433-'Quantification_Config'!$S$15)/('Quantification_Config'!$T$15-'Quantification_Config'!$S$15))*100),'Quantification_Config'!$U$2),""),"")</x:f>
        <x:v>50</x:v>
      </x:c>
      <x:c r="AP433" t="inlineStr">
        <x:is>
          <x:t xml:space="preserve">SYSTEM-TEST-ONLY-NO-NETWORK-NOT-AN-EDUCATIONAL-EVALUATION</x:t>
        </x:is>
      </x:c>
      <x:c r="AQ433" t="inlineStr">
        <x:is>
          <x:t xml:space="preserve"/>
        </x:is>
      </x:c>
      <x:c r="AR433" t="inlineStr">
        <x:is>
          <x:t xml:space="preserve">NONE</x:t>
        </x:is>
      </x:c>
      <x:c r="AS433" t="inlineStr">
        <x:is>
          <x:t xml:space="preserve"/>
        </x:is>
      </x:c>
      <x:c r="AT433" t="inlineStr">
        <x:is>
          <x:t xml:space="preserve">SUCCESS</x:t>
        </x:is>
      </x:c>
      <x:c r="AU433" t="n">
        <x:f>IF((COUNT('Quantification_Results'!AO433)=1),IFERROR(ROUND((SUM(('Quantification_Results'!AO433*'Quantification_Config'!$R$15))/SUM('Quantification_Config'!$R$15)),'Quantification_Config'!$U$2),""),"")</x:f>
        <x:v>50</x:v>
      </x:c>
      <x:c r="AV433" t="n">
        <x:f>IF((COUNT('Quantification_Results'!AU433)=1),IFERROR(ROUND((SUM(('Quantification_Results'!AU433*'Quantification_Config'!$R$14))/SUM('Quantification_Config'!$R$14)),'Quantification_Config'!$U$2),""),"")</x:f>
        <x:v>50</x:v>
      </x:c>
      <x:c r="AW433" t="n">
        <x:v>1</x:v>
      </x:c>
      <x:c r="AX433" t="n">
        <x:v>5</x:v>
      </x:c>
      <x:c r="AY433"/>
      <x:c r="AZ433" t="n">
        <x:f>IF(('Quantification_Results'!AW433&lt;&gt;1),"",IF(('Quantification_Results'!AY433=""),IF(ISNUMBER('Quantification_Results'!AX433),IF(('Quantification_Results'!AX433&lt;'Quantification_Config'!$S$19),"",IF(('Quantification_Results'!AX433&gt;'Quantification_Config'!$T$19),"",'Quantification_Results'!AX433)),""),IF(ISNUMBER('Quantification_Results'!AY433),IF(('Quantification_Results'!AY433&lt;'Quantification_Config'!$S$19),"",IF(('Quantification_Results'!AY433&gt;'Quantification_Config'!$T$19),"",'Quantification_Results'!AY433)),"")))</x:f>
        <x:v>5</x:v>
      </x:c>
      <x:c r="BA433" t="n">
        <x:f>IF(ISNUMBER('Quantification_Results'!AZ433),IFERROR(ROUND(((('Quantification_Results'!AZ433-'Quantification_Config'!$S$19)/('Quantification_Config'!$T$19-'Quantification_Config'!$S$19))*100),'Quantification_Config'!$U$2),""),"")</x:f>
        <x:v>50</x:v>
      </x:c>
      <x:c r="BB433" t="inlineStr">
        <x:is>
          <x:t xml:space="preserve">SYSTEM-TEST-ONLY-NO-NETWORK-NOT-AN-EDUCATIONAL-EVALUATION</x:t>
        </x:is>
      </x:c>
      <x:c r="BC433" t="inlineStr">
        <x:is>
          <x:t xml:space="preserve"/>
        </x:is>
      </x:c>
      <x:c r="BD433" t="inlineStr">
        <x:is>
          <x:t xml:space="preserve">NONE</x:t>
        </x:is>
      </x:c>
      <x:c r="BE433" t="inlineStr">
        <x:is>
          <x:t xml:space="preserve"/>
        </x:is>
      </x:c>
      <x:c r="BF433" t="inlineStr">
        <x:is>
          <x:t xml:space="preserve">SUCCESS</x:t>
        </x:is>
      </x:c>
      <x:c r="BG433" t="n">
        <x:f>IF((COUNT('Quantification_Results'!BA433)=1),IFERROR(ROUND((SUM(('Quantification_Results'!BA433*'Quantification_Config'!$R$19))/SUM('Quantification_Config'!$R$19)),'Quantification_Config'!$U$2),""),"")</x:f>
        <x:v>50</x:v>
      </x:c>
      <x:c r="BH433" t="n">
        <x:f>IF((COUNT('Quantification_Results'!BG433)=1),IFERROR(ROUND((SUM(('Quantification_Results'!BG433*'Quantification_Config'!$R$18))/SUM('Quantification_Config'!$R$18)),'Quantification_Config'!$U$2),""),"")</x:f>
        <x:v>50</x:v>
      </x:c>
      <x:c r="BI433">
        <x:f>IF((COUNT('Quantification_Results'!L433,'Quantification_Results'!X433,'Quantification_Results'!AJ433,'Quantification_Results'!AV433,'Quantification_Results'!BH433)=5),IFERROR(ROUND((SUM(('Quantification_Results'!L433*'Quantification_Config'!$R$4),('Quantification_Results'!X433*'Quantification_Config'!$R$7),('Quantification_Results'!AJ433*'Quantification_Config'!$R$10),('Quantification_Results'!AV433*'Quantification_Config'!$R$13),('Quantification_Results'!BH433*'Quantification_Config'!$R$16))/SUM('Quantification_Config'!$R$4,'Quantification_Config'!$R$7,'Quantification_Config'!$R$10,'Quantification_Config'!$R$13,'Quantification_Config'!$R$16)),'Quantification_Config'!$U$2),""),"")</x:f>
      </x:c>
    </x:row>
    <x:row r="434">
      <x:c r="A434" t="n">
        <x:v>1</x:v>
      </x:c>
      <x:c r="B434" t="n">
        <x:v>5</x:v>
      </x:c>
      <x:c r="C434"/>
      <x:c r="D434" t="n">
        <x:f>IF(('Quantification_Results'!A434&lt;&gt;1),"",IF(('Quantification_Results'!C434=""),IF(ISNUMBER('Quantification_Results'!B434),IF(('Quantification_Results'!B434&lt;'Quantification_Config'!$S$6),"",IF(('Quantification_Results'!B434&gt;'Quantification_Config'!$T$6),"",'Quantification_Results'!B434)),""),IF(ISNUMBER('Quantification_Results'!C434),IF(('Quantification_Results'!C434&lt;'Quantification_Config'!$S$6),"",IF(('Quantification_Results'!C434&gt;'Quantification_Config'!$T$6),"",'Quantification_Results'!C434)),"")))</x:f>
        <x:v>5</x:v>
      </x:c>
      <x:c r="E434" t="n">
        <x:f>IF(ISNUMBER('Quantification_Results'!D434),IFERROR(ROUND(((('Quantification_Results'!D434-'Quantification_Config'!$S$6)/('Quantification_Config'!$T$6-'Quantification_Config'!$S$6))*100),'Quantification_Config'!$U$2),""),"")</x:f>
        <x:v>50</x:v>
      </x:c>
      <x:c r="F434" t="inlineStr">
        <x:is>
          <x:t xml:space="preserve">SYSTEM-TEST-ONLY-NO-NETWORK-NOT-AN-EDUCATIONAL-EVALUATION</x:t>
        </x:is>
      </x:c>
      <x:c r="G434" t="inlineStr">
        <x:is>
          <x:t xml:space="preserve"/>
        </x:is>
      </x:c>
      <x:c r="H434" t="inlineStr">
        <x:is>
          <x:t xml:space="preserve">NONE</x:t>
        </x:is>
      </x:c>
      <x:c r="I434" t="inlineStr">
        <x:is>
          <x:t xml:space="preserve"/>
        </x:is>
      </x:c>
      <x:c r="J434" t="inlineStr">
        <x:is>
          <x:t xml:space="preserve">SUCCESS</x:t>
        </x:is>
      </x:c>
      <x:c r="K434" t="n">
        <x:f>IF((COUNT('Quantification_Results'!E434)=1),IFERROR(ROUND((SUM(('Quantification_Results'!E434*'Quantification_Config'!$R$6))/SUM('Quantification_Config'!$R$6)),'Quantification_Config'!$U$2),""),"")</x:f>
        <x:v>50</x:v>
      </x:c>
      <x:c r="L434" t="n">
        <x:f>IF((COUNT('Quantification_Results'!K434)=1),IFERROR(ROUND((SUM(('Quantification_Results'!K434*'Quantification_Config'!$R$5))/SUM('Quantification_Config'!$R$5)),'Quantification_Config'!$U$2),""),"")</x:f>
        <x:v>50</x:v>
      </x:c>
      <x:c r="M434" t="n">
        <x:v>0</x:v>
      </x:c>
      <x:c r="N434"/>
      <x:c r="O434"/>
      <x:c r="P434">
        <x:f>IF(('Quantification_Results'!M434&lt;&gt;1),"",IF(('Quantification_Results'!O434=""),IF(ISNUMBER('Quantification_Results'!N434),IF(('Quantification_Results'!N434&lt;'Quantification_Config'!$S$9),"",IF(('Quantification_Results'!N434&gt;'Quantification_Config'!$T$9),"",'Quantification_Results'!N434)),""),IF(ISNUMBER('Quantification_Results'!O434),IF(('Quantification_Results'!O434&lt;'Quantification_Config'!$S$9),"",IF(('Quantification_Results'!O434&gt;'Quantification_Config'!$T$9),"",'Quantification_Results'!O434)),"")))</x:f>
      </x:c>
      <x:c r="Q434">
        <x:f>IF(ISNUMBER('Quantification_Results'!P434),IFERROR(ROUND(((('Quantification_Results'!P434-'Quantification_Config'!$S$9)/('Quantification_Config'!$T$9-'Quantification_Config'!$S$9))*100),'Quantification_Config'!$U$2),""),"")</x:f>
      </x:c>
      <x:c r="R434" t="inlineStr">
        <x:is>
          <x:t xml:space="preserve"/>
        </x:is>
      </x:c>
      <x:c r="S434" t="inlineStr">
        <x:is>
          <x:t xml:space="preserve"/>
        </x:is>
      </x:c>
      <x:c r="T434" t="inlineStr">
        <x:is>
          <x:t xml:space="preserve"/>
        </x:is>
      </x:c>
      <x:c r="U434" t="inlineStr">
        <x:is>
          <x:t xml:space="preserve"/>
        </x:is>
      </x:c>
      <x:c r="V434" t="inlineStr">
        <x:is>
          <x:t xml:space="preserve">EMPTY</x:t>
        </x:is>
      </x:c>
      <x:c r="W434">
        <x:f>IF((COUNT('Quantification_Results'!Q434)=1),IFERROR(ROUND((SUM(('Quantification_Results'!Q434*'Quantification_Config'!$R$9))/SUM('Quantification_Config'!$R$9)),'Quantification_Config'!$U$2),""),"")</x:f>
      </x:c>
      <x:c r="X434">
        <x:f>IF((COUNT('Quantification_Results'!W434)=1),IFERROR(ROUND((SUM(('Quantification_Results'!W434*'Quantification_Config'!$R$8))/SUM('Quantification_Config'!$R$8)),'Quantification_Config'!$U$2),""),"")</x:f>
      </x:c>
      <x:c r="Y434" t="n">
        <x:v>0</x:v>
      </x:c>
      <x:c r="Z434"/>
      <x:c r="AA434"/>
      <x:c r="AB434">
        <x:f>IF(('Quantification_Results'!Y434&lt;&gt;1),"",IF(('Quantification_Results'!AA434=""),IF(ISNUMBER('Quantification_Results'!Z434),IF(('Quantification_Results'!Z434&lt;'Quantification_Config'!$S$12),"",IF(('Quantification_Results'!Z434&gt;'Quantification_Config'!$T$12),"",'Quantification_Results'!Z434)),""),IF(ISNUMBER('Quantification_Results'!AA434),IF(('Quantification_Results'!AA434&lt;'Quantification_Config'!$S$12),"",IF(('Quantification_Results'!AA434&gt;'Quantification_Config'!$T$12),"",'Quantification_Results'!AA434)),"")))</x:f>
      </x:c>
      <x:c r="AC434">
        <x:f>IF(ISNUMBER('Quantification_Results'!AB434),IFERROR(ROUND(((('Quantification_Results'!AB434-'Quantification_Config'!$S$12)/('Quantification_Config'!$T$12-'Quantification_Config'!$S$12))*100),'Quantification_Config'!$U$2),""),"")</x:f>
      </x:c>
      <x:c r="AD434" t="inlineStr">
        <x:is>
          <x:t xml:space="preserve"/>
        </x:is>
      </x:c>
      <x:c r="AE434" t="inlineStr">
        <x:is>
          <x:t xml:space="preserve"/>
        </x:is>
      </x:c>
      <x:c r="AF434" t="inlineStr">
        <x:is>
          <x:t xml:space="preserve"/>
        </x:is>
      </x:c>
      <x:c r="AG434" t="inlineStr">
        <x:is>
          <x:t xml:space="preserve"/>
        </x:is>
      </x:c>
      <x:c r="AH434" t="inlineStr">
        <x:is>
          <x:t xml:space="preserve">EMPTY</x:t>
        </x:is>
      </x:c>
      <x:c r="AI434">
        <x:f>IF((COUNT('Quantification_Results'!AC434)=1),IFERROR(ROUND((SUM(('Quantification_Results'!AC434*'Quantification_Config'!$R$12))/SUM('Quantification_Config'!$R$12)),'Quantification_Config'!$U$2),""),"")</x:f>
      </x:c>
      <x:c r="AJ434">
        <x:f>IF((COUNT('Quantification_Results'!AI434)=1),IFERROR(ROUND((SUM(('Quantification_Results'!AI434*'Quantification_Config'!$R$11))/SUM('Quantification_Config'!$R$11)),'Quantification_Config'!$U$2),""),"")</x:f>
      </x:c>
      <x:c r="AK434" t="n">
        <x:v>1</x:v>
      </x:c>
      <x:c r="AL434" t="n">
        <x:v>5</x:v>
      </x:c>
      <x:c r="AM434"/>
      <x:c r="AN434" t="n">
        <x:f>IF(('Quantification_Results'!AK434&lt;&gt;1),"",IF(('Quantification_Results'!AM434=""),IF(ISNUMBER('Quantification_Results'!AL434),IF(('Quantification_Results'!AL434&lt;'Quantification_Config'!$S$15),"",IF(('Quantification_Results'!AL434&gt;'Quantification_Config'!$T$15),"",'Quantification_Results'!AL434)),""),IF(ISNUMBER('Quantification_Results'!AM434),IF(('Quantification_Results'!AM434&lt;'Quantification_Config'!$S$15),"",IF(('Quantification_Results'!AM434&gt;'Quantification_Config'!$T$15),"",'Quantification_Results'!AM434)),"")))</x:f>
        <x:v>5</x:v>
      </x:c>
      <x:c r="AO434" t="n">
        <x:f>IF(ISNUMBER('Quantification_Results'!AN434),IFERROR(ROUND(((('Quantification_Results'!AN434-'Quantification_Config'!$S$15)/('Quantification_Config'!$T$15-'Quantification_Config'!$S$15))*100),'Quantification_Config'!$U$2),""),"")</x:f>
        <x:v>50</x:v>
      </x:c>
      <x:c r="AP434" t="inlineStr">
        <x:is>
          <x:t xml:space="preserve">SYSTEM-TEST-ONLY-NO-NETWORK-NOT-AN-EDUCATIONAL-EVALUATION</x:t>
        </x:is>
      </x:c>
      <x:c r="AQ434" t="inlineStr">
        <x:is>
          <x:t xml:space="preserve"/>
        </x:is>
      </x:c>
      <x:c r="AR434" t="inlineStr">
        <x:is>
          <x:t xml:space="preserve">NONE</x:t>
        </x:is>
      </x:c>
      <x:c r="AS434" t="inlineStr">
        <x:is>
          <x:t xml:space="preserve"/>
        </x:is>
      </x:c>
      <x:c r="AT434" t="inlineStr">
        <x:is>
          <x:t xml:space="preserve">SUCCESS</x:t>
        </x:is>
      </x:c>
      <x:c r="AU434" t="n">
        <x:f>IF((COUNT('Quantification_Results'!AO434)=1),IFERROR(ROUND((SUM(('Quantification_Results'!AO434*'Quantification_Config'!$R$15))/SUM('Quantification_Config'!$R$15)),'Quantification_Config'!$U$2),""),"")</x:f>
        <x:v>50</x:v>
      </x:c>
      <x:c r="AV434" t="n">
        <x:f>IF((COUNT('Quantification_Results'!AU434)=1),IFERROR(ROUND((SUM(('Quantification_Results'!AU434*'Quantification_Config'!$R$14))/SUM('Quantification_Config'!$R$14)),'Quantification_Config'!$U$2),""),"")</x:f>
        <x:v>50</x:v>
      </x:c>
      <x:c r="AW434" t="n">
        <x:v>0</x:v>
      </x:c>
      <x:c r="AX434"/>
      <x:c r="AY434"/>
      <x:c r="AZ434">
        <x:f>IF(('Quantification_Results'!AW434&lt;&gt;1),"",IF(('Quantification_Results'!AY434=""),IF(ISNUMBER('Quantification_Results'!AX434),IF(('Quantification_Results'!AX434&lt;'Quantification_Config'!$S$19),"",IF(('Quantification_Results'!AX434&gt;'Quantification_Config'!$T$19),"",'Quantification_Results'!AX434)),""),IF(ISNUMBER('Quantification_Results'!AY434),IF(('Quantification_Results'!AY434&lt;'Quantification_Config'!$S$19),"",IF(('Quantification_Results'!AY434&gt;'Quantification_Config'!$T$19),"",'Quantification_Results'!AY434)),"")))</x:f>
      </x:c>
      <x:c r="BA434">
        <x:f>IF(ISNUMBER('Quantification_Results'!AZ434),IFERROR(ROUND(((('Quantification_Results'!AZ434-'Quantification_Config'!$S$19)/('Quantification_Config'!$T$19-'Quantification_Config'!$S$19))*100),'Quantification_Config'!$U$2),""),"")</x:f>
      </x:c>
      <x:c r="BB434" t="inlineStr">
        <x:is>
          <x:t xml:space="preserve"/>
        </x:is>
      </x:c>
      <x:c r="BC434" t="inlineStr">
        <x:is>
          <x:t xml:space="preserve"/>
        </x:is>
      </x:c>
      <x:c r="BD434" t="inlineStr">
        <x:is>
          <x:t xml:space="preserve"/>
        </x:is>
      </x:c>
      <x:c r="BE434" t="inlineStr">
        <x:is>
          <x:t xml:space="preserve"/>
        </x:is>
      </x:c>
      <x:c r="BF434" t="inlineStr">
        <x:is>
          <x:t xml:space="preserve">EMPTY</x:t>
        </x:is>
      </x:c>
      <x:c r="BG434">
        <x:f>IF((COUNT('Quantification_Results'!BA434)=1),IFERROR(ROUND((SUM(('Quantification_Results'!BA434*'Quantification_Config'!$R$19))/SUM('Quantification_Config'!$R$19)),'Quantification_Config'!$U$2),""),"")</x:f>
      </x:c>
      <x:c r="BH434">
        <x:f>IF((COUNT('Quantification_Results'!BG434)=1),IFERROR(ROUND((SUM(('Quantification_Results'!BG434*'Quantification_Config'!$R$18))/SUM('Quantification_Config'!$R$18)),'Quantification_Config'!$U$2),""),"")</x:f>
      </x:c>
      <x:c r="BI434">
        <x:f>IF((COUNT('Quantification_Results'!L434,'Quantification_Results'!X434,'Quantification_Results'!AJ434,'Quantification_Results'!AV434,'Quantification_Results'!BH434)=5),IFERROR(ROUND((SUM(('Quantification_Results'!L434*'Quantification_Config'!$R$4),('Quantification_Results'!X434*'Quantification_Config'!$R$7),('Quantification_Results'!AJ434*'Quantification_Config'!$R$10),('Quantification_Results'!AV434*'Quantification_Config'!$R$13),('Quantification_Results'!BH434*'Quantification_Config'!$R$16))/SUM('Quantification_Config'!$R$4,'Quantification_Config'!$R$7,'Quantification_Config'!$R$10,'Quantification_Config'!$R$13,'Quantification_Config'!$R$16)),'Quantification_Config'!$U$2),""),"")</x:f>
      </x:c>
    </x:row>
    <x:row r="435">
      <x:c r="A435" t="n">
        <x:v>1</x:v>
      </x:c>
      <x:c r="B435" t="n">
        <x:v>5</x:v>
      </x:c>
      <x:c r="C435"/>
      <x:c r="D435" t="n">
        <x:f>IF(('Quantification_Results'!A435&lt;&gt;1),"",IF(('Quantification_Results'!C435=""),IF(ISNUMBER('Quantification_Results'!B435),IF(('Quantification_Results'!B435&lt;'Quantification_Config'!$S$6),"",IF(('Quantification_Results'!B435&gt;'Quantification_Config'!$T$6),"",'Quantification_Results'!B435)),""),IF(ISNUMBER('Quantification_Results'!C435),IF(('Quantification_Results'!C435&lt;'Quantification_Config'!$S$6),"",IF(('Quantification_Results'!C435&gt;'Quantification_Config'!$T$6),"",'Quantification_Results'!C435)),"")))</x:f>
        <x:v>5</x:v>
      </x:c>
      <x:c r="E435" t="n">
        <x:f>IF(ISNUMBER('Quantification_Results'!D435),IFERROR(ROUND(((('Quantification_Results'!D435-'Quantification_Config'!$S$6)/('Quantification_Config'!$T$6-'Quantification_Config'!$S$6))*100),'Quantification_Config'!$U$2),""),"")</x:f>
        <x:v>50</x:v>
      </x:c>
      <x:c r="F435" t="inlineStr">
        <x:is>
          <x:t xml:space="preserve">SYSTEM-TEST-ONLY-NO-NETWORK-NOT-AN-EDUCATIONAL-EVALUATION</x:t>
        </x:is>
      </x:c>
      <x:c r="G435" t="inlineStr">
        <x:is>
          <x:t xml:space="preserve"/>
        </x:is>
      </x:c>
      <x:c r="H435" t="inlineStr">
        <x:is>
          <x:t xml:space="preserve">NONE</x:t>
        </x:is>
      </x:c>
      <x:c r="I435" t="inlineStr">
        <x:is>
          <x:t xml:space="preserve"/>
        </x:is>
      </x:c>
      <x:c r="J435" t="inlineStr">
        <x:is>
          <x:t xml:space="preserve">SUCCESS</x:t>
        </x:is>
      </x:c>
      <x:c r="K435" t="n">
        <x:f>IF((COUNT('Quantification_Results'!E435)=1),IFERROR(ROUND((SUM(('Quantification_Results'!E435*'Quantification_Config'!$R$6))/SUM('Quantification_Config'!$R$6)),'Quantification_Config'!$U$2),""),"")</x:f>
        <x:v>50</x:v>
      </x:c>
      <x:c r="L435" t="n">
        <x:f>IF((COUNT('Quantification_Results'!K435)=1),IFERROR(ROUND((SUM(('Quantification_Results'!K435*'Quantification_Config'!$R$5))/SUM('Quantification_Config'!$R$5)),'Quantification_Config'!$U$2),""),"")</x:f>
        <x:v>50</x:v>
      </x:c>
      <x:c r="M435" t="n">
        <x:v>1</x:v>
      </x:c>
      <x:c r="N435" t="n">
        <x:v>5</x:v>
      </x:c>
      <x:c r="O435"/>
      <x:c r="P435" t="n">
        <x:f>IF(('Quantification_Results'!M435&lt;&gt;1),"",IF(('Quantification_Results'!O435=""),IF(ISNUMBER('Quantification_Results'!N435),IF(('Quantification_Results'!N435&lt;'Quantification_Config'!$S$9),"",IF(('Quantification_Results'!N435&gt;'Quantification_Config'!$T$9),"",'Quantification_Results'!N435)),""),IF(ISNUMBER('Quantification_Results'!O435),IF(('Quantification_Results'!O435&lt;'Quantification_Config'!$S$9),"",IF(('Quantification_Results'!O435&gt;'Quantification_Config'!$T$9),"",'Quantification_Results'!O435)),"")))</x:f>
        <x:v>5</x:v>
      </x:c>
      <x:c r="Q435" t="n">
        <x:f>IF(ISNUMBER('Quantification_Results'!P435),IFERROR(ROUND(((('Quantification_Results'!P435-'Quantification_Config'!$S$9)/('Quantification_Config'!$T$9-'Quantification_Config'!$S$9))*100),'Quantification_Config'!$U$2),""),"")</x:f>
        <x:v>50</x:v>
      </x:c>
      <x:c r="R435" t="inlineStr">
        <x:is>
          <x:t xml:space="preserve">SYSTEM-TEST-ONLY-NO-NETWORK-NOT-AN-EDUCATIONAL-EVALUATION</x:t>
        </x:is>
      </x:c>
      <x:c r="S435" t="inlineStr">
        <x:is>
          <x:t xml:space="preserve"/>
        </x:is>
      </x:c>
      <x:c r="T435" t="inlineStr">
        <x:is>
          <x:t xml:space="preserve">NONE</x:t>
        </x:is>
      </x:c>
      <x:c r="U435" t="inlineStr">
        <x:is>
          <x:t xml:space="preserve"/>
        </x:is>
      </x:c>
      <x:c r="V435" t="inlineStr">
        <x:is>
          <x:t xml:space="preserve">SUCCESS</x:t>
        </x:is>
      </x:c>
      <x:c r="W435" t="n">
        <x:f>IF((COUNT('Quantification_Results'!Q435)=1),IFERROR(ROUND((SUM(('Quantification_Results'!Q435*'Quantification_Config'!$R$9))/SUM('Quantification_Config'!$R$9)),'Quantification_Config'!$U$2),""),"")</x:f>
        <x:v>50</x:v>
      </x:c>
      <x:c r="X435" t="n">
        <x:f>IF((COUNT('Quantification_Results'!W435)=1),IFERROR(ROUND((SUM(('Quantification_Results'!W435*'Quantification_Config'!$R$8))/SUM('Quantification_Config'!$R$8)),'Quantification_Config'!$U$2),""),"")</x:f>
        <x:v>50</x:v>
      </x:c>
      <x:c r="Y435" t="n">
        <x:v>1</x:v>
      </x:c>
      <x:c r="Z435" t="n">
        <x:v>5</x:v>
      </x:c>
      <x:c r="AA435"/>
      <x:c r="AB435" t="n">
        <x:f>IF(('Quantification_Results'!Y435&lt;&gt;1),"",IF(('Quantification_Results'!AA435=""),IF(ISNUMBER('Quantification_Results'!Z435),IF(('Quantification_Results'!Z435&lt;'Quantification_Config'!$S$12),"",IF(('Quantification_Results'!Z435&gt;'Quantification_Config'!$T$12),"",'Quantification_Results'!Z435)),""),IF(ISNUMBER('Quantification_Results'!AA435),IF(('Quantification_Results'!AA435&lt;'Quantification_Config'!$S$12),"",IF(('Quantification_Results'!AA435&gt;'Quantification_Config'!$T$12),"",'Quantification_Results'!AA435)),"")))</x:f>
        <x:v>5</x:v>
      </x:c>
      <x:c r="AC435" t="n">
        <x:f>IF(ISNUMBER('Quantification_Results'!AB435),IFERROR(ROUND(((('Quantification_Results'!AB435-'Quantification_Config'!$S$12)/('Quantification_Config'!$T$12-'Quantification_Config'!$S$12))*100),'Quantification_Config'!$U$2),""),"")</x:f>
        <x:v>50</x:v>
      </x:c>
      <x:c r="AD435" t="inlineStr">
        <x:is>
          <x:t xml:space="preserve">SYSTEM-TEST-ONLY-NO-NETWORK-NOT-AN-EDUCATIONAL-EVALUATION</x:t>
        </x:is>
      </x:c>
      <x:c r="AE435" t="inlineStr">
        <x:is>
          <x:t xml:space="preserve"/>
        </x:is>
      </x:c>
      <x:c r="AF435" t="inlineStr">
        <x:is>
          <x:t xml:space="preserve">NONE</x:t>
        </x:is>
      </x:c>
      <x:c r="AG435" t="inlineStr">
        <x:is>
          <x:t xml:space="preserve"/>
        </x:is>
      </x:c>
      <x:c r="AH435" t="inlineStr">
        <x:is>
          <x:t xml:space="preserve">SUCCESS</x:t>
        </x:is>
      </x:c>
      <x:c r="AI435" t="n">
        <x:f>IF((COUNT('Quantification_Results'!AC435)=1),IFERROR(ROUND((SUM(('Quantification_Results'!AC435*'Quantification_Config'!$R$12))/SUM('Quantification_Config'!$R$12)),'Quantification_Config'!$U$2),""),"")</x:f>
        <x:v>50</x:v>
      </x:c>
      <x:c r="AJ435" t="n">
        <x:f>IF((COUNT('Quantification_Results'!AI435)=1),IFERROR(ROUND((SUM(('Quantification_Results'!AI435*'Quantification_Config'!$R$11))/SUM('Quantification_Config'!$R$11)),'Quantification_Config'!$U$2),""),"")</x:f>
        <x:v>50</x:v>
      </x:c>
      <x:c r="AK435" t="n">
        <x:v>1</x:v>
      </x:c>
      <x:c r="AL435" t="n">
        <x:v>5</x:v>
      </x:c>
      <x:c r="AM435"/>
      <x:c r="AN435" t="n">
        <x:f>IF(('Quantification_Results'!AK435&lt;&gt;1),"",IF(('Quantification_Results'!AM435=""),IF(ISNUMBER('Quantification_Results'!AL435),IF(('Quantification_Results'!AL435&lt;'Quantification_Config'!$S$15),"",IF(('Quantification_Results'!AL435&gt;'Quantification_Config'!$T$15),"",'Quantification_Results'!AL435)),""),IF(ISNUMBER('Quantification_Results'!AM435),IF(('Quantification_Results'!AM435&lt;'Quantification_Config'!$S$15),"",IF(('Quantification_Results'!AM435&gt;'Quantification_Config'!$T$15),"",'Quantification_Results'!AM435)),"")))</x:f>
        <x:v>5</x:v>
      </x:c>
      <x:c r="AO435" t="n">
        <x:f>IF(ISNUMBER('Quantification_Results'!AN435),IFERROR(ROUND(((('Quantification_Results'!AN435-'Quantification_Config'!$S$15)/('Quantification_Config'!$T$15-'Quantification_Config'!$S$15))*100),'Quantification_Config'!$U$2),""),"")</x:f>
        <x:v>50</x:v>
      </x:c>
      <x:c r="AP435" t="inlineStr">
        <x:is>
          <x:t xml:space="preserve">SYSTEM-TEST-ONLY-NO-NETWORK-NOT-AN-EDUCATIONAL-EVALUATION</x:t>
        </x:is>
      </x:c>
      <x:c r="AQ435" t="inlineStr">
        <x:is>
          <x:t xml:space="preserve"/>
        </x:is>
      </x:c>
      <x:c r="AR435" t="inlineStr">
        <x:is>
          <x:t xml:space="preserve">NONE</x:t>
        </x:is>
      </x:c>
      <x:c r="AS435" t="inlineStr">
        <x:is>
          <x:t xml:space="preserve"/>
        </x:is>
      </x:c>
      <x:c r="AT435" t="inlineStr">
        <x:is>
          <x:t xml:space="preserve">SUCCESS</x:t>
        </x:is>
      </x:c>
      <x:c r="AU435" t="n">
        <x:f>IF((COUNT('Quantification_Results'!AO435)=1),IFERROR(ROUND((SUM(('Quantification_Results'!AO435*'Quantification_Config'!$R$15))/SUM('Quantification_Config'!$R$15)),'Quantification_Config'!$U$2),""),"")</x:f>
        <x:v>50</x:v>
      </x:c>
      <x:c r="AV435" t="n">
        <x:f>IF((COUNT('Quantification_Results'!AU435)=1),IFERROR(ROUND((SUM(('Quantification_Results'!AU435*'Quantification_Config'!$R$14))/SUM('Quantification_Config'!$R$14)),'Quantification_Config'!$U$2),""),"")</x:f>
        <x:v>50</x:v>
      </x:c>
      <x:c r="AW435" t="n">
        <x:v>1</x:v>
      </x:c>
      <x:c r="AX435" t="n">
        <x:v>5</x:v>
      </x:c>
      <x:c r="AY435"/>
      <x:c r="AZ435" t="n">
        <x:f>IF(('Quantification_Results'!AW435&lt;&gt;1),"",IF(('Quantification_Results'!AY435=""),IF(ISNUMBER('Quantification_Results'!AX435),IF(('Quantification_Results'!AX435&lt;'Quantification_Config'!$S$19),"",IF(('Quantification_Results'!AX435&gt;'Quantification_Config'!$T$19),"",'Quantification_Results'!AX435)),""),IF(ISNUMBER('Quantification_Results'!AY435),IF(('Quantification_Results'!AY435&lt;'Quantification_Config'!$S$19),"",IF(('Quantification_Results'!AY435&gt;'Quantification_Config'!$T$19),"",'Quantification_Results'!AY435)),"")))</x:f>
        <x:v>5</x:v>
      </x:c>
      <x:c r="BA435" t="n">
        <x:f>IF(ISNUMBER('Quantification_Results'!AZ435),IFERROR(ROUND(((('Quantification_Results'!AZ435-'Quantification_Config'!$S$19)/('Quantification_Config'!$T$19-'Quantification_Config'!$S$19))*100),'Quantification_Config'!$U$2),""),"")</x:f>
        <x:v>50</x:v>
      </x:c>
      <x:c r="BB435" t="inlineStr">
        <x:is>
          <x:t xml:space="preserve">SYSTEM-TEST-ONLY-NO-NETWORK-NOT-AN-EDUCATIONAL-EVALUATION</x:t>
        </x:is>
      </x:c>
      <x:c r="BC435" t="inlineStr">
        <x:is>
          <x:t xml:space="preserve"/>
        </x:is>
      </x:c>
      <x:c r="BD435" t="inlineStr">
        <x:is>
          <x:t xml:space="preserve">NONE</x:t>
        </x:is>
      </x:c>
      <x:c r="BE435" t="inlineStr">
        <x:is>
          <x:t xml:space="preserve"/>
        </x:is>
      </x:c>
      <x:c r="BF435" t="inlineStr">
        <x:is>
          <x:t xml:space="preserve">SUCCESS</x:t>
        </x:is>
      </x:c>
      <x:c r="BG435" t="n">
        <x:f>IF((COUNT('Quantification_Results'!BA435)=1),IFERROR(ROUND((SUM(('Quantification_Results'!BA435*'Quantification_Config'!$R$19))/SUM('Quantification_Config'!$R$19)),'Quantification_Config'!$U$2),""),"")</x:f>
        <x:v>50</x:v>
      </x:c>
      <x:c r="BH435" t="n">
        <x:f>IF((COUNT('Quantification_Results'!BG435)=1),IFERROR(ROUND((SUM(('Quantification_Results'!BG435*'Quantification_Config'!$R$18))/SUM('Quantification_Config'!$R$18)),'Quantification_Config'!$U$2),""),"")</x:f>
        <x:v>50</x:v>
      </x:c>
      <x:c r="BI435" t="n">
        <x:f>IF((COUNT('Quantification_Results'!L435,'Quantification_Results'!X435,'Quantification_Results'!AJ435,'Quantification_Results'!AV435,'Quantification_Results'!BH435)=5),IFERROR(ROUND((SUM(('Quantification_Results'!L435*'Quantification_Config'!$R$4),('Quantification_Results'!X435*'Quantification_Config'!$R$7),('Quantification_Results'!AJ435*'Quantification_Config'!$R$10),('Quantification_Results'!AV435*'Quantification_Config'!$R$13),('Quantification_Results'!BH435*'Quantification_Config'!$R$16))/SUM('Quantification_Config'!$R$4,'Quantification_Config'!$R$7,'Quantification_Config'!$R$10,'Quantification_Config'!$R$13,'Quantification_Config'!$R$16)),'Quantification_Config'!$U$2),""),"")</x:f>
        <x:v>50</x:v>
      </x:c>
    </x:row>
    <x:row r="436">
      <x:c r="A436" t="n">
        <x:v>1</x:v>
      </x:c>
      <x:c r="B436" t="n">
        <x:v>5</x:v>
      </x:c>
      <x:c r="C436"/>
      <x:c r="D436" t="n">
        <x:f>IF(('Quantification_Results'!A436&lt;&gt;1),"",IF(('Quantification_Results'!C436=""),IF(ISNUMBER('Quantification_Results'!B436),IF(('Quantification_Results'!B436&lt;'Quantification_Config'!$S$6),"",IF(('Quantification_Results'!B436&gt;'Quantification_Config'!$T$6),"",'Quantification_Results'!B436)),""),IF(ISNUMBER('Quantification_Results'!C436),IF(('Quantification_Results'!C436&lt;'Quantification_Config'!$S$6),"",IF(('Quantification_Results'!C436&gt;'Quantification_Config'!$T$6),"",'Quantification_Results'!C436)),"")))</x:f>
        <x:v>5</x:v>
      </x:c>
      <x:c r="E436" t="n">
        <x:f>IF(ISNUMBER('Quantification_Results'!D436),IFERROR(ROUND(((('Quantification_Results'!D436-'Quantification_Config'!$S$6)/('Quantification_Config'!$T$6-'Quantification_Config'!$S$6))*100),'Quantification_Config'!$U$2),""),"")</x:f>
        <x:v>50</x:v>
      </x:c>
      <x:c r="F436" t="inlineStr">
        <x:is>
          <x:t xml:space="preserve">SYSTEM-TEST-ONLY-NO-NETWORK-NOT-AN-EDUCATIONAL-EVALUATION</x:t>
        </x:is>
      </x:c>
      <x:c r="G436" t="inlineStr">
        <x:is>
          <x:t xml:space="preserve"/>
        </x:is>
      </x:c>
      <x:c r="H436" t="inlineStr">
        <x:is>
          <x:t xml:space="preserve">NONE</x:t>
        </x:is>
      </x:c>
      <x:c r="I436" t="inlineStr">
        <x:is>
          <x:t xml:space="preserve"/>
        </x:is>
      </x:c>
      <x:c r="J436" t="inlineStr">
        <x:is>
          <x:t xml:space="preserve">SUCCESS</x:t>
        </x:is>
      </x:c>
      <x:c r="K436" t="n">
        <x:f>IF((COUNT('Quantification_Results'!E436)=1),IFERROR(ROUND((SUM(('Quantification_Results'!E436*'Quantification_Config'!$R$6))/SUM('Quantification_Config'!$R$6)),'Quantification_Config'!$U$2),""),"")</x:f>
        <x:v>50</x:v>
      </x:c>
      <x:c r="L436" t="n">
        <x:f>IF((COUNT('Quantification_Results'!K436)=1),IFERROR(ROUND((SUM(('Quantification_Results'!K436*'Quantification_Config'!$R$5))/SUM('Quantification_Config'!$R$5)),'Quantification_Config'!$U$2),""),"")</x:f>
        <x:v>50</x:v>
      </x:c>
      <x:c r="M436" t="n">
        <x:v>1</x:v>
      </x:c>
      <x:c r="N436" t="n">
        <x:v>5</x:v>
      </x:c>
      <x:c r="O436"/>
      <x:c r="P436" t="n">
        <x:f>IF(('Quantification_Results'!M436&lt;&gt;1),"",IF(('Quantification_Results'!O436=""),IF(ISNUMBER('Quantification_Results'!N436),IF(('Quantification_Results'!N436&lt;'Quantification_Config'!$S$9),"",IF(('Quantification_Results'!N436&gt;'Quantification_Config'!$T$9),"",'Quantification_Results'!N436)),""),IF(ISNUMBER('Quantification_Results'!O436),IF(('Quantification_Results'!O436&lt;'Quantification_Config'!$S$9),"",IF(('Quantification_Results'!O436&gt;'Quantification_Config'!$T$9),"",'Quantification_Results'!O436)),"")))</x:f>
        <x:v>5</x:v>
      </x:c>
      <x:c r="Q436" t="n">
        <x:f>IF(ISNUMBER('Quantification_Results'!P436),IFERROR(ROUND(((('Quantification_Results'!P436-'Quantification_Config'!$S$9)/('Quantification_Config'!$T$9-'Quantification_Config'!$S$9))*100),'Quantification_Config'!$U$2),""),"")</x:f>
        <x:v>50</x:v>
      </x:c>
      <x:c r="R436" t="inlineStr">
        <x:is>
          <x:t xml:space="preserve">SYSTEM-TEST-ONLY-NO-NETWORK-NOT-AN-EDUCATIONAL-EVALUATION</x:t>
        </x:is>
      </x:c>
      <x:c r="S436" t="inlineStr">
        <x:is>
          <x:t xml:space="preserve"/>
        </x:is>
      </x:c>
      <x:c r="T436" t="inlineStr">
        <x:is>
          <x:t xml:space="preserve">NONE</x:t>
        </x:is>
      </x:c>
      <x:c r="U436" t="inlineStr">
        <x:is>
          <x:t xml:space="preserve"/>
        </x:is>
      </x:c>
      <x:c r="V436" t="inlineStr">
        <x:is>
          <x:t xml:space="preserve">SUCCESS</x:t>
        </x:is>
      </x:c>
      <x:c r="W436" t="n">
        <x:f>IF((COUNT('Quantification_Results'!Q436)=1),IFERROR(ROUND((SUM(('Quantification_Results'!Q436*'Quantification_Config'!$R$9))/SUM('Quantification_Config'!$R$9)),'Quantification_Config'!$U$2),""),"")</x:f>
        <x:v>50</x:v>
      </x:c>
      <x:c r="X436" t="n">
        <x:f>IF((COUNT('Quantification_Results'!W436)=1),IFERROR(ROUND((SUM(('Quantification_Results'!W436*'Quantification_Config'!$R$8))/SUM('Quantification_Config'!$R$8)),'Quantification_Config'!$U$2),""),"")</x:f>
        <x:v>50</x:v>
      </x:c>
      <x:c r="Y436" t="n">
        <x:v>1</x:v>
      </x:c>
      <x:c r="Z436" t="n">
        <x:v>5</x:v>
      </x:c>
      <x:c r="AA436"/>
      <x:c r="AB436" t="n">
        <x:f>IF(('Quantification_Results'!Y436&lt;&gt;1),"",IF(('Quantification_Results'!AA436=""),IF(ISNUMBER('Quantification_Results'!Z436),IF(('Quantification_Results'!Z436&lt;'Quantification_Config'!$S$12),"",IF(('Quantification_Results'!Z436&gt;'Quantification_Config'!$T$12),"",'Quantification_Results'!Z436)),""),IF(ISNUMBER('Quantification_Results'!AA436),IF(('Quantification_Results'!AA436&lt;'Quantification_Config'!$S$12),"",IF(('Quantification_Results'!AA436&gt;'Quantification_Config'!$T$12),"",'Quantification_Results'!AA436)),"")))</x:f>
        <x:v>5</x:v>
      </x:c>
      <x:c r="AC436" t="n">
        <x:f>IF(ISNUMBER('Quantification_Results'!AB436),IFERROR(ROUND(((('Quantification_Results'!AB436-'Quantification_Config'!$S$12)/('Quantification_Config'!$T$12-'Quantification_Config'!$S$12))*100),'Quantification_Config'!$U$2),""),"")</x:f>
        <x:v>50</x:v>
      </x:c>
      <x:c r="AD436" t="inlineStr">
        <x:is>
          <x:t xml:space="preserve">SYSTEM-TEST-ONLY-NO-NETWORK-NOT-AN-EDUCATIONAL-EVALUATION</x:t>
        </x:is>
      </x:c>
      <x:c r="AE436" t="inlineStr">
        <x:is>
          <x:t xml:space="preserve"/>
        </x:is>
      </x:c>
      <x:c r="AF436" t="inlineStr">
        <x:is>
          <x:t xml:space="preserve">NONE</x:t>
        </x:is>
      </x:c>
      <x:c r="AG436" t="inlineStr">
        <x:is>
          <x:t xml:space="preserve"/>
        </x:is>
      </x:c>
      <x:c r="AH436" t="inlineStr">
        <x:is>
          <x:t xml:space="preserve">SUCCESS</x:t>
        </x:is>
      </x:c>
      <x:c r="AI436" t="n">
        <x:f>IF((COUNT('Quantification_Results'!AC436)=1),IFERROR(ROUND((SUM(('Quantification_Results'!AC436*'Quantification_Config'!$R$12))/SUM('Quantification_Config'!$R$12)),'Quantification_Config'!$U$2),""),"")</x:f>
        <x:v>50</x:v>
      </x:c>
      <x:c r="AJ436" t="n">
        <x:f>IF((COUNT('Quantification_Results'!AI436)=1),IFERROR(ROUND((SUM(('Quantification_Results'!AI436*'Quantification_Config'!$R$11))/SUM('Quantification_Config'!$R$11)),'Quantification_Config'!$U$2),""),"")</x:f>
        <x:v>50</x:v>
      </x:c>
      <x:c r="AK436" t="n">
        <x:v>1</x:v>
      </x:c>
      <x:c r="AL436" t="n">
        <x:v>5</x:v>
      </x:c>
      <x:c r="AM436"/>
      <x:c r="AN436" t="n">
        <x:f>IF(('Quantification_Results'!AK436&lt;&gt;1),"",IF(('Quantification_Results'!AM436=""),IF(ISNUMBER('Quantification_Results'!AL436),IF(('Quantification_Results'!AL436&lt;'Quantification_Config'!$S$15),"",IF(('Quantification_Results'!AL436&gt;'Quantification_Config'!$T$15),"",'Quantification_Results'!AL436)),""),IF(ISNUMBER('Quantification_Results'!AM436),IF(('Quantification_Results'!AM436&lt;'Quantification_Config'!$S$15),"",IF(('Quantification_Results'!AM436&gt;'Quantification_Config'!$T$15),"",'Quantification_Results'!AM436)),"")))</x:f>
        <x:v>5</x:v>
      </x:c>
      <x:c r="AO436" t="n">
        <x:f>IF(ISNUMBER('Quantification_Results'!AN436),IFERROR(ROUND(((('Quantification_Results'!AN436-'Quantification_Config'!$S$15)/('Quantification_Config'!$T$15-'Quantification_Config'!$S$15))*100),'Quantification_Config'!$U$2),""),"")</x:f>
        <x:v>50</x:v>
      </x:c>
      <x:c r="AP436" t="inlineStr">
        <x:is>
          <x:t xml:space="preserve">SYSTEM-TEST-ONLY-NO-NETWORK-NOT-AN-EDUCATIONAL-EVALUATION</x:t>
        </x:is>
      </x:c>
      <x:c r="AQ436" t="inlineStr">
        <x:is>
          <x:t xml:space="preserve"/>
        </x:is>
      </x:c>
      <x:c r="AR436" t="inlineStr">
        <x:is>
          <x:t xml:space="preserve">NONE</x:t>
        </x:is>
      </x:c>
      <x:c r="AS436" t="inlineStr">
        <x:is>
          <x:t xml:space="preserve"/>
        </x:is>
      </x:c>
      <x:c r="AT436" t="inlineStr">
        <x:is>
          <x:t xml:space="preserve">SUCCESS</x:t>
        </x:is>
      </x:c>
      <x:c r="AU436" t="n">
        <x:f>IF((COUNT('Quantification_Results'!AO436)=1),IFERROR(ROUND((SUM(('Quantification_Results'!AO436*'Quantification_Config'!$R$15))/SUM('Quantification_Config'!$R$15)),'Quantification_Config'!$U$2),""),"")</x:f>
        <x:v>50</x:v>
      </x:c>
      <x:c r="AV436" t="n">
        <x:f>IF((COUNT('Quantification_Results'!AU436)=1),IFERROR(ROUND((SUM(('Quantification_Results'!AU436*'Quantification_Config'!$R$14))/SUM('Quantification_Config'!$R$14)),'Quantification_Config'!$U$2),""),"")</x:f>
        <x:v>50</x:v>
      </x:c>
      <x:c r="AW436" t="n">
        <x:v>1</x:v>
      </x:c>
      <x:c r="AX436" t="n">
        <x:v>5</x:v>
      </x:c>
      <x:c r="AY436"/>
      <x:c r="AZ436" t="n">
        <x:f>IF(('Quantification_Results'!AW436&lt;&gt;1),"",IF(('Quantification_Results'!AY436=""),IF(ISNUMBER('Quantification_Results'!AX436),IF(('Quantification_Results'!AX436&lt;'Quantification_Config'!$S$19),"",IF(('Quantification_Results'!AX436&gt;'Quantification_Config'!$T$19),"",'Quantification_Results'!AX436)),""),IF(ISNUMBER('Quantification_Results'!AY436),IF(('Quantification_Results'!AY436&lt;'Quantification_Config'!$S$19),"",IF(('Quantification_Results'!AY436&gt;'Quantification_Config'!$T$19),"",'Quantification_Results'!AY436)),"")))</x:f>
        <x:v>5</x:v>
      </x:c>
      <x:c r="BA436" t="n">
        <x:f>IF(ISNUMBER('Quantification_Results'!AZ436),IFERROR(ROUND(((('Quantification_Results'!AZ436-'Quantification_Config'!$S$19)/('Quantification_Config'!$T$19-'Quantification_Config'!$S$19))*100),'Quantification_Config'!$U$2),""),"")</x:f>
        <x:v>50</x:v>
      </x:c>
      <x:c r="BB436" t="inlineStr">
        <x:is>
          <x:t xml:space="preserve">SYSTEM-TEST-ONLY-NO-NETWORK-NOT-AN-EDUCATIONAL-EVALUATION</x:t>
        </x:is>
      </x:c>
      <x:c r="BC436" t="inlineStr">
        <x:is>
          <x:t xml:space="preserve"/>
        </x:is>
      </x:c>
      <x:c r="BD436" t="inlineStr">
        <x:is>
          <x:t xml:space="preserve">NONE</x:t>
        </x:is>
      </x:c>
      <x:c r="BE436" t="inlineStr">
        <x:is>
          <x:t xml:space="preserve"/>
        </x:is>
      </x:c>
      <x:c r="BF436" t="inlineStr">
        <x:is>
          <x:t xml:space="preserve">SUCCESS</x:t>
        </x:is>
      </x:c>
      <x:c r="BG436" t="n">
        <x:f>IF((COUNT('Quantification_Results'!BA436)=1),IFERROR(ROUND((SUM(('Quantification_Results'!BA436*'Quantification_Config'!$R$19))/SUM('Quantification_Config'!$R$19)),'Quantification_Config'!$U$2),""),"")</x:f>
        <x:v>50</x:v>
      </x:c>
      <x:c r="BH436" t="n">
        <x:f>IF((COUNT('Quantification_Results'!BG436)=1),IFERROR(ROUND((SUM(('Quantification_Results'!BG436*'Quantification_Config'!$R$18))/SUM('Quantification_Config'!$R$18)),'Quantification_Config'!$U$2),""),"")</x:f>
        <x:v>50</x:v>
      </x:c>
      <x:c r="BI436" t="n">
        <x:f>IF((COUNT('Quantification_Results'!L436,'Quantification_Results'!X436,'Quantification_Results'!AJ436,'Quantification_Results'!AV436,'Quantification_Results'!BH436)=5),IFERROR(ROUND((SUM(('Quantification_Results'!L436*'Quantification_Config'!$R$4),('Quantification_Results'!X436*'Quantification_Config'!$R$7),('Quantification_Results'!AJ436*'Quantification_Config'!$R$10),('Quantification_Results'!AV436*'Quantification_Config'!$R$13),('Quantification_Results'!BH436*'Quantification_Config'!$R$16))/SUM('Quantification_Config'!$R$4,'Quantification_Config'!$R$7,'Quantification_Config'!$R$10,'Quantification_Config'!$R$13,'Quantification_Config'!$R$16)),'Quantification_Config'!$U$2),""),"")</x:f>
        <x:v>50</x:v>
      </x:c>
    </x:row>
    <x:row r="437">
      <x:c r="A437" t="n">
        <x:v>1</x:v>
      </x:c>
      <x:c r="B437" t="n">
        <x:v>5</x:v>
      </x:c>
      <x:c r="C437"/>
      <x:c r="D437" t="n">
        <x:f>IF(('Quantification_Results'!A437&lt;&gt;1),"",IF(('Quantification_Results'!C437=""),IF(ISNUMBER('Quantification_Results'!B437),IF(('Quantification_Results'!B437&lt;'Quantification_Config'!$S$6),"",IF(('Quantification_Results'!B437&gt;'Quantification_Config'!$T$6),"",'Quantification_Results'!B437)),""),IF(ISNUMBER('Quantification_Results'!C437),IF(('Quantification_Results'!C437&lt;'Quantification_Config'!$S$6),"",IF(('Quantification_Results'!C437&gt;'Quantification_Config'!$T$6),"",'Quantification_Results'!C437)),"")))</x:f>
        <x:v>5</x:v>
      </x:c>
      <x:c r="E437" t="n">
        <x:f>IF(ISNUMBER('Quantification_Results'!D437),IFERROR(ROUND(((('Quantification_Results'!D437-'Quantification_Config'!$S$6)/('Quantification_Config'!$T$6-'Quantification_Config'!$S$6))*100),'Quantification_Config'!$U$2),""),"")</x:f>
        <x:v>50</x:v>
      </x:c>
      <x:c r="F437" t="inlineStr">
        <x:is>
          <x:t xml:space="preserve">SYSTEM-TEST-ONLY-NO-NETWORK-NOT-AN-EDUCATIONAL-EVALUATION</x:t>
        </x:is>
      </x:c>
      <x:c r="G437" t="inlineStr">
        <x:is>
          <x:t xml:space="preserve"/>
        </x:is>
      </x:c>
      <x:c r="H437" t="inlineStr">
        <x:is>
          <x:t xml:space="preserve">NONE</x:t>
        </x:is>
      </x:c>
      <x:c r="I437" t="inlineStr">
        <x:is>
          <x:t xml:space="preserve"/>
        </x:is>
      </x:c>
      <x:c r="J437" t="inlineStr">
        <x:is>
          <x:t xml:space="preserve">SUCCESS</x:t>
        </x:is>
      </x:c>
      <x:c r="K437" t="n">
        <x:f>IF((COUNT('Quantification_Results'!E437)=1),IFERROR(ROUND((SUM(('Quantification_Results'!E437*'Quantification_Config'!$R$6))/SUM('Quantification_Config'!$R$6)),'Quantification_Config'!$U$2),""),"")</x:f>
        <x:v>50</x:v>
      </x:c>
      <x:c r="L437" t="n">
        <x:f>IF((COUNT('Quantification_Results'!K437)=1),IFERROR(ROUND((SUM(('Quantification_Results'!K437*'Quantification_Config'!$R$5))/SUM('Quantification_Config'!$R$5)),'Quantification_Config'!$U$2),""),"")</x:f>
        <x:v>50</x:v>
      </x:c>
      <x:c r="M437" t="n">
        <x:v>0</x:v>
      </x:c>
      <x:c r="N437"/>
      <x:c r="O437"/>
      <x:c r="P437">
        <x:f>IF(('Quantification_Results'!M437&lt;&gt;1),"",IF(('Quantification_Results'!O437=""),IF(ISNUMBER('Quantification_Results'!N437),IF(('Quantification_Results'!N437&lt;'Quantification_Config'!$S$9),"",IF(('Quantification_Results'!N437&gt;'Quantification_Config'!$T$9),"",'Quantification_Results'!N437)),""),IF(ISNUMBER('Quantification_Results'!O437),IF(('Quantification_Results'!O437&lt;'Quantification_Config'!$S$9),"",IF(('Quantification_Results'!O437&gt;'Quantification_Config'!$T$9),"",'Quantification_Results'!O437)),"")))</x:f>
      </x:c>
      <x:c r="Q437">
        <x:f>IF(ISNUMBER('Quantification_Results'!P437),IFERROR(ROUND(((('Quantification_Results'!P437-'Quantification_Config'!$S$9)/('Quantification_Config'!$T$9-'Quantification_Config'!$S$9))*100),'Quantification_Config'!$U$2),""),"")</x:f>
      </x:c>
      <x:c r="R437" t="inlineStr">
        <x:is>
          <x:t xml:space="preserve"/>
        </x:is>
      </x:c>
      <x:c r="S437" t="inlineStr">
        <x:is>
          <x:t xml:space="preserve"/>
        </x:is>
      </x:c>
      <x:c r="T437" t="inlineStr">
        <x:is>
          <x:t xml:space="preserve"/>
        </x:is>
      </x:c>
      <x:c r="U437" t="inlineStr">
        <x:is>
          <x:t xml:space="preserve"/>
        </x:is>
      </x:c>
      <x:c r="V437" t="inlineStr">
        <x:is>
          <x:t xml:space="preserve">EMPTY</x:t>
        </x:is>
      </x:c>
      <x:c r="W437">
        <x:f>IF((COUNT('Quantification_Results'!Q437)=1),IFERROR(ROUND((SUM(('Quantification_Results'!Q437*'Quantification_Config'!$R$9))/SUM('Quantification_Config'!$R$9)),'Quantification_Config'!$U$2),""),"")</x:f>
      </x:c>
      <x:c r="X437">
        <x:f>IF((COUNT('Quantification_Results'!W437)=1),IFERROR(ROUND((SUM(('Quantification_Results'!W437*'Quantification_Config'!$R$8))/SUM('Quantification_Config'!$R$8)),'Quantification_Config'!$U$2),""),"")</x:f>
      </x:c>
      <x:c r="Y437" t="n">
        <x:v>0</x:v>
      </x:c>
      <x:c r="Z437"/>
      <x:c r="AA437"/>
      <x:c r="AB437">
        <x:f>IF(('Quantification_Results'!Y437&lt;&gt;1),"",IF(('Quantification_Results'!AA437=""),IF(ISNUMBER('Quantification_Results'!Z437),IF(('Quantification_Results'!Z437&lt;'Quantification_Config'!$S$12),"",IF(('Quantification_Results'!Z437&gt;'Quantification_Config'!$T$12),"",'Quantification_Results'!Z437)),""),IF(ISNUMBER('Quantification_Results'!AA437),IF(('Quantification_Results'!AA437&lt;'Quantification_Config'!$S$12),"",IF(('Quantification_Results'!AA437&gt;'Quantification_Config'!$T$12),"",'Quantification_Results'!AA437)),"")))</x:f>
      </x:c>
      <x:c r="AC437">
        <x:f>IF(ISNUMBER('Quantification_Results'!AB437),IFERROR(ROUND(((('Quantification_Results'!AB437-'Quantification_Config'!$S$12)/('Quantification_Config'!$T$12-'Quantification_Config'!$S$12))*100),'Quantification_Config'!$U$2),""),"")</x:f>
      </x:c>
      <x:c r="AD437" t="inlineStr">
        <x:is>
          <x:t xml:space="preserve"/>
        </x:is>
      </x:c>
      <x:c r="AE437" t="inlineStr">
        <x:is>
          <x:t xml:space="preserve"/>
        </x:is>
      </x:c>
      <x:c r="AF437" t="inlineStr">
        <x:is>
          <x:t xml:space="preserve"/>
        </x:is>
      </x:c>
      <x:c r="AG437" t="inlineStr">
        <x:is>
          <x:t xml:space="preserve"/>
        </x:is>
      </x:c>
      <x:c r="AH437" t="inlineStr">
        <x:is>
          <x:t xml:space="preserve">EMPTY</x:t>
        </x:is>
      </x:c>
      <x:c r="AI437">
        <x:f>IF((COUNT('Quantification_Results'!AC437)=1),IFERROR(ROUND((SUM(('Quantification_Results'!AC437*'Quantification_Config'!$R$12))/SUM('Quantification_Config'!$R$12)),'Quantification_Config'!$U$2),""),"")</x:f>
      </x:c>
      <x:c r="AJ437">
        <x:f>IF((COUNT('Quantification_Results'!AI437)=1),IFERROR(ROUND((SUM(('Quantification_Results'!AI437*'Quantification_Config'!$R$11))/SUM('Quantification_Config'!$R$11)),'Quantification_Config'!$U$2),""),"")</x:f>
      </x:c>
      <x:c r="AK437" t="n">
        <x:v>1</x:v>
      </x:c>
      <x:c r="AL437" t="n">
        <x:v>5</x:v>
      </x:c>
      <x:c r="AM437"/>
      <x:c r="AN437" t="n">
        <x:f>IF(('Quantification_Results'!AK437&lt;&gt;1),"",IF(('Quantification_Results'!AM437=""),IF(ISNUMBER('Quantification_Results'!AL437),IF(('Quantification_Results'!AL437&lt;'Quantification_Config'!$S$15),"",IF(('Quantification_Results'!AL437&gt;'Quantification_Config'!$T$15),"",'Quantification_Results'!AL437)),""),IF(ISNUMBER('Quantification_Results'!AM437),IF(('Quantification_Results'!AM437&lt;'Quantification_Config'!$S$15),"",IF(('Quantification_Results'!AM437&gt;'Quantification_Config'!$T$15),"",'Quantification_Results'!AM437)),"")))</x:f>
        <x:v>5</x:v>
      </x:c>
      <x:c r="AO437" t="n">
        <x:f>IF(ISNUMBER('Quantification_Results'!AN437),IFERROR(ROUND(((('Quantification_Results'!AN437-'Quantification_Config'!$S$15)/('Quantification_Config'!$T$15-'Quantification_Config'!$S$15))*100),'Quantification_Config'!$U$2),""),"")</x:f>
        <x:v>50</x:v>
      </x:c>
      <x:c r="AP437" t="inlineStr">
        <x:is>
          <x:t xml:space="preserve">SYSTEM-TEST-ONLY-NO-NETWORK-NOT-AN-EDUCATIONAL-EVALUATION</x:t>
        </x:is>
      </x:c>
      <x:c r="AQ437" t="inlineStr">
        <x:is>
          <x:t xml:space="preserve"/>
        </x:is>
      </x:c>
      <x:c r="AR437" t="inlineStr">
        <x:is>
          <x:t xml:space="preserve">NONE</x:t>
        </x:is>
      </x:c>
      <x:c r="AS437" t="inlineStr">
        <x:is>
          <x:t xml:space="preserve"/>
        </x:is>
      </x:c>
      <x:c r="AT437" t="inlineStr">
        <x:is>
          <x:t xml:space="preserve">SUCCESS</x:t>
        </x:is>
      </x:c>
      <x:c r="AU437" t="n">
        <x:f>IF((COUNT('Quantification_Results'!AO437)=1),IFERROR(ROUND((SUM(('Quantification_Results'!AO437*'Quantification_Config'!$R$15))/SUM('Quantification_Config'!$R$15)),'Quantification_Config'!$U$2),""),"")</x:f>
        <x:v>50</x:v>
      </x:c>
      <x:c r="AV437" t="n">
        <x:f>IF((COUNT('Quantification_Results'!AU437)=1),IFERROR(ROUND((SUM(('Quantification_Results'!AU437*'Quantification_Config'!$R$14))/SUM('Quantification_Config'!$R$14)),'Quantification_Config'!$U$2),""),"")</x:f>
        <x:v>50</x:v>
      </x:c>
      <x:c r="AW437" t="n">
        <x:v>0</x:v>
      </x:c>
      <x:c r="AX437"/>
      <x:c r="AY437"/>
      <x:c r="AZ437">
        <x:f>IF(('Quantification_Results'!AW437&lt;&gt;1),"",IF(('Quantification_Results'!AY437=""),IF(ISNUMBER('Quantification_Results'!AX437),IF(('Quantification_Results'!AX437&lt;'Quantification_Config'!$S$19),"",IF(('Quantification_Results'!AX437&gt;'Quantification_Config'!$T$19),"",'Quantification_Results'!AX437)),""),IF(ISNUMBER('Quantification_Results'!AY437),IF(('Quantification_Results'!AY437&lt;'Quantification_Config'!$S$19),"",IF(('Quantification_Results'!AY437&gt;'Quantification_Config'!$T$19),"",'Quantification_Results'!AY437)),"")))</x:f>
      </x:c>
      <x:c r="BA437">
        <x:f>IF(ISNUMBER('Quantification_Results'!AZ437),IFERROR(ROUND(((('Quantification_Results'!AZ437-'Quantification_Config'!$S$19)/('Quantification_Config'!$T$19-'Quantification_Config'!$S$19))*100),'Quantification_Config'!$U$2),""),"")</x:f>
      </x:c>
      <x:c r="BB437" t="inlineStr">
        <x:is>
          <x:t xml:space="preserve"/>
        </x:is>
      </x:c>
      <x:c r="BC437" t="inlineStr">
        <x:is>
          <x:t xml:space="preserve"/>
        </x:is>
      </x:c>
      <x:c r="BD437" t="inlineStr">
        <x:is>
          <x:t xml:space="preserve"/>
        </x:is>
      </x:c>
      <x:c r="BE437" t="inlineStr">
        <x:is>
          <x:t xml:space="preserve"/>
        </x:is>
      </x:c>
      <x:c r="BF437" t="inlineStr">
        <x:is>
          <x:t xml:space="preserve">EMPTY</x:t>
        </x:is>
      </x:c>
      <x:c r="BG437">
        <x:f>IF((COUNT('Quantification_Results'!BA437)=1),IFERROR(ROUND((SUM(('Quantification_Results'!BA437*'Quantification_Config'!$R$19))/SUM('Quantification_Config'!$R$19)),'Quantification_Config'!$U$2),""),"")</x:f>
      </x:c>
      <x:c r="BH437">
        <x:f>IF((COUNT('Quantification_Results'!BG437)=1),IFERROR(ROUND((SUM(('Quantification_Results'!BG437*'Quantification_Config'!$R$18))/SUM('Quantification_Config'!$R$18)),'Quantification_Config'!$U$2),""),"")</x:f>
      </x:c>
      <x:c r="BI437">
        <x:f>IF((COUNT('Quantification_Results'!L437,'Quantification_Results'!X437,'Quantification_Results'!AJ437,'Quantification_Results'!AV437,'Quantification_Results'!BH437)=5),IFERROR(ROUND((SUM(('Quantification_Results'!L437*'Quantification_Config'!$R$4),('Quantification_Results'!X437*'Quantification_Config'!$R$7),('Quantification_Results'!AJ437*'Quantification_Config'!$R$10),('Quantification_Results'!AV437*'Quantification_Config'!$R$13),('Quantification_Results'!BH437*'Quantification_Config'!$R$16))/SUM('Quantification_Config'!$R$4,'Quantification_Config'!$R$7,'Quantification_Config'!$R$10,'Quantification_Config'!$R$13,'Quantification_Config'!$R$16)),'Quantification_Config'!$U$2),""),"")</x:f>
      </x:c>
    </x:row>
    <x:row r="438">
      <x:c r="A438" t="n">
        <x:v>1</x:v>
      </x:c>
      <x:c r="B438" t="n">
        <x:v>5</x:v>
      </x:c>
      <x:c r="C438"/>
      <x:c r="D438" t="n">
        <x:f>IF(('Quantification_Results'!A438&lt;&gt;1),"",IF(('Quantification_Results'!C438=""),IF(ISNUMBER('Quantification_Results'!B438),IF(('Quantification_Results'!B438&lt;'Quantification_Config'!$S$6),"",IF(('Quantification_Results'!B438&gt;'Quantification_Config'!$T$6),"",'Quantification_Results'!B438)),""),IF(ISNUMBER('Quantification_Results'!C438),IF(('Quantification_Results'!C438&lt;'Quantification_Config'!$S$6),"",IF(('Quantification_Results'!C438&gt;'Quantification_Config'!$T$6),"",'Quantification_Results'!C438)),"")))</x:f>
        <x:v>5</x:v>
      </x:c>
      <x:c r="E438" t="n">
        <x:f>IF(ISNUMBER('Quantification_Results'!D438),IFERROR(ROUND(((('Quantification_Results'!D438-'Quantification_Config'!$S$6)/('Quantification_Config'!$T$6-'Quantification_Config'!$S$6))*100),'Quantification_Config'!$U$2),""),"")</x:f>
        <x:v>50</x:v>
      </x:c>
      <x:c r="F438" t="inlineStr">
        <x:is>
          <x:t xml:space="preserve">SYSTEM-TEST-ONLY-NO-NETWORK-NOT-AN-EDUCATIONAL-EVALUATION</x:t>
        </x:is>
      </x:c>
      <x:c r="G438" t="inlineStr">
        <x:is>
          <x:t xml:space="preserve"/>
        </x:is>
      </x:c>
      <x:c r="H438" t="inlineStr">
        <x:is>
          <x:t xml:space="preserve">NONE</x:t>
        </x:is>
      </x:c>
      <x:c r="I438" t="inlineStr">
        <x:is>
          <x:t xml:space="preserve"/>
        </x:is>
      </x:c>
      <x:c r="J438" t="inlineStr">
        <x:is>
          <x:t xml:space="preserve">SUCCESS</x:t>
        </x:is>
      </x:c>
      <x:c r="K438" t="n">
        <x:f>IF((COUNT('Quantification_Results'!E438)=1),IFERROR(ROUND((SUM(('Quantification_Results'!E438*'Quantification_Config'!$R$6))/SUM('Quantification_Config'!$R$6)),'Quantification_Config'!$U$2),""),"")</x:f>
        <x:v>50</x:v>
      </x:c>
      <x:c r="L438" t="n">
        <x:f>IF((COUNT('Quantification_Results'!K438)=1),IFERROR(ROUND((SUM(('Quantification_Results'!K438*'Quantification_Config'!$R$5))/SUM('Quantification_Config'!$R$5)),'Quantification_Config'!$U$2),""),"")</x:f>
        <x:v>50</x:v>
      </x:c>
      <x:c r="M438" t="n">
        <x:v>0</x:v>
      </x:c>
      <x:c r="N438"/>
      <x:c r="O438"/>
      <x:c r="P438">
        <x:f>IF(('Quantification_Results'!M438&lt;&gt;1),"",IF(('Quantification_Results'!O438=""),IF(ISNUMBER('Quantification_Results'!N438),IF(('Quantification_Results'!N438&lt;'Quantification_Config'!$S$9),"",IF(('Quantification_Results'!N438&gt;'Quantification_Config'!$T$9),"",'Quantification_Results'!N438)),""),IF(ISNUMBER('Quantification_Results'!O438),IF(('Quantification_Results'!O438&lt;'Quantification_Config'!$S$9),"",IF(('Quantification_Results'!O438&gt;'Quantification_Config'!$T$9),"",'Quantification_Results'!O438)),"")))</x:f>
      </x:c>
      <x:c r="Q438">
        <x:f>IF(ISNUMBER('Quantification_Results'!P438),IFERROR(ROUND(((('Quantification_Results'!P438-'Quantification_Config'!$S$9)/('Quantification_Config'!$T$9-'Quantification_Config'!$S$9))*100),'Quantification_Config'!$U$2),""),"")</x:f>
      </x:c>
      <x:c r="R438" t="inlineStr">
        <x:is>
          <x:t xml:space="preserve"/>
        </x:is>
      </x:c>
      <x:c r="S438" t="inlineStr">
        <x:is>
          <x:t xml:space="preserve"/>
        </x:is>
      </x:c>
      <x:c r="T438" t="inlineStr">
        <x:is>
          <x:t xml:space="preserve"/>
        </x:is>
      </x:c>
      <x:c r="U438" t="inlineStr">
        <x:is>
          <x:t xml:space="preserve"/>
        </x:is>
      </x:c>
      <x:c r="V438" t="inlineStr">
        <x:is>
          <x:t xml:space="preserve">EMPTY</x:t>
        </x:is>
      </x:c>
      <x:c r="W438">
        <x:f>IF((COUNT('Quantification_Results'!Q438)=1),IFERROR(ROUND((SUM(('Quantification_Results'!Q438*'Quantification_Config'!$R$9))/SUM('Quantification_Config'!$R$9)),'Quantification_Config'!$U$2),""),"")</x:f>
      </x:c>
      <x:c r="X438">
        <x:f>IF((COUNT('Quantification_Results'!W438)=1),IFERROR(ROUND((SUM(('Quantification_Results'!W438*'Quantification_Config'!$R$8))/SUM('Quantification_Config'!$R$8)),'Quantification_Config'!$U$2),""),"")</x:f>
      </x:c>
      <x:c r="Y438" t="n">
        <x:v>0</x:v>
      </x:c>
      <x:c r="Z438"/>
      <x:c r="AA438"/>
      <x:c r="AB438">
        <x:f>IF(('Quantification_Results'!Y438&lt;&gt;1),"",IF(('Quantification_Results'!AA438=""),IF(ISNUMBER('Quantification_Results'!Z438),IF(('Quantification_Results'!Z438&lt;'Quantification_Config'!$S$12),"",IF(('Quantification_Results'!Z438&gt;'Quantification_Config'!$T$12),"",'Quantification_Results'!Z438)),""),IF(ISNUMBER('Quantification_Results'!AA438),IF(('Quantification_Results'!AA438&lt;'Quantification_Config'!$S$12),"",IF(('Quantification_Results'!AA438&gt;'Quantification_Config'!$T$12),"",'Quantification_Results'!AA438)),"")))</x:f>
      </x:c>
      <x:c r="AC438">
        <x:f>IF(ISNUMBER('Quantification_Results'!AB438),IFERROR(ROUND(((('Quantification_Results'!AB438-'Quantification_Config'!$S$12)/('Quantification_Config'!$T$12-'Quantification_Config'!$S$12))*100),'Quantification_Config'!$U$2),""),"")</x:f>
      </x:c>
      <x:c r="AD438" t="inlineStr">
        <x:is>
          <x:t xml:space="preserve"/>
        </x:is>
      </x:c>
      <x:c r="AE438" t="inlineStr">
        <x:is>
          <x:t xml:space="preserve"/>
        </x:is>
      </x:c>
      <x:c r="AF438" t="inlineStr">
        <x:is>
          <x:t xml:space="preserve"/>
        </x:is>
      </x:c>
      <x:c r="AG438" t="inlineStr">
        <x:is>
          <x:t xml:space="preserve"/>
        </x:is>
      </x:c>
      <x:c r="AH438" t="inlineStr">
        <x:is>
          <x:t xml:space="preserve">EMPTY</x:t>
        </x:is>
      </x:c>
      <x:c r="AI438">
        <x:f>IF((COUNT('Quantification_Results'!AC438)=1),IFERROR(ROUND((SUM(('Quantification_Results'!AC438*'Quantification_Config'!$R$12))/SUM('Quantification_Config'!$R$12)),'Quantification_Config'!$U$2),""),"")</x:f>
      </x:c>
      <x:c r="AJ438">
        <x:f>IF((COUNT('Quantification_Results'!AI438)=1),IFERROR(ROUND((SUM(('Quantification_Results'!AI438*'Quantification_Config'!$R$11))/SUM('Quantification_Config'!$R$11)),'Quantification_Config'!$U$2),""),"")</x:f>
      </x:c>
      <x:c r="AK438" t="n">
        <x:v>1</x:v>
      </x:c>
      <x:c r="AL438" t="n">
        <x:v>5</x:v>
      </x:c>
      <x:c r="AM438"/>
      <x:c r="AN438" t="n">
        <x:f>IF(('Quantification_Results'!AK438&lt;&gt;1),"",IF(('Quantification_Results'!AM438=""),IF(ISNUMBER('Quantification_Results'!AL438),IF(('Quantification_Results'!AL438&lt;'Quantification_Config'!$S$15),"",IF(('Quantification_Results'!AL438&gt;'Quantification_Config'!$T$15),"",'Quantification_Results'!AL438)),""),IF(ISNUMBER('Quantification_Results'!AM438),IF(('Quantification_Results'!AM438&lt;'Quantification_Config'!$S$15),"",IF(('Quantification_Results'!AM438&gt;'Quantification_Config'!$T$15),"",'Quantification_Results'!AM438)),"")))</x:f>
        <x:v>5</x:v>
      </x:c>
      <x:c r="AO438" t="n">
        <x:f>IF(ISNUMBER('Quantification_Results'!AN438),IFERROR(ROUND(((('Quantification_Results'!AN438-'Quantification_Config'!$S$15)/('Quantification_Config'!$T$15-'Quantification_Config'!$S$15))*100),'Quantification_Config'!$U$2),""),"")</x:f>
        <x:v>50</x:v>
      </x:c>
      <x:c r="AP438" t="inlineStr">
        <x:is>
          <x:t xml:space="preserve">SYSTEM-TEST-ONLY-NO-NETWORK-NOT-AN-EDUCATIONAL-EVALUATION</x:t>
        </x:is>
      </x:c>
      <x:c r="AQ438" t="inlineStr">
        <x:is>
          <x:t xml:space="preserve"/>
        </x:is>
      </x:c>
      <x:c r="AR438" t="inlineStr">
        <x:is>
          <x:t xml:space="preserve">NONE</x:t>
        </x:is>
      </x:c>
      <x:c r="AS438" t="inlineStr">
        <x:is>
          <x:t xml:space="preserve"/>
        </x:is>
      </x:c>
      <x:c r="AT438" t="inlineStr">
        <x:is>
          <x:t xml:space="preserve">SUCCESS</x:t>
        </x:is>
      </x:c>
      <x:c r="AU438" t="n">
        <x:f>IF((COUNT('Quantification_Results'!AO438)=1),IFERROR(ROUND((SUM(('Quantification_Results'!AO438*'Quantification_Config'!$R$15))/SUM('Quantification_Config'!$R$15)),'Quantification_Config'!$U$2),""),"")</x:f>
        <x:v>50</x:v>
      </x:c>
      <x:c r="AV438" t="n">
        <x:f>IF((COUNT('Quantification_Results'!AU438)=1),IFERROR(ROUND((SUM(('Quantification_Results'!AU438*'Quantification_Config'!$R$14))/SUM('Quantification_Config'!$R$14)),'Quantification_Config'!$U$2),""),"")</x:f>
        <x:v>50</x:v>
      </x:c>
      <x:c r="AW438" t="n">
        <x:v>1</x:v>
      </x:c>
      <x:c r="AX438" t="n">
        <x:v>5</x:v>
      </x:c>
      <x:c r="AY438"/>
      <x:c r="AZ438" t="n">
        <x:f>IF(('Quantification_Results'!AW438&lt;&gt;1),"",IF(('Quantification_Results'!AY438=""),IF(ISNUMBER('Quantification_Results'!AX438),IF(('Quantification_Results'!AX438&lt;'Quantification_Config'!$S$19),"",IF(('Quantification_Results'!AX438&gt;'Quantification_Config'!$T$19),"",'Quantification_Results'!AX438)),""),IF(ISNUMBER('Quantification_Results'!AY438),IF(('Quantification_Results'!AY438&lt;'Quantification_Config'!$S$19),"",IF(('Quantification_Results'!AY438&gt;'Quantification_Config'!$T$19),"",'Quantification_Results'!AY438)),"")))</x:f>
        <x:v>5</x:v>
      </x:c>
      <x:c r="BA438" t="n">
        <x:f>IF(ISNUMBER('Quantification_Results'!AZ438),IFERROR(ROUND(((('Quantification_Results'!AZ438-'Quantification_Config'!$S$19)/('Quantification_Config'!$T$19-'Quantification_Config'!$S$19))*100),'Quantification_Config'!$U$2),""),"")</x:f>
        <x:v>50</x:v>
      </x:c>
      <x:c r="BB438" t="inlineStr">
        <x:is>
          <x:t xml:space="preserve">SYSTEM-TEST-ONLY-NO-NETWORK-NOT-AN-EDUCATIONAL-EVALUATION</x:t>
        </x:is>
      </x:c>
      <x:c r="BC438" t="inlineStr">
        <x:is>
          <x:t xml:space="preserve"/>
        </x:is>
      </x:c>
      <x:c r="BD438" t="inlineStr">
        <x:is>
          <x:t xml:space="preserve">NONE</x:t>
        </x:is>
      </x:c>
      <x:c r="BE438" t="inlineStr">
        <x:is>
          <x:t xml:space="preserve"/>
        </x:is>
      </x:c>
      <x:c r="BF438" t="inlineStr">
        <x:is>
          <x:t xml:space="preserve">SUCCESS</x:t>
        </x:is>
      </x:c>
      <x:c r="BG438" t="n">
        <x:f>IF((COUNT('Quantification_Results'!BA438)=1),IFERROR(ROUND((SUM(('Quantification_Results'!BA438*'Quantification_Config'!$R$19))/SUM('Quantification_Config'!$R$19)),'Quantification_Config'!$U$2),""),"")</x:f>
        <x:v>50</x:v>
      </x:c>
      <x:c r="BH438" t="n">
        <x:f>IF((COUNT('Quantification_Results'!BG438)=1),IFERROR(ROUND((SUM(('Quantification_Results'!BG438*'Quantification_Config'!$R$18))/SUM('Quantification_Config'!$R$18)),'Quantification_Config'!$U$2),""),"")</x:f>
        <x:v>50</x:v>
      </x:c>
      <x:c r="BI438">
        <x:f>IF((COUNT('Quantification_Results'!L438,'Quantification_Results'!X438,'Quantification_Results'!AJ438,'Quantification_Results'!AV438,'Quantification_Results'!BH438)=5),IFERROR(ROUND((SUM(('Quantification_Results'!L438*'Quantification_Config'!$R$4),('Quantification_Results'!X438*'Quantification_Config'!$R$7),('Quantification_Results'!AJ438*'Quantification_Config'!$R$10),('Quantification_Results'!AV438*'Quantification_Config'!$R$13),('Quantification_Results'!BH438*'Quantification_Config'!$R$16))/SUM('Quantification_Config'!$R$4,'Quantification_Config'!$R$7,'Quantification_Config'!$R$10,'Quantification_Config'!$R$13,'Quantification_Config'!$R$16)),'Quantification_Config'!$U$2),""),"")</x:f>
      </x:c>
    </x:row>
    <x:row r="439">
      <x:c r="A439" t="n">
        <x:v>1</x:v>
      </x:c>
      <x:c r="B439" t="n">
        <x:v>5</x:v>
      </x:c>
      <x:c r="C439"/>
      <x:c r="D439" t="n">
        <x:f>IF(('Quantification_Results'!A439&lt;&gt;1),"",IF(('Quantification_Results'!C439=""),IF(ISNUMBER('Quantification_Results'!B439),IF(('Quantification_Results'!B439&lt;'Quantification_Config'!$S$6),"",IF(('Quantification_Results'!B439&gt;'Quantification_Config'!$T$6),"",'Quantification_Results'!B439)),""),IF(ISNUMBER('Quantification_Results'!C439),IF(('Quantification_Results'!C439&lt;'Quantification_Config'!$S$6),"",IF(('Quantification_Results'!C439&gt;'Quantification_Config'!$T$6),"",'Quantification_Results'!C439)),"")))</x:f>
        <x:v>5</x:v>
      </x:c>
      <x:c r="E439" t="n">
        <x:f>IF(ISNUMBER('Quantification_Results'!D439),IFERROR(ROUND(((('Quantification_Results'!D439-'Quantification_Config'!$S$6)/('Quantification_Config'!$T$6-'Quantification_Config'!$S$6))*100),'Quantification_Config'!$U$2),""),"")</x:f>
        <x:v>50</x:v>
      </x:c>
      <x:c r="F439" t="inlineStr">
        <x:is>
          <x:t xml:space="preserve">SYSTEM-TEST-ONLY-NO-NETWORK-NOT-AN-EDUCATIONAL-EVALUATION</x:t>
        </x:is>
      </x:c>
      <x:c r="G439" t="inlineStr">
        <x:is>
          <x:t xml:space="preserve"/>
        </x:is>
      </x:c>
      <x:c r="H439" t="inlineStr">
        <x:is>
          <x:t xml:space="preserve">NONE</x:t>
        </x:is>
      </x:c>
      <x:c r="I439" t="inlineStr">
        <x:is>
          <x:t xml:space="preserve"/>
        </x:is>
      </x:c>
      <x:c r="J439" t="inlineStr">
        <x:is>
          <x:t xml:space="preserve">SUCCESS</x:t>
        </x:is>
      </x:c>
      <x:c r="K439" t="n">
        <x:f>IF((COUNT('Quantification_Results'!E439)=1),IFERROR(ROUND((SUM(('Quantification_Results'!E439*'Quantification_Config'!$R$6))/SUM('Quantification_Config'!$R$6)),'Quantification_Config'!$U$2),""),"")</x:f>
        <x:v>50</x:v>
      </x:c>
      <x:c r="L439" t="n">
        <x:f>IF((COUNT('Quantification_Results'!K439)=1),IFERROR(ROUND((SUM(('Quantification_Results'!K439*'Quantification_Config'!$R$5))/SUM('Quantification_Config'!$R$5)),'Quantification_Config'!$U$2),""),"")</x:f>
        <x:v>50</x:v>
      </x:c>
      <x:c r="M439" t="n">
        <x:v>1</x:v>
      </x:c>
      <x:c r="N439" t="n">
        <x:v>5</x:v>
      </x:c>
      <x:c r="O439"/>
      <x:c r="P439" t="n">
        <x:f>IF(('Quantification_Results'!M439&lt;&gt;1),"",IF(('Quantification_Results'!O439=""),IF(ISNUMBER('Quantification_Results'!N439),IF(('Quantification_Results'!N439&lt;'Quantification_Config'!$S$9),"",IF(('Quantification_Results'!N439&gt;'Quantification_Config'!$T$9),"",'Quantification_Results'!N439)),""),IF(ISNUMBER('Quantification_Results'!O439),IF(('Quantification_Results'!O439&lt;'Quantification_Config'!$S$9),"",IF(('Quantification_Results'!O439&gt;'Quantification_Config'!$T$9),"",'Quantification_Results'!O439)),"")))</x:f>
        <x:v>5</x:v>
      </x:c>
      <x:c r="Q439" t="n">
        <x:f>IF(ISNUMBER('Quantification_Results'!P439),IFERROR(ROUND(((('Quantification_Results'!P439-'Quantification_Config'!$S$9)/('Quantification_Config'!$T$9-'Quantification_Config'!$S$9))*100),'Quantification_Config'!$U$2),""),"")</x:f>
        <x:v>50</x:v>
      </x:c>
      <x:c r="R439" t="inlineStr">
        <x:is>
          <x:t xml:space="preserve">SYSTEM-TEST-ONLY-NO-NETWORK-NOT-AN-EDUCATIONAL-EVALUATION</x:t>
        </x:is>
      </x:c>
      <x:c r="S439" t="inlineStr">
        <x:is>
          <x:t xml:space="preserve"/>
        </x:is>
      </x:c>
      <x:c r="T439" t="inlineStr">
        <x:is>
          <x:t xml:space="preserve">NONE</x:t>
        </x:is>
      </x:c>
      <x:c r="U439" t="inlineStr">
        <x:is>
          <x:t xml:space="preserve"/>
        </x:is>
      </x:c>
      <x:c r="V439" t="inlineStr">
        <x:is>
          <x:t xml:space="preserve">SUCCESS</x:t>
        </x:is>
      </x:c>
      <x:c r="W439" t="n">
        <x:f>IF((COUNT('Quantification_Results'!Q439)=1),IFERROR(ROUND((SUM(('Quantification_Results'!Q439*'Quantification_Config'!$R$9))/SUM('Quantification_Config'!$R$9)),'Quantification_Config'!$U$2),""),"")</x:f>
        <x:v>50</x:v>
      </x:c>
      <x:c r="X439" t="n">
        <x:f>IF((COUNT('Quantification_Results'!W439)=1),IFERROR(ROUND((SUM(('Quantification_Results'!W439*'Quantification_Config'!$R$8))/SUM('Quantification_Config'!$R$8)),'Quantification_Config'!$U$2),""),"")</x:f>
        <x:v>50</x:v>
      </x:c>
      <x:c r="Y439" t="n">
        <x:v>1</x:v>
      </x:c>
      <x:c r="Z439" t="n">
        <x:v>5</x:v>
      </x:c>
      <x:c r="AA439"/>
      <x:c r="AB439" t="n">
        <x:f>IF(('Quantification_Results'!Y439&lt;&gt;1),"",IF(('Quantification_Results'!AA439=""),IF(ISNUMBER('Quantification_Results'!Z439),IF(('Quantification_Results'!Z439&lt;'Quantification_Config'!$S$12),"",IF(('Quantification_Results'!Z439&gt;'Quantification_Config'!$T$12),"",'Quantification_Results'!Z439)),""),IF(ISNUMBER('Quantification_Results'!AA439),IF(('Quantification_Results'!AA439&lt;'Quantification_Config'!$S$12),"",IF(('Quantification_Results'!AA439&gt;'Quantification_Config'!$T$12),"",'Quantification_Results'!AA439)),"")))</x:f>
        <x:v>5</x:v>
      </x:c>
      <x:c r="AC439" t="n">
        <x:f>IF(ISNUMBER('Quantification_Results'!AB439),IFERROR(ROUND(((('Quantification_Results'!AB439-'Quantification_Config'!$S$12)/('Quantification_Config'!$T$12-'Quantification_Config'!$S$12))*100),'Quantification_Config'!$U$2),""),"")</x:f>
        <x:v>50</x:v>
      </x:c>
      <x:c r="AD439" t="inlineStr">
        <x:is>
          <x:t xml:space="preserve">SYSTEM-TEST-ONLY-NO-NETWORK-NOT-AN-EDUCATIONAL-EVALUATION</x:t>
        </x:is>
      </x:c>
      <x:c r="AE439" t="inlineStr">
        <x:is>
          <x:t xml:space="preserve"/>
        </x:is>
      </x:c>
      <x:c r="AF439" t="inlineStr">
        <x:is>
          <x:t xml:space="preserve">NONE</x:t>
        </x:is>
      </x:c>
      <x:c r="AG439" t="inlineStr">
        <x:is>
          <x:t xml:space="preserve"/>
        </x:is>
      </x:c>
      <x:c r="AH439" t="inlineStr">
        <x:is>
          <x:t xml:space="preserve">SUCCESS</x:t>
        </x:is>
      </x:c>
      <x:c r="AI439" t="n">
        <x:f>IF((COUNT('Quantification_Results'!AC439)=1),IFERROR(ROUND((SUM(('Quantification_Results'!AC439*'Quantification_Config'!$R$12))/SUM('Quantification_Config'!$R$12)),'Quantification_Config'!$U$2),""),"")</x:f>
        <x:v>50</x:v>
      </x:c>
      <x:c r="AJ439" t="n">
        <x:f>IF((COUNT('Quantification_Results'!AI439)=1),IFERROR(ROUND((SUM(('Quantification_Results'!AI439*'Quantification_Config'!$R$11))/SUM('Quantification_Config'!$R$11)),'Quantification_Config'!$U$2),""),"")</x:f>
        <x:v>50</x:v>
      </x:c>
      <x:c r="AK439" t="n">
        <x:v>1</x:v>
      </x:c>
      <x:c r="AL439" t="n">
        <x:v>5</x:v>
      </x:c>
      <x:c r="AM439"/>
      <x:c r="AN439" t="n">
        <x:f>IF(('Quantification_Results'!AK439&lt;&gt;1),"",IF(('Quantification_Results'!AM439=""),IF(ISNUMBER('Quantification_Results'!AL439),IF(('Quantification_Results'!AL439&lt;'Quantification_Config'!$S$15),"",IF(('Quantification_Results'!AL439&gt;'Quantification_Config'!$T$15),"",'Quantification_Results'!AL439)),""),IF(ISNUMBER('Quantification_Results'!AM439),IF(('Quantification_Results'!AM439&lt;'Quantification_Config'!$S$15),"",IF(('Quantification_Results'!AM439&gt;'Quantification_Config'!$T$15),"",'Quantification_Results'!AM439)),"")))</x:f>
        <x:v>5</x:v>
      </x:c>
      <x:c r="AO439" t="n">
        <x:f>IF(ISNUMBER('Quantification_Results'!AN439),IFERROR(ROUND(((('Quantification_Results'!AN439-'Quantification_Config'!$S$15)/('Quantification_Config'!$T$15-'Quantification_Config'!$S$15))*100),'Quantification_Config'!$U$2),""),"")</x:f>
        <x:v>50</x:v>
      </x:c>
      <x:c r="AP439" t="inlineStr">
        <x:is>
          <x:t xml:space="preserve">SYSTEM-TEST-ONLY-NO-NETWORK-NOT-AN-EDUCATIONAL-EVALUATION</x:t>
        </x:is>
      </x:c>
      <x:c r="AQ439" t="inlineStr">
        <x:is>
          <x:t xml:space="preserve"/>
        </x:is>
      </x:c>
      <x:c r="AR439" t="inlineStr">
        <x:is>
          <x:t xml:space="preserve">NONE</x:t>
        </x:is>
      </x:c>
      <x:c r="AS439" t="inlineStr">
        <x:is>
          <x:t xml:space="preserve"/>
        </x:is>
      </x:c>
      <x:c r="AT439" t="inlineStr">
        <x:is>
          <x:t xml:space="preserve">SUCCESS</x:t>
        </x:is>
      </x:c>
      <x:c r="AU439" t="n">
        <x:f>IF((COUNT('Quantification_Results'!AO439)=1),IFERROR(ROUND((SUM(('Quantification_Results'!AO439*'Quantification_Config'!$R$15))/SUM('Quantification_Config'!$R$15)),'Quantification_Config'!$U$2),""),"")</x:f>
        <x:v>50</x:v>
      </x:c>
      <x:c r="AV439" t="n">
        <x:f>IF((COUNT('Quantification_Results'!AU439)=1),IFERROR(ROUND((SUM(('Quantification_Results'!AU439*'Quantification_Config'!$R$14))/SUM('Quantification_Config'!$R$14)),'Quantification_Config'!$U$2),""),"")</x:f>
        <x:v>50</x:v>
      </x:c>
      <x:c r="AW439" t="n">
        <x:v>1</x:v>
      </x:c>
      <x:c r="AX439" t="n">
        <x:v>5</x:v>
      </x:c>
      <x:c r="AY439"/>
      <x:c r="AZ439" t="n">
        <x:f>IF(('Quantification_Results'!AW439&lt;&gt;1),"",IF(('Quantification_Results'!AY439=""),IF(ISNUMBER('Quantification_Results'!AX439),IF(('Quantification_Results'!AX439&lt;'Quantification_Config'!$S$19),"",IF(('Quantification_Results'!AX439&gt;'Quantification_Config'!$T$19),"",'Quantification_Results'!AX439)),""),IF(ISNUMBER('Quantification_Results'!AY439),IF(('Quantification_Results'!AY439&lt;'Quantification_Config'!$S$19),"",IF(('Quantification_Results'!AY439&gt;'Quantification_Config'!$T$19),"",'Quantification_Results'!AY439)),"")))</x:f>
        <x:v>5</x:v>
      </x:c>
      <x:c r="BA439" t="n">
        <x:f>IF(ISNUMBER('Quantification_Results'!AZ439),IFERROR(ROUND(((('Quantification_Results'!AZ439-'Quantification_Config'!$S$19)/('Quantification_Config'!$T$19-'Quantification_Config'!$S$19))*100),'Quantification_Config'!$U$2),""),"")</x:f>
        <x:v>50</x:v>
      </x:c>
      <x:c r="BB439" t="inlineStr">
        <x:is>
          <x:t xml:space="preserve">SYSTEM-TEST-ONLY-NO-NETWORK-NOT-AN-EDUCATIONAL-EVALUATION</x:t>
        </x:is>
      </x:c>
      <x:c r="BC439" t="inlineStr">
        <x:is>
          <x:t xml:space="preserve"/>
        </x:is>
      </x:c>
      <x:c r="BD439" t="inlineStr">
        <x:is>
          <x:t xml:space="preserve">NONE</x:t>
        </x:is>
      </x:c>
      <x:c r="BE439" t="inlineStr">
        <x:is>
          <x:t xml:space="preserve"/>
        </x:is>
      </x:c>
      <x:c r="BF439" t="inlineStr">
        <x:is>
          <x:t xml:space="preserve">SUCCESS</x:t>
        </x:is>
      </x:c>
      <x:c r="BG439" t="n">
        <x:f>IF((COUNT('Quantification_Results'!BA439)=1),IFERROR(ROUND((SUM(('Quantification_Results'!BA439*'Quantification_Config'!$R$19))/SUM('Quantification_Config'!$R$19)),'Quantification_Config'!$U$2),""),"")</x:f>
        <x:v>50</x:v>
      </x:c>
      <x:c r="BH439" t="n">
        <x:f>IF((COUNT('Quantification_Results'!BG439)=1),IFERROR(ROUND((SUM(('Quantification_Results'!BG439*'Quantification_Config'!$R$18))/SUM('Quantification_Config'!$R$18)),'Quantification_Config'!$U$2),""),"")</x:f>
        <x:v>50</x:v>
      </x:c>
      <x:c r="BI439" t="n">
        <x:f>IF((COUNT('Quantification_Results'!L439,'Quantification_Results'!X439,'Quantification_Results'!AJ439,'Quantification_Results'!AV439,'Quantification_Results'!BH439)=5),IFERROR(ROUND((SUM(('Quantification_Results'!L439*'Quantification_Config'!$R$4),('Quantification_Results'!X439*'Quantification_Config'!$R$7),('Quantification_Results'!AJ439*'Quantification_Config'!$R$10),('Quantification_Results'!AV439*'Quantification_Config'!$R$13),('Quantification_Results'!BH439*'Quantification_Config'!$R$16))/SUM('Quantification_Config'!$R$4,'Quantification_Config'!$R$7,'Quantification_Config'!$R$10,'Quantification_Config'!$R$13,'Quantification_Config'!$R$16)),'Quantification_Config'!$U$2),""),"")</x:f>
        <x:v>50</x:v>
      </x:c>
    </x:row>
    <x:row r="440">
      <x:c r="A440" t="n">
        <x:v>1</x:v>
      </x:c>
      <x:c r="B440" t="n">
        <x:v>5</x:v>
      </x:c>
      <x:c r="C440"/>
      <x:c r="D440" t="n">
        <x:f>IF(('Quantification_Results'!A440&lt;&gt;1),"",IF(('Quantification_Results'!C440=""),IF(ISNUMBER('Quantification_Results'!B440),IF(('Quantification_Results'!B440&lt;'Quantification_Config'!$S$6),"",IF(('Quantification_Results'!B440&gt;'Quantification_Config'!$T$6),"",'Quantification_Results'!B440)),""),IF(ISNUMBER('Quantification_Results'!C440),IF(('Quantification_Results'!C440&lt;'Quantification_Config'!$S$6),"",IF(('Quantification_Results'!C440&gt;'Quantification_Config'!$T$6),"",'Quantification_Results'!C440)),"")))</x:f>
        <x:v>5</x:v>
      </x:c>
      <x:c r="E440" t="n">
        <x:f>IF(ISNUMBER('Quantification_Results'!D440),IFERROR(ROUND(((('Quantification_Results'!D440-'Quantification_Config'!$S$6)/('Quantification_Config'!$T$6-'Quantification_Config'!$S$6))*100),'Quantification_Config'!$U$2),""),"")</x:f>
        <x:v>50</x:v>
      </x:c>
      <x:c r="F440" t="inlineStr">
        <x:is>
          <x:t xml:space="preserve">SYSTEM-TEST-ONLY-NO-NETWORK-NOT-AN-EDUCATIONAL-EVALUATION</x:t>
        </x:is>
      </x:c>
      <x:c r="G440" t="inlineStr">
        <x:is>
          <x:t xml:space="preserve"/>
        </x:is>
      </x:c>
      <x:c r="H440" t="inlineStr">
        <x:is>
          <x:t xml:space="preserve">NONE</x:t>
        </x:is>
      </x:c>
      <x:c r="I440" t="inlineStr">
        <x:is>
          <x:t xml:space="preserve"/>
        </x:is>
      </x:c>
      <x:c r="J440" t="inlineStr">
        <x:is>
          <x:t xml:space="preserve">SUCCESS</x:t>
        </x:is>
      </x:c>
      <x:c r="K440" t="n">
        <x:f>IF((COUNT('Quantification_Results'!E440)=1),IFERROR(ROUND((SUM(('Quantification_Results'!E440*'Quantification_Config'!$R$6))/SUM('Quantification_Config'!$R$6)),'Quantification_Config'!$U$2),""),"")</x:f>
        <x:v>50</x:v>
      </x:c>
      <x:c r="L440" t="n">
        <x:f>IF((COUNT('Quantification_Results'!K440)=1),IFERROR(ROUND((SUM(('Quantification_Results'!K440*'Quantification_Config'!$R$5))/SUM('Quantification_Config'!$R$5)),'Quantification_Config'!$U$2),""),"")</x:f>
        <x:v>50</x:v>
      </x:c>
      <x:c r="M440" t="n">
        <x:v>1</x:v>
      </x:c>
      <x:c r="N440" t="n">
        <x:v>5</x:v>
      </x:c>
      <x:c r="O440"/>
      <x:c r="P440" t="n">
        <x:f>IF(('Quantification_Results'!M440&lt;&gt;1),"",IF(('Quantification_Results'!O440=""),IF(ISNUMBER('Quantification_Results'!N440),IF(('Quantification_Results'!N440&lt;'Quantification_Config'!$S$9),"",IF(('Quantification_Results'!N440&gt;'Quantification_Config'!$T$9),"",'Quantification_Results'!N440)),""),IF(ISNUMBER('Quantification_Results'!O440),IF(('Quantification_Results'!O440&lt;'Quantification_Config'!$S$9),"",IF(('Quantification_Results'!O440&gt;'Quantification_Config'!$T$9),"",'Quantification_Results'!O440)),"")))</x:f>
        <x:v>5</x:v>
      </x:c>
      <x:c r="Q440" t="n">
        <x:f>IF(ISNUMBER('Quantification_Results'!P440),IFERROR(ROUND(((('Quantification_Results'!P440-'Quantification_Config'!$S$9)/('Quantification_Config'!$T$9-'Quantification_Config'!$S$9))*100),'Quantification_Config'!$U$2),""),"")</x:f>
        <x:v>50</x:v>
      </x:c>
      <x:c r="R440" t="inlineStr">
        <x:is>
          <x:t xml:space="preserve">SYSTEM-TEST-ONLY-NO-NETWORK-NOT-AN-EDUCATIONAL-EVALUATION</x:t>
        </x:is>
      </x:c>
      <x:c r="S440" t="inlineStr">
        <x:is>
          <x:t xml:space="preserve"/>
        </x:is>
      </x:c>
      <x:c r="T440" t="inlineStr">
        <x:is>
          <x:t xml:space="preserve">NONE</x:t>
        </x:is>
      </x:c>
      <x:c r="U440" t="inlineStr">
        <x:is>
          <x:t xml:space="preserve"/>
        </x:is>
      </x:c>
      <x:c r="V440" t="inlineStr">
        <x:is>
          <x:t xml:space="preserve">SUCCESS</x:t>
        </x:is>
      </x:c>
      <x:c r="W440" t="n">
        <x:f>IF((COUNT('Quantification_Results'!Q440)=1),IFERROR(ROUND((SUM(('Quantification_Results'!Q440*'Quantification_Config'!$R$9))/SUM('Quantification_Config'!$R$9)),'Quantification_Config'!$U$2),""),"")</x:f>
        <x:v>50</x:v>
      </x:c>
      <x:c r="X440" t="n">
        <x:f>IF((COUNT('Quantification_Results'!W440)=1),IFERROR(ROUND((SUM(('Quantification_Results'!W440*'Quantification_Config'!$R$8))/SUM('Quantification_Config'!$R$8)),'Quantification_Config'!$U$2),""),"")</x:f>
        <x:v>50</x:v>
      </x:c>
      <x:c r="Y440" t="n">
        <x:v>0</x:v>
      </x:c>
      <x:c r="Z440"/>
      <x:c r="AA440"/>
      <x:c r="AB440">
        <x:f>IF(('Quantification_Results'!Y440&lt;&gt;1),"",IF(('Quantification_Results'!AA440=""),IF(ISNUMBER('Quantification_Results'!Z440),IF(('Quantification_Results'!Z440&lt;'Quantification_Config'!$S$12),"",IF(('Quantification_Results'!Z440&gt;'Quantification_Config'!$T$12),"",'Quantification_Results'!Z440)),""),IF(ISNUMBER('Quantification_Results'!AA440),IF(('Quantification_Results'!AA440&lt;'Quantification_Config'!$S$12),"",IF(('Quantification_Results'!AA440&gt;'Quantification_Config'!$T$12),"",'Quantification_Results'!AA440)),"")))</x:f>
      </x:c>
      <x:c r="AC440">
        <x:f>IF(ISNUMBER('Quantification_Results'!AB440),IFERROR(ROUND(((('Quantification_Results'!AB440-'Quantification_Config'!$S$12)/('Quantification_Config'!$T$12-'Quantification_Config'!$S$12))*100),'Quantification_Config'!$U$2),""),"")</x:f>
      </x:c>
      <x:c r="AD440" t="inlineStr">
        <x:is>
          <x:t xml:space="preserve"/>
        </x:is>
      </x:c>
      <x:c r="AE440" t="inlineStr">
        <x:is>
          <x:t xml:space="preserve"/>
        </x:is>
      </x:c>
      <x:c r="AF440" t="inlineStr">
        <x:is>
          <x:t xml:space="preserve"/>
        </x:is>
      </x:c>
      <x:c r="AG440" t="inlineStr">
        <x:is>
          <x:t xml:space="preserve"/>
        </x:is>
      </x:c>
      <x:c r="AH440" t="inlineStr">
        <x:is>
          <x:t xml:space="preserve">EMPTY</x:t>
        </x:is>
      </x:c>
      <x:c r="AI440">
        <x:f>IF((COUNT('Quantification_Results'!AC440)=1),IFERROR(ROUND((SUM(('Quantification_Results'!AC440*'Quantification_Config'!$R$12))/SUM('Quantification_Config'!$R$12)),'Quantification_Config'!$U$2),""),"")</x:f>
      </x:c>
      <x:c r="AJ440">
        <x:f>IF((COUNT('Quantification_Results'!AI440)=1),IFERROR(ROUND((SUM(('Quantification_Results'!AI440*'Quantification_Config'!$R$11))/SUM('Quantification_Config'!$R$11)),'Quantification_Config'!$U$2),""),"")</x:f>
      </x:c>
      <x:c r="AK440" t="n">
        <x:v>1</x:v>
      </x:c>
      <x:c r="AL440" t="n">
        <x:v>5</x:v>
      </x:c>
      <x:c r="AM440"/>
      <x:c r="AN440" t="n">
        <x:f>IF(('Quantification_Results'!AK440&lt;&gt;1),"",IF(('Quantification_Results'!AM440=""),IF(ISNUMBER('Quantification_Results'!AL440),IF(('Quantification_Results'!AL440&lt;'Quantification_Config'!$S$15),"",IF(('Quantification_Results'!AL440&gt;'Quantification_Config'!$T$15),"",'Quantification_Results'!AL440)),""),IF(ISNUMBER('Quantification_Results'!AM440),IF(('Quantification_Results'!AM440&lt;'Quantification_Config'!$S$15),"",IF(('Quantification_Results'!AM440&gt;'Quantification_Config'!$T$15),"",'Quantification_Results'!AM440)),"")))</x:f>
        <x:v>5</x:v>
      </x:c>
      <x:c r="AO440" t="n">
        <x:f>IF(ISNUMBER('Quantification_Results'!AN440),IFERROR(ROUND(((('Quantification_Results'!AN440-'Quantification_Config'!$S$15)/('Quantification_Config'!$T$15-'Quantification_Config'!$S$15))*100),'Quantification_Config'!$U$2),""),"")</x:f>
        <x:v>50</x:v>
      </x:c>
      <x:c r="AP440" t="inlineStr">
        <x:is>
          <x:t xml:space="preserve">SYSTEM-TEST-ONLY-NO-NETWORK-NOT-AN-EDUCATIONAL-EVALUATION</x:t>
        </x:is>
      </x:c>
      <x:c r="AQ440" t="inlineStr">
        <x:is>
          <x:t xml:space="preserve"/>
        </x:is>
      </x:c>
      <x:c r="AR440" t="inlineStr">
        <x:is>
          <x:t xml:space="preserve">NONE</x:t>
        </x:is>
      </x:c>
      <x:c r="AS440" t="inlineStr">
        <x:is>
          <x:t xml:space="preserve"/>
        </x:is>
      </x:c>
      <x:c r="AT440" t="inlineStr">
        <x:is>
          <x:t xml:space="preserve">SUCCESS</x:t>
        </x:is>
      </x:c>
      <x:c r="AU440" t="n">
        <x:f>IF((COUNT('Quantification_Results'!AO440)=1),IFERROR(ROUND((SUM(('Quantification_Results'!AO440*'Quantification_Config'!$R$15))/SUM('Quantification_Config'!$R$15)),'Quantification_Config'!$U$2),""),"")</x:f>
        <x:v>50</x:v>
      </x:c>
      <x:c r="AV440" t="n">
        <x:f>IF((COUNT('Quantification_Results'!AU440)=1),IFERROR(ROUND((SUM(('Quantification_Results'!AU440*'Quantification_Config'!$R$14))/SUM('Quantification_Config'!$R$14)),'Quantification_Config'!$U$2),""),"")</x:f>
        <x:v>50</x:v>
      </x:c>
      <x:c r="AW440" t="n">
        <x:v>1</x:v>
      </x:c>
      <x:c r="AX440" t="n">
        <x:v>5</x:v>
      </x:c>
      <x:c r="AY440"/>
      <x:c r="AZ440" t="n">
        <x:f>IF(('Quantification_Results'!AW440&lt;&gt;1),"",IF(('Quantification_Results'!AY440=""),IF(ISNUMBER('Quantification_Results'!AX440),IF(('Quantification_Results'!AX440&lt;'Quantification_Config'!$S$19),"",IF(('Quantification_Results'!AX440&gt;'Quantification_Config'!$T$19),"",'Quantification_Results'!AX440)),""),IF(ISNUMBER('Quantification_Results'!AY440),IF(('Quantification_Results'!AY440&lt;'Quantification_Config'!$S$19),"",IF(('Quantification_Results'!AY440&gt;'Quantification_Config'!$T$19),"",'Quantification_Results'!AY440)),"")))</x:f>
        <x:v>5</x:v>
      </x:c>
      <x:c r="BA440" t="n">
        <x:f>IF(ISNUMBER('Quantification_Results'!AZ440),IFERROR(ROUND(((('Quantification_Results'!AZ440-'Quantification_Config'!$S$19)/('Quantification_Config'!$T$19-'Quantification_Config'!$S$19))*100),'Quantification_Config'!$U$2),""),"")</x:f>
        <x:v>50</x:v>
      </x:c>
      <x:c r="BB440" t="inlineStr">
        <x:is>
          <x:t xml:space="preserve">SYSTEM-TEST-ONLY-NO-NETWORK-NOT-AN-EDUCATIONAL-EVALUATION</x:t>
        </x:is>
      </x:c>
      <x:c r="BC440" t="inlineStr">
        <x:is>
          <x:t xml:space="preserve"/>
        </x:is>
      </x:c>
      <x:c r="BD440" t="inlineStr">
        <x:is>
          <x:t xml:space="preserve">NONE</x:t>
        </x:is>
      </x:c>
      <x:c r="BE440" t="inlineStr">
        <x:is>
          <x:t xml:space="preserve"/>
        </x:is>
      </x:c>
      <x:c r="BF440" t="inlineStr">
        <x:is>
          <x:t xml:space="preserve">SUCCESS</x:t>
        </x:is>
      </x:c>
      <x:c r="BG440" t="n">
        <x:f>IF((COUNT('Quantification_Results'!BA440)=1),IFERROR(ROUND((SUM(('Quantification_Results'!BA440*'Quantification_Config'!$R$19))/SUM('Quantification_Config'!$R$19)),'Quantification_Config'!$U$2),""),"")</x:f>
        <x:v>50</x:v>
      </x:c>
      <x:c r="BH440" t="n">
        <x:f>IF((COUNT('Quantification_Results'!BG440)=1),IFERROR(ROUND((SUM(('Quantification_Results'!BG440*'Quantification_Config'!$R$18))/SUM('Quantification_Config'!$R$18)),'Quantification_Config'!$U$2),""),"")</x:f>
        <x:v>50</x:v>
      </x:c>
      <x:c r="BI440">
        <x:f>IF((COUNT('Quantification_Results'!L440,'Quantification_Results'!X440,'Quantification_Results'!AJ440,'Quantification_Results'!AV440,'Quantification_Results'!BH440)=5),IFERROR(ROUND((SUM(('Quantification_Results'!L440*'Quantification_Config'!$R$4),('Quantification_Results'!X440*'Quantification_Config'!$R$7),('Quantification_Results'!AJ440*'Quantification_Config'!$R$10),('Quantification_Results'!AV440*'Quantification_Config'!$R$13),('Quantification_Results'!BH440*'Quantification_Config'!$R$16))/SUM('Quantification_Config'!$R$4,'Quantification_Config'!$R$7,'Quantification_Config'!$R$10,'Quantification_Config'!$R$13,'Quantification_Config'!$R$16)),'Quantification_Config'!$U$2),""),"")</x:f>
      </x:c>
    </x:row>
    <x:row r="441">
      <x:c r="A441" t="n">
        <x:v>1</x:v>
      </x:c>
      <x:c r="B441" t="n">
        <x:v>5</x:v>
      </x:c>
      <x:c r="C441"/>
      <x:c r="D441" t="n">
        <x:f>IF(('Quantification_Results'!A441&lt;&gt;1),"",IF(('Quantification_Results'!C441=""),IF(ISNUMBER('Quantification_Results'!B441),IF(('Quantification_Results'!B441&lt;'Quantification_Config'!$S$6),"",IF(('Quantification_Results'!B441&gt;'Quantification_Config'!$T$6),"",'Quantification_Results'!B441)),""),IF(ISNUMBER('Quantification_Results'!C441),IF(('Quantification_Results'!C441&lt;'Quantification_Config'!$S$6),"",IF(('Quantification_Results'!C441&gt;'Quantification_Config'!$T$6),"",'Quantification_Results'!C441)),"")))</x:f>
        <x:v>5</x:v>
      </x:c>
      <x:c r="E441" t="n">
        <x:f>IF(ISNUMBER('Quantification_Results'!D441),IFERROR(ROUND(((('Quantification_Results'!D441-'Quantification_Config'!$S$6)/('Quantification_Config'!$T$6-'Quantification_Config'!$S$6))*100),'Quantification_Config'!$U$2),""),"")</x:f>
        <x:v>50</x:v>
      </x:c>
      <x:c r="F441" t="inlineStr">
        <x:is>
          <x:t xml:space="preserve">SYSTEM-TEST-ONLY-NO-NETWORK-NOT-AN-EDUCATIONAL-EVALUATION</x:t>
        </x:is>
      </x:c>
      <x:c r="G441" t="inlineStr">
        <x:is>
          <x:t xml:space="preserve"/>
        </x:is>
      </x:c>
      <x:c r="H441" t="inlineStr">
        <x:is>
          <x:t xml:space="preserve">NONE</x:t>
        </x:is>
      </x:c>
      <x:c r="I441" t="inlineStr">
        <x:is>
          <x:t xml:space="preserve"/>
        </x:is>
      </x:c>
      <x:c r="J441" t="inlineStr">
        <x:is>
          <x:t xml:space="preserve">SUCCESS</x:t>
        </x:is>
      </x:c>
      <x:c r="K441" t="n">
        <x:f>IF((COUNT('Quantification_Results'!E441)=1),IFERROR(ROUND((SUM(('Quantification_Results'!E441*'Quantification_Config'!$R$6))/SUM('Quantification_Config'!$R$6)),'Quantification_Config'!$U$2),""),"")</x:f>
        <x:v>50</x:v>
      </x:c>
      <x:c r="L441" t="n">
        <x:f>IF((COUNT('Quantification_Results'!K441)=1),IFERROR(ROUND((SUM(('Quantification_Results'!K441*'Quantification_Config'!$R$5))/SUM('Quantification_Config'!$R$5)),'Quantification_Config'!$U$2),""),"")</x:f>
        <x:v>50</x:v>
      </x:c>
      <x:c r="M441" t="n">
        <x:v>1</x:v>
      </x:c>
      <x:c r="N441" t="n">
        <x:v>5</x:v>
      </x:c>
      <x:c r="O441"/>
      <x:c r="P441" t="n">
        <x:f>IF(('Quantification_Results'!M441&lt;&gt;1),"",IF(('Quantification_Results'!O441=""),IF(ISNUMBER('Quantification_Results'!N441),IF(('Quantification_Results'!N441&lt;'Quantification_Config'!$S$9),"",IF(('Quantification_Results'!N441&gt;'Quantification_Config'!$T$9),"",'Quantification_Results'!N441)),""),IF(ISNUMBER('Quantification_Results'!O441),IF(('Quantification_Results'!O441&lt;'Quantification_Config'!$S$9),"",IF(('Quantification_Results'!O441&gt;'Quantification_Config'!$T$9),"",'Quantification_Results'!O441)),"")))</x:f>
        <x:v>5</x:v>
      </x:c>
      <x:c r="Q441" t="n">
        <x:f>IF(ISNUMBER('Quantification_Results'!P441),IFERROR(ROUND(((('Quantification_Results'!P441-'Quantification_Config'!$S$9)/('Quantification_Config'!$T$9-'Quantification_Config'!$S$9))*100),'Quantification_Config'!$U$2),""),"")</x:f>
        <x:v>50</x:v>
      </x:c>
      <x:c r="R441" t="inlineStr">
        <x:is>
          <x:t xml:space="preserve">SYSTEM-TEST-ONLY-NO-NETWORK-NOT-AN-EDUCATIONAL-EVALUATION</x:t>
        </x:is>
      </x:c>
      <x:c r="S441" t="inlineStr">
        <x:is>
          <x:t xml:space="preserve"/>
        </x:is>
      </x:c>
      <x:c r="T441" t="inlineStr">
        <x:is>
          <x:t xml:space="preserve">NONE</x:t>
        </x:is>
      </x:c>
      <x:c r="U441" t="inlineStr">
        <x:is>
          <x:t xml:space="preserve"/>
        </x:is>
      </x:c>
      <x:c r="V441" t="inlineStr">
        <x:is>
          <x:t xml:space="preserve">SUCCESS</x:t>
        </x:is>
      </x:c>
      <x:c r="W441" t="n">
        <x:f>IF((COUNT('Quantification_Results'!Q441)=1),IFERROR(ROUND((SUM(('Quantification_Results'!Q441*'Quantification_Config'!$R$9))/SUM('Quantification_Config'!$R$9)),'Quantification_Config'!$U$2),""),"")</x:f>
        <x:v>50</x:v>
      </x:c>
      <x:c r="X441" t="n">
        <x:f>IF((COUNT('Quantification_Results'!W441)=1),IFERROR(ROUND((SUM(('Quantification_Results'!W441*'Quantification_Config'!$R$8))/SUM('Quantification_Config'!$R$8)),'Quantification_Config'!$U$2),""),"")</x:f>
        <x:v>50</x:v>
      </x:c>
      <x:c r="Y441" t="n">
        <x:v>0</x:v>
      </x:c>
      <x:c r="Z441"/>
      <x:c r="AA441"/>
      <x:c r="AB441">
        <x:f>IF(('Quantification_Results'!Y441&lt;&gt;1),"",IF(('Quantification_Results'!AA441=""),IF(ISNUMBER('Quantification_Results'!Z441),IF(('Quantification_Results'!Z441&lt;'Quantification_Config'!$S$12),"",IF(('Quantification_Results'!Z441&gt;'Quantification_Config'!$T$12),"",'Quantification_Results'!Z441)),""),IF(ISNUMBER('Quantification_Results'!AA441),IF(('Quantification_Results'!AA441&lt;'Quantification_Config'!$S$12),"",IF(('Quantification_Results'!AA441&gt;'Quantification_Config'!$T$12),"",'Quantification_Results'!AA441)),"")))</x:f>
      </x:c>
      <x:c r="AC441">
        <x:f>IF(ISNUMBER('Quantification_Results'!AB441),IFERROR(ROUND(((('Quantification_Results'!AB441-'Quantification_Config'!$S$12)/('Quantification_Config'!$T$12-'Quantification_Config'!$S$12))*100),'Quantification_Config'!$U$2),""),"")</x:f>
      </x:c>
      <x:c r="AD441" t="inlineStr">
        <x:is>
          <x:t xml:space="preserve"/>
        </x:is>
      </x:c>
      <x:c r="AE441" t="inlineStr">
        <x:is>
          <x:t xml:space="preserve"/>
        </x:is>
      </x:c>
      <x:c r="AF441" t="inlineStr">
        <x:is>
          <x:t xml:space="preserve"/>
        </x:is>
      </x:c>
      <x:c r="AG441" t="inlineStr">
        <x:is>
          <x:t xml:space="preserve"/>
        </x:is>
      </x:c>
      <x:c r="AH441" t="inlineStr">
        <x:is>
          <x:t xml:space="preserve">EMPTY</x:t>
        </x:is>
      </x:c>
      <x:c r="AI441">
        <x:f>IF((COUNT('Quantification_Results'!AC441)=1),IFERROR(ROUND((SUM(('Quantification_Results'!AC441*'Quantification_Config'!$R$12))/SUM('Quantification_Config'!$R$12)),'Quantification_Config'!$U$2),""),"")</x:f>
      </x:c>
      <x:c r="AJ441">
        <x:f>IF((COUNT('Quantification_Results'!AI441)=1),IFERROR(ROUND((SUM(('Quantification_Results'!AI441*'Quantification_Config'!$R$11))/SUM('Quantification_Config'!$R$11)),'Quantification_Config'!$U$2),""),"")</x:f>
      </x:c>
      <x:c r="AK441" t="n">
        <x:v>1</x:v>
      </x:c>
      <x:c r="AL441" t="n">
        <x:v>5</x:v>
      </x:c>
      <x:c r="AM441"/>
      <x:c r="AN441" t="n">
        <x:f>IF(('Quantification_Results'!AK441&lt;&gt;1),"",IF(('Quantification_Results'!AM441=""),IF(ISNUMBER('Quantification_Results'!AL441),IF(('Quantification_Results'!AL441&lt;'Quantification_Config'!$S$15),"",IF(('Quantification_Results'!AL441&gt;'Quantification_Config'!$T$15),"",'Quantification_Results'!AL441)),""),IF(ISNUMBER('Quantification_Results'!AM441),IF(('Quantification_Results'!AM441&lt;'Quantification_Config'!$S$15),"",IF(('Quantification_Results'!AM441&gt;'Quantification_Config'!$T$15),"",'Quantification_Results'!AM441)),"")))</x:f>
        <x:v>5</x:v>
      </x:c>
      <x:c r="AO441" t="n">
        <x:f>IF(ISNUMBER('Quantification_Results'!AN441),IFERROR(ROUND(((('Quantification_Results'!AN441-'Quantification_Config'!$S$15)/('Quantification_Config'!$T$15-'Quantification_Config'!$S$15))*100),'Quantification_Config'!$U$2),""),"")</x:f>
        <x:v>50</x:v>
      </x:c>
      <x:c r="AP441" t="inlineStr">
        <x:is>
          <x:t xml:space="preserve">SYSTEM-TEST-ONLY-NO-NETWORK-NOT-AN-EDUCATIONAL-EVALUATION</x:t>
        </x:is>
      </x:c>
      <x:c r="AQ441" t="inlineStr">
        <x:is>
          <x:t xml:space="preserve"/>
        </x:is>
      </x:c>
      <x:c r="AR441" t="inlineStr">
        <x:is>
          <x:t xml:space="preserve">NONE</x:t>
        </x:is>
      </x:c>
      <x:c r="AS441" t="inlineStr">
        <x:is>
          <x:t xml:space="preserve"/>
        </x:is>
      </x:c>
      <x:c r="AT441" t="inlineStr">
        <x:is>
          <x:t xml:space="preserve">SUCCESS</x:t>
        </x:is>
      </x:c>
      <x:c r="AU441" t="n">
        <x:f>IF((COUNT('Quantification_Results'!AO441)=1),IFERROR(ROUND((SUM(('Quantification_Results'!AO441*'Quantification_Config'!$R$15))/SUM('Quantification_Config'!$R$15)),'Quantification_Config'!$U$2),""),"")</x:f>
        <x:v>50</x:v>
      </x:c>
      <x:c r="AV441" t="n">
        <x:f>IF((COUNT('Quantification_Results'!AU441)=1),IFERROR(ROUND((SUM(('Quantification_Results'!AU441*'Quantification_Config'!$R$14))/SUM('Quantification_Config'!$R$14)),'Quantification_Config'!$U$2),""),"")</x:f>
        <x:v>50</x:v>
      </x:c>
      <x:c r="AW441" t="n">
        <x:v>0</x:v>
      </x:c>
      <x:c r="AX441"/>
      <x:c r="AY441"/>
      <x:c r="AZ441">
        <x:f>IF(('Quantification_Results'!AW441&lt;&gt;1),"",IF(('Quantification_Results'!AY441=""),IF(ISNUMBER('Quantification_Results'!AX441),IF(('Quantification_Results'!AX441&lt;'Quantification_Config'!$S$19),"",IF(('Quantification_Results'!AX441&gt;'Quantification_Config'!$T$19),"",'Quantification_Results'!AX441)),""),IF(ISNUMBER('Quantification_Results'!AY441),IF(('Quantification_Results'!AY441&lt;'Quantification_Config'!$S$19),"",IF(('Quantification_Results'!AY441&gt;'Quantification_Config'!$T$19),"",'Quantification_Results'!AY441)),"")))</x:f>
      </x:c>
      <x:c r="BA441">
        <x:f>IF(ISNUMBER('Quantification_Results'!AZ441),IFERROR(ROUND(((('Quantification_Results'!AZ441-'Quantification_Config'!$S$19)/('Quantification_Config'!$T$19-'Quantification_Config'!$S$19))*100),'Quantification_Config'!$U$2),""),"")</x:f>
      </x:c>
      <x:c r="BB441" t="inlineStr">
        <x:is>
          <x:t xml:space="preserve"/>
        </x:is>
      </x:c>
      <x:c r="BC441" t="inlineStr">
        <x:is>
          <x:t xml:space="preserve"/>
        </x:is>
      </x:c>
      <x:c r="BD441" t="inlineStr">
        <x:is>
          <x:t xml:space="preserve"/>
        </x:is>
      </x:c>
      <x:c r="BE441" t="inlineStr">
        <x:is>
          <x:t xml:space="preserve"/>
        </x:is>
      </x:c>
      <x:c r="BF441" t="inlineStr">
        <x:is>
          <x:t xml:space="preserve">EMPTY</x:t>
        </x:is>
      </x:c>
      <x:c r="BG441">
        <x:f>IF((COUNT('Quantification_Results'!BA441)=1),IFERROR(ROUND((SUM(('Quantification_Results'!BA441*'Quantification_Config'!$R$19))/SUM('Quantification_Config'!$R$19)),'Quantification_Config'!$U$2),""),"")</x:f>
      </x:c>
      <x:c r="BH441">
        <x:f>IF((COUNT('Quantification_Results'!BG441)=1),IFERROR(ROUND((SUM(('Quantification_Results'!BG441*'Quantification_Config'!$R$18))/SUM('Quantification_Config'!$R$18)),'Quantification_Config'!$U$2),""),"")</x:f>
      </x:c>
      <x:c r="BI441">
        <x:f>IF((COUNT('Quantification_Results'!L441,'Quantification_Results'!X441,'Quantification_Results'!AJ441,'Quantification_Results'!AV441,'Quantification_Results'!BH441)=5),IFERROR(ROUND((SUM(('Quantification_Results'!L441*'Quantification_Config'!$R$4),('Quantification_Results'!X441*'Quantification_Config'!$R$7),('Quantification_Results'!AJ441*'Quantification_Config'!$R$10),('Quantification_Results'!AV441*'Quantification_Config'!$R$13),('Quantification_Results'!BH441*'Quantification_Config'!$R$16))/SUM('Quantification_Config'!$R$4,'Quantification_Config'!$R$7,'Quantification_Config'!$R$10,'Quantification_Config'!$R$13,'Quantification_Config'!$R$16)),'Quantification_Config'!$U$2),""),"")</x:f>
      </x:c>
    </x:row>
    <x:row r="442">
      <x:c r="A442" t="n">
        <x:v>1</x:v>
      </x:c>
      <x:c r="B442" t="n">
        <x:v>5</x:v>
      </x:c>
      <x:c r="C442"/>
      <x:c r="D442" t="n">
        <x:f>IF(('Quantification_Results'!A442&lt;&gt;1),"",IF(('Quantification_Results'!C442=""),IF(ISNUMBER('Quantification_Results'!B442),IF(('Quantification_Results'!B442&lt;'Quantification_Config'!$S$6),"",IF(('Quantification_Results'!B442&gt;'Quantification_Config'!$T$6),"",'Quantification_Results'!B442)),""),IF(ISNUMBER('Quantification_Results'!C442),IF(('Quantification_Results'!C442&lt;'Quantification_Config'!$S$6),"",IF(('Quantification_Results'!C442&gt;'Quantification_Config'!$T$6),"",'Quantification_Results'!C442)),"")))</x:f>
        <x:v>5</x:v>
      </x:c>
      <x:c r="E442" t="n">
        <x:f>IF(ISNUMBER('Quantification_Results'!D442),IFERROR(ROUND(((('Quantification_Results'!D442-'Quantification_Config'!$S$6)/('Quantification_Config'!$T$6-'Quantification_Config'!$S$6))*100),'Quantification_Config'!$U$2),""),"")</x:f>
        <x:v>50</x:v>
      </x:c>
      <x:c r="F442" t="inlineStr">
        <x:is>
          <x:t xml:space="preserve">SYSTEM-TEST-ONLY-NO-NETWORK-NOT-AN-EDUCATIONAL-EVALUATION</x:t>
        </x:is>
      </x:c>
      <x:c r="G442" t="inlineStr">
        <x:is>
          <x:t xml:space="preserve"/>
        </x:is>
      </x:c>
      <x:c r="H442" t="inlineStr">
        <x:is>
          <x:t xml:space="preserve">NONE</x:t>
        </x:is>
      </x:c>
      <x:c r="I442" t="inlineStr">
        <x:is>
          <x:t xml:space="preserve"/>
        </x:is>
      </x:c>
      <x:c r="J442" t="inlineStr">
        <x:is>
          <x:t xml:space="preserve">SUCCESS</x:t>
        </x:is>
      </x:c>
      <x:c r="K442" t="n">
        <x:f>IF((COUNT('Quantification_Results'!E442)=1),IFERROR(ROUND((SUM(('Quantification_Results'!E442*'Quantification_Config'!$R$6))/SUM('Quantification_Config'!$R$6)),'Quantification_Config'!$U$2),""),"")</x:f>
        <x:v>50</x:v>
      </x:c>
      <x:c r="L442" t="n">
        <x:f>IF((COUNT('Quantification_Results'!K442)=1),IFERROR(ROUND((SUM(('Quantification_Results'!K442*'Quantification_Config'!$R$5))/SUM('Quantification_Config'!$R$5)),'Quantification_Config'!$U$2),""),"")</x:f>
        <x:v>50</x:v>
      </x:c>
      <x:c r="M442" t="n">
        <x:v>0</x:v>
      </x:c>
      <x:c r="N442"/>
      <x:c r="O442"/>
      <x:c r="P442">
        <x:f>IF(('Quantification_Results'!M442&lt;&gt;1),"",IF(('Quantification_Results'!O442=""),IF(ISNUMBER('Quantification_Results'!N442),IF(('Quantification_Results'!N442&lt;'Quantification_Config'!$S$9),"",IF(('Quantification_Results'!N442&gt;'Quantification_Config'!$T$9),"",'Quantification_Results'!N442)),""),IF(ISNUMBER('Quantification_Results'!O442),IF(('Quantification_Results'!O442&lt;'Quantification_Config'!$S$9),"",IF(('Quantification_Results'!O442&gt;'Quantification_Config'!$T$9),"",'Quantification_Results'!O442)),"")))</x:f>
      </x:c>
      <x:c r="Q442">
        <x:f>IF(ISNUMBER('Quantification_Results'!P442),IFERROR(ROUND(((('Quantification_Results'!P442-'Quantification_Config'!$S$9)/('Quantification_Config'!$T$9-'Quantification_Config'!$S$9))*100),'Quantification_Config'!$U$2),""),"")</x:f>
      </x:c>
      <x:c r="R442" t="inlineStr">
        <x:is>
          <x:t xml:space="preserve"/>
        </x:is>
      </x:c>
      <x:c r="S442" t="inlineStr">
        <x:is>
          <x:t xml:space="preserve"/>
        </x:is>
      </x:c>
      <x:c r="T442" t="inlineStr">
        <x:is>
          <x:t xml:space="preserve"/>
        </x:is>
      </x:c>
      <x:c r="U442" t="inlineStr">
        <x:is>
          <x:t xml:space="preserve"/>
        </x:is>
      </x:c>
      <x:c r="V442" t="inlineStr">
        <x:is>
          <x:t xml:space="preserve">EMPTY</x:t>
        </x:is>
      </x:c>
      <x:c r="W442">
        <x:f>IF((COUNT('Quantification_Results'!Q442)=1),IFERROR(ROUND((SUM(('Quantification_Results'!Q442*'Quantification_Config'!$R$9))/SUM('Quantification_Config'!$R$9)),'Quantification_Config'!$U$2),""),"")</x:f>
      </x:c>
      <x:c r="X442">
        <x:f>IF((COUNT('Quantification_Results'!W442)=1),IFERROR(ROUND((SUM(('Quantification_Results'!W442*'Quantification_Config'!$R$8))/SUM('Quantification_Config'!$R$8)),'Quantification_Config'!$U$2),""),"")</x:f>
      </x:c>
      <x:c r="Y442" t="n">
        <x:v>0</x:v>
      </x:c>
      <x:c r="Z442"/>
      <x:c r="AA442"/>
      <x:c r="AB442">
        <x:f>IF(('Quantification_Results'!Y442&lt;&gt;1),"",IF(('Quantification_Results'!AA442=""),IF(ISNUMBER('Quantification_Results'!Z442),IF(('Quantification_Results'!Z442&lt;'Quantification_Config'!$S$12),"",IF(('Quantification_Results'!Z442&gt;'Quantification_Config'!$T$12),"",'Quantification_Results'!Z442)),""),IF(ISNUMBER('Quantification_Results'!AA442),IF(('Quantification_Results'!AA442&lt;'Quantification_Config'!$S$12),"",IF(('Quantification_Results'!AA442&gt;'Quantification_Config'!$T$12),"",'Quantification_Results'!AA442)),"")))</x:f>
      </x:c>
      <x:c r="AC442">
        <x:f>IF(ISNUMBER('Quantification_Results'!AB442),IFERROR(ROUND(((('Quantification_Results'!AB442-'Quantification_Config'!$S$12)/('Quantification_Config'!$T$12-'Quantification_Config'!$S$12))*100),'Quantification_Config'!$U$2),""),"")</x:f>
      </x:c>
      <x:c r="AD442" t="inlineStr">
        <x:is>
          <x:t xml:space="preserve"/>
        </x:is>
      </x:c>
      <x:c r="AE442" t="inlineStr">
        <x:is>
          <x:t xml:space="preserve"/>
        </x:is>
      </x:c>
      <x:c r="AF442" t="inlineStr">
        <x:is>
          <x:t xml:space="preserve"/>
        </x:is>
      </x:c>
      <x:c r="AG442" t="inlineStr">
        <x:is>
          <x:t xml:space="preserve"/>
        </x:is>
      </x:c>
      <x:c r="AH442" t="inlineStr">
        <x:is>
          <x:t xml:space="preserve">EMPTY</x:t>
        </x:is>
      </x:c>
      <x:c r="AI442">
        <x:f>IF((COUNT('Quantification_Results'!AC442)=1),IFERROR(ROUND((SUM(('Quantification_Results'!AC442*'Quantification_Config'!$R$12))/SUM('Quantification_Config'!$R$12)),'Quantification_Config'!$U$2),""),"")</x:f>
      </x:c>
      <x:c r="AJ442">
        <x:f>IF((COUNT('Quantification_Results'!AI442)=1),IFERROR(ROUND((SUM(('Quantification_Results'!AI442*'Quantification_Config'!$R$11))/SUM('Quantification_Config'!$R$11)),'Quantification_Config'!$U$2),""),"")</x:f>
      </x:c>
      <x:c r="AK442" t="n">
        <x:v>1</x:v>
      </x:c>
      <x:c r="AL442" t="n">
        <x:v>5</x:v>
      </x:c>
      <x:c r="AM442"/>
      <x:c r="AN442" t="n">
        <x:f>IF(('Quantification_Results'!AK442&lt;&gt;1),"",IF(('Quantification_Results'!AM442=""),IF(ISNUMBER('Quantification_Results'!AL442),IF(('Quantification_Results'!AL442&lt;'Quantification_Config'!$S$15),"",IF(('Quantification_Results'!AL442&gt;'Quantification_Config'!$T$15),"",'Quantification_Results'!AL442)),""),IF(ISNUMBER('Quantification_Results'!AM442),IF(('Quantification_Results'!AM442&lt;'Quantification_Config'!$S$15),"",IF(('Quantification_Results'!AM442&gt;'Quantification_Config'!$T$15),"",'Quantification_Results'!AM442)),"")))</x:f>
        <x:v>5</x:v>
      </x:c>
      <x:c r="AO442" t="n">
        <x:f>IF(ISNUMBER('Quantification_Results'!AN442),IFERROR(ROUND(((('Quantification_Results'!AN442-'Quantification_Config'!$S$15)/('Quantification_Config'!$T$15-'Quantification_Config'!$S$15))*100),'Quantification_Config'!$U$2),""),"")</x:f>
        <x:v>50</x:v>
      </x:c>
      <x:c r="AP442" t="inlineStr">
        <x:is>
          <x:t xml:space="preserve">SYSTEM-TEST-ONLY-NO-NETWORK-NOT-AN-EDUCATIONAL-EVALUATION</x:t>
        </x:is>
      </x:c>
      <x:c r="AQ442" t="inlineStr">
        <x:is>
          <x:t xml:space="preserve"/>
        </x:is>
      </x:c>
      <x:c r="AR442" t="inlineStr">
        <x:is>
          <x:t xml:space="preserve">NONE</x:t>
        </x:is>
      </x:c>
      <x:c r="AS442" t="inlineStr">
        <x:is>
          <x:t xml:space="preserve"/>
        </x:is>
      </x:c>
      <x:c r="AT442" t="inlineStr">
        <x:is>
          <x:t xml:space="preserve">SUCCESS</x:t>
        </x:is>
      </x:c>
      <x:c r="AU442" t="n">
        <x:f>IF((COUNT('Quantification_Results'!AO442)=1),IFERROR(ROUND((SUM(('Quantification_Results'!AO442*'Quantification_Config'!$R$15))/SUM('Quantification_Config'!$R$15)),'Quantification_Config'!$U$2),""),"")</x:f>
        <x:v>50</x:v>
      </x:c>
      <x:c r="AV442" t="n">
        <x:f>IF((COUNT('Quantification_Results'!AU442)=1),IFERROR(ROUND((SUM(('Quantification_Results'!AU442*'Quantification_Config'!$R$14))/SUM('Quantification_Config'!$R$14)),'Quantification_Config'!$U$2),""),"")</x:f>
        <x:v>50</x:v>
      </x:c>
      <x:c r="AW442" t="n">
        <x:v>1</x:v>
      </x:c>
      <x:c r="AX442" t="n">
        <x:v>5</x:v>
      </x:c>
      <x:c r="AY442"/>
      <x:c r="AZ442" t="n">
        <x:f>IF(('Quantification_Results'!AW442&lt;&gt;1),"",IF(('Quantification_Results'!AY442=""),IF(ISNUMBER('Quantification_Results'!AX442),IF(('Quantification_Results'!AX442&lt;'Quantification_Config'!$S$19),"",IF(('Quantification_Results'!AX442&gt;'Quantification_Config'!$T$19),"",'Quantification_Results'!AX442)),""),IF(ISNUMBER('Quantification_Results'!AY442),IF(('Quantification_Results'!AY442&lt;'Quantification_Config'!$S$19),"",IF(('Quantification_Results'!AY442&gt;'Quantification_Config'!$T$19),"",'Quantification_Results'!AY442)),"")))</x:f>
        <x:v>5</x:v>
      </x:c>
      <x:c r="BA442" t="n">
        <x:f>IF(ISNUMBER('Quantification_Results'!AZ442),IFERROR(ROUND(((('Quantification_Results'!AZ442-'Quantification_Config'!$S$19)/('Quantification_Config'!$T$19-'Quantification_Config'!$S$19))*100),'Quantification_Config'!$U$2),""),"")</x:f>
        <x:v>50</x:v>
      </x:c>
      <x:c r="BB442" t="inlineStr">
        <x:is>
          <x:t xml:space="preserve">SYSTEM-TEST-ONLY-NO-NETWORK-NOT-AN-EDUCATIONAL-EVALUATION</x:t>
        </x:is>
      </x:c>
      <x:c r="BC442" t="inlineStr">
        <x:is>
          <x:t xml:space="preserve"/>
        </x:is>
      </x:c>
      <x:c r="BD442" t="inlineStr">
        <x:is>
          <x:t xml:space="preserve">NONE</x:t>
        </x:is>
      </x:c>
      <x:c r="BE442" t="inlineStr">
        <x:is>
          <x:t xml:space="preserve"/>
        </x:is>
      </x:c>
      <x:c r="BF442" t="inlineStr">
        <x:is>
          <x:t xml:space="preserve">SUCCESS</x:t>
        </x:is>
      </x:c>
      <x:c r="BG442" t="n">
        <x:f>IF((COUNT('Quantification_Results'!BA442)=1),IFERROR(ROUND((SUM(('Quantification_Results'!BA442*'Quantification_Config'!$R$19))/SUM('Quantification_Config'!$R$19)),'Quantification_Config'!$U$2),""),"")</x:f>
        <x:v>50</x:v>
      </x:c>
      <x:c r="BH442" t="n">
        <x:f>IF((COUNT('Quantification_Results'!BG442)=1),IFERROR(ROUND((SUM(('Quantification_Results'!BG442*'Quantification_Config'!$R$18))/SUM('Quantification_Config'!$R$18)),'Quantification_Config'!$U$2),""),"")</x:f>
        <x:v>50</x:v>
      </x:c>
      <x:c r="BI442">
        <x:f>IF((COUNT('Quantification_Results'!L442,'Quantification_Results'!X442,'Quantification_Results'!AJ442,'Quantification_Results'!AV442,'Quantification_Results'!BH442)=5),IFERROR(ROUND((SUM(('Quantification_Results'!L442*'Quantification_Config'!$R$4),('Quantification_Results'!X442*'Quantification_Config'!$R$7),('Quantification_Results'!AJ442*'Quantification_Config'!$R$10),('Quantification_Results'!AV442*'Quantification_Config'!$R$13),('Quantification_Results'!BH442*'Quantification_Config'!$R$16))/SUM('Quantification_Config'!$R$4,'Quantification_Config'!$R$7,'Quantification_Config'!$R$10,'Quantification_Config'!$R$13,'Quantification_Config'!$R$16)),'Quantification_Config'!$U$2),""),"")</x:f>
      </x:c>
    </x:row>
    <x:row r="443">
      <x:c r="A443" t="n">
        <x:v>1</x:v>
      </x:c>
      <x:c r="B443" t="n">
        <x:v>5</x:v>
      </x:c>
      <x:c r="C443"/>
      <x:c r="D443" t="n">
        <x:f>IF(('Quantification_Results'!A443&lt;&gt;1),"",IF(('Quantification_Results'!C443=""),IF(ISNUMBER('Quantification_Results'!B443),IF(('Quantification_Results'!B443&lt;'Quantification_Config'!$S$6),"",IF(('Quantification_Results'!B443&gt;'Quantification_Config'!$T$6),"",'Quantification_Results'!B443)),""),IF(ISNUMBER('Quantification_Results'!C443),IF(('Quantification_Results'!C443&lt;'Quantification_Config'!$S$6),"",IF(('Quantification_Results'!C443&gt;'Quantification_Config'!$T$6),"",'Quantification_Results'!C443)),"")))</x:f>
        <x:v>5</x:v>
      </x:c>
      <x:c r="E443" t="n">
        <x:f>IF(ISNUMBER('Quantification_Results'!D443),IFERROR(ROUND(((('Quantification_Results'!D443-'Quantification_Config'!$S$6)/('Quantification_Config'!$T$6-'Quantification_Config'!$S$6))*100),'Quantification_Config'!$U$2),""),"")</x:f>
        <x:v>50</x:v>
      </x:c>
      <x:c r="F443" t="inlineStr">
        <x:is>
          <x:t xml:space="preserve">SYSTEM-TEST-ONLY-NO-NETWORK-NOT-AN-EDUCATIONAL-EVALUATION</x:t>
        </x:is>
      </x:c>
      <x:c r="G443" t="inlineStr">
        <x:is>
          <x:t xml:space="preserve"/>
        </x:is>
      </x:c>
      <x:c r="H443" t="inlineStr">
        <x:is>
          <x:t xml:space="preserve">NONE</x:t>
        </x:is>
      </x:c>
      <x:c r="I443" t="inlineStr">
        <x:is>
          <x:t xml:space="preserve"/>
        </x:is>
      </x:c>
      <x:c r="J443" t="inlineStr">
        <x:is>
          <x:t xml:space="preserve">SUCCESS</x:t>
        </x:is>
      </x:c>
      <x:c r="K443" t="n">
        <x:f>IF((COUNT('Quantification_Results'!E443)=1),IFERROR(ROUND((SUM(('Quantification_Results'!E443*'Quantification_Config'!$R$6))/SUM('Quantification_Config'!$R$6)),'Quantification_Config'!$U$2),""),"")</x:f>
        <x:v>50</x:v>
      </x:c>
      <x:c r="L443" t="n">
        <x:f>IF((COUNT('Quantification_Results'!K443)=1),IFERROR(ROUND((SUM(('Quantification_Results'!K443*'Quantification_Config'!$R$5))/SUM('Quantification_Config'!$R$5)),'Quantification_Config'!$U$2),""),"")</x:f>
        <x:v>50</x:v>
      </x:c>
      <x:c r="M443" t="n">
        <x:v>0</x:v>
      </x:c>
      <x:c r="N443"/>
      <x:c r="O443"/>
      <x:c r="P443">
        <x:f>IF(('Quantification_Results'!M443&lt;&gt;1),"",IF(('Quantification_Results'!O443=""),IF(ISNUMBER('Quantification_Results'!N443),IF(('Quantification_Results'!N443&lt;'Quantification_Config'!$S$9),"",IF(('Quantification_Results'!N443&gt;'Quantification_Config'!$T$9),"",'Quantification_Results'!N443)),""),IF(ISNUMBER('Quantification_Results'!O443),IF(('Quantification_Results'!O443&lt;'Quantification_Config'!$S$9),"",IF(('Quantification_Results'!O443&gt;'Quantification_Config'!$T$9),"",'Quantification_Results'!O443)),"")))</x:f>
      </x:c>
      <x:c r="Q443">
        <x:f>IF(ISNUMBER('Quantification_Results'!P443),IFERROR(ROUND(((('Quantification_Results'!P443-'Quantification_Config'!$S$9)/('Quantification_Config'!$T$9-'Quantification_Config'!$S$9))*100),'Quantification_Config'!$U$2),""),"")</x:f>
      </x:c>
      <x:c r="R443" t="inlineStr">
        <x:is>
          <x:t xml:space="preserve"/>
        </x:is>
      </x:c>
      <x:c r="S443" t="inlineStr">
        <x:is>
          <x:t xml:space="preserve"/>
        </x:is>
      </x:c>
      <x:c r="T443" t="inlineStr">
        <x:is>
          <x:t xml:space="preserve"/>
        </x:is>
      </x:c>
      <x:c r="U443" t="inlineStr">
        <x:is>
          <x:t xml:space="preserve"/>
        </x:is>
      </x:c>
      <x:c r="V443" t="inlineStr">
        <x:is>
          <x:t xml:space="preserve">EMPTY</x:t>
        </x:is>
      </x:c>
      <x:c r="W443">
        <x:f>IF((COUNT('Quantification_Results'!Q443)=1),IFERROR(ROUND((SUM(('Quantification_Results'!Q443*'Quantification_Config'!$R$9))/SUM('Quantification_Config'!$R$9)),'Quantification_Config'!$U$2),""),"")</x:f>
      </x:c>
      <x:c r="X443">
        <x:f>IF((COUNT('Quantification_Results'!W443)=1),IFERROR(ROUND((SUM(('Quantification_Results'!W443*'Quantification_Config'!$R$8))/SUM('Quantification_Config'!$R$8)),'Quantification_Config'!$U$2),""),"")</x:f>
      </x:c>
      <x:c r="Y443" t="n">
        <x:v>0</x:v>
      </x:c>
      <x:c r="Z443"/>
      <x:c r="AA443"/>
      <x:c r="AB443">
        <x:f>IF(('Quantification_Results'!Y443&lt;&gt;1),"",IF(('Quantification_Results'!AA443=""),IF(ISNUMBER('Quantification_Results'!Z443),IF(('Quantification_Results'!Z443&lt;'Quantification_Config'!$S$12),"",IF(('Quantification_Results'!Z443&gt;'Quantification_Config'!$T$12),"",'Quantification_Results'!Z443)),""),IF(ISNUMBER('Quantification_Results'!AA443),IF(('Quantification_Results'!AA443&lt;'Quantification_Config'!$S$12),"",IF(('Quantification_Results'!AA443&gt;'Quantification_Config'!$T$12),"",'Quantification_Results'!AA443)),"")))</x:f>
      </x:c>
      <x:c r="AC443">
        <x:f>IF(ISNUMBER('Quantification_Results'!AB443),IFERROR(ROUND(((('Quantification_Results'!AB443-'Quantification_Config'!$S$12)/('Quantification_Config'!$T$12-'Quantification_Config'!$S$12))*100),'Quantification_Config'!$U$2),""),"")</x:f>
      </x:c>
      <x:c r="AD443" t="inlineStr">
        <x:is>
          <x:t xml:space="preserve"/>
        </x:is>
      </x:c>
      <x:c r="AE443" t="inlineStr">
        <x:is>
          <x:t xml:space="preserve"/>
        </x:is>
      </x:c>
      <x:c r="AF443" t="inlineStr">
        <x:is>
          <x:t xml:space="preserve"/>
        </x:is>
      </x:c>
      <x:c r="AG443" t="inlineStr">
        <x:is>
          <x:t xml:space="preserve"/>
        </x:is>
      </x:c>
      <x:c r="AH443" t="inlineStr">
        <x:is>
          <x:t xml:space="preserve">EMPTY</x:t>
        </x:is>
      </x:c>
      <x:c r="AI443">
        <x:f>IF((COUNT('Quantification_Results'!AC443)=1),IFERROR(ROUND((SUM(('Quantification_Results'!AC443*'Quantification_Config'!$R$12))/SUM('Quantification_Config'!$R$12)),'Quantification_Config'!$U$2),""),"")</x:f>
      </x:c>
      <x:c r="AJ443">
        <x:f>IF((COUNT('Quantification_Results'!AI443)=1),IFERROR(ROUND((SUM(('Quantification_Results'!AI443*'Quantification_Config'!$R$11))/SUM('Quantification_Config'!$R$11)),'Quantification_Config'!$U$2),""),"")</x:f>
      </x:c>
      <x:c r="AK443" t="n">
        <x:v>1</x:v>
      </x:c>
      <x:c r="AL443" t="n">
        <x:v>5</x:v>
      </x:c>
      <x:c r="AM443"/>
      <x:c r="AN443" t="n">
        <x:f>IF(('Quantification_Results'!AK443&lt;&gt;1),"",IF(('Quantification_Results'!AM443=""),IF(ISNUMBER('Quantification_Results'!AL443),IF(('Quantification_Results'!AL443&lt;'Quantification_Config'!$S$15),"",IF(('Quantification_Results'!AL443&gt;'Quantification_Config'!$T$15),"",'Quantification_Results'!AL443)),""),IF(ISNUMBER('Quantification_Results'!AM443),IF(('Quantification_Results'!AM443&lt;'Quantification_Config'!$S$15),"",IF(('Quantification_Results'!AM443&gt;'Quantification_Config'!$T$15),"",'Quantification_Results'!AM443)),"")))</x:f>
        <x:v>5</x:v>
      </x:c>
      <x:c r="AO443" t="n">
        <x:f>IF(ISNUMBER('Quantification_Results'!AN443),IFERROR(ROUND(((('Quantification_Results'!AN443-'Quantification_Config'!$S$15)/('Quantification_Config'!$T$15-'Quantification_Config'!$S$15))*100),'Quantification_Config'!$U$2),""),"")</x:f>
        <x:v>50</x:v>
      </x:c>
      <x:c r="AP443" t="inlineStr">
        <x:is>
          <x:t xml:space="preserve">SYSTEM-TEST-ONLY-NO-NETWORK-NOT-AN-EDUCATIONAL-EVALUATION</x:t>
        </x:is>
      </x:c>
      <x:c r="AQ443" t="inlineStr">
        <x:is>
          <x:t xml:space="preserve"/>
        </x:is>
      </x:c>
      <x:c r="AR443" t="inlineStr">
        <x:is>
          <x:t xml:space="preserve">NONE</x:t>
        </x:is>
      </x:c>
      <x:c r="AS443" t="inlineStr">
        <x:is>
          <x:t xml:space="preserve"/>
        </x:is>
      </x:c>
      <x:c r="AT443" t="inlineStr">
        <x:is>
          <x:t xml:space="preserve">SUCCESS</x:t>
        </x:is>
      </x:c>
      <x:c r="AU443" t="n">
        <x:f>IF((COUNT('Quantification_Results'!AO443)=1),IFERROR(ROUND((SUM(('Quantification_Results'!AO443*'Quantification_Config'!$R$15))/SUM('Quantification_Config'!$R$15)),'Quantification_Config'!$U$2),""),"")</x:f>
        <x:v>50</x:v>
      </x:c>
      <x:c r="AV443" t="n">
        <x:f>IF((COUNT('Quantification_Results'!AU443)=1),IFERROR(ROUND((SUM(('Quantification_Results'!AU443*'Quantification_Config'!$R$14))/SUM('Quantification_Config'!$R$14)),'Quantification_Config'!$U$2),""),"")</x:f>
        <x:v>50</x:v>
      </x:c>
      <x:c r="AW443" t="n">
        <x:v>1</x:v>
      </x:c>
      <x:c r="AX443" t="n">
        <x:v>5</x:v>
      </x:c>
      <x:c r="AY443"/>
      <x:c r="AZ443" t="n">
        <x:f>IF(('Quantification_Results'!AW443&lt;&gt;1),"",IF(('Quantification_Results'!AY443=""),IF(ISNUMBER('Quantification_Results'!AX443),IF(('Quantification_Results'!AX443&lt;'Quantification_Config'!$S$19),"",IF(('Quantification_Results'!AX443&gt;'Quantification_Config'!$T$19),"",'Quantification_Results'!AX443)),""),IF(ISNUMBER('Quantification_Results'!AY443),IF(('Quantification_Results'!AY443&lt;'Quantification_Config'!$S$19),"",IF(('Quantification_Results'!AY443&gt;'Quantification_Config'!$T$19),"",'Quantification_Results'!AY443)),"")))</x:f>
        <x:v>5</x:v>
      </x:c>
      <x:c r="BA443" t="n">
        <x:f>IF(ISNUMBER('Quantification_Results'!AZ443),IFERROR(ROUND(((('Quantification_Results'!AZ443-'Quantification_Config'!$S$19)/('Quantification_Config'!$T$19-'Quantification_Config'!$S$19))*100),'Quantification_Config'!$U$2),""),"")</x:f>
        <x:v>50</x:v>
      </x:c>
      <x:c r="BB443" t="inlineStr">
        <x:is>
          <x:t xml:space="preserve">SYSTEM-TEST-ONLY-NO-NETWORK-NOT-AN-EDUCATIONAL-EVALUATION</x:t>
        </x:is>
      </x:c>
      <x:c r="BC443" t="inlineStr">
        <x:is>
          <x:t xml:space="preserve"/>
        </x:is>
      </x:c>
      <x:c r="BD443" t="inlineStr">
        <x:is>
          <x:t xml:space="preserve">NONE</x:t>
        </x:is>
      </x:c>
      <x:c r="BE443" t="inlineStr">
        <x:is>
          <x:t xml:space="preserve"/>
        </x:is>
      </x:c>
      <x:c r="BF443" t="inlineStr">
        <x:is>
          <x:t xml:space="preserve">SUCCESS</x:t>
        </x:is>
      </x:c>
      <x:c r="BG443" t="n">
        <x:f>IF((COUNT('Quantification_Results'!BA443)=1),IFERROR(ROUND((SUM(('Quantification_Results'!BA443*'Quantification_Config'!$R$19))/SUM('Quantification_Config'!$R$19)),'Quantification_Config'!$U$2),""),"")</x:f>
        <x:v>50</x:v>
      </x:c>
      <x:c r="BH443" t="n">
        <x:f>IF((COUNT('Quantification_Results'!BG443)=1),IFERROR(ROUND((SUM(('Quantification_Results'!BG443*'Quantification_Config'!$R$18))/SUM('Quantification_Config'!$R$18)),'Quantification_Config'!$U$2),""),"")</x:f>
        <x:v>50</x:v>
      </x:c>
      <x:c r="BI443">
        <x:f>IF((COUNT('Quantification_Results'!L443,'Quantification_Results'!X443,'Quantification_Results'!AJ443,'Quantification_Results'!AV443,'Quantification_Results'!BH443)=5),IFERROR(ROUND((SUM(('Quantification_Results'!L443*'Quantification_Config'!$R$4),('Quantification_Results'!X443*'Quantification_Config'!$R$7),('Quantification_Results'!AJ443*'Quantification_Config'!$R$10),('Quantification_Results'!AV443*'Quantification_Config'!$R$13),('Quantification_Results'!BH443*'Quantification_Config'!$R$16))/SUM('Quantification_Config'!$R$4,'Quantification_Config'!$R$7,'Quantification_Config'!$R$10,'Quantification_Config'!$R$13,'Quantification_Config'!$R$16)),'Quantification_Config'!$U$2),""),"")</x:f>
      </x:c>
    </x:row>
    <x:row r="444">
      <x:c r="A444" t="n">
        <x:v>1</x:v>
      </x:c>
      <x:c r="B444" t="n">
        <x:v>5</x:v>
      </x:c>
      <x:c r="C444"/>
      <x:c r="D444" t="n">
        <x:f>IF(('Quantification_Results'!A444&lt;&gt;1),"",IF(('Quantification_Results'!C444=""),IF(ISNUMBER('Quantification_Results'!B444),IF(('Quantification_Results'!B444&lt;'Quantification_Config'!$S$6),"",IF(('Quantification_Results'!B444&gt;'Quantification_Config'!$T$6),"",'Quantification_Results'!B444)),""),IF(ISNUMBER('Quantification_Results'!C444),IF(('Quantification_Results'!C444&lt;'Quantification_Config'!$S$6),"",IF(('Quantification_Results'!C444&gt;'Quantification_Config'!$T$6),"",'Quantification_Results'!C444)),"")))</x:f>
        <x:v>5</x:v>
      </x:c>
      <x:c r="E444" t="n">
        <x:f>IF(ISNUMBER('Quantification_Results'!D444),IFERROR(ROUND(((('Quantification_Results'!D444-'Quantification_Config'!$S$6)/('Quantification_Config'!$T$6-'Quantification_Config'!$S$6))*100),'Quantification_Config'!$U$2),""),"")</x:f>
        <x:v>50</x:v>
      </x:c>
      <x:c r="F444" t="inlineStr">
        <x:is>
          <x:t xml:space="preserve">SYSTEM-TEST-ONLY-NO-NETWORK-NOT-AN-EDUCATIONAL-EVALUATION</x:t>
        </x:is>
      </x:c>
      <x:c r="G444" t="inlineStr">
        <x:is>
          <x:t xml:space="preserve"/>
        </x:is>
      </x:c>
      <x:c r="H444" t="inlineStr">
        <x:is>
          <x:t xml:space="preserve">NONE</x:t>
        </x:is>
      </x:c>
      <x:c r="I444" t="inlineStr">
        <x:is>
          <x:t xml:space="preserve"/>
        </x:is>
      </x:c>
      <x:c r="J444" t="inlineStr">
        <x:is>
          <x:t xml:space="preserve">SUCCESS</x:t>
        </x:is>
      </x:c>
      <x:c r="K444" t="n">
        <x:f>IF((COUNT('Quantification_Results'!E444)=1),IFERROR(ROUND((SUM(('Quantification_Results'!E444*'Quantification_Config'!$R$6))/SUM('Quantification_Config'!$R$6)),'Quantification_Config'!$U$2),""),"")</x:f>
        <x:v>50</x:v>
      </x:c>
      <x:c r="L444" t="n">
        <x:f>IF((COUNT('Quantification_Results'!K444)=1),IFERROR(ROUND((SUM(('Quantification_Results'!K444*'Quantification_Config'!$R$5))/SUM('Quantification_Config'!$R$5)),'Quantification_Config'!$U$2),""),"")</x:f>
        <x:v>50</x:v>
      </x:c>
      <x:c r="M444" t="n">
        <x:v>0</x:v>
      </x:c>
      <x:c r="N444"/>
      <x:c r="O444"/>
      <x:c r="P444">
        <x:f>IF(('Quantification_Results'!M444&lt;&gt;1),"",IF(('Quantification_Results'!O444=""),IF(ISNUMBER('Quantification_Results'!N444),IF(('Quantification_Results'!N444&lt;'Quantification_Config'!$S$9),"",IF(('Quantification_Results'!N444&gt;'Quantification_Config'!$T$9),"",'Quantification_Results'!N444)),""),IF(ISNUMBER('Quantification_Results'!O444),IF(('Quantification_Results'!O444&lt;'Quantification_Config'!$S$9),"",IF(('Quantification_Results'!O444&gt;'Quantification_Config'!$T$9),"",'Quantification_Results'!O444)),"")))</x:f>
      </x:c>
      <x:c r="Q444">
        <x:f>IF(ISNUMBER('Quantification_Results'!P444),IFERROR(ROUND(((('Quantification_Results'!P444-'Quantification_Config'!$S$9)/('Quantification_Config'!$T$9-'Quantification_Config'!$S$9))*100),'Quantification_Config'!$U$2),""),"")</x:f>
      </x:c>
      <x:c r="R444" t="inlineStr">
        <x:is>
          <x:t xml:space="preserve"/>
        </x:is>
      </x:c>
      <x:c r="S444" t="inlineStr">
        <x:is>
          <x:t xml:space="preserve"/>
        </x:is>
      </x:c>
      <x:c r="T444" t="inlineStr">
        <x:is>
          <x:t xml:space="preserve"/>
        </x:is>
      </x:c>
      <x:c r="U444" t="inlineStr">
        <x:is>
          <x:t xml:space="preserve"/>
        </x:is>
      </x:c>
      <x:c r="V444" t="inlineStr">
        <x:is>
          <x:t xml:space="preserve">EMPTY</x:t>
        </x:is>
      </x:c>
      <x:c r="W444">
        <x:f>IF((COUNT('Quantification_Results'!Q444)=1),IFERROR(ROUND((SUM(('Quantification_Results'!Q444*'Quantification_Config'!$R$9))/SUM('Quantification_Config'!$R$9)),'Quantification_Config'!$U$2),""),"")</x:f>
      </x:c>
      <x:c r="X444">
        <x:f>IF((COUNT('Quantification_Results'!W444)=1),IFERROR(ROUND((SUM(('Quantification_Results'!W444*'Quantification_Config'!$R$8))/SUM('Quantification_Config'!$R$8)),'Quantification_Config'!$U$2),""),"")</x:f>
      </x:c>
      <x:c r="Y444" t="n">
        <x:v>0</x:v>
      </x:c>
      <x:c r="Z444"/>
      <x:c r="AA444"/>
      <x:c r="AB444">
        <x:f>IF(('Quantification_Results'!Y444&lt;&gt;1),"",IF(('Quantification_Results'!AA444=""),IF(ISNUMBER('Quantification_Results'!Z444),IF(('Quantification_Results'!Z444&lt;'Quantification_Config'!$S$12),"",IF(('Quantification_Results'!Z444&gt;'Quantification_Config'!$T$12),"",'Quantification_Results'!Z444)),""),IF(ISNUMBER('Quantification_Results'!AA444),IF(('Quantification_Results'!AA444&lt;'Quantification_Config'!$S$12),"",IF(('Quantification_Results'!AA444&gt;'Quantification_Config'!$T$12),"",'Quantification_Results'!AA444)),"")))</x:f>
      </x:c>
      <x:c r="AC444">
        <x:f>IF(ISNUMBER('Quantification_Results'!AB444),IFERROR(ROUND(((('Quantification_Results'!AB444-'Quantification_Config'!$S$12)/('Quantification_Config'!$T$12-'Quantification_Config'!$S$12))*100),'Quantification_Config'!$U$2),""),"")</x:f>
      </x:c>
      <x:c r="AD444" t="inlineStr">
        <x:is>
          <x:t xml:space="preserve"/>
        </x:is>
      </x:c>
      <x:c r="AE444" t="inlineStr">
        <x:is>
          <x:t xml:space="preserve"/>
        </x:is>
      </x:c>
      <x:c r="AF444" t="inlineStr">
        <x:is>
          <x:t xml:space="preserve"/>
        </x:is>
      </x:c>
      <x:c r="AG444" t="inlineStr">
        <x:is>
          <x:t xml:space="preserve"/>
        </x:is>
      </x:c>
      <x:c r="AH444" t="inlineStr">
        <x:is>
          <x:t xml:space="preserve">EMPTY</x:t>
        </x:is>
      </x:c>
      <x:c r="AI444">
        <x:f>IF((COUNT('Quantification_Results'!AC444)=1),IFERROR(ROUND((SUM(('Quantification_Results'!AC444*'Quantification_Config'!$R$12))/SUM('Quantification_Config'!$R$12)),'Quantification_Config'!$U$2),""),"")</x:f>
      </x:c>
      <x:c r="AJ444">
        <x:f>IF((COUNT('Quantification_Results'!AI444)=1),IFERROR(ROUND((SUM(('Quantification_Results'!AI444*'Quantification_Config'!$R$11))/SUM('Quantification_Config'!$R$11)),'Quantification_Config'!$U$2),""),"")</x:f>
      </x:c>
      <x:c r="AK444" t="n">
        <x:v>1</x:v>
      </x:c>
      <x:c r="AL444" t="n">
        <x:v>5</x:v>
      </x:c>
      <x:c r="AM444"/>
      <x:c r="AN444" t="n">
        <x:f>IF(('Quantification_Results'!AK444&lt;&gt;1),"",IF(('Quantification_Results'!AM444=""),IF(ISNUMBER('Quantification_Results'!AL444),IF(('Quantification_Results'!AL444&lt;'Quantification_Config'!$S$15),"",IF(('Quantification_Results'!AL444&gt;'Quantification_Config'!$T$15),"",'Quantification_Results'!AL444)),""),IF(ISNUMBER('Quantification_Results'!AM444),IF(('Quantification_Results'!AM444&lt;'Quantification_Config'!$S$15),"",IF(('Quantification_Results'!AM444&gt;'Quantification_Config'!$T$15),"",'Quantification_Results'!AM444)),"")))</x:f>
        <x:v>5</x:v>
      </x:c>
      <x:c r="AO444" t="n">
        <x:f>IF(ISNUMBER('Quantification_Results'!AN444),IFERROR(ROUND(((('Quantification_Results'!AN444-'Quantification_Config'!$S$15)/('Quantification_Config'!$T$15-'Quantification_Config'!$S$15))*100),'Quantification_Config'!$U$2),""),"")</x:f>
        <x:v>50</x:v>
      </x:c>
      <x:c r="AP444" t="inlineStr">
        <x:is>
          <x:t xml:space="preserve">SYSTEM-TEST-ONLY-NO-NETWORK-NOT-AN-EDUCATIONAL-EVALUATION</x:t>
        </x:is>
      </x:c>
      <x:c r="AQ444" t="inlineStr">
        <x:is>
          <x:t xml:space="preserve"/>
        </x:is>
      </x:c>
      <x:c r="AR444" t="inlineStr">
        <x:is>
          <x:t xml:space="preserve">NONE</x:t>
        </x:is>
      </x:c>
      <x:c r="AS444" t="inlineStr">
        <x:is>
          <x:t xml:space="preserve"/>
        </x:is>
      </x:c>
      <x:c r="AT444" t="inlineStr">
        <x:is>
          <x:t xml:space="preserve">SUCCESS</x:t>
        </x:is>
      </x:c>
      <x:c r="AU444" t="n">
        <x:f>IF((COUNT('Quantification_Results'!AO444)=1),IFERROR(ROUND((SUM(('Quantification_Results'!AO444*'Quantification_Config'!$R$15))/SUM('Quantification_Config'!$R$15)),'Quantification_Config'!$U$2),""),"")</x:f>
        <x:v>50</x:v>
      </x:c>
      <x:c r="AV444" t="n">
        <x:f>IF((COUNT('Quantification_Results'!AU444)=1),IFERROR(ROUND((SUM(('Quantification_Results'!AU444*'Quantification_Config'!$R$14))/SUM('Quantification_Config'!$R$14)),'Quantification_Config'!$U$2),""),"")</x:f>
        <x:v>50</x:v>
      </x:c>
      <x:c r="AW444" t="n">
        <x:v>1</x:v>
      </x:c>
      <x:c r="AX444" t="n">
        <x:v>5</x:v>
      </x:c>
      <x:c r="AY444"/>
      <x:c r="AZ444" t="n">
        <x:f>IF(('Quantification_Results'!AW444&lt;&gt;1),"",IF(('Quantification_Results'!AY444=""),IF(ISNUMBER('Quantification_Results'!AX444),IF(('Quantification_Results'!AX444&lt;'Quantification_Config'!$S$19),"",IF(('Quantification_Results'!AX444&gt;'Quantification_Config'!$T$19),"",'Quantification_Results'!AX444)),""),IF(ISNUMBER('Quantification_Results'!AY444),IF(('Quantification_Results'!AY444&lt;'Quantification_Config'!$S$19),"",IF(('Quantification_Results'!AY444&gt;'Quantification_Config'!$T$19),"",'Quantification_Results'!AY444)),"")))</x:f>
        <x:v>5</x:v>
      </x:c>
      <x:c r="BA444" t="n">
        <x:f>IF(ISNUMBER('Quantification_Results'!AZ444),IFERROR(ROUND(((('Quantification_Results'!AZ444-'Quantification_Config'!$S$19)/('Quantification_Config'!$T$19-'Quantification_Config'!$S$19))*100),'Quantification_Config'!$U$2),""),"")</x:f>
        <x:v>50</x:v>
      </x:c>
      <x:c r="BB444" t="inlineStr">
        <x:is>
          <x:t xml:space="preserve">SYSTEM-TEST-ONLY-NO-NETWORK-NOT-AN-EDUCATIONAL-EVALUATION</x:t>
        </x:is>
      </x:c>
      <x:c r="BC444" t="inlineStr">
        <x:is>
          <x:t xml:space="preserve"/>
        </x:is>
      </x:c>
      <x:c r="BD444" t="inlineStr">
        <x:is>
          <x:t xml:space="preserve">NONE</x:t>
        </x:is>
      </x:c>
      <x:c r="BE444" t="inlineStr">
        <x:is>
          <x:t xml:space="preserve"/>
        </x:is>
      </x:c>
      <x:c r="BF444" t="inlineStr">
        <x:is>
          <x:t xml:space="preserve">SUCCESS</x:t>
        </x:is>
      </x:c>
      <x:c r="BG444" t="n">
        <x:f>IF((COUNT('Quantification_Results'!BA444)=1),IFERROR(ROUND((SUM(('Quantification_Results'!BA444*'Quantification_Config'!$R$19))/SUM('Quantification_Config'!$R$19)),'Quantification_Config'!$U$2),""),"")</x:f>
        <x:v>50</x:v>
      </x:c>
      <x:c r="BH444" t="n">
        <x:f>IF((COUNT('Quantification_Results'!BG444)=1),IFERROR(ROUND((SUM(('Quantification_Results'!BG444*'Quantification_Config'!$R$18))/SUM('Quantification_Config'!$R$18)),'Quantification_Config'!$U$2),""),"")</x:f>
        <x:v>50</x:v>
      </x:c>
      <x:c r="BI444">
        <x:f>IF((COUNT('Quantification_Results'!L444,'Quantification_Results'!X444,'Quantification_Results'!AJ444,'Quantification_Results'!AV444,'Quantification_Results'!BH444)=5),IFERROR(ROUND((SUM(('Quantification_Results'!L444*'Quantification_Config'!$R$4),('Quantification_Results'!X444*'Quantification_Config'!$R$7),('Quantification_Results'!AJ444*'Quantification_Config'!$R$10),('Quantification_Results'!AV444*'Quantification_Config'!$R$13),('Quantification_Results'!BH444*'Quantification_Config'!$R$16))/SUM('Quantification_Config'!$R$4,'Quantification_Config'!$R$7,'Quantification_Config'!$R$10,'Quantification_Config'!$R$13,'Quantification_Config'!$R$16)),'Quantification_Config'!$U$2),""),"")</x:f>
      </x:c>
    </x:row>
    <x:row r="445">
      <x:c r="A445" t="n">
        <x:v>1</x:v>
      </x:c>
      <x:c r="B445" t="n">
        <x:v>5</x:v>
      </x:c>
      <x:c r="C445"/>
      <x:c r="D445" t="n">
        <x:f>IF(('Quantification_Results'!A445&lt;&gt;1),"",IF(('Quantification_Results'!C445=""),IF(ISNUMBER('Quantification_Results'!B445),IF(('Quantification_Results'!B445&lt;'Quantification_Config'!$S$6),"",IF(('Quantification_Results'!B445&gt;'Quantification_Config'!$T$6),"",'Quantification_Results'!B445)),""),IF(ISNUMBER('Quantification_Results'!C445),IF(('Quantification_Results'!C445&lt;'Quantification_Config'!$S$6),"",IF(('Quantification_Results'!C445&gt;'Quantification_Config'!$T$6),"",'Quantification_Results'!C445)),"")))</x:f>
        <x:v>5</x:v>
      </x:c>
      <x:c r="E445" t="n">
        <x:f>IF(ISNUMBER('Quantification_Results'!D445),IFERROR(ROUND(((('Quantification_Results'!D445-'Quantification_Config'!$S$6)/('Quantification_Config'!$T$6-'Quantification_Config'!$S$6))*100),'Quantification_Config'!$U$2),""),"")</x:f>
        <x:v>50</x:v>
      </x:c>
      <x:c r="F445" t="inlineStr">
        <x:is>
          <x:t xml:space="preserve">SYSTEM-TEST-ONLY-NO-NETWORK-NOT-AN-EDUCATIONAL-EVALUATION</x:t>
        </x:is>
      </x:c>
      <x:c r="G445" t="inlineStr">
        <x:is>
          <x:t xml:space="preserve"/>
        </x:is>
      </x:c>
      <x:c r="H445" t="inlineStr">
        <x:is>
          <x:t xml:space="preserve">NONE</x:t>
        </x:is>
      </x:c>
      <x:c r="I445" t="inlineStr">
        <x:is>
          <x:t xml:space="preserve"/>
        </x:is>
      </x:c>
      <x:c r="J445" t="inlineStr">
        <x:is>
          <x:t xml:space="preserve">SUCCESS</x:t>
        </x:is>
      </x:c>
      <x:c r="K445" t="n">
        <x:f>IF((COUNT('Quantification_Results'!E445)=1),IFERROR(ROUND((SUM(('Quantification_Results'!E445*'Quantification_Config'!$R$6))/SUM('Quantification_Config'!$R$6)),'Quantification_Config'!$U$2),""),"")</x:f>
        <x:v>50</x:v>
      </x:c>
      <x:c r="L445" t="n">
        <x:f>IF((COUNT('Quantification_Results'!K445)=1),IFERROR(ROUND((SUM(('Quantification_Results'!K445*'Quantification_Config'!$R$5))/SUM('Quantification_Config'!$R$5)),'Quantification_Config'!$U$2),""),"")</x:f>
        <x:v>50</x:v>
      </x:c>
      <x:c r="M445" t="n">
        <x:v>1</x:v>
      </x:c>
      <x:c r="N445" t="n">
        <x:v>5</x:v>
      </x:c>
      <x:c r="O445"/>
      <x:c r="P445" t="n">
        <x:f>IF(('Quantification_Results'!M445&lt;&gt;1),"",IF(('Quantification_Results'!O445=""),IF(ISNUMBER('Quantification_Results'!N445),IF(('Quantification_Results'!N445&lt;'Quantification_Config'!$S$9),"",IF(('Quantification_Results'!N445&gt;'Quantification_Config'!$T$9),"",'Quantification_Results'!N445)),""),IF(ISNUMBER('Quantification_Results'!O445),IF(('Quantification_Results'!O445&lt;'Quantification_Config'!$S$9),"",IF(('Quantification_Results'!O445&gt;'Quantification_Config'!$T$9),"",'Quantification_Results'!O445)),"")))</x:f>
        <x:v>5</x:v>
      </x:c>
      <x:c r="Q445" t="n">
        <x:f>IF(ISNUMBER('Quantification_Results'!P445),IFERROR(ROUND(((('Quantification_Results'!P445-'Quantification_Config'!$S$9)/('Quantification_Config'!$T$9-'Quantification_Config'!$S$9))*100),'Quantification_Config'!$U$2),""),"")</x:f>
        <x:v>50</x:v>
      </x:c>
      <x:c r="R445" t="inlineStr">
        <x:is>
          <x:t xml:space="preserve">SYSTEM-TEST-ONLY-NO-NETWORK-NOT-AN-EDUCATIONAL-EVALUATION</x:t>
        </x:is>
      </x:c>
      <x:c r="S445" t="inlineStr">
        <x:is>
          <x:t xml:space="preserve"/>
        </x:is>
      </x:c>
      <x:c r="T445" t="inlineStr">
        <x:is>
          <x:t xml:space="preserve">NONE</x:t>
        </x:is>
      </x:c>
      <x:c r="U445" t="inlineStr">
        <x:is>
          <x:t xml:space="preserve"/>
        </x:is>
      </x:c>
      <x:c r="V445" t="inlineStr">
        <x:is>
          <x:t xml:space="preserve">SUCCESS</x:t>
        </x:is>
      </x:c>
      <x:c r="W445" t="n">
        <x:f>IF((COUNT('Quantification_Results'!Q445)=1),IFERROR(ROUND((SUM(('Quantification_Results'!Q445*'Quantification_Config'!$R$9))/SUM('Quantification_Config'!$R$9)),'Quantification_Config'!$U$2),""),"")</x:f>
        <x:v>50</x:v>
      </x:c>
      <x:c r="X445" t="n">
        <x:f>IF((COUNT('Quantification_Results'!W445)=1),IFERROR(ROUND((SUM(('Quantification_Results'!W445*'Quantification_Config'!$R$8))/SUM('Quantification_Config'!$R$8)),'Quantification_Config'!$U$2),""),"")</x:f>
        <x:v>50</x:v>
      </x:c>
      <x:c r="Y445" t="n">
        <x:v>0</x:v>
      </x:c>
      <x:c r="Z445"/>
      <x:c r="AA445"/>
      <x:c r="AB445">
        <x:f>IF(('Quantification_Results'!Y445&lt;&gt;1),"",IF(('Quantification_Results'!AA445=""),IF(ISNUMBER('Quantification_Results'!Z445),IF(('Quantification_Results'!Z445&lt;'Quantification_Config'!$S$12),"",IF(('Quantification_Results'!Z445&gt;'Quantification_Config'!$T$12),"",'Quantification_Results'!Z445)),""),IF(ISNUMBER('Quantification_Results'!AA445),IF(('Quantification_Results'!AA445&lt;'Quantification_Config'!$S$12),"",IF(('Quantification_Results'!AA445&gt;'Quantification_Config'!$T$12),"",'Quantification_Results'!AA445)),"")))</x:f>
      </x:c>
      <x:c r="AC445">
        <x:f>IF(ISNUMBER('Quantification_Results'!AB445),IFERROR(ROUND(((('Quantification_Results'!AB445-'Quantification_Config'!$S$12)/('Quantification_Config'!$T$12-'Quantification_Config'!$S$12))*100),'Quantification_Config'!$U$2),""),"")</x:f>
      </x:c>
      <x:c r="AD445" t="inlineStr">
        <x:is>
          <x:t xml:space="preserve"/>
        </x:is>
      </x:c>
      <x:c r="AE445" t="inlineStr">
        <x:is>
          <x:t xml:space="preserve"/>
        </x:is>
      </x:c>
      <x:c r="AF445" t="inlineStr">
        <x:is>
          <x:t xml:space="preserve"/>
        </x:is>
      </x:c>
      <x:c r="AG445" t="inlineStr">
        <x:is>
          <x:t xml:space="preserve"/>
        </x:is>
      </x:c>
      <x:c r="AH445" t="inlineStr">
        <x:is>
          <x:t xml:space="preserve">EMPTY</x:t>
        </x:is>
      </x:c>
      <x:c r="AI445">
        <x:f>IF((COUNT('Quantification_Results'!AC445)=1),IFERROR(ROUND((SUM(('Quantification_Results'!AC445*'Quantification_Config'!$R$12))/SUM('Quantification_Config'!$R$12)),'Quantification_Config'!$U$2),""),"")</x:f>
      </x:c>
      <x:c r="AJ445">
        <x:f>IF((COUNT('Quantification_Results'!AI445)=1),IFERROR(ROUND((SUM(('Quantification_Results'!AI445*'Quantification_Config'!$R$11))/SUM('Quantification_Config'!$R$11)),'Quantification_Config'!$U$2),""),"")</x:f>
      </x:c>
      <x:c r="AK445" t="n">
        <x:v>1</x:v>
      </x:c>
      <x:c r="AL445" t="n">
        <x:v>5</x:v>
      </x:c>
      <x:c r="AM445"/>
      <x:c r="AN445" t="n">
        <x:f>IF(('Quantification_Results'!AK445&lt;&gt;1),"",IF(('Quantification_Results'!AM445=""),IF(ISNUMBER('Quantification_Results'!AL445),IF(('Quantification_Results'!AL445&lt;'Quantification_Config'!$S$15),"",IF(('Quantification_Results'!AL445&gt;'Quantification_Config'!$T$15),"",'Quantification_Results'!AL445)),""),IF(ISNUMBER('Quantification_Results'!AM445),IF(('Quantification_Results'!AM445&lt;'Quantification_Config'!$S$15),"",IF(('Quantification_Results'!AM445&gt;'Quantification_Config'!$T$15),"",'Quantification_Results'!AM445)),"")))</x:f>
        <x:v>5</x:v>
      </x:c>
      <x:c r="AO445" t="n">
        <x:f>IF(ISNUMBER('Quantification_Results'!AN445),IFERROR(ROUND(((('Quantification_Results'!AN445-'Quantification_Config'!$S$15)/('Quantification_Config'!$T$15-'Quantification_Config'!$S$15))*100),'Quantification_Config'!$U$2),""),"")</x:f>
        <x:v>50</x:v>
      </x:c>
      <x:c r="AP445" t="inlineStr">
        <x:is>
          <x:t xml:space="preserve">SYSTEM-TEST-ONLY-NO-NETWORK-NOT-AN-EDUCATIONAL-EVALUATION</x:t>
        </x:is>
      </x:c>
      <x:c r="AQ445" t="inlineStr">
        <x:is>
          <x:t xml:space="preserve"/>
        </x:is>
      </x:c>
      <x:c r="AR445" t="inlineStr">
        <x:is>
          <x:t xml:space="preserve">NONE</x:t>
        </x:is>
      </x:c>
      <x:c r="AS445" t="inlineStr">
        <x:is>
          <x:t xml:space="preserve"/>
        </x:is>
      </x:c>
      <x:c r="AT445" t="inlineStr">
        <x:is>
          <x:t xml:space="preserve">SUCCESS</x:t>
        </x:is>
      </x:c>
      <x:c r="AU445" t="n">
        <x:f>IF((COUNT('Quantification_Results'!AO445)=1),IFERROR(ROUND((SUM(('Quantification_Results'!AO445*'Quantification_Config'!$R$15))/SUM('Quantification_Config'!$R$15)),'Quantification_Config'!$U$2),""),"")</x:f>
        <x:v>50</x:v>
      </x:c>
      <x:c r="AV445" t="n">
        <x:f>IF((COUNT('Quantification_Results'!AU445)=1),IFERROR(ROUND((SUM(('Quantification_Results'!AU445*'Quantification_Config'!$R$14))/SUM('Quantification_Config'!$R$14)),'Quantification_Config'!$U$2),""),"")</x:f>
        <x:v>50</x:v>
      </x:c>
      <x:c r="AW445" t="n">
        <x:v>1</x:v>
      </x:c>
      <x:c r="AX445" t="n">
        <x:v>5</x:v>
      </x:c>
      <x:c r="AY445"/>
      <x:c r="AZ445" t="n">
        <x:f>IF(('Quantification_Results'!AW445&lt;&gt;1),"",IF(('Quantification_Results'!AY445=""),IF(ISNUMBER('Quantification_Results'!AX445),IF(('Quantification_Results'!AX445&lt;'Quantification_Config'!$S$19),"",IF(('Quantification_Results'!AX445&gt;'Quantification_Config'!$T$19),"",'Quantification_Results'!AX445)),""),IF(ISNUMBER('Quantification_Results'!AY445),IF(('Quantification_Results'!AY445&lt;'Quantification_Config'!$S$19),"",IF(('Quantification_Results'!AY445&gt;'Quantification_Config'!$T$19),"",'Quantification_Results'!AY445)),"")))</x:f>
        <x:v>5</x:v>
      </x:c>
      <x:c r="BA445" t="n">
        <x:f>IF(ISNUMBER('Quantification_Results'!AZ445),IFERROR(ROUND(((('Quantification_Results'!AZ445-'Quantification_Config'!$S$19)/('Quantification_Config'!$T$19-'Quantification_Config'!$S$19))*100),'Quantification_Config'!$U$2),""),"")</x:f>
        <x:v>50</x:v>
      </x:c>
      <x:c r="BB445" t="inlineStr">
        <x:is>
          <x:t xml:space="preserve">SYSTEM-TEST-ONLY-NO-NETWORK-NOT-AN-EDUCATIONAL-EVALUATION</x:t>
        </x:is>
      </x:c>
      <x:c r="BC445" t="inlineStr">
        <x:is>
          <x:t xml:space="preserve"/>
        </x:is>
      </x:c>
      <x:c r="BD445" t="inlineStr">
        <x:is>
          <x:t xml:space="preserve">NONE</x:t>
        </x:is>
      </x:c>
      <x:c r="BE445" t="inlineStr">
        <x:is>
          <x:t xml:space="preserve"/>
        </x:is>
      </x:c>
      <x:c r="BF445" t="inlineStr">
        <x:is>
          <x:t xml:space="preserve">SUCCESS</x:t>
        </x:is>
      </x:c>
      <x:c r="BG445" t="n">
        <x:f>IF((COUNT('Quantification_Results'!BA445)=1),IFERROR(ROUND((SUM(('Quantification_Results'!BA445*'Quantification_Config'!$R$19))/SUM('Quantification_Config'!$R$19)),'Quantification_Config'!$U$2),""),"")</x:f>
        <x:v>50</x:v>
      </x:c>
      <x:c r="BH445" t="n">
        <x:f>IF((COUNT('Quantification_Results'!BG445)=1),IFERROR(ROUND((SUM(('Quantification_Results'!BG445*'Quantification_Config'!$R$18))/SUM('Quantification_Config'!$R$18)),'Quantification_Config'!$U$2),""),"")</x:f>
        <x:v>50</x:v>
      </x:c>
      <x:c r="BI445">
        <x:f>IF((COUNT('Quantification_Results'!L445,'Quantification_Results'!X445,'Quantification_Results'!AJ445,'Quantification_Results'!AV445,'Quantification_Results'!BH445)=5),IFERROR(ROUND((SUM(('Quantification_Results'!L445*'Quantification_Config'!$R$4),('Quantification_Results'!X445*'Quantification_Config'!$R$7),('Quantification_Results'!AJ445*'Quantification_Config'!$R$10),('Quantification_Results'!AV445*'Quantification_Config'!$R$13),('Quantification_Results'!BH445*'Quantification_Config'!$R$16))/SUM('Quantification_Config'!$R$4,'Quantification_Config'!$R$7,'Quantification_Config'!$R$10,'Quantification_Config'!$R$13,'Quantification_Config'!$R$16)),'Quantification_Config'!$U$2),""),"")</x:f>
      </x:c>
    </x:row>
    <x:row r="446">
      <x:c r="A446" t="n">
        <x:v>1</x:v>
      </x:c>
      <x:c r="B446" t="n">
        <x:v>5</x:v>
      </x:c>
      <x:c r="C446"/>
      <x:c r="D446" t="n">
        <x:f>IF(('Quantification_Results'!A446&lt;&gt;1),"",IF(('Quantification_Results'!C446=""),IF(ISNUMBER('Quantification_Results'!B446),IF(('Quantification_Results'!B446&lt;'Quantification_Config'!$S$6),"",IF(('Quantification_Results'!B446&gt;'Quantification_Config'!$T$6),"",'Quantification_Results'!B446)),""),IF(ISNUMBER('Quantification_Results'!C446),IF(('Quantification_Results'!C446&lt;'Quantification_Config'!$S$6),"",IF(('Quantification_Results'!C446&gt;'Quantification_Config'!$T$6),"",'Quantification_Results'!C446)),"")))</x:f>
        <x:v>5</x:v>
      </x:c>
      <x:c r="E446" t="n">
        <x:f>IF(ISNUMBER('Quantification_Results'!D446),IFERROR(ROUND(((('Quantification_Results'!D446-'Quantification_Config'!$S$6)/('Quantification_Config'!$T$6-'Quantification_Config'!$S$6))*100),'Quantification_Config'!$U$2),""),"")</x:f>
        <x:v>50</x:v>
      </x:c>
      <x:c r="F446" t="inlineStr">
        <x:is>
          <x:t xml:space="preserve">SYSTEM-TEST-ONLY-NO-NETWORK-NOT-AN-EDUCATIONAL-EVALUATION</x:t>
        </x:is>
      </x:c>
      <x:c r="G446" t="inlineStr">
        <x:is>
          <x:t xml:space="preserve"/>
        </x:is>
      </x:c>
      <x:c r="H446" t="inlineStr">
        <x:is>
          <x:t xml:space="preserve">NONE</x:t>
        </x:is>
      </x:c>
      <x:c r="I446" t="inlineStr">
        <x:is>
          <x:t xml:space="preserve"/>
        </x:is>
      </x:c>
      <x:c r="J446" t="inlineStr">
        <x:is>
          <x:t xml:space="preserve">SUCCESS</x:t>
        </x:is>
      </x:c>
      <x:c r="K446" t="n">
        <x:f>IF((COUNT('Quantification_Results'!E446)=1),IFERROR(ROUND((SUM(('Quantification_Results'!E446*'Quantification_Config'!$R$6))/SUM('Quantification_Config'!$R$6)),'Quantification_Config'!$U$2),""),"")</x:f>
        <x:v>50</x:v>
      </x:c>
      <x:c r="L446" t="n">
        <x:f>IF((COUNT('Quantification_Results'!K446)=1),IFERROR(ROUND((SUM(('Quantification_Results'!K446*'Quantification_Config'!$R$5))/SUM('Quantification_Config'!$R$5)),'Quantification_Config'!$U$2),""),"")</x:f>
        <x:v>50</x:v>
      </x:c>
      <x:c r="M446" t="n">
        <x:v>0</x:v>
      </x:c>
      <x:c r="N446"/>
      <x:c r="O446"/>
      <x:c r="P446">
        <x:f>IF(('Quantification_Results'!M446&lt;&gt;1),"",IF(('Quantification_Results'!O446=""),IF(ISNUMBER('Quantification_Results'!N446),IF(('Quantification_Results'!N446&lt;'Quantification_Config'!$S$9),"",IF(('Quantification_Results'!N446&gt;'Quantification_Config'!$T$9),"",'Quantification_Results'!N446)),""),IF(ISNUMBER('Quantification_Results'!O446),IF(('Quantification_Results'!O446&lt;'Quantification_Config'!$S$9),"",IF(('Quantification_Results'!O446&gt;'Quantification_Config'!$T$9),"",'Quantification_Results'!O446)),"")))</x:f>
      </x:c>
      <x:c r="Q446">
        <x:f>IF(ISNUMBER('Quantification_Results'!P446),IFERROR(ROUND(((('Quantification_Results'!P446-'Quantification_Config'!$S$9)/('Quantification_Config'!$T$9-'Quantification_Config'!$S$9))*100),'Quantification_Config'!$U$2),""),"")</x:f>
      </x:c>
      <x:c r="R446" t="inlineStr">
        <x:is>
          <x:t xml:space="preserve"/>
        </x:is>
      </x:c>
      <x:c r="S446" t="inlineStr">
        <x:is>
          <x:t xml:space="preserve"/>
        </x:is>
      </x:c>
      <x:c r="T446" t="inlineStr">
        <x:is>
          <x:t xml:space="preserve"/>
        </x:is>
      </x:c>
      <x:c r="U446" t="inlineStr">
        <x:is>
          <x:t xml:space="preserve"/>
        </x:is>
      </x:c>
      <x:c r="V446" t="inlineStr">
        <x:is>
          <x:t xml:space="preserve">EMPTY</x:t>
        </x:is>
      </x:c>
      <x:c r="W446">
        <x:f>IF((COUNT('Quantification_Results'!Q446)=1),IFERROR(ROUND((SUM(('Quantification_Results'!Q446*'Quantification_Config'!$R$9))/SUM('Quantification_Config'!$R$9)),'Quantification_Config'!$U$2),""),"")</x:f>
      </x:c>
      <x:c r="X446">
        <x:f>IF((COUNT('Quantification_Results'!W446)=1),IFERROR(ROUND((SUM(('Quantification_Results'!W446*'Quantification_Config'!$R$8))/SUM('Quantification_Config'!$R$8)),'Quantification_Config'!$U$2),""),"")</x:f>
      </x:c>
      <x:c r="Y446" t="n">
        <x:v>0</x:v>
      </x:c>
      <x:c r="Z446"/>
      <x:c r="AA446"/>
      <x:c r="AB446">
        <x:f>IF(('Quantification_Results'!Y446&lt;&gt;1),"",IF(('Quantification_Results'!AA446=""),IF(ISNUMBER('Quantification_Results'!Z446),IF(('Quantification_Results'!Z446&lt;'Quantification_Config'!$S$12),"",IF(('Quantification_Results'!Z446&gt;'Quantification_Config'!$T$12),"",'Quantification_Results'!Z446)),""),IF(ISNUMBER('Quantification_Results'!AA446),IF(('Quantification_Results'!AA446&lt;'Quantification_Config'!$S$12),"",IF(('Quantification_Results'!AA446&gt;'Quantification_Config'!$T$12),"",'Quantification_Results'!AA446)),"")))</x:f>
      </x:c>
      <x:c r="AC446">
        <x:f>IF(ISNUMBER('Quantification_Results'!AB446),IFERROR(ROUND(((('Quantification_Results'!AB446-'Quantification_Config'!$S$12)/('Quantification_Config'!$T$12-'Quantification_Config'!$S$12))*100),'Quantification_Config'!$U$2),""),"")</x:f>
      </x:c>
      <x:c r="AD446" t="inlineStr">
        <x:is>
          <x:t xml:space="preserve"/>
        </x:is>
      </x:c>
      <x:c r="AE446" t="inlineStr">
        <x:is>
          <x:t xml:space="preserve"/>
        </x:is>
      </x:c>
      <x:c r="AF446" t="inlineStr">
        <x:is>
          <x:t xml:space="preserve"/>
        </x:is>
      </x:c>
      <x:c r="AG446" t="inlineStr">
        <x:is>
          <x:t xml:space="preserve"/>
        </x:is>
      </x:c>
      <x:c r="AH446" t="inlineStr">
        <x:is>
          <x:t xml:space="preserve">EMPTY</x:t>
        </x:is>
      </x:c>
      <x:c r="AI446">
        <x:f>IF((COUNT('Quantification_Results'!AC446)=1),IFERROR(ROUND((SUM(('Quantification_Results'!AC446*'Quantification_Config'!$R$12))/SUM('Quantification_Config'!$R$12)),'Quantification_Config'!$U$2),""),"")</x:f>
      </x:c>
      <x:c r="AJ446">
        <x:f>IF((COUNT('Quantification_Results'!AI446)=1),IFERROR(ROUND((SUM(('Quantification_Results'!AI446*'Quantification_Config'!$R$11))/SUM('Quantification_Config'!$R$11)),'Quantification_Config'!$U$2),""),"")</x:f>
      </x:c>
      <x:c r="AK446" t="n">
        <x:v>1</x:v>
      </x:c>
      <x:c r="AL446" t="n">
        <x:v>5</x:v>
      </x:c>
      <x:c r="AM446"/>
      <x:c r="AN446" t="n">
        <x:f>IF(('Quantification_Results'!AK446&lt;&gt;1),"",IF(('Quantification_Results'!AM446=""),IF(ISNUMBER('Quantification_Results'!AL446),IF(('Quantification_Results'!AL446&lt;'Quantification_Config'!$S$15),"",IF(('Quantification_Results'!AL446&gt;'Quantification_Config'!$T$15),"",'Quantification_Results'!AL446)),""),IF(ISNUMBER('Quantification_Results'!AM446),IF(('Quantification_Results'!AM446&lt;'Quantification_Config'!$S$15),"",IF(('Quantification_Results'!AM446&gt;'Quantification_Config'!$T$15),"",'Quantification_Results'!AM446)),"")))</x:f>
        <x:v>5</x:v>
      </x:c>
      <x:c r="AO446" t="n">
        <x:f>IF(ISNUMBER('Quantification_Results'!AN446),IFERROR(ROUND(((('Quantification_Results'!AN446-'Quantification_Config'!$S$15)/('Quantification_Config'!$T$15-'Quantification_Config'!$S$15))*100),'Quantification_Config'!$U$2),""),"")</x:f>
        <x:v>50</x:v>
      </x:c>
      <x:c r="AP446" t="inlineStr">
        <x:is>
          <x:t xml:space="preserve">SYSTEM-TEST-ONLY-NO-NETWORK-NOT-AN-EDUCATIONAL-EVALUATION</x:t>
        </x:is>
      </x:c>
      <x:c r="AQ446" t="inlineStr">
        <x:is>
          <x:t xml:space="preserve"/>
        </x:is>
      </x:c>
      <x:c r="AR446" t="inlineStr">
        <x:is>
          <x:t xml:space="preserve">NONE</x:t>
        </x:is>
      </x:c>
      <x:c r="AS446" t="inlineStr">
        <x:is>
          <x:t xml:space="preserve"/>
        </x:is>
      </x:c>
      <x:c r="AT446" t="inlineStr">
        <x:is>
          <x:t xml:space="preserve">SUCCESS</x:t>
        </x:is>
      </x:c>
      <x:c r="AU446" t="n">
        <x:f>IF((COUNT('Quantification_Results'!AO446)=1),IFERROR(ROUND((SUM(('Quantification_Results'!AO446*'Quantification_Config'!$R$15))/SUM('Quantification_Config'!$R$15)),'Quantification_Config'!$U$2),""),"")</x:f>
        <x:v>50</x:v>
      </x:c>
      <x:c r="AV446" t="n">
        <x:f>IF((COUNT('Quantification_Results'!AU446)=1),IFERROR(ROUND((SUM(('Quantification_Results'!AU446*'Quantification_Config'!$R$14))/SUM('Quantification_Config'!$R$14)),'Quantification_Config'!$U$2),""),"")</x:f>
        <x:v>50</x:v>
      </x:c>
      <x:c r="AW446" t="n">
        <x:v>0</x:v>
      </x:c>
      <x:c r="AX446"/>
      <x:c r="AY446"/>
      <x:c r="AZ446">
        <x:f>IF(('Quantification_Results'!AW446&lt;&gt;1),"",IF(('Quantification_Results'!AY446=""),IF(ISNUMBER('Quantification_Results'!AX446),IF(('Quantification_Results'!AX446&lt;'Quantification_Config'!$S$19),"",IF(('Quantification_Results'!AX446&gt;'Quantification_Config'!$T$19),"",'Quantification_Results'!AX446)),""),IF(ISNUMBER('Quantification_Results'!AY446),IF(('Quantification_Results'!AY446&lt;'Quantification_Config'!$S$19),"",IF(('Quantification_Results'!AY446&gt;'Quantification_Config'!$T$19),"",'Quantification_Results'!AY446)),"")))</x:f>
      </x:c>
      <x:c r="BA446">
        <x:f>IF(ISNUMBER('Quantification_Results'!AZ446),IFERROR(ROUND(((('Quantification_Results'!AZ446-'Quantification_Config'!$S$19)/('Quantification_Config'!$T$19-'Quantification_Config'!$S$19))*100),'Quantification_Config'!$U$2),""),"")</x:f>
      </x:c>
      <x:c r="BB446" t="inlineStr">
        <x:is>
          <x:t xml:space="preserve"/>
        </x:is>
      </x:c>
      <x:c r="BC446" t="inlineStr">
        <x:is>
          <x:t xml:space="preserve"/>
        </x:is>
      </x:c>
      <x:c r="BD446" t="inlineStr">
        <x:is>
          <x:t xml:space="preserve"/>
        </x:is>
      </x:c>
      <x:c r="BE446" t="inlineStr">
        <x:is>
          <x:t xml:space="preserve"/>
        </x:is>
      </x:c>
      <x:c r="BF446" t="inlineStr">
        <x:is>
          <x:t xml:space="preserve">EMPTY</x:t>
        </x:is>
      </x:c>
      <x:c r="BG446">
        <x:f>IF((COUNT('Quantification_Results'!BA446)=1),IFERROR(ROUND((SUM(('Quantification_Results'!BA446*'Quantification_Config'!$R$19))/SUM('Quantification_Config'!$R$19)),'Quantification_Config'!$U$2),""),"")</x:f>
      </x:c>
      <x:c r="BH446">
        <x:f>IF((COUNT('Quantification_Results'!BG446)=1),IFERROR(ROUND((SUM(('Quantification_Results'!BG446*'Quantification_Config'!$R$18))/SUM('Quantification_Config'!$R$18)),'Quantification_Config'!$U$2),""),"")</x:f>
      </x:c>
      <x:c r="BI446">
        <x:f>IF((COUNT('Quantification_Results'!L446,'Quantification_Results'!X446,'Quantification_Results'!AJ446,'Quantification_Results'!AV446,'Quantification_Results'!BH446)=5),IFERROR(ROUND((SUM(('Quantification_Results'!L446*'Quantification_Config'!$R$4),('Quantification_Results'!X446*'Quantification_Config'!$R$7),('Quantification_Results'!AJ446*'Quantification_Config'!$R$10),('Quantification_Results'!AV446*'Quantification_Config'!$R$13),('Quantification_Results'!BH446*'Quantification_Config'!$R$16))/SUM('Quantification_Config'!$R$4,'Quantification_Config'!$R$7,'Quantification_Config'!$R$10,'Quantification_Config'!$R$13,'Quantification_Config'!$R$16)),'Quantification_Config'!$U$2),""),"")</x:f>
      </x:c>
    </x:row>
    <x:row r="447">
      <x:c r="A447" t="n">
        <x:v>1</x:v>
      </x:c>
      <x:c r="B447" t="n">
        <x:v>5</x:v>
      </x:c>
      <x:c r="C447"/>
      <x:c r="D447" t="n">
        <x:f>IF(('Quantification_Results'!A447&lt;&gt;1),"",IF(('Quantification_Results'!C447=""),IF(ISNUMBER('Quantification_Results'!B447),IF(('Quantification_Results'!B447&lt;'Quantification_Config'!$S$6),"",IF(('Quantification_Results'!B447&gt;'Quantification_Config'!$T$6),"",'Quantification_Results'!B447)),""),IF(ISNUMBER('Quantification_Results'!C447),IF(('Quantification_Results'!C447&lt;'Quantification_Config'!$S$6),"",IF(('Quantification_Results'!C447&gt;'Quantification_Config'!$T$6),"",'Quantification_Results'!C447)),"")))</x:f>
        <x:v>5</x:v>
      </x:c>
      <x:c r="E447" t="n">
        <x:f>IF(ISNUMBER('Quantification_Results'!D447),IFERROR(ROUND(((('Quantification_Results'!D447-'Quantification_Config'!$S$6)/('Quantification_Config'!$T$6-'Quantification_Config'!$S$6))*100),'Quantification_Config'!$U$2),""),"")</x:f>
        <x:v>50</x:v>
      </x:c>
      <x:c r="F447" t="inlineStr">
        <x:is>
          <x:t xml:space="preserve">SYSTEM-TEST-ONLY-NO-NETWORK-NOT-AN-EDUCATIONAL-EVALUATION</x:t>
        </x:is>
      </x:c>
      <x:c r="G447" t="inlineStr">
        <x:is>
          <x:t xml:space="preserve"/>
        </x:is>
      </x:c>
      <x:c r="H447" t="inlineStr">
        <x:is>
          <x:t xml:space="preserve">NONE</x:t>
        </x:is>
      </x:c>
      <x:c r="I447" t="inlineStr">
        <x:is>
          <x:t xml:space="preserve"/>
        </x:is>
      </x:c>
      <x:c r="J447" t="inlineStr">
        <x:is>
          <x:t xml:space="preserve">SUCCESS</x:t>
        </x:is>
      </x:c>
      <x:c r="K447" t="n">
        <x:f>IF((COUNT('Quantification_Results'!E447)=1),IFERROR(ROUND((SUM(('Quantification_Results'!E447*'Quantification_Config'!$R$6))/SUM('Quantification_Config'!$R$6)),'Quantification_Config'!$U$2),""),"")</x:f>
        <x:v>50</x:v>
      </x:c>
      <x:c r="L447" t="n">
        <x:f>IF((COUNT('Quantification_Results'!K447)=1),IFERROR(ROUND((SUM(('Quantification_Results'!K447*'Quantification_Config'!$R$5))/SUM('Quantification_Config'!$R$5)),'Quantification_Config'!$U$2),""),"")</x:f>
        <x:v>50</x:v>
      </x:c>
      <x:c r="M447" t="n">
        <x:v>1</x:v>
      </x:c>
      <x:c r="N447" t="n">
        <x:v>5</x:v>
      </x:c>
      <x:c r="O447"/>
      <x:c r="P447" t="n">
        <x:f>IF(('Quantification_Results'!M447&lt;&gt;1),"",IF(('Quantification_Results'!O447=""),IF(ISNUMBER('Quantification_Results'!N447),IF(('Quantification_Results'!N447&lt;'Quantification_Config'!$S$9),"",IF(('Quantification_Results'!N447&gt;'Quantification_Config'!$T$9),"",'Quantification_Results'!N447)),""),IF(ISNUMBER('Quantification_Results'!O447),IF(('Quantification_Results'!O447&lt;'Quantification_Config'!$S$9),"",IF(('Quantification_Results'!O447&gt;'Quantification_Config'!$T$9),"",'Quantification_Results'!O447)),"")))</x:f>
        <x:v>5</x:v>
      </x:c>
      <x:c r="Q447" t="n">
        <x:f>IF(ISNUMBER('Quantification_Results'!P447),IFERROR(ROUND(((('Quantification_Results'!P447-'Quantification_Config'!$S$9)/('Quantification_Config'!$T$9-'Quantification_Config'!$S$9))*100),'Quantification_Config'!$U$2),""),"")</x:f>
        <x:v>50</x:v>
      </x:c>
      <x:c r="R447" t="inlineStr">
        <x:is>
          <x:t xml:space="preserve">SYSTEM-TEST-ONLY-NO-NETWORK-NOT-AN-EDUCATIONAL-EVALUATION</x:t>
        </x:is>
      </x:c>
      <x:c r="S447" t="inlineStr">
        <x:is>
          <x:t xml:space="preserve"/>
        </x:is>
      </x:c>
      <x:c r="T447" t="inlineStr">
        <x:is>
          <x:t xml:space="preserve">NONE</x:t>
        </x:is>
      </x:c>
      <x:c r="U447" t="inlineStr">
        <x:is>
          <x:t xml:space="preserve"/>
        </x:is>
      </x:c>
      <x:c r="V447" t="inlineStr">
        <x:is>
          <x:t xml:space="preserve">SUCCESS</x:t>
        </x:is>
      </x:c>
      <x:c r="W447" t="n">
        <x:f>IF((COUNT('Quantification_Results'!Q447)=1),IFERROR(ROUND((SUM(('Quantification_Results'!Q447*'Quantification_Config'!$R$9))/SUM('Quantification_Config'!$R$9)),'Quantification_Config'!$U$2),""),"")</x:f>
        <x:v>50</x:v>
      </x:c>
      <x:c r="X447" t="n">
        <x:f>IF((COUNT('Quantification_Results'!W447)=1),IFERROR(ROUND((SUM(('Quantification_Results'!W447*'Quantification_Config'!$R$8))/SUM('Quantification_Config'!$R$8)),'Quantification_Config'!$U$2),""),"")</x:f>
        <x:v>50</x:v>
      </x:c>
      <x:c r="Y447" t="n">
        <x:v>1</x:v>
      </x:c>
      <x:c r="Z447" t="n">
        <x:v>5</x:v>
      </x:c>
      <x:c r="AA447"/>
      <x:c r="AB447" t="n">
        <x:f>IF(('Quantification_Results'!Y447&lt;&gt;1),"",IF(('Quantification_Results'!AA447=""),IF(ISNUMBER('Quantification_Results'!Z447),IF(('Quantification_Results'!Z447&lt;'Quantification_Config'!$S$12),"",IF(('Quantification_Results'!Z447&gt;'Quantification_Config'!$T$12),"",'Quantification_Results'!Z447)),""),IF(ISNUMBER('Quantification_Results'!AA447),IF(('Quantification_Results'!AA447&lt;'Quantification_Config'!$S$12),"",IF(('Quantification_Results'!AA447&gt;'Quantification_Config'!$T$12),"",'Quantification_Results'!AA447)),"")))</x:f>
        <x:v>5</x:v>
      </x:c>
      <x:c r="AC447" t="n">
        <x:f>IF(ISNUMBER('Quantification_Results'!AB447),IFERROR(ROUND(((('Quantification_Results'!AB447-'Quantification_Config'!$S$12)/('Quantification_Config'!$T$12-'Quantification_Config'!$S$12))*100),'Quantification_Config'!$U$2),""),"")</x:f>
        <x:v>50</x:v>
      </x:c>
      <x:c r="AD447" t="inlineStr">
        <x:is>
          <x:t xml:space="preserve">SYSTEM-TEST-ONLY-NO-NETWORK-NOT-AN-EDUCATIONAL-EVALUATION</x:t>
        </x:is>
      </x:c>
      <x:c r="AE447" t="inlineStr">
        <x:is>
          <x:t xml:space="preserve"/>
        </x:is>
      </x:c>
      <x:c r="AF447" t="inlineStr">
        <x:is>
          <x:t xml:space="preserve">NONE</x:t>
        </x:is>
      </x:c>
      <x:c r="AG447" t="inlineStr">
        <x:is>
          <x:t xml:space="preserve"/>
        </x:is>
      </x:c>
      <x:c r="AH447" t="inlineStr">
        <x:is>
          <x:t xml:space="preserve">SUCCESS</x:t>
        </x:is>
      </x:c>
      <x:c r="AI447" t="n">
        <x:f>IF((COUNT('Quantification_Results'!AC447)=1),IFERROR(ROUND((SUM(('Quantification_Results'!AC447*'Quantification_Config'!$R$12))/SUM('Quantification_Config'!$R$12)),'Quantification_Config'!$U$2),""),"")</x:f>
        <x:v>50</x:v>
      </x:c>
      <x:c r="AJ447" t="n">
        <x:f>IF((COUNT('Quantification_Results'!AI447)=1),IFERROR(ROUND((SUM(('Quantification_Results'!AI447*'Quantification_Config'!$R$11))/SUM('Quantification_Config'!$R$11)),'Quantification_Config'!$U$2),""),"")</x:f>
        <x:v>50</x:v>
      </x:c>
      <x:c r="AK447" t="n">
        <x:v>1</x:v>
      </x:c>
      <x:c r="AL447" t="n">
        <x:v>5</x:v>
      </x:c>
      <x:c r="AM447"/>
      <x:c r="AN447" t="n">
        <x:f>IF(('Quantification_Results'!AK447&lt;&gt;1),"",IF(('Quantification_Results'!AM447=""),IF(ISNUMBER('Quantification_Results'!AL447),IF(('Quantification_Results'!AL447&lt;'Quantification_Config'!$S$15),"",IF(('Quantification_Results'!AL447&gt;'Quantification_Config'!$T$15),"",'Quantification_Results'!AL447)),""),IF(ISNUMBER('Quantification_Results'!AM447),IF(('Quantification_Results'!AM447&lt;'Quantification_Config'!$S$15),"",IF(('Quantification_Results'!AM447&gt;'Quantification_Config'!$T$15),"",'Quantification_Results'!AM447)),"")))</x:f>
        <x:v>5</x:v>
      </x:c>
      <x:c r="AO447" t="n">
        <x:f>IF(ISNUMBER('Quantification_Results'!AN447),IFERROR(ROUND(((('Quantification_Results'!AN447-'Quantification_Config'!$S$15)/('Quantification_Config'!$T$15-'Quantification_Config'!$S$15))*100),'Quantification_Config'!$U$2),""),"")</x:f>
        <x:v>50</x:v>
      </x:c>
      <x:c r="AP447" t="inlineStr">
        <x:is>
          <x:t xml:space="preserve">SYSTEM-TEST-ONLY-NO-NETWORK-NOT-AN-EDUCATIONAL-EVALUATION</x:t>
        </x:is>
      </x:c>
      <x:c r="AQ447" t="inlineStr">
        <x:is>
          <x:t xml:space="preserve"/>
        </x:is>
      </x:c>
      <x:c r="AR447" t="inlineStr">
        <x:is>
          <x:t xml:space="preserve">NONE</x:t>
        </x:is>
      </x:c>
      <x:c r="AS447" t="inlineStr">
        <x:is>
          <x:t xml:space="preserve"/>
        </x:is>
      </x:c>
      <x:c r="AT447" t="inlineStr">
        <x:is>
          <x:t xml:space="preserve">SUCCESS</x:t>
        </x:is>
      </x:c>
      <x:c r="AU447" t="n">
        <x:f>IF((COUNT('Quantification_Results'!AO447)=1),IFERROR(ROUND((SUM(('Quantification_Results'!AO447*'Quantification_Config'!$R$15))/SUM('Quantification_Config'!$R$15)),'Quantification_Config'!$U$2),""),"")</x:f>
        <x:v>50</x:v>
      </x:c>
      <x:c r="AV447" t="n">
        <x:f>IF((COUNT('Quantification_Results'!AU447)=1),IFERROR(ROUND((SUM(('Quantification_Results'!AU447*'Quantification_Config'!$R$14))/SUM('Quantification_Config'!$R$14)),'Quantification_Config'!$U$2),""),"")</x:f>
        <x:v>50</x:v>
      </x:c>
      <x:c r="AW447" t="n">
        <x:v>1</x:v>
      </x:c>
      <x:c r="AX447" t="n">
        <x:v>5</x:v>
      </x:c>
      <x:c r="AY447"/>
      <x:c r="AZ447" t="n">
        <x:f>IF(('Quantification_Results'!AW447&lt;&gt;1),"",IF(('Quantification_Results'!AY447=""),IF(ISNUMBER('Quantification_Results'!AX447),IF(('Quantification_Results'!AX447&lt;'Quantification_Config'!$S$19),"",IF(('Quantification_Results'!AX447&gt;'Quantification_Config'!$T$19),"",'Quantification_Results'!AX447)),""),IF(ISNUMBER('Quantification_Results'!AY447),IF(('Quantification_Results'!AY447&lt;'Quantification_Config'!$S$19),"",IF(('Quantification_Results'!AY447&gt;'Quantification_Config'!$T$19),"",'Quantification_Results'!AY447)),"")))</x:f>
        <x:v>5</x:v>
      </x:c>
      <x:c r="BA447" t="n">
        <x:f>IF(ISNUMBER('Quantification_Results'!AZ447),IFERROR(ROUND(((('Quantification_Results'!AZ447-'Quantification_Config'!$S$19)/('Quantification_Config'!$T$19-'Quantification_Config'!$S$19))*100),'Quantification_Config'!$U$2),""),"")</x:f>
        <x:v>50</x:v>
      </x:c>
      <x:c r="BB447" t="inlineStr">
        <x:is>
          <x:t xml:space="preserve">SYSTEM-TEST-ONLY-NO-NETWORK-NOT-AN-EDUCATIONAL-EVALUATION</x:t>
        </x:is>
      </x:c>
      <x:c r="BC447" t="inlineStr">
        <x:is>
          <x:t xml:space="preserve"/>
        </x:is>
      </x:c>
      <x:c r="BD447" t="inlineStr">
        <x:is>
          <x:t xml:space="preserve">NONE</x:t>
        </x:is>
      </x:c>
      <x:c r="BE447" t="inlineStr">
        <x:is>
          <x:t xml:space="preserve"/>
        </x:is>
      </x:c>
      <x:c r="BF447" t="inlineStr">
        <x:is>
          <x:t xml:space="preserve">SUCCESS</x:t>
        </x:is>
      </x:c>
      <x:c r="BG447" t="n">
        <x:f>IF((COUNT('Quantification_Results'!BA447)=1),IFERROR(ROUND((SUM(('Quantification_Results'!BA447*'Quantification_Config'!$R$19))/SUM('Quantification_Config'!$R$19)),'Quantification_Config'!$U$2),""),"")</x:f>
        <x:v>50</x:v>
      </x:c>
      <x:c r="BH447" t="n">
        <x:f>IF((COUNT('Quantification_Results'!BG447)=1),IFERROR(ROUND((SUM(('Quantification_Results'!BG447*'Quantification_Config'!$R$18))/SUM('Quantification_Config'!$R$18)),'Quantification_Config'!$U$2),""),"")</x:f>
        <x:v>50</x:v>
      </x:c>
      <x:c r="BI447" t="n">
        <x:f>IF((COUNT('Quantification_Results'!L447,'Quantification_Results'!X447,'Quantification_Results'!AJ447,'Quantification_Results'!AV447,'Quantification_Results'!BH447)=5),IFERROR(ROUND((SUM(('Quantification_Results'!L447*'Quantification_Config'!$R$4),('Quantification_Results'!X447*'Quantification_Config'!$R$7),('Quantification_Results'!AJ447*'Quantification_Config'!$R$10),('Quantification_Results'!AV447*'Quantification_Config'!$R$13),('Quantification_Results'!BH447*'Quantification_Config'!$R$16))/SUM('Quantification_Config'!$R$4,'Quantification_Config'!$R$7,'Quantification_Config'!$R$10,'Quantification_Config'!$R$13,'Quantification_Config'!$R$16)),'Quantification_Config'!$U$2),""),"")</x:f>
        <x:v>50</x:v>
      </x:c>
    </x:row>
    <x:row r="448">
      <x:c r="A448" t="n">
        <x:v>1</x:v>
      </x:c>
      <x:c r="B448" t="n">
        <x:v>5</x:v>
      </x:c>
      <x:c r="C448"/>
      <x:c r="D448" t="n">
        <x:f>IF(('Quantification_Results'!A448&lt;&gt;1),"",IF(('Quantification_Results'!C448=""),IF(ISNUMBER('Quantification_Results'!B448),IF(('Quantification_Results'!B448&lt;'Quantification_Config'!$S$6),"",IF(('Quantification_Results'!B448&gt;'Quantification_Config'!$T$6),"",'Quantification_Results'!B448)),""),IF(ISNUMBER('Quantification_Results'!C448),IF(('Quantification_Results'!C448&lt;'Quantification_Config'!$S$6),"",IF(('Quantification_Results'!C448&gt;'Quantification_Config'!$T$6),"",'Quantification_Results'!C448)),"")))</x:f>
        <x:v>5</x:v>
      </x:c>
      <x:c r="E448" t="n">
        <x:f>IF(ISNUMBER('Quantification_Results'!D448),IFERROR(ROUND(((('Quantification_Results'!D448-'Quantification_Config'!$S$6)/('Quantification_Config'!$T$6-'Quantification_Config'!$S$6))*100),'Quantification_Config'!$U$2),""),"")</x:f>
        <x:v>50</x:v>
      </x:c>
      <x:c r="F448" t="inlineStr">
        <x:is>
          <x:t xml:space="preserve">SYSTEM-TEST-ONLY-NO-NETWORK-NOT-AN-EDUCATIONAL-EVALUATION</x:t>
        </x:is>
      </x:c>
      <x:c r="G448" t="inlineStr">
        <x:is>
          <x:t xml:space="preserve"/>
        </x:is>
      </x:c>
      <x:c r="H448" t="inlineStr">
        <x:is>
          <x:t xml:space="preserve">NONE</x:t>
        </x:is>
      </x:c>
      <x:c r="I448" t="inlineStr">
        <x:is>
          <x:t xml:space="preserve"/>
        </x:is>
      </x:c>
      <x:c r="J448" t="inlineStr">
        <x:is>
          <x:t xml:space="preserve">SUCCESS</x:t>
        </x:is>
      </x:c>
      <x:c r="K448" t="n">
        <x:f>IF((COUNT('Quantification_Results'!E448)=1),IFERROR(ROUND((SUM(('Quantification_Results'!E448*'Quantification_Config'!$R$6))/SUM('Quantification_Config'!$R$6)),'Quantification_Config'!$U$2),""),"")</x:f>
        <x:v>50</x:v>
      </x:c>
      <x:c r="L448" t="n">
        <x:f>IF((COUNT('Quantification_Results'!K448)=1),IFERROR(ROUND((SUM(('Quantification_Results'!K448*'Quantification_Config'!$R$5))/SUM('Quantification_Config'!$R$5)),'Quantification_Config'!$U$2),""),"")</x:f>
        <x:v>50</x:v>
      </x:c>
      <x:c r="M448" t="n">
        <x:v>1</x:v>
      </x:c>
      <x:c r="N448" t="n">
        <x:v>5</x:v>
      </x:c>
      <x:c r="O448"/>
      <x:c r="P448" t="n">
        <x:f>IF(('Quantification_Results'!M448&lt;&gt;1),"",IF(('Quantification_Results'!O448=""),IF(ISNUMBER('Quantification_Results'!N448),IF(('Quantification_Results'!N448&lt;'Quantification_Config'!$S$9),"",IF(('Quantification_Results'!N448&gt;'Quantification_Config'!$T$9),"",'Quantification_Results'!N448)),""),IF(ISNUMBER('Quantification_Results'!O448),IF(('Quantification_Results'!O448&lt;'Quantification_Config'!$S$9),"",IF(('Quantification_Results'!O448&gt;'Quantification_Config'!$T$9),"",'Quantification_Results'!O448)),"")))</x:f>
        <x:v>5</x:v>
      </x:c>
      <x:c r="Q448" t="n">
        <x:f>IF(ISNUMBER('Quantification_Results'!P448),IFERROR(ROUND(((('Quantification_Results'!P448-'Quantification_Config'!$S$9)/('Quantification_Config'!$T$9-'Quantification_Config'!$S$9))*100),'Quantification_Config'!$U$2),""),"")</x:f>
        <x:v>50</x:v>
      </x:c>
      <x:c r="R448" t="inlineStr">
        <x:is>
          <x:t xml:space="preserve">SYSTEM-TEST-ONLY-NO-NETWORK-NOT-AN-EDUCATIONAL-EVALUATION</x:t>
        </x:is>
      </x:c>
      <x:c r="S448" t="inlineStr">
        <x:is>
          <x:t xml:space="preserve"/>
        </x:is>
      </x:c>
      <x:c r="T448" t="inlineStr">
        <x:is>
          <x:t xml:space="preserve">NONE</x:t>
        </x:is>
      </x:c>
      <x:c r="U448" t="inlineStr">
        <x:is>
          <x:t xml:space="preserve"/>
        </x:is>
      </x:c>
      <x:c r="V448" t="inlineStr">
        <x:is>
          <x:t xml:space="preserve">SUCCESS</x:t>
        </x:is>
      </x:c>
      <x:c r="W448" t="n">
        <x:f>IF((COUNT('Quantification_Results'!Q448)=1),IFERROR(ROUND((SUM(('Quantification_Results'!Q448*'Quantification_Config'!$R$9))/SUM('Quantification_Config'!$R$9)),'Quantification_Config'!$U$2),""),"")</x:f>
        <x:v>50</x:v>
      </x:c>
      <x:c r="X448" t="n">
        <x:f>IF((COUNT('Quantification_Results'!W448)=1),IFERROR(ROUND((SUM(('Quantification_Results'!W448*'Quantification_Config'!$R$8))/SUM('Quantification_Config'!$R$8)),'Quantification_Config'!$U$2),""),"")</x:f>
        <x:v>50</x:v>
      </x:c>
      <x:c r="Y448" t="n">
        <x:v>0</x:v>
      </x:c>
      <x:c r="Z448"/>
      <x:c r="AA448"/>
      <x:c r="AB448">
        <x:f>IF(('Quantification_Results'!Y448&lt;&gt;1),"",IF(('Quantification_Results'!AA448=""),IF(ISNUMBER('Quantification_Results'!Z448),IF(('Quantification_Results'!Z448&lt;'Quantification_Config'!$S$12),"",IF(('Quantification_Results'!Z448&gt;'Quantification_Config'!$T$12),"",'Quantification_Results'!Z448)),""),IF(ISNUMBER('Quantification_Results'!AA448),IF(('Quantification_Results'!AA448&lt;'Quantification_Config'!$S$12),"",IF(('Quantification_Results'!AA448&gt;'Quantification_Config'!$T$12),"",'Quantification_Results'!AA448)),"")))</x:f>
      </x:c>
      <x:c r="AC448">
        <x:f>IF(ISNUMBER('Quantification_Results'!AB448),IFERROR(ROUND(((('Quantification_Results'!AB448-'Quantification_Config'!$S$12)/('Quantification_Config'!$T$12-'Quantification_Config'!$S$12))*100),'Quantification_Config'!$U$2),""),"")</x:f>
      </x:c>
      <x:c r="AD448" t="inlineStr">
        <x:is>
          <x:t xml:space="preserve"/>
        </x:is>
      </x:c>
      <x:c r="AE448" t="inlineStr">
        <x:is>
          <x:t xml:space="preserve"/>
        </x:is>
      </x:c>
      <x:c r="AF448" t="inlineStr">
        <x:is>
          <x:t xml:space="preserve"/>
        </x:is>
      </x:c>
      <x:c r="AG448" t="inlineStr">
        <x:is>
          <x:t xml:space="preserve"/>
        </x:is>
      </x:c>
      <x:c r="AH448" t="inlineStr">
        <x:is>
          <x:t xml:space="preserve">EMPTY</x:t>
        </x:is>
      </x:c>
      <x:c r="AI448">
        <x:f>IF((COUNT('Quantification_Results'!AC448)=1),IFERROR(ROUND((SUM(('Quantification_Results'!AC448*'Quantification_Config'!$R$12))/SUM('Quantification_Config'!$R$12)),'Quantification_Config'!$U$2),""),"")</x:f>
      </x:c>
      <x:c r="AJ448">
        <x:f>IF((COUNT('Quantification_Results'!AI448)=1),IFERROR(ROUND((SUM(('Quantification_Results'!AI448*'Quantification_Config'!$R$11))/SUM('Quantification_Config'!$R$11)),'Quantification_Config'!$U$2),""),"")</x:f>
      </x:c>
      <x:c r="AK448" t="n">
        <x:v>1</x:v>
      </x:c>
      <x:c r="AL448" t="n">
        <x:v>5</x:v>
      </x:c>
      <x:c r="AM448"/>
      <x:c r="AN448" t="n">
        <x:f>IF(('Quantification_Results'!AK448&lt;&gt;1),"",IF(('Quantification_Results'!AM448=""),IF(ISNUMBER('Quantification_Results'!AL448),IF(('Quantification_Results'!AL448&lt;'Quantification_Config'!$S$15),"",IF(('Quantification_Results'!AL448&gt;'Quantification_Config'!$T$15),"",'Quantification_Results'!AL448)),""),IF(ISNUMBER('Quantification_Results'!AM448),IF(('Quantification_Results'!AM448&lt;'Quantification_Config'!$S$15),"",IF(('Quantification_Results'!AM448&gt;'Quantification_Config'!$T$15),"",'Quantification_Results'!AM448)),"")))</x:f>
        <x:v>5</x:v>
      </x:c>
      <x:c r="AO448" t="n">
        <x:f>IF(ISNUMBER('Quantification_Results'!AN448),IFERROR(ROUND(((('Quantification_Results'!AN448-'Quantification_Config'!$S$15)/('Quantification_Config'!$T$15-'Quantification_Config'!$S$15))*100),'Quantification_Config'!$U$2),""),"")</x:f>
        <x:v>50</x:v>
      </x:c>
      <x:c r="AP448" t="inlineStr">
        <x:is>
          <x:t xml:space="preserve">SYSTEM-TEST-ONLY-NO-NETWORK-NOT-AN-EDUCATIONAL-EVALUATION</x:t>
        </x:is>
      </x:c>
      <x:c r="AQ448" t="inlineStr">
        <x:is>
          <x:t xml:space="preserve"/>
        </x:is>
      </x:c>
      <x:c r="AR448" t="inlineStr">
        <x:is>
          <x:t xml:space="preserve">NONE</x:t>
        </x:is>
      </x:c>
      <x:c r="AS448" t="inlineStr">
        <x:is>
          <x:t xml:space="preserve"/>
        </x:is>
      </x:c>
      <x:c r="AT448" t="inlineStr">
        <x:is>
          <x:t xml:space="preserve">SUCCESS</x:t>
        </x:is>
      </x:c>
      <x:c r="AU448" t="n">
        <x:f>IF((COUNT('Quantification_Results'!AO448)=1),IFERROR(ROUND((SUM(('Quantification_Results'!AO448*'Quantification_Config'!$R$15))/SUM('Quantification_Config'!$R$15)),'Quantification_Config'!$U$2),""),"")</x:f>
        <x:v>50</x:v>
      </x:c>
      <x:c r="AV448" t="n">
        <x:f>IF((COUNT('Quantification_Results'!AU448)=1),IFERROR(ROUND((SUM(('Quantification_Results'!AU448*'Quantification_Config'!$R$14))/SUM('Quantification_Config'!$R$14)),'Quantification_Config'!$U$2),""),"")</x:f>
        <x:v>50</x:v>
      </x:c>
      <x:c r="AW448" t="n">
        <x:v>1</x:v>
      </x:c>
      <x:c r="AX448" t="n">
        <x:v>5</x:v>
      </x:c>
      <x:c r="AY448"/>
      <x:c r="AZ448" t="n">
        <x:f>IF(('Quantification_Results'!AW448&lt;&gt;1),"",IF(('Quantification_Results'!AY448=""),IF(ISNUMBER('Quantification_Results'!AX448),IF(('Quantification_Results'!AX448&lt;'Quantification_Config'!$S$19),"",IF(('Quantification_Results'!AX448&gt;'Quantification_Config'!$T$19),"",'Quantification_Results'!AX448)),""),IF(ISNUMBER('Quantification_Results'!AY448),IF(('Quantification_Results'!AY448&lt;'Quantification_Config'!$S$19),"",IF(('Quantification_Results'!AY448&gt;'Quantification_Config'!$T$19),"",'Quantification_Results'!AY448)),"")))</x:f>
        <x:v>5</x:v>
      </x:c>
      <x:c r="BA448" t="n">
        <x:f>IF(ISNUMBER('Quantification_Results'!AZ448),IFERROR(ROUND(((('Quantification_Results'!AZ448-'Quantification_Config'!$S$19)/('Quantification_Config'!$T$19-'Quantification_Config'!$S$19))*100),'Quantification_Config'!$U$2),""),"")</x:f>
        <x:v>50</x:v>
      </x:c>
      <x:c r="BB448" t="inlineStr">
        <x:is>
          <x:t xml:space="preserve">SYSTEM-TEST-ONLY-NO-NETWORK-NOT-AN-EDUCATIONAL-EVALUATION</x:t>
        </x:is>
      </x:c>
      <x:c r="BC448" t="inlineStr">
        <x:is>
          <x:t xml:space="preserve"/>
        </x:is>
      </x:c>
      <x:c r="BD448" t="inlineStr">
        <x:is>
          <x:t xml:space="preserve">NONE</x:t>
        </x:is>
      </x:c>
      <x:c r="BE448" t="inlineStr">
        <x:is>
          <x:t xml:space="preserve"/>
        </x:is>
      </x:c>
      <x:c r="BF448" t="inlineStr">
        <x:is>
          <x:t xml:space="preserve">SUCCESS</x:t>
        </x:is>
      </x:c>
      <x:c r="BG448" t="n">
        <x:f>IF((COUNT('Quantification_Results'!BA448)=1),IFERROR(ROUND((SUM(('Quantification_Results'!BA448*'Quantification_Config'!$R$19))/SUM('Quantification_Config'!$R$19)),'Quantification_Config'!$U$2),""),"")</x:f>
        <x:v>50</x:v>
      </x:c>
      <x:c r="BH448" t="n">
        <x:f>IF((COUNT('Quantification_Results'!BG448)=1),IFERROR(ROUND((SUM(('Quantification_Results'!BG448*'Quantification_Config'!$R$18))/SUM('Quantification_Config'!$R$18)),'Quantification_Config'!$U$2),""),"")</x:f>
        <x:v>50</x:v>
      </x:c>
      <x:c r="BI448">
        <x:f>IF((COUNT('Quantification_Results'!L448,'Quantification_Results'!X448,'Quantification_Results'!AJ448,'Quantification_Results'!AV448,'Quantification_Results'!BH448)=5),IFERROR(ROUND((SUM(('Quantification_Results'!L448*'Quantification_Config'!$R$4),('Quantification_Results'!X448*'Quantification_Config'!$R$7),('Quantification_Results'!AJ448*'Quantification_Config'!$R$10),('Quantification_Results'!AV448*'Quantification_Config'!$R$13),('Quantification_Results'!BH448*'Quantification_Config'!$R$16))/SUM('Quantification_Config'!$R$4,'Quantification_Config'!$R$7,'Quantification_Config'!$R$10,'Quantification_Config'!$R$13,'Quantification_Config'!$R$16)),'Quantification_Config'!$U$2),""),"")</x:f>
      </x:c>
    </x:row>
    <x:row r="449">
      <x:c r="A449" t="n">
        <x:v>1</x:v>
      </x:c>
      <x:c r="B449" t="n">
        <x:v>5</x:v>
      </x:c>
      <x:c r="C449"/>
      <x:c r="D449" t="n">
        <x:f>IF(('Quantification_Results'!A449&lt;&gt;1),"",IF(('Quantification_Results'!C449=""),IF(ISNUMBER('Quantification_Results'!B449),IF(('Quantification_Results'!B449&lt;'Quantification_Config'!$S$6),"",IF(('Quantification_Results'!B449&gt;'Quantification_Config'!$T$6),"",'Quantification_Results'!B449)),""),IF(ISNUMBER('Quantification_Results'!C449),IF(('Quantification_Results'!C449&lt;'Quantification_Config'!$S$6),"",IF(('Quantification_Results'!C449&gt;'Quantification_Config'!$T$6),"",'Quantification_Results'!C449)),"")))</x:f>
        <x:v>5</x:v>
      </x:c>
      <x:c r="E449" t="n">
        <x:f>IF(ISNUMBER('Quantification_Results'!D449),IFERROR(ROUND(((('Quantification_Results'!D449-'Quantification_Config'!$S$6)/('Quantification_Config'!$T$6-'Quantification_Config'!$S$6))*100),'Quantification_Config'!$U$2),""),"")</x:f>
        <x:v>50</x:v>
      </x:c>
      <x:c r="F449" t="inlineStr">
        <x:is>
          <x:t xml:space="preserve">SYSTEM-TEST-ONLY-NO-NETWORK-NOT-AN-EDUCATIONAL-EVALUATION</x:t>
        </x:is>
      </x:c>
      <x:c r="G449" t="inlineStr">
        <x:is>
          <x:t xml:space="preserve"/>
        </x:is>
      </x:c>
      <x:c r="H449" t="inlineStr">
        <x:is>
          <x:t xml:space="preserve">NONE</x:t>
        </x:is>
      </x:c>
      <x:c r="I449" t="inlineStr">
        <x:is>
          <x:t xml:space="preserve"/>
        </x:is>
      </x:c>
      <x:c r="J449" t="inlineStr">
        <x:is>
          <x:t xml:space="preserve">SUCCESS</x:t>
        </x:is>
      </x:c>
      <x:c r="K449" t="n">
        <x:f>IF((COUNT('Quantification_Results'!E449)=1),IFERROR(ROUND((SUM(('Quantification_Results'!E449*'Quantification_Config'!$R$6))/SUM('Quantification_Config'!$R$6)),'Quantification_Config'!$U$2),""),"")</x:f>
        <x:v>50</x:v>
      </x:c>
      <x:c r="L449" t="n">
        <x:f>IF((COUNT('Quantification_Results'!K449)=1),IFERROR(ROUND((SUM(('Quantification_Results'!K449*'Quantification_Config'!$R$5))/SUM('Quantification_Config'!$R$5)),'Quantification_Config'!$U$2),""),"")</x:f>
        <x:v>50</x:v>
      </x:c>
      <x:c r="M449" t="n">
        <x:v>1</x:v>
      </x:c>
      <x:c r="N449" t="n">
        <x:v>5</x:v>
      </x:c>
      <x:c r="O449"/>
      <x:c r="P449" t="n">
        <x:f>IF(('Quantification_Results'!M449&lt;&gt;1),"",IF(('Quantification_Results'!O449=""),IF(ISNUMBER('Quantification_Results'!N449),IF(('Quantification_Results'!N449&lt;'Quantification_Config'!$S$9),"",IF(('Quantification_Results'!N449&gt;'Quantification_Config'!$T$9),"",'Quantification_Results'!N449)),""),IF(ISNUMBER('Quantification_Results'!O449),IF(('Quantification_Results'!O449&lt;'Quantification_Config'!$S$9),"",IF(('Quantification_Results'!O449&gt;'Quantification_Config'!$T$9),"",'Quantification_Results'!O449)),"")))</x:f>
        <x:v>5</x:v>
      </x:c>
      <x:c r="Q449" t="n">
        <x:f>IF(ISNUMBER('Quantification_Results'!P449),IFERROR(ROUND(((('Quantification_Results'!P449-'Quantification_Config'!$S$9)/('Quantification_Config'!$T$9-'Quantification_Config'!$S$9))*100),'Quantification_Config'!$U$2),""),"")</x:f>
        <x:v>50</x:v>
      </x:c>
      <x:c r="R449" t="inlineStr">
        <x:is>
          <x:t xml:space="preserve">SYSTEM-TEST-ONLY-NO-NETWORK-NOT-AN-EDUCATIONAL-EVALUATION</x:t>
        </x:is>
      </x:c>
      <x:c r="S449" t="inlineStr">
        <x:is>
          <x:t xml:space="preserve"/>
        </x:is>
      </x:c>
      <x:c r="T449" t="inlineStr">
        <x:is>
          <x:t xml:space="preserve">NONE</x:t>
        </x:is>
      </x:c>
      <x:c r="U449" t="inlineStr">
        <x:is>
          <x:t xml:space="preserve"/>
        </x:is>
      </x:c>
      <x:c r="V449" t="inlineStr">
        <x:is>
          <x:t xml:space="preserve">SUCCESS</x:t>
        </x:is>
      </x:c>
      <x:c r="W449" t="n">
        <x:f>IF((COUNT('Quantification_Results'!Q449)=1),IFERROR(ROUND((SUM(('Quantification_Results'!Q449*'Quantification_Config'!$R$9))/SUM('Quantification_Config'!$R$9)),'Quantification_Config'!$U$2),""),"")</x:f>
        <x:v>50</x:v>
      </x:c>
      <x:c r="X449" t="n">
        <x:f>IF((COUNT('Quantification_Results'!W449)=1),IFERROR(ROUND((SUM(('Quantification_Results'!W449*'Quantification_Config'!$R$8))/SUM('Quantification_Config'!$R$8)),'Quantification_Config'!$U$2),""),"")</x:f>
        <x:v>50</x:v>
      </x:c>
      <x:c r="Y449" t="n">
        <x:v>0</x:v>
      </x:c>
      <x:c r="Z449"/>
      <x:c r="AA449"/>
      <x:c r="AB449">
        <x:f>IF(('Quantification_Results'!Y449&lt;&gt;1),"",IF(('Quantification_Results'!AA449=""),IF(ISNUMBER('Quantification_Results'!Z449),IF(('Quantification_Results'!Z449&lt;'Quantification_Config'!$S$12),"",IF(('Quantification_Results'!Z449&gt;'Quantification_Config'!$T$12),"",'Quantification_Results'!Z449)),""),IF(ISNUMBER('Quantification_Results'!AA449),IF(('Quantification_Results'!AA449&lt;'Quantification_Config'!$S$12),"",IF(('Quantification_Results'!AA449&gt;'Quantification_Config'!$T$12),"",'Quantification_Results'!AA449)),"")))</x:f>
      </x:c>
      <x:c r="AC449">
        <x:f>IF(ISNUMBER('Quantification_Results'!AB449),IFERROR(ROUND(((('Quantification_Results'!AB449-'Quantification_Config'!$S$12)/('Quantification_Config'!$T$12-'Quantification_Config'!$S$12))*100),'Quantification_Config'!$U$2),""),"")</x:f>
      </x:c>
      <x:c r="AD449" t="inlineStr">
        <x:is>
          <x:t xml:space="preserve"/>
        </x:is>
      </x:c>
      <x:c r="AE449" t="inlineStr">
        <x:is>
          <x:t xml:space="preserve"/>
        </x:is>
      </x:c>
      <x:c r="AF449" t="inlineStr">
        <x:is>
          <x:t xml:space="preserve"/>
        </x:is>
      </x:c>
      <x:c r="AG449" t="inlineStr">
        <x:is>
          <x:t xml:space="preserve"/>
        </x:is>
      </x:c>
      <x:c r="AH449" t="inlineStr">
        <x:is>
          <x:t xml:space="preserve">EMPTY</x:t>
        </x:is>
      </x:c>
      <x:c r="AI449">
        <x:f>IF((COUNT('Quantification_Results'!AC449)=1),IFERROR(ROUND((SUM(('Quantification_Results'!AC449*'Quantification_Config'!$R$12))/SUM('Quantification_Config'!$R$12)),'Quantification_Config'!$U$2),""),"")</x:f>
      </x:c>
      <x:c r="AJ449">
        <x:f>IF((COUNT('Quantification_Results'!AI449)=1),IFERROR(ROUND((SUM(('Quantification_Results'!AI449*'Quantification_Config'!$R$11))/SUM('Quantification_Config'!$R$11)),'Quantification_Config'!$U$2),""),"")</x:f>
      </x:c>
      <x:c r="AK449" t="n">
        <x:v>1</x:v>
      </x:c>
      <x:c r="AL449" t="n">
        <x:v>5</x:v>
      </x:c>
      <x:c r="AM449"/>
      <x:c r="AN449" t="n">
        <x:f>IF(('Quantification_Results'!AK449&lt;&gt;1),"",IF(('Quantification_Results'!AM449=""),IF(ISNUMBER('Quantification_Results'!AL449),IF(('Quantification_Results'!AL449&lt;'Quantification_Config'!$S$15),"",IF(('Quantification_Results'!AL449&gt;'Quantification_Config'!$T$15),"",'Quantification_Results'!AL449)),""),IF(ISNUMBER('Quantification_Results'!AM449),IF(('Quantification_Results'!AM449&lt;'Quantification_Config'!$S$15),"",IF(('Quantification_Results'!AM449&gt;'Quantification_Config'!$T$15),"",'Quantification_Results'!AM449)),"")))</x:f>
        <x:v>5</x:v>
      </x:c>
      <x:c r="AO449" t="n">
        <x:f>IF(ISNUMBER('Quantification_Results'!AN449),IFERROR(ROUND(((('Quantification_Results'!AN449-'Quantification_Config'!$S$15)/('Quantification_Config'!$T$15-'Quantification_Config'!$S$15))*100),'Quantification_Config'!$U$2),""),"")</x:f>
        <x:v>50</x:v>
      </x:c>
      <x:c r="AP449" t="inlineStr">
        <x:is>
          <x:t xml:space="preserve">SYSTEM-TEST-ONLY-NO-NETWORK-NOT-AN-EDUCATIONAL-EVALUATION</x:t>
        </x:is>
      </x:c>
      <x:c r="AQ449" t="inlineStr">
        <x:is>
          <x:t xml:space="preserve"/>
        </x:is>
      </x:c>
      <x:c r="AR449" t="inlineStr">
        <x:is>
          <x:t xml:space="preserve">NONE</x:t>
        </x:is>
      </x:c>
      <x:c r="AS449" t="inlineStr">
        <x:is>
          <x:t xml:space="preserve"/>
        </x:is>
      </x:c>
      <x:c r="AT449" t="inlineStr">
        <x:is>
          <x:t xml:space="preserve">SUCCESS</x:t>
        </x:is>
      </x:c>
      <x:c r="AU449" t="n">
        <x:f>IF((COUNT('Quantification_Results'!AO449)=1),IFERROR(ROUND((SUM(('Quantification_Results'!AO449*'Quantification_Config'!$R$15))/SUM('Quantification_Config'!$R$15)),'Quantification_Config'!$U$2),""),"")</x:f>
        <x:v>50</x:v>
      </x:c>
      <x:c r="AV449" t="n">
        <x:f>IF((COUNT('Quantification_Results'!AU449)=1),IFERROR(ROUND((SUM(('Quantification_Results'!AU449*'Quantification_Config'!$R$14))/SUM('Quantification_Config'!$R$14)),'Quantification_Config'!$U$2),""),"")</x:f>
        <x:v>50</x:v>
      </x:c>
      <x:c r="AW449" t="n">
        <x:v>1</x:v>
      </x:c>
      <x:c r="AX449" t="n">
        <x:v>5</x:v>
      </x:c>
      <x:c r="AY449"/>
      <x:c r="AZ449" t="n">
        <x:f>IF(('Quantification_Results'!AW449&lt;&gt;1),"",IF(('Quantification_Results'!AY449=""),IF(ISNUMBER('Quantification_Results'!AX449),IF(('Quantification_Results'!AX449&lt;'Quantification_Config'!$S$19),"",IF(('Quantification_Results'!AX449&gt;'Quantification_Config'!$T$19),"",'Quantification_Results'!AX449)),""),IF(ISNUMBER('Quantification_Results'!AY449),IF(('Quantification_Results'!AY449&lt;'Quantification_Config'!$S$19),"",IF(('Quantification_Results'!AY449&gt;'Quantification_Config'!$T$19),"",'Quantification_Results'!AY449)),"")))</x:f>
        <x:v>5</x:v>
      </x:c>
      <x:c r="BA449" t="n">
        <x:f>IF(ISNUMBER('Quantification_Results'!AZ449),IFERROR(ROUND(((('Quantification_Results'!AZ449-'Quantification_Config'!$S$19)/('Quantification_Config'!$T$19-'Quantification_Config'!$S$19))*100),'Quantification_Config'!$U$2),""),"")</x:f>
        <x:v>50</x:v>
      </x:c>
      <x:c r="BB449" t="inlineStr">
        <x:is>
          <x:t xml:space="preserve">SYSTEM-TEST-ONLY-NO-NETWORK-NOT-AN-EDUCATIONAL-EVALUATION</x:t>
        </x:is>
      </x:c>
      <x:c r="BC449" t="inlineStr">
        <x:is>
          <x:t xml:space="preserve"/>
        </x:is>
      </x:c>
      <x:c r="BD449" t="inlineStr">
        <x:is>
          <x:t xml:space="preserve">NONE</x:t>
        </x:is>
      </x:c>
      <x:c r="BE449" t="inlineStr">
        <x:is>
          <x:t xml:space="preserve"/>
        </x:is>
      </x:c>
      <x:c r="BF449" t="inlineStr">
        <x:is>
          <x:t xml:space="preserve">SUCCESS</x:t>
        </x:is>
      </x:c>
      <x:c r="BG449" t="n">
        <x:f>IF((COUNT('Quantification_Results'!BA449)=1),IFERROR(ROUND((SUM(('Quantification_Results'!BA449*'Quantification_Config'!$R$19))/SUM('Quantification_Config'!$R$19)),'Quantification_Config'!$U$2),""),"")</x:f>
        <x:v>50</x:v>
      </x:c>
      <x:c r="BH449" t="n">
        <x:f>IF((COUNT('Quantification_Results'!BG449)=1),IFERROR(ROUND((SUM(('Quantification_Results'!BG449*'Quantification_Config'!$R$18))/SUM('Quantification_Config'!$R$18)),'Quantification_Config'!$U$2),""),"")</x:f>
        <x:v>50</x:v>
      </x:c>
      <x:c r="BI449">
        <x:f>IF((COUNT('Quantification_Results'!L449,'Quantification_Results'!X449,'Quantification_Results'!AJ449,'Quantification_Results'!AV449,'Quantification_Results'!BH449)=5),IFERROR(ROUND((SUM(('Quantification_Results'!L449*'Quantification_Config'!$R$4),('Quantification_Results'!X449*'Quantification_Config'!$R$7),('Quantification_Results'!AJ449*'Quantification_Config'!$R$10),('Quantification_Results'!AV449*'Quantification_Config'!$R$13),('Quantification_Results'!BH449*'Quantification_Config'!$R$16))/SUM('Quantification_Config'!$R$4,'Quantification_Config'!$R$7,'Quantification_Config'!$R$10,'Quantification_Config'!$R$13,'Quantification_Config'!$R$16)),'Quantification_Config'!$U$2),""),"")</x:f>
      </x:c>
    </x:row>
    <x:row r="450">
      <x:c r="A450" t="n">
        <x:v>1</x:v>
      </x:c>
      <x:c r="B450" t="n">
        <x:v>5</x:v>
      </x:c>
      <x:c r="C450"/>
      <x:c r="D450" t="n">
        <x:f>IF(('Quantification_Results'!A450&lt;&gt;1),"",IF(('Quantification_Results'!C450=""),IF(ISNUMBER('Quantification_Results'!B450),IF(('Quantification_Results'!B450&lt;'Quantification_Config'!$S$6),"",IF(('Quantification_Results'!B450&gt;'Quantification_Config'!$T$6),"",'Quantification_Results'!B450)),""),IF(ISNUMBER('Quantification_Results'!C450),IF(('Quantification_Results'!C450&lt;'Quantification_Config'!$S$6),"",IF(('Quantification_Results'!C450&gt;'Quantification_Config'!$T$6),"",'Quantification_Results'!C450)),"")))</x:f>
        <x:v>5</x:v>
      </x:c>
      <x:c r="E450" t="n">
        <x:f>IF(ISNUMBER('Quantification_Results'!D450),IFERROR(ROUND(((('Quantification_Results'!D450-'Quantification_Config'!$S$6)/('Quantification_Config'!$T$6-'Quantification_Config'!$S$6))*100),'Quantification_Config'!$U$2),""),"")</x:f>
        <x:v>50</x:v>
      </x:c>
      <x:c r="F450" t="inlineStr">
        <x:is>
          <x:t xml:space="preserve">SYSTEM-TEST-ONLY-NO-NETWORK-NOT-AN-EDUCATIONAL-EVALUATION</x:t>
        </x:is>
      </x:c>
      <x:c r="G450" t="inlineStr">
        <x:is>
          <x:t xml:space="preserve"/>
        </x:is>
      </x:c>
      <x:c r="H450" t="inlineStr">
        <x:is>
          <x:t xml:space="preserve">NONE</x:t>
        </x:is>
      </x:c>
      <x:c r="I450" t="inlineStr">
        <x:is>
          <x:t xml:space="preserve"/>
        </x:is>
      </x:c>
      <x:c r="J450" t="inlineStr">
        <x:is>
          <x:t xml:space="preserve">SUCCESS</x:t>
        </x:is>
      </x:c>
      <x:c r="K450" t="n">
        <x:f>IF((COUNT('Quantification_Results'!E450)=1),IFERROR(ROUND((SUM(('Quantification_Results'!E450*'Quantification_Config'!$R$6))/SUM('Quantification_Config'!$R$6)),'Quantification_Config'!$U$2),""),"")</x:f>
        <x:v>50</x:v>
      </x:c>
      <x:c r="L450" t="n">
        <x:f>IF((COUNT('Quantification_Results'!K450)=1),IFERROR(ROUND((SUM(('Quantification_Results'!K450*'Quantification_Config'!$R$5))/SUM('Quantification_Config'!$R$5)),'Quantification_Config'!$U$2),""),"")</x:f>
        <x:v>50</x:v>
      </x:c>
      <x:c r="M450" t="n">
        <x:v>1</x:v>
      </x:c>
      <x:c r="N450" t="n">
        <x:v>5</x:v>
      </x:c>
      <x:c r="O450"/>
      <x:c r="P450" t="n">
        <x:f>IF(('Quantification_Results'!M450&lt;&gt;1),"",IF(('Quantification_Results'!O450=""),IF(ISNUMBER('Quantification_Results'!N450),IF(('Quantification_Results'!N450&lt;'Quantification_Config'!$S$9),"",IF(('Quantification_Results'!N450&gt;'Quantification_Config'!$T$9),"",'Quantification_Results'!N450)),""),IF(ISNUMBER('Quantification_Results'!O450),IF(('Quantification_Results'!O450&lt;'Quantification_Config'!$S$9),"",IF(('Quantification_Results'!O450&gt;'Quantification_Config'!$T$9),"",'Quantification_Results'!O450)),"")))</x:f>
        <x:v>5</x:v>
      </x:c>
      <x:c r="Q450" t="n">
        <x:f>IF(ISNUMBER('Quantification_Results'!P450),IFERROR(ROUND(((('Quantification_Results'!P450-'Quantification_Config'!$S$9)/('Quantification_Config'!$T$9-'Quantification_Config'!$S$9))*100),'Quantification_Config'!$U$2),""),"")</x:f>
        <x:v>50</x:v>
      </x:c>
      <x:c r="R450" t="inlineStr">
        <x:is>
          <x:t xml:space="preserve">SYSTEM-TEST-ONLY-NO-NETWORK-NOT-AN-EDUCATIONAL-EVALUATION</x:t>
        </x:is>
      </x:c>
      <x:c r="S450" t="inlineStr">
        <x:is>
          <x:t xml:space="preserve"/>
        </x:is>
      </x:c>
      <x:c r="T450" t="inlineStr">
        <x:is>
          <x:t xml:space="preserve">NONE</x:t>
        </x:is>
      </x:c>
      <x:c r="U450" t="inlineStr">
        <x:is>
          <x:t xml:space="preserve"/>
        </x:is>
      </x:c>
      <x:c r="V450" t="inlineStr">
        <x:is>
          <x:t xml:space="preserve">SUCCESS</x:t>
        </x:is>
      </x:c>
      <x:c r="W450" t="n">
        <x:f>IF((COUNT('Quantification_Results'!Q450)=1),IFERROR(ROUND((SUM(('Quantification_Results'!Q450*'Quantification_Config'!$R$9))/SUM('Quantification_Config'!$R$9)),'Quantification_Config'!$U$2),""),"")</x:f>
        <x:v>50</x:v>
      </x:c>
      <x:c r="X450" t="n">
        <x:f>IF((COUNT('Quantification_Results'!W450)=1),IFERROR(ROUND((SUM(('Quantification_Results'!W450*'Quantification_Config'!$R$8))/SUM('Quantification_Config'!$R$8)),'Quantification_Config'!$U$2),""),"")</x:f>
        <x:v>50</x:v>
      </x:c>
      <x:c r="Y450" t="n">
        <x:v>0</x:v>
      </x:c>
      <x:c r="Z450"/>
      <x:c r="AA450"/>
      <x:c r="AB450">
        <x:f>IF(('Quantification_Results'!Y450&lt;&gt;1),"",IF(('Quantification_Results'!AA450=""),IF(ISNUMBER('Quantification_Results'!Z450),IF(('Quantification_Results'!Z450&lt;'Quantification_Config'!$S$12),"",IF(('Quantification_Results'!Z450&gt;'Quantification_Config'!$T$12),"",'Quantification_Results'!Z450)),""),IF(ISNUMBER('Quantification_Results'!AA450),IF(('Quantification_Results'!AA450&lt;'Quantification_Config'!$S$12),"",IF(('Quantification_Results'!AA450&gt;'Quantification_Config'!$T$12),"",'Quantification_Results'!AA450)),"")))</x:f>
      </x:c>
      <x:c r="AC450">
        <x:f>IF(ISNUMBER('Quantification_Results'!AB450),IFERROR(ROUND(((('Quantification_Results'!AB450-'Quantification_Config'!$S$12)/('Quantification_Config'!$T$12-'Quantification_Config'!$S$12))*100),'Quantification_Config'!$U$2),""),"")</x:f>
      </x:c>
      <x:c r="AD450" t="inlineStr">
        <x:is>
          <x:t xml:space="preserve"/>
        </x:is>
      </x:c>
      <x:c r="AE450" t="inlineStr">
        <x:is>
          <x:t xml:space="preserve"/>
        </x:is>
      </x:c>
      <x:c r="AF450" t="inlineStr">
        <x:is>
          <x:t xml:space="preserve"/>
        </x:is>
      </x:c>
      <x:c r="AG450" t="inlineStr">
        <x:is>
          <x:t xml:space="preserve"/>
        </x:is>
      </x:c>
      <x:c r="AH450" t="inlineStr">
        <x:is>
          <x:t xml:space="preserve">EMPTY</x:t>
        </x:is>
      </x:c>
      <x:c r="AI450">
        <x:f>IF((COUNT('Quantification_Results'!AC450)=1),IFERROR(ROUND((SUM(('Quantification_Results'!AC450*'Quantification_Config'!$R$12))/SUM('Quantification_Config'!$R$12)),'Quantification_Config'!$U$2),""),"")</x:f>
      </x:c>
      <x:c r="AJ450">
        <x:f>IF((COUNT('Quantification_Results'!AI450)=1),IFERROR(ROUND((SUM(('Quantification_Results'!AI450*'Quantification_Config'!$R$11))/SUM('Quantification_Config'!$R$11)),'Quantification_Config'!$U$2),""),"")</x:f>
      </x:c>
      <x:c r="AK450" t="n">
        <x:v>1</x:v>
      </x:c>
      <x:c r="AL450" t="n">
        <x:v>5</x:v>
      </x:c>
      <x:c r="AM450"/>
      <x:c r="AN450" t="n">
        <x:f>IF(('Quantification_Results'!AK450&lt;&gt;1),"",IF(('Quantification_Results'!AM450=""),IF(ISNUMBER('Quantification_Results'!AL450),IF(('Quantification_Results'!AL450&lt;'Quantification_Config'!$S$15),"",IF(('Quantification_Results'!AL450&gt;'Quantification_Config'!$T$15),"",'Quantification_Results'!AL450)),""),IF(ISNUMBER('Quantification_Results'!AM450),IF(('Quantification_Results'!AM450&lt;'Quantification_Config'!$S$15),"",IF(('Quantification_Results'!AM450&gt;'Quantification_Config'!$T$15),"",'Quantification_Results'!AM450)),"")))</x:f>
        <x:v>5</x:v>
      </x:c>
      <x:c r="AO450" t="n">
        <x:f>IF(ISNUMBER('Quantification_Results'!AN450),IFERROR(ROUND(((('Quantification_Results'!AN450-'Quantification_Config'!$S$15)/('Quantification_Config'!$T$15-'Quantification_Config'!$S$15))*100),'Quantification_Config'!$U$2),""),"")</x:f>
        <x:v>50</x:v>
      </x:c>
      <x:c r="AP450" t="inlineStr">
        <x:is>
          <x:t xml:space="preserve">SYSTEM-TEST-ONLY-NO-NETWORK-NOT-AN-EDUCATIONAL-EVALUATION</x:t>
        </x:is>
      </x:c>
      <x:c r="AQ450" t="inlineStr">
        <x:is>
          <x:t xml:space="preserve"/>
        </x:is>
      </x:c>
      <x:c r="AR450" t="inlineStr">
        <x:is>
          <x:t xml:space="preserve">NONE</x:t>
        </x:is>
      </x:c>
      <x:c r="AS450" t="inlineStr">
        <x:is>
          <x:t xml:space="preserve"/>
        </x:is>
      </x:c>
      <x:c r="AT450" t="inlineStr">
        <x:is>
          <x:t xml:space="preserve">SUCCESS</x:t>
        </x:is>
      </x:c>
      <x:c r="AU450" t="n">
        <x:f>IF((COUNT('Quantification_Results'!AO450)=1),IFERROR(ROUND((SUM(('Quantification_Results'!AO450*'Quantification_Config'!$R$15))/SUM('Quantification_Config'!$R$15)),'Quantification_Config'!$U$2),""),"")</x:f>
        <x:v>50</x:v>
      </x:c>
      <x:c r="AV450" t="n">
        <x:f>IF((COUNT('Quantification_Results'!AU450)=1),IFERROR(ROUND((SUM(('Quantification_Results'!AU450*'Quantification_Config'!$R$14))/SUM('Quantification_Config'!$R$14)),'Quantification_Config'!$U$2),""),"")</x:f>
        <x:v>50</x:v>
      </x:c>
      <x:c r="AW450" t="n">
        <x:v>1</x:v>
      </x:c>
      <x:c r="AX450" t="n">
        <x:v>5</x:v>
      </x:c>
      <x:c r="AY450"/>
      <x:c r="AZ450" t="n">
        <x:f>IF(('Quantification_Results'!AW450&lt;&gt;1),"",IF(('Quantification_Results'!AY450=""),IF(ISNUMBER('Quantification_Results'!AX450),IF(('Quantification_Results'!AX450&lt;'Quantification_Config'!$S$19),"",IF(('Quantification_Results'!AX450&gt;'Quantification_Config'!$T$19),"",'Quantification_Results'!AX450)),""),IF(ISNUMBER('Quantification_Results'!AY450),IF(('Quantification_Results'!AY450&lt;'Quantification_Config'!$S$19),"",IF(('Quantification_Results'!AY450&gt;'Quantification_Config'!$T$19),"",'Quantification_Results'!AY450)),"")))</x:f>
        <x:v>5</x:v>
      </x:c>
      <x:c r="BA450" t="n">
        <x:f>IF(ISNUMBER('Quantification_Results'!AZ450),IFERROR(ROUND(((('Quantification_Results'!AZ450-'Quantification_Config'!$S$19)/('Quantification_Config'!$T$19-'Quantification_Config'!$S$19))*100),'Quantification_Config'!$U$2),""),"")</x:f>
        <x:v>50</x:v>
      </x:c>
      <x:c r="BB450" t="inlineStr">
        <x:is>
          <x:t xml:space="preserve">SYSTEM-TEST-ONLY-NO-NETWORK-NOT-AN-EDUCATIONAL-EVALUATION</x:t>
        </x:is>
      </x:c>
      <x:c r="BC450" t="inlineStr">
        <x:is>
          <x:t xml:space="preserve"/>
        </x:is>
      </x:c>
      <x:c r="BD450" t="inlineStr">
        <x:is>
          <x:t xml:space="preserve">NONE</x:t>
        </x:is>
      </x:c>
      <x:c r="BE450" t="inlineStr">
        <x:is>
          <x:t xml:space="preserve"/>
        </x:is>
      </x:c>
      <x:c r="BF450" t="inlineStr">
        <x:is>
          <x:t xml:space="preserve">SUCCESS</x:t>
        </x:is>
      </x:c>
      <x:c r="BG450" t="n">
        <x:f>IF((COUNT('Quantification_Results'!BA450)=1),IFERROR(ROUND((SUM(('Quantification_Results'!BA450*'Quantification_Config'!$R$19))/SUM('Quantification_Config'!$R$19)),'Quantification_Config'!$U$2),""),"")</x:f>
        <x:v>50</x:v>
      </x:c>
      <x:c r="BH450" t="n">
        <x:f>IF((COUNT('Quantification_Results'!BG450)=1),IFERROR(ROUND((SUM(('Quantification_Results'!BG450*'Quantification_Config'!$R$18))/SUM('Quantification_Config'!$R$18)),'Quantification_Config'!$U$2),""),"")</x:f>
        <x:v>50</x:v>
      </x:c>
      <x:c r="BI450">
        <x:f>IF((COUNT('Quantification_Results'!L450,'Quantification_Results'!X450,'Quantification_Results'!AJ450,'Quantification_Results'!AV450,'Quantification_Results'!BH450)=5),IFERROR(ROUND((SUM(('Quantification_Results'!L450*'Quantification_Config'!$R$4),('Quantification_Results'!X450*'Quantification_Config'!$R$7),('Quantification_Results'!AJ450*'Quantification_Config'!$R$10),('Quantification_Results'!AV450*'Quantification_Config'!$R$13),('Quantification_Results'!BH450*'Quantification_Config'!$R$16))/SUM('Quantification_Config'!$R$4,'Quantification_Config'!$R$7,'Quantification_Config'!$R$10,'Quantification_Config'!$R$13,'Quantification_Config'!$R$16)),'Quantification_Config'!$U$2),""),"")</x:f>
      </x:c>
    </x:row>
    <x:row r="451">
      <x:c r="A451" t="n">
        <x:v>1</x:v>
      </x:c>
      <x:c r="B451" t="n">
        <x:v>5</x:v>
      </x:c>
      <x:c r="C451"/>
      <x:c r="D451" t="n">
        <x:f>IF(('Quantification_Results'!A451&lt;&gt;1),"",IF(('Quantification_Results'!C451=""),IF(ISNUMBER('Quantification_Results'!B451),IF(('Quantification_Results'!B451&lt;'Quantification_Config'!$S$6),"",IF(('Quantification_Results'!B451&gt;'Quantification_Config'!$T$6),"",'Quantification_Results'!B451)),""),IF(ISNUMBER('Quantification_Results'!C451),IF(('Quantification_Results'!C451&lt;'Quantification_Config'!$S$6),"",IF(('Quantification_Results'!C451&gt;'Quantification_Config'!$T$6),"",'Quantification_Results'!C451)),"")))</x:f>
        <x:v>5</x:v>
      </x:c>
      <x:c r="E451" t="n">
        <x:f>IF(ISNUMBER('Quantification_Results'!D451),IFERROR(ROUND(((('Quantification_Results'!D451-'Quantification_Config'!$S$6)/('Quantification_Config'!$T$6-'Quantification_Config'!$S$6))*100),'Quantification_Config'!$U$2),""),"")</x:f>
        <x:v>50</x:v>
      </x:c>
      <x:c r="F451" t="inlineStr">
        <x:is>
          <x:t xml:space="preserve">SYSTEM-TEST-ONLY-NO-NETWORK-NOT-AN-EDUCATIONAL-EVALUATION</x:t>
        </x:is>
      </x:c>
      <x:c r="G451" t="inlineStr">
        <x:is>
          <x:t xml:space="preserve"/>
        </x:is>
      </x:c>
      <x:c r="H451" t="inlineStr">
        <x:is>
          <x:t xml:space="preserve">NONE</x:t>
        </x:is>
      </x:c>
      <x:c r="I451" t="inlineStr">
        <x:is>
          <x:t xml:space="preserve"/>
        </x:is>
      </x:c>
      <x:c r="J451" t="inlineStr">
        <x:is>
          <x:t xml:space="preserve">SUCCESS</x:t>
        </x:is>
      </x:c>
      <x:c r="K451" t="n">
        <x:f>IF((COUNT('Quantification_Results'!E451)=1),IFERROR(ROUND((SUM(('Quantification_Results'!E451*'Quantification_Config'!$R$6))/SUM('Quantification_Config'!$R$6)),'Quantification_Config'!$U$2),""),"")</x:f>
        <x:v>50</x:v>
      </x:c>
      <x:c r="L451" t="n">
        <x:f>IF((COUNT('Quantification_Results'!K451)=1),IFERROR(ROUND((SUM(('Quantification_Results'!K451*'Quantification_Config'!$R$5))/SUM('Quantification_Config'!$R$5)),'Quantification_Config'!$U$2),""),"")</x:f>
        <x:v>50</x:v>
      </x:c>
      <x:c r="M451" t="n">
        <x:v>0</x:v>
      </x:c>
      <x:c r="N451"/>
      <x:c r="O451"/>
      <x:c r="P451">
        <x:f>IF(('Quantification_Results'!M451&lt;&gt;1),"",IF(('Quantification_Results'!O451=""),IF(ISNUMBER('Quantification_Results'!N451),IF(('Quantification_Results'!N451&lt;'Quantification_Config'!$S$9),"",IF(('Quantification_Results'!N451&gt;'Quantification_Config'!$T$9),"",'Quantification_Results'!N451)),""),IF(ISNUMBER('Quantification_Results'!O451),IF(('Quantification_Results'!O451&lt;'Quantification_Config'!$S$9),"",IF(('Quantification_Results'!O451&gt;'Quantification_Config'!$T$9),"",'Quantification_Results'!O451)),"")))</x:f>
      </x:c>
      <x:c r="Q451">
        <x:f>IF(ISNUMBER('Quantification_Results'!P451),IFERROR(ROUND(((('Quantification_Results'!P451-'Quantification_Config'!$S$9)/('Quantification_Config'!$T$9-'Quantification_Config'!$S$9))*100),'Quantification_Config'!$U$2),""),"")</x:f>
      </x:c>
      <x:c r="R451" t="inlineStr">
        <x:is>
          <x:t xml:space="preserve"/>
        </x:is>
      </x:c>
      <x:c r="S451" t="inlineStr">
        <x:is>
          <x:t xml:space="preserve"/>
        </x:is>
      </x:c>
      <x:c r="T451" t="inlineStr">
        <x:is>
          <x:t xml:space="preserve"/>
        </x:is>
      </x:c>
      <x:c r="U451" t="inlineStr">
        <x:is>
          <x:t xml:space="preserve"/>
        </x:is>
      </x:c>
      <x:c r="V451" t="inlineStr">
        <x:is>
          <x:t xml:space="preserve">EMPTY</x:t>
        </x:is>
      </x:c>
      <x:c r="W451">
        <x:f>IF((COUNT('Quantification_Results'!Q451)=1),IFERROR(ROUND((SUM(('Quantification_Results'!Q451*'Quantification_Config'!$R$9))/SUM('Quantification_Config'!$R$9)),'Quantification_Config'!$U$2),""),"")</x:f>
      </x:c>
      <x:c r="X451">
        <x:f>IF((COUNT('Quantification_Results'!W451)=1),IFERROR(ROUND((SUM(('Quantification_Results'!W451*'Quantification_Config'!$R$8))/SUM('Quantification_Config'!$R$8)),'Quantification_Config'!$U$2),""),"")</x:f>
      </x:c>
      <x:c r="Y451" t="n">
        <x:v>0</x:v>
      </x:c>
      <x:c r="Z451"/>
      <x:c r="AA451"/>
      <x:c r="AB451">
        <x:f>IF(('Quantification_Results'!Y451&lt;&gt;1),"",IF(('Quantification_Results'!AA451=""),IF(ISNUMBER('Quantification_Results'!Z451),IF(('Quantification_Results'!Z451&lt;'Quantification_Config'!$S$12),"",IF(('Quantification_Results'!Z451&gt;'Quantification_Config'!$T$12),"",'Quantification_Results'!Z451)),""),IF(ISNUMBER('Quantification_Results'!AA451),IF(('Quantification_Results'!AA451&lt;'Quantification_Config'!$S$12),"",IF(('Quantification_Results'!AA451&gt;'Quantification_Config'!$T$12),"",'Quantification_Results'!AA451)),"")))</x:f>
      </x:c>
      <x:c r="AC451">
        <x:f>IF(ISNUMBER('Quantification_Results'!AB451),IFERROR(ROUND(((('Quantification_Results'!AB451-'Quantification_Config'!$S$12)/('Quantification_Config'!$T$12-'Quantification_Config'!$S$12))*100),'Quantification_Config'!$U$2),""),"")</x:f>
      </x:c>
      <x:c r="AD451" t="inlineStr">
        <x:is>
          <x:t xml:space="preserve"/>
        </x:is>
      </x:c>
      <x:c r="AE451" t="inlineStr">
        <x:is>
          <x:t xml:space="preserve"/>
        </x:is>
      </x:c>
      <x:c r="AF451" t="inlineStr">
        <x:is>
          <x:t xml:space="preserve"/>
        </x:is>
      </x:c>
      <x:c r="AG451" t="inlineStr">
        <x:is>
          <x:t xml:space="preserve"/>
        </x:is>
      </x:c>
      <x:c r="AH451" t="inlineStr">
        <x:is>
          <x:t xml:space="preserve">EMPTY</x:t>
        </x:is>
      </x:c>
      <x:c r="AI451">
        <x:f>IF((COUNT('Quantification_Results'!AC451)=1),IFERROR(ROUND((SUM(('Quantification_Results'!AC451*'Quantification_Config'!$R$12))/SUM('Quantification_Config'!$R$12)),'Quantification_Config'!$U$2),""),"")</x:f>
      </x:c>
      <x:c r="AJ451">
        <x:f>IF((COUNT('Quantification_Results'!AI451)=1),IFERROR(ROUND((SUM(('Quantification_Results'!AI451*'Quantification_Config'!$R$11))/SUM('Quantification_Config'!$R$11)),'Quantification_Config'!$U$2),""),"")</x:f>
      </x:c>
      <x:c r="AK451" t="n">
        <x:v>1</x:v>
      </x:c>
      <x:c r="AL451" t="n">
        <x:v>5</x:v>
      </x:c>
      <x:c r="AM451"/>
      <x:c r="AN451" t="n">
        <x:f>IF(('Quantification_Results'!AK451&lt;&gt;1),"",IF(('Quantification_Results'!AM451=""),IF(ISNUMBER('Quantification_Results'!AL451),IF(('Quantification_Results'!AL451&lt;'Quantification_Config'!$S$15),"",IF(('Quantification_Results'!AL451&gt;'Quantification_Config'!$T$15),"",'Quantification_Results'!AL451)),""),IF(ISNUMBER('Quantification_Results'!AM451),IF(('Quantification_Results'!AM451&lt;'Quantification_Config'!$S$15),"",IF(('Quantification_Results'!AM451&gt;'Quantification_Config'!$T$15),"",'Quantification_Results'!AM451)),"")))</x:f>
        <x:v>5</x:v>
      </x:c>
      <x:c r="AO451" t="n">
        <x:f>IF(ISNUMBER('Quantification_Results'!AN451),IFERROR(ROUND(((('Quantification_Results'!AN451-'Quantification_Config'!$S$15)/('Quantification_Config'!$T$15-'Quantification_Config'!$S$15))*100),'Quantification_Config'!$U$2),""),"")</x:f>
        <x:v>50</x:v>
      </x:c>
      <x:c r="AP451" t="inlineStr">
        <x:is>
          <x:t xml:space="preserve">SYSTEM-TEST-ONLY-NO-NETWORK-NOT-AN-EDUCATIONAL-EVALUATION</x:t>
        </x:is>
      </x:c>
      <x:c r="AQ451" t="inlineStr">
        <x:is>
          <x:t xml:space="preserve"/>
        </x:is>
      </x:c>
      <x:c r="AR451" t="inlineStr">
        <x:is>
          <x:t xml:space="preserve">NONE</x:t>
        </x:is>
      </x:c>
      <x:c r="AS451" t="inlineStr">
        <x:is>
          <x:t xml:space="preserve"/>
        </x:is>
      </x:c>
      <x:c r="AT451" t="inlineStr">
        <x:is>
          <x:t xml:space="preserve">SUCCESS</x:t>
        </x:is>
      </x:c>
      <x:c r="AU451" t="n">
        <x:f>IF((COUNT('Quantification_Results'!AO451)=1),IFERROR(ROUND((SUM(('Quantification_Results'!AO451*'Quantification_Config'!$R$15))/SUM('Quantification_Config'!$R$15)),'Quantification_Config'!$U$2),""),"")</x:f>
        <x:v>50</x:v>
      </x:c>
      <x:c r="AV451" t="n">
        <x:f>IF((COUNT('Quantification_Results'!AU451)=1),IFERROR(ROUND((SUM(('Quantification_Results'!AU451*'Quantification_Config'!$R$14))/SUM('Quantification_Config'!$R$14)),'Quantification_Config'!$U$2),""),"")</x:f>
        <x:v>50</x:v>
      </x:c>
      <x:c r="AW451" t="n">
        <x:v>0</x:v>
      </x:c>
      <x:c r="AX451"/>
      <x:c r="AY451"/>
      <x:c r="AZ451">
        <x:f>IF(('Quantification_Results'!AW451&lt;&gt;1),"",IF(('Quantification_Results'!AY451=""),IF(ISNUMBER('Quantification_Results'!AX451),IF(('Quantification_Results'!AX451&lt;'Quantification_Config'!$S$19),"",IF(('Quantification_Results'!AX451&gt;'Quantification_Config'!$T$19),"",'Quantification_Results'!AX451)),""),IF(ISNUMBER('Quantification_Results'!AY451),IF(('Quantification_Results'!AY451&lt;'Quantification_Config'!$S$19),"",IF(('Quantification_Results'!AY451&gt;'Quantification_Config'!$T$19),"",'Quantification_Results'!AY451)),"")))</x:f>
      </x:c>
      <x:c r="BA451">
        <x:f>IF(ISNUMBER('Quantification_Results'!AZ451),IFERROR(ROUND(((('Quantification_Results'!AZ451-'Quantification_Config'!$S$19)/('Quantification_Config'!$T$19-'Quantification_Config'!$S$19))*100),'Quantification_Config'!$U$2),""),"")</x:f>
      </x:c>
      <x:c r="BB451" t="inlineStr">
        <x:is>
          <x:t xml:space="preserve"/>
        </x:is>
      </x:c>
      <x:c r="BC451" t="inlineStr">
        <x:is>
          <x:t xml:space="preserve"/>
        </x:is>
      </x:c>
      <x:c r="BD451" t="inlineStr">
        <x:is>
          <x:t xml:space="preserve"/>
        </x:is>
      </x:c>
      <x:c r="BE451" t="inlineStr">
        <x:is>
          <x:t xml:space="preserve"/>
        </x:is>
      </x:c>
      <x:c r="BF451" t="inlineStr">
        <x:is>
          <x:t xml:space="preserve">EMPTY</x:t>
        </x:is>
      </x:c>
      <x:c r="BG451">
        <x:f>IF((COUNT('Quantification_Results'!BA451)=1),IFERROR(ROUND((SUM(('Quantification_Results'!BA451*'Quantification_Config'!$R$19))/SUM('Quantification_Config'!$R$19)),'Quantification_Config'!$U$2),""),"")</x:f>
      </x:c>
      <x:c r="BH451">
        <x:f>IF((COUNT('Quantification_Results'!BG451)=1),IFERROR(ROUND((SUM(('Quantification_Results'!BG451*'Quantification_Config'!$R$18))/SUM('Quantification_Config'!$R$18)),'Quantification_Config'!$U$2),""),"")</x:f>
      </x:c>
      <x:c r="BI451">
        <x:f>IF((COUNT('Quantification_Results'!L451,'Quantification_Results'!X451,'Quantification_Results'!AJ451,'Quantification_Results'!AV451,'Quantification_Results'!BH451)=5),IFERROR(ROUND((SUM(('Quantification_Results'!L451*'Quantification_Config'!$R$4),('Quantification_Results'!X451*'Quantification_Config'!$R$7),('Quantification_Results'!AJ451*'Quantification_Config'!$R$10),('Quantification_Results'!AV451*'Quantification_Config'!$R$13),('Quantification_Results'!BH451*'Quantification_Config'!$R$16))/SUM('Quantification_Config'!$R$4,'Quantification_Config'!$R$7,'Quantification_Config'!$R$10,'Quantification_Config'!$R$13,'Quantification_Config'!$R$16)),'Quantification_Config'!$U$2),""),"")</x:f>
      </x:c>
    </x:row>
    <x:row r="452">
      <x:c r="A452" t="n">
        <x:v>1</x:v>
      </x:c>
      <x:c r="B452" t="n">
        <x:v>5</x:v>
      </x:c>
      <x:c r="C452"/>
      <x:c r="D452" t="n">
        <x:f>IF(('Quantification_Results'!A452&lt;&gt;1),"",IF(('Quantification_Results'!C452=""),IF(ISNUMBER('Quantification_Results'!B452),IF(('Quantification_Results'!B452&lt;'Quantification_Config'!$S$6),"",IF(('Quantification_Results'!B452&gt;'Quantification_Config'!$T$6),"",'Quantification_Results'!B452)),""),IF(ISNUMBER('Quantification_Results'!C452),IF(('Quantification_Results'!C452&lt;'Quantification_Config'!$S$6),"",IF(('Quantification_Results'!C452&gt;'Quantification_Config'!$T$6),"",'Quantification_Results'!C452)),"")))</x:f>
        <x:v>5</x:v>
      </x:c>
      <x:c r="E452" t="n">
        <x:f>IF(ISNUMBER('Quantification_Results'!D452),IFERROR(ROUND(((('Quantification_Results'!D452-'Quantification_Config'!$S$6)/('Quantification_Config'!$T$6-'Quantification_Config'!$S$6))*100),'Quantification_Config'!$U$2),""),"")</x:f>
        <x:v>50</x:v>
      </x:c>
      <x:c r="F452" t="inlineStr">
        <x:is>
          <x:t xml:space="preserve">SYSTEM-TEST-ONLY-NO-NETWORK-NOT-AN-EDUCATIONAL-EVALUATION</x:t>
        </x:is>
      </x:c>
      <x:c r="G452" t="inlineStr">
        <x:is>
          <x:t xml:space="preserve"/>
        </x:is>
      </x:c>
      <x:c r="H452" t="inlineStr">
        <x:is>
          <x:t xml:space="preserve">NONE</x:t>
        </x:is>
      </x:c>
      <x:c r="I452" t="inlineStr">
        <x:is>
          <x:t xml:space="preserve"/>
        </x:is>
      </x:c>
      <x:c r="J452" t="inlineStr">
        <x:is>
          <x:t xml:space="preserve">SUCCESS</x:t>
        </x:is>
      </x:c>
      <x:c r="K452" t="n">
        <x:f>IF((COUNT('Quantification_Results'!E452)=1),IFERROR(ROUND((SUM(('Quantification_Results'!E452*'Quantification_Config'!$R$6))/SUM('Quantification_Config'!$R$6)),'Quantification_Config'!$U$2),""),"")</x:f>
        <x:v>50</x:v>
      </x:c>
      <x:c r="L452" t="n">
        <x:f>IF((COUNT('Quantification_Results'!K452)=1),IFERROR(ROUND((SUM(('Quantification_Results'!K452*'Quantification_Config'!$R$5))/SUM('Quantification_Config'!$R$5)),'Quantification_Config'!$U$2),""),"")</x:f>
        <x:v>50</x:v>
      </x:c>
      <x:c r="M452" t="n">
        <x:v>1</x:v>
      </x:c>
      <x:c r="N452" t="n">
        <x:v>5</x:v>
      </x:c>
      <x:c r="O452"/>
      <x:c r="P452" t="n">
        <x:f>IF(('Quantification_Results'!M452&lt;&gt;1),"",IF(('Quantification_Results'!O452=""),IF(ISNUMBER('Quantification_Results'!N452),IF(('Quantification_Results'!N452&lt;'Quantification_Config'!$S$9),"",IF(('Quantification_Results'!N452&gt;'Quantification_Config'!$T$9),"",'Quantification_Results'!N452)),""),IF(ISNUMBER('Quantification_Results'!O452),IF(('Quantification_Results'!O452&lt;'Quantification_Config'!$S$9),"",IF(('Quantification_Results'!O452&gt;'Quantification_Config'!$T$9),"",'Quantification_Results'!O452)),"")))</x:f>
        <x:v>5</x:v>
      </x:c>
      <x:c r="Q452" t="n">
        <x:f>IF(ISNUMBER('Quantification_Results'!P452),IFERROR(ROUND(((('Quantification_Results'!P452-'Quantification_Config'!$S$9)/('Quantification_Config'!$T$9-'Quantification_Config'!$S$9))*100),'Quantification_Config'!$U$2),""),"")</x:f>
        <x:v>50</x:v>
      </x:c>
      <x:c r="R452" t="inlineStr">
        <x:is>
          <x:t xml:space="preserve">SYSTEM-TEST-ONLY-NO-NETWORK-NOT-AN-EDUCATIONAL-EVALUATION</x:t>
        </x:is>
      </x:c>
      <x:c r="S452" t="inlineStr">
        <x:is>
          <x:t xml:space="preserve"/>
        </x:is>
      </x:c>
      <x:c r="T452" t="inlineStr">
        <x:is>
          <x:t xml:space="preserve">NONE</x:t>
        </x:is>
      </x:c>
      <x:c r="U452" t="inlineStr">
        <x:is>
          <x:t xml:space="preserve"/>
        </x:is>
      </x:c>
      <x:c r="V452" t="inlineStr">
        <x:is>
          <x:t xml:space="preserve">SUCCESS</x:t>
        </x:is>
      </x:c>
      <x:c r="W452" t="n">
        <x:f>IF((COUNT('Quantification_Results'!Q452)=1),IFERROR(ROUND((SUM(('Quantification_Results'!Q452*'Quantification_Config'!$R$9))/SUM('Quantification_Config'!$R$9)),'Quantification_Config'!$U$2),""),"")</x:f>
        <x:v>50</x:v>
      </x:c>
      <x:c r="X452" t="n">
        <x:f>IF((COUNT('Quantification_Results'!W452)=1),IFERROR(ROUND((SUM(('Quantification_Results'!W452*'Quantification_Config'!$R$8))/SUM('Quantification_Config'!$R$8)),'Quantification_Config'!$U$2),""),"")</x:f>
        <x:v>50</x:v>
      </x:c>
      <x:c r="Y452" t="n">
        <x:v>0</x:v>
      </x:c>
      <x:c r="Z452"/>
      <x:c r="AA452"/>
      <x:c r="AB452">
        <x:f>IF(('Quantification_Results'!Y452&lt;&gt;1),"",IF(('Quantification_Results'!AA452=""),IF(ISNUMBER('Quantification_Results'!Z452),IF(('Quantification_Results'!Z452&lt;'Quantification_Config'!$S$12),"",IF(('Quantification_Results'!Z452&gt;'Quantification_Config'!$T$12),"",'Quantification_Results'!Z452)),""),IF(ISNUMBER('Quantification_Results'!AA452),IF(('Quantification_Results'!AA452&lt;'Quantification_Config'!$S$12),"",IF(('Quantification_Results'!AA452&gt;'Quantification_Config'!$T$12),"",'Quantification_Results'!AA452)),"")))</x:f>
      </x:c>
      <x:c r="AC452">
        <x:f>IF(ISNUMBER('Quantification_Results'!AB452),IFERROR(ROUND(((('Quantification_Results'!AB452-'Quantification_Config'!$S$12)/('Quantification_Config'!$T$12-'Quantification_Config'!$S$12))*100),'Quantification_Config'!$U$2),""),"")</x:f>
      </x:c>
      <x:c r="AD452" t="inlineStr">
        <x:is>
          <x:t xml:space="preserve"/>
        </x:is>
      </x:c>
      <x:c r="AE452" t="inlineStr">
        <x:is>
          <x:t xml:space="preserve"/>
        </x:is>
      </x:c>
      <x:c r="AF452" t="inlineStr">
        <x:is>
          <x:t xml:space="preserve"/>
        </x:is>
      </x:c>
      <x:c r="AG452" t="inlineStr">
        <x:is>
          <x:t xml:space="preserve"/>
        </x:is>
      </x:c>
      <x:c r="AH452" t="inlineStr">
        <x:is>
          <x:t xml:space="preserve">EMPTY</x:t>
        </x:is>
      </x:c>
      <x:c r="AI452">
        <x:f>IF((COUNT('Quantification_Results'!AC452)=1),IFERROR(ROUND((SUM(('Quantification_Results'!AC452*'Quantification_Config'!$R$12))/SUM('Quantification_Config'!$R$12)),'Quantification_Config'!$U$2),""),"")</x:f>
      </x:c>
      <x:c r="AJ452">
        <x:f>IF((COUNT('Quantification_Results'!AI452)=1),IFERROR(ROUND((SUM(('Quantification_Results'!AI452*'Quantification_Config'!$R$11))/SUM('Quantification_Config'!$R$11)),'Quantification_Config'!$U$2),""),"")</x:f>
      </x:c>
      <x:c r="AK452" t="n">
        <x:v>1</x:v>
      </x:c>
      <x:c r="AL452" t="n">
        <x:v>5</x:v>
      </x:c>
      <x:c r="AM452"/>
      <x:c r="AN452" t="n">
        <x:f>IF(('Quantification_Results'!AK452&lt;&gt;1),"",IF(('Quantification_Results'!AM452=""),IF(ISNUMBER('Quantification_Results'!AL452),IF(('Quantification_Results'!AL452&lt;'Quantification_Config'!$S$15),"",IF(('Quantification_Results'!AL452&gt;'Quantification_Config'!$T$15),"",'Quantification_Results'!AL452)),""),IF(ISNUMBER('Quantification_Results'!AM452),IF(('Quantification_Results'!AM452&lt;'Quantification_Config'!$S$15),"",IF(('Quantification_Results'!AM452&gt;'Quantification_Config'!$T$15),"",'Quantification_Results'!AM452)),"")))</x:f>
        <x:v>5</x:v>
      </x:c>
      <x:c r="AO452" t="n">
        <x:f>IF(ISNUMBER('Quantification_Results'!AN452),IFERROR(ROUND(((('Quantification_Results'!AN452-'Quantification_Config'!$S$15)/('Quantification_Config'!$T$15-'Quantification_Config'!$S$15))*100),'Quantification_Config'!$U$2),""),"")</x:f>
        <x:v>50</x:v>
      </x:c>
      <x:c r="AP452" t="inlineStr">
        <x:is>
          <x:t xml:space="preserve">SYSTEM-TEST-ONLY-NO-NETWORK-NOT-AN-EDUCATIONAL-EVALUATION</x:t>
        </x:is>
      </x:c>
      <x:c r="AQ452" t="inlineStr">
        <x:is>
          <x:t xml:space="preserve"/>
        </x:is>
      </x:c>
      <x:c r="AR452" t="inlineStr">
        <x:is>
          <x:t xml:space="preserve">NONE</x:t>
        </x:is>
      </x:c>
      <x:c r="AS452" t="inlineStr">
        <x:is>
          <x:t xml:space="preserve"/>
        </x:is>
      </x:c>
      <x:c r="AT452" t="inlineStr">
        <x:is>
          <x:t xml:space="preserve">SUCCESS</x:t>
        </x:is>
      </x:c>
      <x:c r="AU452" t="n">
        <x:f>IF((COUNT('Quantification_Results'!AO452)=1),IFERROR(ROUND((SUM(('Quantification_Results'!AO452*'Quantification_Config'!$R$15))/SUM('Quantification_Config'!$R$15)),'Quantification_Config'!$U$2),""),"")</x:f>
        <x:v>50</x:v>
      </x:c>
      <x:c r="AV452" t="n">
        <x:f>IF((COUNT('Quantification_Results'!AU452)=1),IFERROR(ROUND((SUM(('Quantification_Results'!AU452*'Quantification_Config'!$R$14))/SUM('Quantification_Config'!$R$14)),'Quantification_Config'!$U$2),""),"")</x:f>
        <x:v>50</x:v>
      </x:c>
      <x:c r="AW452" t="n">
        <x:v>1</x:v>
      </x:c>
      <x:c r="AX452" t="n">
        <x:v>5</x:v>
      </x:c>
      <x:c r="AY452"/>
      <x:c r="AZ452" t="n">
        <x:f>IF(('Quantification_Results'!AW452&lt;&gt;1),"",IF(('Quantification_Results'!AY452=""),IF(ISNUMBER('Quantification_Results'!AX452),IF(('Quantification_Results'!AX452&lt;'Quantification_Config'!$S$19),"",IF(('Quantification_Results'!AX452&gt;'Quantification_Config'!$T$19),"",'Quantification_Results'!AX452)),""),IF(ISNUMBER('Quantification_Results'!AY452),IF(('Quantification_Results'!AY452&lt;'Quantification_Config'!$S$19),"",IF(('Quantification_Results'!AY452&gt;'Quantification_Config'!$T$19),"",'Quantification_Results'!AY452)),"")))</x:f>
        <x:v>5</x:v>
      </x:c>
      <x:c r="BA452" t="n">
        <x:f>IF(ISNUMBER('Quantification_Results'!AZ452),IFERROR(ROUND(((('Quantification_Results'!AZ452-'Quantification_Config'!$S$19)/('Quantification_Config'!$T$19-'Quantification_Config'!$S$19))*100),'Quantification_Config'!$U$2),""),"")</x:f>
        <x:v>50</x:v>
      </x:c>
      <x:c r="BB452" t="inlineStr">
        <x:is>
          <x:t xml:space="preserve">SYSTEM-TEST-ONLY-NO-NETWORK-NOT-AN-EDUCATIONAL-EVALUATION</x:t>
        </x:is>
      </x:c>
      <x:c r="BC452" t="inlineStr">
        <x:is>
          <x:t xml:space="preserve"/>
        </x:is>
      </x:c>
      <x:c r="BD452" t="inlineStr">
        <x:is>
          <x:t xml:space="preserve">NONE</x:t>
        </x:is>
      </x:c>
      <x:c r="BE452" t="inlineStr">
        <x:is>
          <x:t xml:space="preserve"/>
        </x:is>
      </x:c>
      <x:c r="BF452" t="inlineStr">
        <x:is>
          <x:t xml:space="preserve">SUCCESS</x:t>
        </x:is>
      </x:c>
      <x:c r="BG452" t="n">
        <x:f>IF((COUNT('Quantification_Results'!BA452)=1),IFERROR(ROUND((SUM(('Quantification_Results'!BA452*'Quantification_Config'!$R$19))/SUM('Quantification_Config'!$R$19)),'Quantification_Config'!$U$2),""),"")</x:f>
        <x:v>50</x:v>
      </x:c>
      <x:c r="BH452" t="n">
        <x:f>IF((COUNT('Quantification_Results'!BG452)=1),IFERROR(ROUND((SUM(('Quantification_Results'!BG452*'Quantification_Config'!$R$18))/SUM('Quantification_Config'!$R$18)),'Quantification_Config'!$U$2),""),"")</x:f>
        <x:v>50</x:v>
      </x:c>
      <x:c r="BI452">
        <x:f>IF((COUNT('Quantification_Results'!L452,'Quantification_Results'!X452,'Quantification_Results'!AJ452,'Quantification_Results'!AV452,'Quantification_Results'!BH452)=5),IFERROR(ROUND((SUM(('Quantification_Results'!L452*'Quantification_Config'!$R$4),('Quantification_Results'!X452*'Quantification_Config'!$R$7),('Quantification_Results'!AJ452*'Quantification_Config'!$R$10),('Quantification_Results'!AV452*'Quantification_Config'!$R$13),('Quantification_Results'!BH452*'Quantification_Config'!$R$16))/SUM('Quantification_Config'!$R$4,'Quantification_Config'!$R$7,'Quantification_Config'!$R$10,'Quantification_Config'!$R$13,'Quantification_Config'!$R$16)),'Quantification_Config'!$U$2),""),"")</x:f>
      </x:c>
    </x:row>
    <x:row r="453">
      <x:c r="A453" t="n">
        <x:v>1</x:v>
      </x:c>
      <x:c r="B453" t="n">
        <x:v>5</x:v>
      </x:c>
      <x:c r="C453"/>
      <x:c r="D453" t="n">
        <x:f>IF(('Quantification_Results'!A453&lt;&gt;1),"",IF(('Quantification_Results'!C453=""),IF(ISNUMBER('Quantification_Results'!B453),IF(('Quantification_Results'!B453&lt;'Quantification_Config'!$S$6),"",IF(('Quantification_Results'!B453&gt;'Quantification_Config'!$T$6),"",'Quantification_Results'!B453)),""),IF(ISNUMBER('Quantification_Results'!C453),IF(('Quantification_Results'!C453&lt;'Quantification_Config'!$S$6),"",IF(('Quantification_Results'!C453&gt;'Quantification_Config'!$T$6),"",'Quantification_Results'!C453)),"")))</x:f>
        <x:v>5</x:v>
      </x:c>
      <x:c r="E453" t="n">
        <x:f>IF(ISNUMBER('Quantification_Results'!D453),IFERROR(ROUND(((('Quantification_Results'!D453-'Quantification_Config'!$S$6)/('Quantification_Config'!$T$6-'Quantification_Config'!$S$6))*100),'Quantification_Config'!$U$2),""),"")</x:f>
        <x:v>50</x:v>
      </x:c>
      <x:c r="F453" t="inlineStr">
        <x:is>
          <x:t xml:space="preserve">SYSTEM-TEST-ONLY-NO-NETWORK-NOT-AN-EDUCATIONAL-EVALUATION</x:t>
        </x:is>
      </x:c>
      <x:c r="G453" t="inlineStr">
        <x:is>
          <x:t xml:space="preserve"/>
        </x:is>
      </x:c>
      <x:c r="H453" t="inlineStr">
        <x:is>
          <x:t xml:space="preserve">NONE</x:t>
        </x:is>
      </x:c>
      <x:c r="I453" t="inlineStr">
        <x:is>
          <x:t xml:space="preserve"/>
        </x:is>
      </x:c>
      <x:c r="J453" t="inlineStr">
        <x:is>
          <x:t xml:space="preserve">SUCCESS</x:t>
        </x:is>
      </x:c>
      <x:c r="K453" t="n">
        <x:f>IF((COUNT('Quantification_Results'!E453)=1),IFERROR(ROUND((SUM(('Quantification_Results'!E453*'Quantification_Config'!$R$6))/SUM('Quantification_Config'!$R$6)),'Quantification_Config'!$U$2),""),"")</x:f>
        <x:v>50</x:v>
      </x:c>
      <x:c r="L453" t="n">
        <x:f>IF((COUNT('Quantification_Results'!K453)=1),IFERROR(ROUND((SUM(('Quantification_Results'!K453*'Quantification_Config'!$R$5))/SUM('Quantification_Config'!$R$5)),'Quantification_Config'!$U$2),""),"")</x:f>
        <x:v>50</x:v>
      </x:c>
      <x:c r="M453" t="n">
        <x:v>0</x:v>
      </x:c>
      <x:c r="N453"/>
      <x:c r="O453"/>
      <x:c r="P453">
        <x:f>IF(('Quantification_Results'!M453&lt;&gt;1),"",IF(('Quantification_Results'!O453=""),IF(ISNUMBER('Quantification_Results'!N453),IF(('Quantification_Results'!N453&lt;'Quantification_Config'!$S$9),"",IF(('Quantification_Results'!N453&gt;'Quantification_Config'!$T$9),"",'Quantification_Results'!N453)),""),IF(ISNUMBER('Quantification_Results'!O453),IF(('Quantification_Results'!O453&lt;'Quantification_Config'!$S$9),"",IF(('Quantification_Results'!O453&gt;'Quantification_Config'!$T$9),"",'Quantification_Results'!O453)),"")))</x:f>
      </x:c>
      <x:c r="Q453">
        <x:f>IF(ISNUMBER('Quantification_Results'!P453),IFERROR(ROUND(((('Quantification_Results'!P453-'Quantification_Config'!$S$9)/('Quantification_Config'!$T$9-'Quantification_Config'!$S$9))*100),'Quantification_Config'!$U$2),""),"")</x:f>
      </x:c>
      <x:c r="R453" t="inlineStr">
        <x:is>
          <x:t xml:space="preserve"/>
        </x:is>
      </x:c>
      <x:c r="S453" t="inlineStr">
        <x:is>
          <x:t xml:space="preserve"/>
        </x:is>
      </x:c>
      <x:c r="T453" t="inlineStr">
        <x:is>
          <x:t xml:space="preserve"/>
        </x:is>
      </x:c>
      <x:c r="U453" t="inlineStr">
        <x:is>
          <x:t xml:space="preserve"/>
        </x:is>
      </x:c>
      <x:c r="V453" t="inlineStr">
        <x:is>
          <x:t xml:space="preserve">EMPTY</x:t>
        </x:is>
      </x:c>
      <x:c r="W453">
        <x:f>IF((COUNT('Quantification_Results'!Q453)=1),IFERROR(ROUND((SUM(('Quantification_Results'!Q453*'Quantification_Config'!$R$9))/SUM('Quantification_Config'!$R$9)),'Quantification_Config'!$U$2),""),"")</x:f>
      </x:c>
      <x:c r="X453">
        <x:f>IF((COUNT('Quantification_Results'!W453)=1),IFERROR(ROUND((SUM(('Quantification_Results'!W453*'Quantification_Config'!$R$8))/SUM('Quantification_Config'!$R$8)),'Quantification_Config'!$U$2),""),"")</x:f>
      </x:c>
      <x:c r="Y453" t="n">
        <x:v>0</x:v>
      </x:c>
      <x:c r="Z453"/>
      <x:c r="AA453"/>
      <x:c r="AB453">
        <x:f>IF(('Quantification_Results'!Y453&lt;&gt;1),"",IF(('Quantification_Results'!AA453=""),IF(ISNUMBER('Quantification_Results'!Z453),IF(('Quantification_Results'!Z453&lt;'Quantification_Config'!$S$12),"",IF(('Quantification_Results'!Z453&gt;'Quantification_Config'!$T$12),"",'Quantification_Results'!Z453)),""),IF(ISNUMBER('Quantification_Results'!AA453),IF(('Quantification_Results'!AA453&lt;'Quantification_Config'!$S$12),"",IF(('Quantification_Results'!AA453&gt;'Quantification_Config'!$T$12),"",'Quantification_Results'!AA453)),"")))</x:f>
      </x:c>
      <x:c r="AC453">
        <x:f>IF(ISNUMBER('Quantification_Results'!AB453),IFERROR(ROUND(((('Quantification_Results'!AB453-'Quantification_Config'!$S$12)/('Quantification_Config'!$T$12-'Quantification_Config'!$S$12))*100),'Quantification_Config'!$U$2),""),"")</x:f>
      </x:c>
      <x:c r="AD453" t="inlineStr">
        <x:is>
          <x:t xml:space="preserve"/>
        </x:is>
      </x:c>
      <x:c r="AE453" t="inlineStr">
        <x:is>
          <x:t xml:space="preserve"/>
        </x:is>
      </x:c>
      <x:c r="AF453" t="inlineStr">
        <x:is>
          <x:t xml:space="preserve"/>
        </x:is>
      </x:c>
      <x:c r="AG453" t="inlineStr">
        <x:is>
          <x:t xml:space="preserve"/>
        </x:is>
      </x:c>
      <x:c r="AH453" t="inlineStr">
        <x:is>
          <x:t xml:space="preserve">EMPTY</x:t>
        </x:is>
      </x:c>
      <x:c r="AI453">
        <x:f>IF((COUNT('Quantification_Results'!AC453)=1),IFERROR(ROUND((SUM(('Quantification_Results'!AC453*'Quantification_Config'!$R$12))/SUM('Quantification_Config'!$R$12)),'Quantification_Config'!$U$2),""),"")</x:f>
      </x:c>
      <x:c r="AJ453">
        <x:f>IF((COUNT('Quantification_Results'!AI453)=1),IFERROR(ROUND((SUM(('Quantification_Results'!AI453*'Quantification_Config'!$R$11))/SUM('Quantification_Config'!$R$11)),'Quantification_Config'!$U$2),""),"")</x:f>
      </x:c>
      <x:c r="AK453" t="n">
        <x:v>1</x:v>
      </x:c>
      <x:c r="AL453" t="n">
        <x:v>5</x:v>
      </x:c>
      <x:c r="AM453"/>
      <x:c r="AN453" t="n">
        <x:f>IF(('Quantification_Results'!AK453&lt;&gt;1),"",IF(('Quantification_Results'!AM453=""),IF(ISNUMBER('Quantification_Results'!AL453),IF(('Quantification_Results'!AL453&lt;'Quantification_Config'!$S$15),"",IF(('Quantification_Results'!AL453&gt;'Quantification_Config'!$T$15),"",'Quantification_Results'!AL453)),""),IF(ISNUMBER('Quantification_Results'!AM453),IF(('Quantification_Results'!AM453&lt;'Quantification_Config'!$S$15),"",IF(('Quantification_Results'!AM453&gt;'Quantification_Config'!$T$15),"",'Quantification_Results'!AM453)),"")))</x:f>
        <x:v>5</x:v>
      </x:c>
      <x:c r="AO453" t="n">
        <x:f>IF(ISNUMBER('Quantification_Results'!AN453),IFERROR(ROUND(((('Quantification_Results'!AN453-'Quantification_Config'!$S$15)/('Quantification_Config'!$T$15-'Quantification_Config'!$S$15))*100),'Quantification_Config'!$U$2),""),"")</x:f>
        <x:v>50</x:v>
      </x:c>
      <x:c r="AP453" t="inlineStr">
        <x:is>
          <x:t xml:space="preserve">SYSTEM-TEST-ONLY-NO-NETWORK-NOT-AN-EDUCATIONAL-EVALUATION</x:t>
        </x:is>
      </x:c>
      <x:c r="AQ453" t="inlineStr">
        <x:is>
          <x:t xml:space="preserve"/>
        </x:is>
      </x:c>
      <x:c r="AR453" t="inlineStr">
        <x:is>
          <x:t xml:space="preserve">NONE</x:t>
        </x:is>
      </x:c>
      <x:c r="AS453" t="inlineStr">
        <x:is>
          <x:t xml:space="preserve"/>
        </x:is>
      </x:c>
      <x:c r="AT453" t="inlineStr">
        <x:is>
          <x:t xml:space="preserve">SUCCESS</x:t>
        </x:is>
      </x:c>
      <x:c r="AU453" t="n">
        <x:f>IF((COUNT('Quantification_Results'!AO453)=1),IFERROR(ROUND((SUM(('Quantification_Results'!AO453*'Quantification_Config'!$R$15))/SUM('Quantification_Config'!$R$15)),'Quantification_Config'!$U$2),""),"")</x:f>
        <x:v>50</x:v>
      </x:c>
      <x:c r="AV453" t="n">
        <x:f>IF((COUNT('Quantification_Results'!AU453)=1),IFERROR(ROUND((SUM(('Quantification_Results'!AU453*'Quantification_Config'!$R$14))/SUM('Quantification_Config'!$R$14)),'Quantification_Config'!$U$2),""),"")</x:f>
        <x:v>50</x:v>
      </x:c>
      <x:c r="AW453" t="n">
        <x:v>0</x:v>
      </x:c>
      <x:c r="AX453"/>
      <x:c r="AY453"/>
      <x:c r="AZ453">
        <x:f>IF(('Quantification_Results'!AW453&lt;&gt;1),"",IF(('Quantification_Results'!AY453=""),IF(ISNUMBER('Quantification_Results'!AX453),IF(('Quantification_Results'!AX453&lt;'Quantification_Config'!$S$19),"",IF(('Quantification_Results'!AX453&gt;'Quantification_Config'!$T$19),"",'Quantification_Results'!AX453)),""),IF(ISNUMBER('Quantification_Results'!AY453),IF(('Quantification_Results'!AY453&lt;'Quantification_Config'!$S$19),"",IF(('Quantification_Results'!AY453&gt;'Quantification_Config'!$T$19),"",'Quantification_Results'!AY453)),"")))</x:f>
      </x:c>
      <x:c r="BA453">
        <x:f>IF(ISNUMBER('Quantification_Results'!AZ453),IFERROR(ROUND(((('Quantification_Results'!AZ453-'Quantification_Config'!$S$19)/('Quantification_Config'!$T$19-'Quantification_Config'!$S$19))*100),'Quantification_Config'!$U$2),""),"")</x:f>
      </x:c>
      <x:c r="BB453" t="inlineStr">
        <x:is>
          <x:t xml:space="preserve"/>
        </x:is>
      </x:c>
      <x:c r="BC453" t="inlineStr">
        <x:is>
          <x:t xml:space="preserve"/>
        </x:is>
      </x:c>
      <x:c r="BD453" t="inlineStr">
        <x:is>
          <x:t xml:space="preserve"/>
        </x:is>
      </x:c>
      <x:c r="BE453" t="inlineStr">
        <x:is>
          <x:t xml:space="preserve"/>
        </x:is>
      </x:c>
      <x:c r="BF453" t="inlineStr">
        <x:is>
          <x:t xml:space="preserve">EMPTY</x:t>
        </x:is>
      </x:c>
      <x:c r="BG453">
        <x:f>IF((COUNT('Quantification_Results'!BA453)=1),IFERROR(ROUND((SUM(('Quantification_Results'!BA453*'Quantification_Config'!$R$19))/SUM('Quantification_Config'!$R$19)),'Quantification_Config'!$U$2),""),"")</x:f>
      </x:c>
      <x:c r="BH453">
        <x:f>IF((COUNT('Quantification_Results'!BG453)=1),IFERROR(ROUND((SUM(('Quantification_Results'!BG453*'Quantification_Config'!$R$18))/SUM('Quantification_Config'!$R$18)),'Quantification_Config'!$U$2),""),"")</x:f>
      </x:c>
      <x:c r="BI453">
        <x:f>IF((COUNT('Quantification_Results'!L453,'Quantification_Results'!X453,'Quantification_Results'!AJ453,'Quantification_Results'!AV453,'Quantification_Results'!BH453)=5),IFERROR(ROUND((SUM(('Quantification_Results'!L453*'Quantification_Config'!$R$4),('Quantification_Results'!X453*'Quantification_Config'!$R$7),('Quantification_Results'!AJ453*'Quantification_Config'!$R$10),('Quantification_Results'!AV453*'Quantification_Config'!$R$13),('Quantification_Results'!BH453*'Quantification_Config'!$R$16))/SUM('Quantification_Config'!$R$4,'Quantification_Config'!$R$7,'Quantification_Config'!$R$10,'Quantification_Config'!$R$13,'Quantification_Config'!$R$16)),'Quantification_Config'!$U$2),""),"")</x:f>
      </x:c>
    </x:row>
    <x:row r="454">
      <x:c r="A454" t="n">
        <x:v>1</x:v>
      </x:c>
      <x:c r="B454" t="n">
        <x:v>5</x:v>
      </x:c>
      <x:c r="C454"/>
      <x:c r="D454" t="n">
        <x:f>IF(('Quantification_Results'!A454&lt;&gt;1),"",IF(('Quantification_Results'!C454=""),IF(ISNUMBER('Quantification_Results'!B454),IF(('Quantification_Results'!B454&lt;'Quantification_Config'!$S$6),"",IF(('Quantification_Results'!B454&gt;'Quantification_Config'!$T$6),"",'Quantification_Results'!B454)),""),IF(ISNUMBER('Quantification_Results'!C454),IF(('Quantification_Results'!C454&lt;'Quantification_Config'!$S$6),"",IF(('Quantification_Results'!C454&gt;'Quantification_Config'!$T$6),"",'Quantification_Results'!C454)),"")))</x:f>
        <x:v>5</x:v>
      </x:c>
      <x:c r="E454" t="n">
        <x:f>IF(ISNUMBER('Quantification_Results'!D454),IFERROR(ROUND(((('Quantification_Results'!D454-'Quantification_Config'!$S$6)/('Quantification_Config'!$T$6-'Quantification_Config'!$S$6))*100),'Quantification_Config'!$U$2),""),"")</x:f>
        <x:v>50</x:v>
      </x:c>
      <x:c r="F454" t="inlineStr">
        <x:is>
          <x:t xml:space="preserve">SYSTEM-TEST-ONLY-NO-NETWORK-NOT-AN-EDUCATIONAL-EVALUATION</x:t>
        </x:is>
      </x:c>
      <x:c r="G454" t="inlineStr">
        <x:is>
          <x:t xml:space="preserve"/>
        </x:is>
      </x:c>
      <x:c r="H454" t="inlineStr">
        <x:is>
          <x:t xml:space="preserve">NONE</x:t>
        </x:is>
      </x:c>
      <x:c r="I454" t="inlineStr">
        <x:is>
          <x:t xml:space="preserve"/>
        </x:is>
      </x:c>
      <x:c r="J454" t="inlineStr">
        <x:is>
          <x:t xml:space="preserve">SUCCESS</x:t>
        </x:is>
      </x:c>
      <x:c r="K454" t="n">
        <x:f>IF((COUNT('Quantification_Results'!E454)=1),IFERROR(ROUND((SUM(('Quantification_Results'!E454*'Quantification_Config'!$R$6))/SUM('Quantification_Config'!$R$6)),'Quantification_Config'!$U$2),""),"")</x:f>
        <x:v>50</x:v>
      </x:c>
      <x:c r="L454" t="n">
        <x:f>IF((COUNT('Quantification_Results'!K454)=1),IFERROR(ROUND((SUM(('Quantification_Results'!K454*'Quantification_Config'!$R$5))/SUM('Quantification_Config'!$R$5)),'Quantification_Config'!$U$2),""),"")</x:f>
        <x:v>50</x:v>
      </x:c>
      <x:c r="M454" t="n">
        <x:v>0</x:v>
      </x:c>
      <x:c r="N454"/>
      <x:c r="O454"/>
      <x:c r="P454">
        <x:f>IF(('Quantification_Results'!M454&lt;&gt;1),"",IF(('Quantification_Results'!O454=""),IF(ISNUMBER('Quantification_Results'!N454),IF(('Quantification_Results'!N454&lt;'Quantification_Config'!$S$9),"",IF(('Quantification_Results'!N454&gt;'Quantification_Config'!$T$9),"",'Quantification_Results'!N454)),""),IF(ISNUMBER('Quantification_Results'!O454),IF(('Quantification_Results'!O454&lt;'Quantification_Config'!$S$9),"",IF(('Quantification_Results'!O454&gt;'Quantification_Config'!$T$9),"",'Quantification_Results'!O454)),"")))</x:f>
      </x:c>
      <x:c r="Q454">
        <x:f>IF(ISNUMBER('Quantification_Results'!P454),IFERROR(ROUND(((('Quantification_Results'!P454-'Quantification_Config'!$S$9)/('Quantification_Config'!$T$9-'Quantification_Config'!$S$9))*100),'Quantification_Config'!$U$2),""),"")</x:f>
      </x:c>
      <x:c r="R454" t="inlineStr">
        <x:is>
          <x:t xml:space="preserve"/>
        </x:is>
      </x:c>
      <x:c r="S454" t="inlineStr">
        <x:is>
          <x:t xml:space="preserve"/>
        </x:is>
      </x:c>
      <x:c r="T454" t="inlineStr">
        <x:is>
          <x:t xml:space="preserve"/>
        </x:is>
      </x:c>
      <x:c r="U454" t="inlineStr">
        <x:is>
          <x:t xml:space="preserve"/>
        </x:is>
      </x:c>
      <x:c r="V454" t="inlineStr">
        <x:is>
          <x:t xml:space="preserve">EMPTY</x:t>
        </x:is>
      </x:c>
      <x:c r="W454">
        <x:f>IF((COUNT('Quantification_Results'!Q454)=1),IFERROR(ROUND((SUM(('Quantification_Results'!Q454*'Quantification_Config'!$R$9))/SUM('Quantification_Config'!$R$9)),'Quantification_Config'!$U$2),""),"")</x:f>
      </x:c>
      <x:c r="X454">
        <x:f>IF((COUNT('Quantification_Results'!W454)=1),IFERROR(ROUND((SUM(('Quantification_Results'!W454*'Quantification_Config'!$R$8))/SUM('Quantification_Config'!$R$8)),'Quantification_Config'!$U$2),""),"")</x:f>
      </x:c>
      <x:c r="Y454" t="n">
        <x:v>0</x:v>
      </x:c>
      <x:c r="Z454"/>
      <x:c r="AA454"/>
      <x:c r="AB454">
        <x:f>IF(('Quantification_Results'!Y454&lt;&gt;1),"",IF(('Quantification_Results'!AA454=""),IF(ISNUMBER('Quantification_Results'!Z454),IF(('Quantification_Results'!Z454&lt;'Quantification_Config'!$S$12),"",IF(('Quantification_Results'!Z454&gt;'Quantification_Config'!$T$12),"",'Quantification_Results'!Z454)),""),IF(ISNUMBER('Quantification_Results'!AA454),IF(('Quantification_Results'!AA454&lt;'Quantification_Config'!$S$12),"",IF(('Quantification_Results'!AA454&gt;'Quantification_Config'!$T$12),"",'Quantification_Results'!AA454)),"")))</x:f>
      </x:c>
      <x:c r="AC454">
        <x:f>IF(ISNUMBER('Quantification_Results'!AB454),IFERROR(ROUND(((('Quantification_Results'!AB454-'Quantification_Config'!$S$12)/('Quantification_Config'!$T$12-'Quantification_Config'!$S$12))*100),'Quantification_Config'!$U$2),""),"")</x:f>
      </x:c>
      <x:c r="AD454" t="inlineStr">
        <x:is>
          <x:t xml:space="preserve"/>
        </x:is>
      </x:c>
      <x:c r="AE454" t="inlineStr">
        <x:is>
          <x:t xml:space="preserve"/>
        </x:is>
      </x:c>
      <x:c r="AF454" t="inlineStr">
        <x:is>
          <x:t xml:space="preserve"/>
        </x:is>
      </x:c>
      <x:c r="AG454" t="inlineStr">
        <x:is>
          <x:t xml:space="preserve"/>
        </x:is>
      </x:c>
      <x:c r="AH454" t="inlineStr">
        <x:is>
          <x:t xml:space="preserve">EMPTY</x:t>
        </x:is>
      </x:c>
      <x:c r="AI454">
        <x:f>IF((COUNT('Quantification_Results'!AC454)=1),IFERROR(ROUND((SUM(('Quantification_Results'!AC454*'Quantification_Config'!$R$12))/SUM('Quantification_Config'!$R$12)),'Quantification_Config'!$U$2),""),"")</x:f>
      </x:c>
      <x:c r="AJ454">
        <x:f>IF((COUNT('Quantification_Results'!AI454)=1),IFERROR(ROUND((SUM(('Quantification_Results'!AI454*'Quantification_Config'!$R$11))/SUM('Quantification_Config'!$R$11)),'Quantification_Config'!$U$2),""),"")</x:f>
      </x:c>
      <x:c r="AK454" t="n">
        <x:v>1</x:v>
      </x:c>
      <x:c r="AL454" t="n">
        <x:v>5</x:v>
      </x:c>
      <x:c r="AM454"/>
      <x:c r="AN454" t="n">
        <x:f>IF(('Quantification_Results'!AK454&lt;&gt;1),"",IF(('Quantification_Results'!AM454=""),IF(ISNUMBER('Quantification_Results'!AL454),IF(('Quantification_Results'!AL454&lt;'Quantification_Config'!$S$15),"",IF(('Quantification_Results'!AL454&gt;'Quantification_Config'!$T$15),"",'Quantification_Results'!AL454)),""),IF(ISNUMBER('Quantification_Results'!AM454),IF(('Quantification_Results'!AM454&lt;'Quantification_Config'!$S$15),"",IF(('Quantification_Results'!AM454&gt;'Quantification_Config'!$T$15),"",'Quantification_Results'!AM454)),"")))</x:f>
        <x:v>5</x:v>
      </x:c>
      <x:c r="AO454" t="n">
        <x:f>IF(ISNUMBER('Quantification_Results'!AN454),IFERROR(ROUND(((('Quantification_Results'!AN454-'Quantification_Config'!$S$15)/('Quantification_Config'!$T$15-'Quantification_Config'!$S$15))*100),'Quantification_Config'!$U$2),""),"")</x:f>
        <x:v>50</x:v>
      </x:c>
      <x:c r="AP454" t="inlineStr">
        <x:is>
          <x:t xml:space="preserve">SYSTEM-TEST-ONLY-NO-NETWORK-NOT-AN-EDUCATIONAL-EVALUATION</x:t>
        </x:is>
      </x:c>
      <x:c r="AQ454" t="inlineStr">
        <x:is>
          <x:t xml:space="preserve"/>
        </x:is>
      </x:c>
      <x:c r="AR454" t="inlineStr">
        <x:is>
          <x:t xml:space="preserve">NONE</x:t>
        </x:is>
      </x:c>
      <x:c r="AS454" t="inlineStr">
        <x:is>
          <x:t xml:space="preserve"/>
        </x:is>
      </x:c>
      <x:c r="AT454" t="inlineStr">
        <x:is>
          <x:t xml:space="preserve">SUCCESS</x:t>
        </x:is>
      </x:c>
      <x:c r="AU454" t="n">
        <x:f>IF((COUNT('Quantification_Results'!AO454)=1),IFERROR(ROUND((SUM(('Quantification_Results'!AO454*'Quantification_Config'!$R$15))/SUM('Quantification_Config'!$R$15)),'Quantification_Config'!$U$2),""),"")</x:f>
        <x:v>50</x:v>
      </x:c>
      <x:c r="AV454" t="n">
        <x:f>IF((COUNT('Quantification_Results'!AU454)=1),IFERROR(ROUND((SUM(('Quantification_Results'!AU454*'Quantification_Config'!$R$14))/SUM('Quantification_Config'!$R$14)),'Quantification_Config'!$U$2),""),"")</x:f>
        <x:v>50</x:v>
      </x:c>
      <x:c r="AW454" t="n">
        <x:v>0</x:v>
      </x:c>
      <x:c r="AX454"/>
      <x:c r="AY454"/>
      <x:c r="AZ454">
        <x:f>IF(('Quantification_Results'!AW454&lt;&gt;1),"",IF(('Quantification_Results'!AY454=""),IF(ISNUMBER('Quantification_Results'!AX454),IF(('Quantification_Results'!AX454&lt;'Quantification_Config'!$S$19),"",IF(('Quantification_Results'!AX454&gt;'Quantification_Config'!$T$19),"",'Quantification_Results'!AX454)),""),IF(ISNUMBER('Quantification_Results'!AY454),IF(('Quantification_Results'!AY454&lt;'Quantification_Config'!$S$19),"",IF(('Quantification_Results'!AY454&gt;'Quantification_Config'!$T$19),"",'Quantification_Results'!AY454)),"")))</x:f>
      </x:c>
      <x:c r="BA454">
        <x:f>IF(ISNUMBER('Quantification_Results'!AZ454),IFERROR(ROUND(((('Quantification_Results'!AZ454-'Quantification_Config'!$S$19)/('Quantification_Config'!$T$19-'Quantification_Config'!$S$19))*100),'Quantification_Config'!$U$2),""),"")</x:f>
      </x:c>
      <x:c r="BB454" t="inlineStr">
        <x:is>
          <x:t xml:space="preserve"/>
        </x:is>
      </x:c>
      <x:c r="BC454" t="inlineStr">
        <x:is>
          <x:t xml:space="preserve"/>
        </x:is>
      </x:c>
      <x:c r="BD454" t="inlineStr">
        <x:is>
          <x:t xml:space="preserve"/>
        </x:is>
      </x:c>
      <x:c r="BE454" t="inlineStr">
        <x:is>
          <x:t xml:space="preserve"/>
        </x:is>
      </x:c>
      <x:c r="BF454" t="inlineStr">
        <x:is>
          <x:t xml:space="preserve">EMPTY</x:t>
        </x:is>
      </x:c>
      <x:c r="BG454">
        <x:f>IF((COUNT('Quantification_Results'!BA454)=1),IFERROR(ROUND((SUM(('Quantification_Results'!BA454*'Quantification_Config'!$R$19))/SUM('Quantification_Config'!$R$19)),'Quantification_Config'!$U$2),""),"")</x:f>
      </x:c>
      <x:c r="BH454">
        <x:f>IF((COUNT('Quantification_Results'!BG454)=1),IFERROR(ROUND((SUM(('Quantification_Results'!BG454*'Quantification_Config'!$R$18))/SUM('Quantification_Config'!$R$18)),'Quantification_Config'!$U$2),""),"")</x:f>
      </x:c>
      <x:c r="BI454">
        <x:f>IF((COUNT('Quantification_Results'!L454,'Quantification_Results'!X454,'Quantification_Results'!AJ454,'Quantification_Results'!AV454,'Quantification_Results'!BH454)=5),IFERROR(ROUND((SUM(('Quantification_Results'!L454*'Quantification_Config'!$R$4),('Quantification_Results'!X454*'Quantification_Config'!$R$7),('Quantification_Results'!AJ454*'Quantification_Config'!$R$10),('Quantification_Results'!AV454*'Quantification_Config'!$R$13),('Quantification_Results'!BH454*'Quantification_Config'!$R$16))/SUM('Quantification_Config'!$R$4,'Quantification_Config'!$R$7,'Quantification_Config'!$R$10,'Quantification_Config'!$R$13,'Quantification_Config'!$R$16)),'Quantification_Config'!$U$2),""),"")</x:f>
      </x:c>
    </x:row>
    <x:row r="455">
      <x:c r="A455" t="n">
        <x:v>1</x:v>
      </x:c>
      <x:c r="B455" t="n">
        <x:v>5</x:v>
      </x:c>
      <x:c r="C455"/>
      <x:c r="D455" t="n">
        <x:f>IF(('Quantification_Results'!A455&lt;&gt;1),"",IF(('Quantification_Results'!C455=""),IF(ISNUMBER('Quantification_Results'!B455),IF(('Quantification_Results'!B455&lt;'Quantification_Config'!$S$6),"",IF(('Quantification_Results'!B455&gt;'Quantification_Config'!$T$6),"",'Quantification_Results'!B455)),""),IF(ISNUMBER('Quantification_Results'!C455),IF(('Quantification_Results'!C455&lt;'Quantification_Config'!$S$6),"",IF(('Quantification_Results'!C455&gt;'Quantification_Config'!$T$6),"",'Quantification_Results'!C455)),"")))</x:f>
        <x:v>5</x:v>
      </x:c>
      <x:c r="E455" t="n">
        <x:f>IF(ISNUMBER('Quantification_Results'!D455),IFERROR(ROUND(((('Quantification_Results'!D455-'Quantification_Config'!$S$6)/('Quantification_Config'!$T$6-'Quantification_Config'!$S$6))*100),'Quantification_Config'!$U$2),""),"")</x:f>
        <x:v>50</x:v>
      </x:c>
      <x:c r="F455" t="inlineStr">
        <x:is>
          <x:t xml:space="preserve">SYSTEM-TEST-ONLY-NO-NETWORK-NOT-AN-EDUCATIONAL-EVALUATION</x:t>
        </x:is>
      </x:c>
      <x:c r="G455" t="inlineStr">
        <x:is>
          <x:t xml:space="preserve"/>
        </x:is>
      </x:c>
      <x:c r="H455" t="inlineStr">
        <x:is>
          <x:t xml:space="preserve">NONE</x:t>
        </x:is>
      </x:c>
      <x:c r="I455" t="inlineStr">
        <x:is>
          <x:t xml:space="preserve"/>
        </x:is>
      </x:c>
      <x:c r="J455" t="inlineStr">
        <x:is>
          <x:t xml:space="preserve">SUCCESS</x:t>
        </x:is>
      </x:c>
      <x:c r="K455" t="n">
        <x:f>IF((COUNT('Quantification_Results'!E455)=1),IFERROR(ROUND((SUM(('Quantification_Results'!E455*'Quantification_Config'!$R$6))/SUM('Quantification_Config'!$R$6)),'Quantification_Config'!$U$2),""),"")</x:f>
        <x:v>50</x:v>
      </x:c>
      <x:c r="L455" t="n">
        <x:f>IF((COUNT('Quantification_Results'!K455)=1),IFERROR(ROUND((SUM(('Quantification_Results'!K455*'Quantification_Config'!$R$5))/SUM('Quantification_Config'!$R$5)),'Quantification_Config'!$U$2),""),"")</x:f>
        <x:v>50</x:v>
      </x:c>
      <x:c r="M455" t="n">
        <x:v>1</x:v>
      </x:c>
      <x:c r="N455" t="n">
        <x:v>5</x:v>
      </x:c>
      <x:c r="O455"/>
      <x:c r="P455" t="n">
        <x:f>IF(('Quantification_Results'!M455&lt;&gt;1),"",IF(('Quantification_Results'!O455=""),IF(ISNUMBER('Quantification_Results'!N455),IF(('Quantification_Results'!N455&lt;'Quantification_Config'!$S$9),"",IF(('Quantification_Results'!N455&gt;'Quantification_Config'!$T$9),"",'Quantification_Results'!N455)),""),IF(ISNUMBER('Quantification_Results'!O455),IF(('Quantification_Results'!O455&lt;'Quantification_Config'!$S$9),"",IF(('Quantification_Results'!O455&gt;'Quantification_Config'!$T$9),"",'Quantification_Results'!O455)),"")))</x:f>
        <x:v>5</x:v>
      </x:c>
      <x:c r="Q455" t="n">
        <x:f>IF(ISNUMBER('Quantification_Results'!P455),IFERROR(ROUND(((('Quantification_Results'!P455-'Quantification_Config'!$S$9)/('Quantification_Config'!$T$9-'Quantification_Config'!$S$9))*100),'Quantification_Config'!$U$2),""),"")</x:f>
        <x:v>50</x:v>
      </x:c>
      <x:c r="R455" t="inlineStr">
        <x:is>
          <x:t xml:space="preserve">SYSTEM-TEST-ONLY-NO-NETWORK-NOT-AN-EDUCATIONAL-EVALUATION</x:t>
        </x:is>
      </x:c>
      <x:c r="S455" t="inlineStr">
        <x:is>
          <x:t xml:space="preserve"/>
        </x:is>
      </x:c>
      <x:c r="T455" t="inlineStr">
        <x:is>
          <x:t xml:space="preserve">NONE</x:t>
        </x:is>
      </x:c>
      <x:c r="U455" t="inlineStr">
        <x:is>
          <x:t xml:space="preserve"/>
        </x:is>
      </x:c>
      <x:c r="V455" t="inlineStr">
        <x:is>
          <x:t xml:space="preserve">SUCCESS</x:t>
        </x:is>
      </x:c>
      <x:c r="W455" t="n">
        <x:f>IF((COUNT('Quantification_Results'!Q455)=1),IFERROR(ROUND((SUM(('Quantification_Results'!Q455*'Quantification_Config'!$R$9))/SUM('Quantification_Config'!$R$9)),'Quantification_Config'!$U$2),""),"")</x:f>
        <x:v>50</x:v>
      </x:c>
      <x:c r="X455" t="n">
        <x:f>IF((COUNT('Quantification_Results'!W455)=1),IFERROR(ROUND((SUM(('Quantification_Results'!W455*'Quantification_Config'!$R$8))/SUM('Quantification_Config'!$R$8)),'Quantification_Config'!$U$2),""),"")</x:f>
        <x:v>50</x:v>
      </x:c>
      <x:c r="Y455" t="n">
        <x:v>0</x:v>
      </x:c>
      <x:c r="Z455"/>
      <x:c r="AA455"/>
      <x:c r="AB455">
        <x:f>IF(('Quantification_Results'!Y455&lt;&gt;1),"",IF(('Quantification_Results'!AA455=""),IF(ISNUMBER('Quantification_Results'!Z455),IF(('Quantification_Results'!Z455&lt;'Quantification_Config'!$S$12),"",IF(('Quantification_Results'!Z455&gt;'Quantification_Config'!$T$12),"",'Quantification_Results'!Z455)),""),IF(ISNUMBER('Quantification_Results'!AA455),IF(('Quantification_Results'!AA455&lt;'Quantification_Config'!$S$12),"",IF(('Quantification_Results'!AA455&gt;'Quantification_Config'!$T$12),"",'Quantification_Results'!AA455)),"")))</x:f>
      </x:c>
      <x:c r="AC455">
        <x:f>IF(ISNUMBER('Quantification_Results'!AB455),IFERROR(ROUND(((('Quantification_Results'!AB455-'Quantification_Config'!$S$12)/('Quantification_Config'!$T$12-'Quantification_Config'!$S$12))*100),'Quantification_Config'!$U$2),""),"")</x:f>
      </x:c>
      <x:c r="AD455" t="inlineStr">
        <x:is>
          <x:t xml:space="preserve"/>
        </x:is>
      </x:c>
      <x:c r="AE455" t="inlineStr">
        <x:is>
          <x:t xml:space="preserve"/>
        </x:is>
      </x:c>
      <x:c r="AF455" t="inlineStr">
        <x:is>
          <x:t xml:space="preserve"/>
        </x:is>
      </x:c>
      <x:c r="AG455" t="inlineStr">
        <x:is>
          <x:t xml:space="preserve"/>
        </x:is>
      </x:c>
      <x:c r="AH455" t="inlineStr">
        <x:is>
          <x:t xml:space="preserve">EMPTY</x:t>
        </x:is>
      </x:c>
      <x:c r="AI455">
        <x:f>IF((COUNT('Quantification_Results'!AC455)=1),IFERROR(ROUND((SUM(('Quantification_Results'!AC455*'Quantification_Config'!$R$12))/SUM('Quantification_Config'!$R$12)),'Quantification_Config'!$U$2),""),"")</x:f>
      </x:c>
      <x:c r="AJ455">
        <x:f>IF((COUNT('Quantification_Results'!AI455)=1),IFERROR(ROUND((SUM(('Quantification_Results'!AI455*'Quantification_Config'!$R$11))/SUM('Quantification_Config'!$R$11)),'Quantification_Config'!$U$2),""),"")</x:f>
      </x:c>
      <x:c r="AK455" t="n">
        <x:v>1</x:v>
      </x:c>
      <x:c r="AL455" t="n">
        <x:v>5</x:v>
      </x:c>
      <x:c r="AM455"/>
      <x:c r="AN455" t="n">
        <x:f>IF(('Quantification_Results'!AK455&lt;&gt;1),"",IF(('Quantification_Results'!AM455=""),IF(ISNUMBER('Quantification_Results'!AL455),IF(('Quantification_Results'!AL455&lt;'Quantification_Config'!$S$15),"",IF(('Quantification_Results'!AL455&gt;'Quantification_Config'!$T$15),"",'Quantification_Results'!AL455)),""),IF(ISNUMBER('Quantification_Results'!AM455),IF(('Quantification_Results'!AM455&lt;'Quantification_Config'!$S$15),"",IF(('Quantification_Results'!AM455&gt;'Quantification_Config'!$T$15),"",'Quantification_Results'!AM455)),"")))</x:f>
        <x:v>5</x:v>
      </x:c>
      <x:c r="AO455" t="n">
        <x:f>IF(ISNUMBER('Quantification_Results'!AN455),IFERROR(ROUND(((('Quantification_Results'!AN455-'Quantification_Config'!$S$15)/('Quantification_Config'!$T$15-'Quantification_Config'!$S$15))*100),'Quantification_Config'!$U$2),""),"")</x:f>
        <x:v>50</x:v>
      </x:c>
      <x:c r="AP455" t="inlineStr">
        <x:is>
          <x:t xml:space="preserve">SYSTEM-TEST-ONLY-NO-NETWORK-NOT-AN-EDUCATIONAL-EVALUATION</x:t>
        </x:is>
      </x:c>
      <x:c r="AQ455" t="inlineStr">
        <x:is>
          <x:t xml:space="preserve"/>
        </x:is>
      </x:c>
      <x:c r="AR455" t="inlineStr">
        <x:is>
          <x:t xml:space="preserve">NONE</x:t>
        </x:is>
      </x:c>
      <x:c r="AS455" t="inlineStr">
        <x:is>
          <x:t xml:space="preserve"/>
        </x:is>
      </x:c>
      <x:c r="AT455" t="inlineStr">
        <x:is>
          <x:t xml:space="preserve">SUCCESS</x:t>
        </x:is>
      </x:c>
      <x:c r="AU455" t="n">
        <x:f>IF((COUNT('Quantification_Results'!AO455)=1),IFERROR(ROUND((SUM(('Quantification_Results'!AO455*'Quantification_Config'!$R$15))/SUM('Quantification_Config'!$R$15)),'Quantification_Config'!$U$2),""),"")</x:f>
        <x:v>50</x:v>
      </x:c>
      <x:c r="AV455" t="n">
        <x:f>IF((COUNT('Quantification_Results'!AU455)=1),IFERROR(ROUND((SUM(('Quantification_Results'!AU455*'Quantification_Config'!$R$14))/SUM('Quantification_Config'!$R$14)),'Quantification_Config'!$U$2),""),"")</x:f>
        <x:v>50</x:v>
      </x:c>
      <x:c r="AW455" t="n">
        <x:v>1</x:v>
      </x:c>
      <x:c r="AX455" t="n">
        <x:v>5</x:v>
      </x:c>
      <x:c r="AY455"/>
      <x:c r="AZ455" t="n">
        <x:f>IF(('Quantification_Results'!AW455&lt;&gt;1),"",IF(('Quantification_Results'!AY455=""),IF(ISNUMBER('Quantification_Results'!AX455),IF(('Quantification_Results'!AX455&lt;'Quantification_Config'!$S$19),"",IF(('Quantification_Results'!AX455&gt;'Quantification_Config'!$T$19),"",'Quantification_Results'!AX455)),""),IF(ISNUMBER('Quantification_Results'!AY455),IF(('Quantification_Results'!AY455&lt;'Quantification_Config'!$S$19),"",IF(('Quantification_Results'!AY455&gt;'Quantification_Config'!$T$19),"",'Quantification_Results'!AY455)),"")))</x:f>
        <x:v>5</x:v>
      </x:c>
      <x:c r="BA455" t="n">
        <x:f>IF(ISNUMBER('Quantification_Results'!AZ455),IFERROR(ROUND(((('Quantification_Results'!AZ455-'Quantification_Config'!$S$19)/('Quantification_Config'!$T$19-'Quantification_Config'!$S$19))*100),'Quantification_Config'!$U$2),""),"")</x:f>
        <x:v>50</x:v>
      </x:c>
      <x:c r="BB455" t="inlineStr">
        <x:is>
          <x:t xml:space="preserve">SYSTEM-TEST-ONLY-NO-NETWORK-NOT-AN-EDUCATIONAL-EVALUATION</x:t>
        </x:is>
      </x:c>
      <x:c r="BC455" t="inlineStr">
        <x:is>
          <x:t xml:space="preserve"/>
        </x:is>
      </x:c>
      <x:c r="BD455" t="inlineStr">
        <x:is>
          <x:t xml:space="preserve">NONE</x:t>
        </x:is>
      </x:c>
      <x:c r="BE455" t="inlineStr">
        <x:is>
          <x:t xml:space="preserve"/>
        </x:is>
      </x:c>
      <x:c r="BF455" t="inlineStr">
        <x:is>
          <x:t xml:space="preserve">SUCCESS</x:t>
        </x:is>
      </x:c>
      <x:c r="BG455" t="n">
        <x:f>IF((COUNT('Quantification_Results'!BA455)=1),IFERROR(ROUND((SUM(('Quantification_Results'!BA455*'Quantification_Config'!$R$19))/SUM('Quantification_Config'!$R$19)),'Quantification_Config'!$U$2),""),"")</x:f>
        <x:v>50</x:v>
      </x:c>
      <x:c r="BH455" t="n">
        <x:f>IF((COUNT('Quantification_Results'!BG455)=1),IFERROR(ROUND((SUM(('Quantification_Results'!BG455*'Quantification_Config'!$R$18))/SUM('Quantification_Config'!$R$18)),'Quantification_Config'!$U$2),""),"")</x:f>
        <x:v>50</x:v>
      </x:c>
      <x:c r="BI455">
        <x:f>IF((COUNT('Quantification_Results'!L455,'Quantification_Results'!X455,'Quantification_Results'!AJ455,'Quantification_Results'!AV455,'Quantification_Results'!BH455)=5),IFERROR(ROUND((SUM(('Quantification_Results'!L455*'Quantification_Config'!$R$4),('Quantification_Results'!X455*'Quantification_Config'!$R$7),('Quantification_Results'!AJ455*'Quantification_Config'!$R$10),('Quantification_Results'!AV455*'Quantification_Config'!$R$13),('Quantification_Results'!BH455*'Quantification_Config'!$R$16))/SUM('Quantification_Config'!$R$4,'Quantification_Config'!$R$7,'Quantification_Config'!$R$10,'Quantification_Config'!$R$13,'Quantification_Config'!$R$16)),'Quantification_Config'!$U$2),""),"")</x:f>
      </x:c>
    </x:row>
    <x:row r="456">
      <x:c r="A456" t="n">
        <x:v>1</x:v>
      </x:c>
      <x:c r="B456" t="n">
        <x:v>5</x:v>
      </x:c>
      <x:c r="C456"/>
      <x:c r="D456" t="n">
        <x:f>IF(('Quantification_Results'!A456&lt;&gt;1),"",IF(('Quantification_Results'!C456=""),IF(ISNUMBER('Quantification_Results'!B456),IF(('Quantification_Results'!B456&lt;'Quantification_Config'!$S$6),"",IF(('Quantification_Results'!B456&gt;'Quantification_Config'!$T$6),"",'Quantification_Results'!B456)),""),IF(ISNUMBER('Quantification_Results'!C456),IF(('Quantification_Results'!C456&lt;'Quantification_Config'!$S$6),"",IF(('Quantification_Results'!C456&gt;'Quantification_Config'!$T$6),"",'Quantification_Results'!C456)),"")))</x:f>
        <x:v>5</x:v>
      </x:c>
      <x:c r="E456" t="n">
        <x:f>IF(ISNUMBER('Quantification_Results'!D456),IFERROR(ROUND(((('Quantification_Results'!D456-'Quantification_Config'!$S$6)/('Quantification_Config'!$T$6-'Quantification_Config'!$S$6))*100),'Quantification_Config'!$U$2),""),"")</x:f>
        <x:v>50</x:v>
      </x:c>
      <x:c r="F456" t="inlineStr">
        <x:is>
          <x:t xml:space="preserve">SYSTEM-TEST-ONLY-NO-NETWORK-NOT-AN-EDUCATIONAL-EVALUATION</x:t>
        </x:is>
      </x:c>
      <x:c r="G456" t="inlineStr">
        <x:is>
          <x:t xml:space="preserve"/>
        </x:is>
      </x:c>
      <x:c r="H456" t="inlineStr">
        <x:is>
          <x:t xml:space="preserve">NONE</x:t>
        </x:is>
      </x:c>
      <x:c r="I456" t="inlineStr">
        <x:is>
          <x:t xml:space="preserve"/>
        </x:is>
      </x:c>
      <x:c r="J456" t="inlineStr">
        <x:is>
          <x:t xml:space="preserve">SUCCESS</x:t>
        </x:is>
      </x:c>
      <x:c r="K456" t="n">
        <x:f>IF((COUNT('Quantification_Results'!E456)=1),IFERROR(ROUND((SUM(('Quantification_Results'!E456*'Quantification_Config'!$R$6))/SUM('Quantification_Config'!$R$6)),'Quantification_Config'!$U$2),""),"")</x:f>
        <x:v>50</x:v>
      </x:c>
      <x:c r="L456" t="n">
        <x:f>IF((COUNT('Quantification_Results'!K456)=1),IFERROR(ROUND((SUM(('Quantification_Results'!K456*'Quantification_Config'!$R$5))/SUM('Quantification_Config'!$R$5)),'Quantification_Config'!$U$2),""),"")</x:f>
        <x:v>50</x:v>
      </x:c>
      <x:c r="M456" t="n">
        <x:v>1</x:v>
      </x:c>
      <x:c r="N456" t="n">
        <x:v>5</x:v>
      </x:c>
      <x:c r="O456"/>
      <x:c r="P456" t="n">
        <x:f>IF(('Quantification_Results'!M456&lt;&gt;1),"",IF(('Quantification_Results'!O456=""),IF(ISNUMBER('Quantification_Results'!N456),IF(('Quantification_Results'!N456&lt;'Quantification_Config'!$S$9),"",IF(('Quantification_Results'!N456&gt;'Quantification_Config'!$T$9),"",'Quantification_Results'!N456)),""),IF(ISNUMBER('Quantification_Results'!O456),IF(('Quantification_Results'!O456&lt;'Quantification_Config'!$S$9),"",IF(('Quantification_Results'!O456&gt;'Quantification_Config'!$T$9),"",'Quantification_Results'!O456)),"")))</x:f>
        <x:v>5</x:v>
      </x:c>
      <x:c r="Q456" t="n">
        <x:f>IF(ISNUMBER('Quantification_Results'!P456),IFERROR(ROUND(((('Quantification_Results'!P456-'Quantification_Config'!$S$9)/('Quantification_Config'!$T$9-'Quantification_Config'!$S$9))*100),'Quantification_Config'!$U$2),""),"")</x:f>
        <x:v>50</x:v>
      </x:c>
      <x:c r="R456" t="inlineStr">
        <x:is>
          <x:t xml:space="preserve">SYSTEM-TEST-ONLY-NO-NETWORK-NOT-AN-EDUCATIONAL-EVALUATION</x:t>
        </x:is>
      </x:c>
      <x:c r="S456" t="inlineStr">
        <x:is>
          <x:t xml:space="preserve"/>
        </x:is>
      </x:c>
      <x:c r="T456" t="inlineStr">
        <x:is>
          <x:t xml:space="preserve">NONE</x:t>
        </x:is>
      </x:c>
      <x:c r="U456" t="inlineStr">
        <x:is>
          <x:t xml:space="preserve"/>
        </x:is>
      </x:c>
      <x:c r="V456" t="inlineStr">
        <x:is>
          <x:t xml:space="preserve">SUCCESS</x:t>
        </x:is>
      </x:c>
      <x:c r="W456" t="n">
        <x:f>IF((COUNT('Quantification_Results'!Q456)=1),IFERROR(ROUND((SUM(('Quantification_Results'!Q456*'Quantification_Config'!$R$9))/SUM('Quantification_Config'!$R$9)),'Quantification_Config'!$U$2),""),"")</x:f>
        <x:v>50</x:v>
      </x:c>
      <x:c r="X456" t="n">
        <x:f>IF((COUNT('Quantification_Results'!W456)=1),IFERROR(ROUND((SUM(('Quantification_Results'!W456*'Quantification_Config'!$R$8))/SUM('Quantification_Config'!$R$8)),'Quantification_Config'!$U$2),""),"")</x:f>
        <x:v>50</x:v>
      </x:c>
      <x:c r="Y456" t="n">
        <x:v>0</x:v>
      </x:c>
      <x:c r="Z456"/>
      <x:c r="AA456"/>
      <x:c r="AB456">
        <x:f>IF(('Quantification_Results'!Y456&lt;&gt;1),"",IF(('Quantification_Results'!AA456=""),IF(ISNUMBER('Quantification_Results'!Z456),IF(('Quantification_Results'!Z456&lt;'Quantification_Config'!$S$12),"",IF(('Quantification_Results'!Z456&gt;'Quantification_Config'!$T$12),"",'Quantification_Results'!Z456)),""),IF(ISNUMBER('Quantification_Results'!AA456),IF(('Quantification_Results'!AA456&lt;'Quantification_Config'!$S$12),"",IF(('Quantification_Results'!AA456&gt;'Quantification_Config'!$T$12),"",'Quantification_Results'!AA456)),"")))</x:f>
      </x:c>
      <x:c r="AC456">
        <x:f>IF(ISNUMBER('Quantification_Results'!AB456),IFERROR(ROUND(((('Quantification_Results'!AB456-'Quantification_Config'!$S$12)/('Quantification_Config'!$T$12-'Quantification_Config'!$S$12))*100),'Quantification_Config'!$U$2),""),"")</x:f>
      </x:c>
      <x:c r="AD456" t="inlineStr">
        <x:is>
          <x:t xml:space="preserve"/>
        </x:is>
      </x:c>
      <x:c r="AE456" t="inlineStr">
        <x:is>
          <x:t xml:space="preserve"/>
        </x:is>
      </x:c>
      <x:c r="AF456" t="inlineStr">
        <x:is>
          <x:t xml:space="preserve"/>
        </x:is>
      </x:c>
      <x:c r="AG456" t="inlineStr">
        <x:is>
          <x:t xml:space="preserve"/>
        </x:is>
      </x:c>
      <x:c r="AH456" t="inlineStr">
        <x:is>
          <x:t xml:space="preserve">EMPTY</x:t>
        </x:is>
      </x:c>
      <x:c r="AI456">
        <x:f>IF((COUNT('Quantification_Results'!AC456)=1),IFERROR(ROUND((SUM(('Quantification_Results'!AC456*'Quantification_Config'!$R$12))/SUM('Quantification_Config'!$R$12)),'Quantification_Config'!$U$2),""),"")</x:f>
      </x:c>
      <x:c r="AJ456">
        <x:f>IF((COUNT('Quantification_Results'!AI456)=1),IFERROR(ROUND((SUM(('Quantification_Results'!AI456*'Quantification_Config'!$R$11))/SUM('Quantification_Config'!$R$11)),'Quantification_Config'!$U$2),""),"")</x:f>
      </x:c>
      <x:c r="AK456" t="n">
        <x:v>1</x:v>
      </x:c>
      <x:c r="AL456" t="n">
        <x:v>5</x:v>
      </x:c>
      <x:c r="AM456"/>
      <x:c r="AN456" t="n">
        <x:f>IF(('Quantification_Results'!AK456&lt;&gt;1),"",IF(('Quantification_Results'!AM456=""),IF(ISNUMBER('Quantification_Results'!AL456),IF(('Quantification_Results'!AL456&lt;'Quantification_Config'!$S$15),"",IF(('Quantification_Results'!AL456&gt;'Quantification_Config'!$T$15),"",'Quantification_Results'!AL456)),""),IF(ISNUMBER('Quantification_Results'!AM456),IF(('Quantification_Results'!AM456&lt;'Quantification_Config'!$S$15),"",IF(('Quantification_Results'!AM456&gt;'Quantification_Config'!$T$15),"",'Quantification_Results'!AM456)),"")))</x:f>
        <x:v>5</x:v>
      </x:c>
      <x:c r="AO456" t="n">
        <x:f>IF(ISNUMBER('Quantification_Results'!AN456),IFERROR(ROUND(((('Quantification_Results'!AN456-'Quantification_Config'!$S$15)/('Quantification_Config'!$T$15-'Quantification_Config'!$S$15))*100),'Quantification_Config'!$U$2),""),"")</x:f>
        <x:v>50</x:v>
      </x:c>
      <x:c r="AP456" t="inlineStr">
        <x:is>
          <x:t xml:space="preserve">SYSTEM-TEST-ONLY-NO-NETWORK-NOT-AN-EDUCATIONAL-EVALUATION</x:t>
        </x:is>
      </x:c>
      <x:c r="AQ456" t="inlineStr">
        <x:is>
          <x:t xml:space="preserve"/>
        </x:is>
      </x:c>
      <x:c r="AR456" t="inlineStr">
        <x:is>
          <x:t xml:space="preserve">NONE</x:t>
        </x:is>
      </x:c>
      <x:c r="AS456" t="inlineStr">
        <x:is>
          <x:t xml:space="preserve"/>
        </x:is>
      </x:c>
      <x:c r="AT456" t="inlineStr">
        <x:is>
          <x:t xml:space="preserve">SUCCESS</x:t>
        </x:is>
      </x:c>
      <x:c r="AU456" t="n">
        <x:f>IF((COUNT('Quantification_Results'!AO456)=1),IFERROR(ROUND((SUM(('Quantification_Results'!AO456*'Quantification_Config'!$R$15))/SUM('Quantification_Config'!$R$15)),'Quantification_Config'!$U$2),""),"")</x:f>
        <x:v>50</x:v>
      </x:c>
      <x:c r="AV456" t="n">
        <x:f>IF((COUNT('Quantification_Results'!AU456)=1),IFERROR(ROUND((SUM(('Quantification_Results'!AU456*'Quantification_Config'!$R$14))/SUM('Quantification_Config'!$R$14)),'Quantification_Config'!$U$2),""),"")</x:f>
        <x:v>50</x:v>
      </x:c>
      <x:c r="AW456" t="n">
        <x:v>1</x:v>
      </x:c>
      <x:c r="AX456" t="n">
        <x:v>5</x:v>
      </x:c>
      <x:c r="AY456"/>
      <x:c r="AZ456" t="n">
        <x:f>IF(('Quantification_Results'!AW456&lt;&gt;1),"",IF(('Quantification_Results'!AY456=""),IF(ISNUMBER('Quantification_Results'!AX456),IF(('Quantification_Results'!AX456&lt;'Quantification_Config'!$S$19),"",IF(('Quantification_Results'!AX456&gt;'Quantification_Config'!$T$19),"",'Quantification_Results'!AX456)),""),IF(ISNUMBER('Quantification_Results'!AY456),IF(('Quantification_Results'!AY456&lt;'Quantification_Config'!$S$19),"",IF(('Quantification_Results'!AY456&gt;'Quantification_Config'!$T$19),"",'Quantification_Results'!AY456)),"")))</x:f>
        <x:v>5</x:v>
      </x:c>
      <x:c r="BA456" t="n">
        <x:f>IF(ISNUMBER('Quantification_Results'!AZ456),IFERROR(ROUND(((('Quantification_Results'!AZ456-'Quantification_Config'!$S$19)/('Quantification_Config'!$T$19-'Quantification_Config'!$S$19))*100),'Quantification_Config'!$U$2),""),"")</x:f>
        <x:v>50</x:v>
      </x:c>
      <x:c r="BB456" t="inlineStr">
        <x:is>
          <x:t xml:space="preserve">SYSTEM-TEST-ONLY-NO-NETWORK-NOT-AN-EDUCATIONAL-EVALUATION</x:t>
        </x:is>
      </x:c>
      <x:c r="BC456" t="inlineStr">
        <x:is>
          <x:t xml:space="preserve"/>
        </x:is>
      </x:c>
      <x:c r="BD456" t="inlineStr">
        <x:is>
          <x:t xml:space="preserve">NONE</x:t>
        </x:is>
      </x:c>
      <x:c r="BE456" t="inlineStr">
        <x:is>
          <x:t xml:space="preserve"/>
        </x:is>
      </x:c>
      <x:c r="BF456" t="inlineStr">
        <x:is>
          <x:t xml:space="preserve">SUCCESS</x:t>
        </x:is>
      </x:c>
      <x:c r="BG456" t="n">
        <x:f>IF((COUNT('Quantification_Results'!BA456)=1),IFERROR(ROUND((SUM(('Quantification_Results'!BA456*'Quantification_Config'!$R$19))/SUM('Quantification_Config'!$R$19)),'Quantification_Config'!$U$2),""),"")</x:f>
        <x:v>50</x:v>
      </x:c>
      <x:c r="BH456" t="n">
        <x:f>IF((COUNT('Quantification_Results'!BG456)=1),IFERROR(ROUND((SUM(('Quantification_Results'!BG456*'Quantification_Config'!$R$18))/SUM('Quantification_Config'!$R$18)),'Quantification_Config'!$U$2),""),"")</x:f>
        <x:v>50</x:v>
      </x:c>
      <x:c r="BI456">
        <x:f>IF((COUNT('Quantification_Results'!L456,'Quantification_Results'!X456,'Quantification_Results'!AJ456,'Quantification_Results'!AV456,'Quantification_Results'!BH456)=5),IFERROR(ROUND((SUM(('Quantification_Results'!L456*'Quantification_Config'!$R$4),('Quantification_Results'!X456*'Quantification_Config'!$R$7),('Quantification_Results'!AJ456*'Quantification_Config'!$R$10),('Quantification_Results'!AV456*'Quantification_Config'!$R$13),('Quantification_Results'!BH456*'Quantification_Config'!$R$16))/SUM('Quantification_Config'!$R$4,'Quantification_Config'!$R$7,'Quantification_Config'!$R$10,'Quantification_Config'!$R$13,'Quantification_Config'!$R$16)),'Quantification_Config'!$U$2),""),"")</x:f>
      </x:c>
    </x:row>
    <x:row r="457">
      <x:c r="A457" t="n">
        <x:v>1</x:v>
      </x:c>
      <x:c r="B457" t="n">
        <x:v>5</x:v>
      </x:c>
      <x:c r="C457"/>
      <x:c r="D457" t="n">
        <x:f>IF(('Quantification_Results'!A457&lt;&gt;1),"",IF(('Quantification_Results'!C457=""),IF(ISNUMBER('Quantification_Results'!B457),IF(('Quantification_Results'!B457&lt;'Quantification_Config'!$S$6),"",IF(('Quantification_Results'!B457&gt;'Quantification_Config'!$T$6),"",'Quantification_Results'!B457)),""),IF(ISNUMBER('Quantification_Results'!C457),IF(('Quantification_Results'!C457&lt;'Quantification_Config'!$S$6),"",IF(('Quantification_Results'!C457&gt;'Quantification_Config'!$T$6),"",'Quantification_Results'!C457)),"")))</x:f>
        <x:v>5</x:v>
      </x:c>
      <x:c r="E457" t="n">
        <x:f>IF(ISNUMBER('Quantification_Results'!D457),IFERROR(ROUND(((('Quantification_Results'!D457-'Quantification_Config'!$S$6)/('Quantification_Config'!$T$6-'Quantification_Config'!$S$6))*100),'Quantification_Config'!$U$2),""),"")</x:f>
        <x:v>50</x:v>
      </x:c>
      <x:c r="F457" t="inlineStr">
        <x:is>
          <x:t xml:space="preserve">SYSTEM-TEST-ONLY-NO-NETWORK-NOT-AN-EDUCATIONAL-EVALUATION</x:t>
        </x:is>
      </x:c>
      <x:c r="G457" t="inlineStr">
        <x:is>
          <x:t xml:space="preserve"/>
        </x:is>
      </x:c>
      <x:c r="H457" t="inlineStr">
        <x:is>
          <x:t xml:space="preserve">NONE</x:t>
        </x:is>
      </x:c>
      <x:c r="I457" t="inlineStr">
        <x:is>
          <x:t xml:space="preserve"/>
        </x:is>
      </x:c>
      <x:c r="J457" t="inlineStr">
        <x:is>
          <x:t xml:space="preserve">SUCCESS</x:t>
        </x:is>
      </x:c>
      <x:c r="K457" t="n">
        <x:f>IF((COUNT('Quantification_Results'!E457)=1),IFERROR(ROUND((SUM(('Quantification_Results'!E457*'Quantification_Config'!$R$6))/SUM('Quantification_Config'!$R$6)),'Quantification_Config'!$U$2),""),"")</x:f>
        <x:v>50</x:v>
      </x:c>
      <x:c r="L457" t="n">
        <x:f>IF((COUNT('Quantification_Results'!K457)=1),IFERROR(ROUND((SUM(('Quantification_Results'!K457*'Quantification_Config'!$R$5))/SUM('Quantification_Config'!$R$5)),'Quantification_Config'!$U$2),""),"")</x:f>
        <x:v>50</x:v>
      </x:c>
      <x:c r="M457" t="n">
        <x:v>1</x:v>
      </x:c>
      <x:c r="N457" t="n">
        <x:v>5</x:v>
      </x:c>
      <x:c r="O457"/>
      <x:c r="P457" t="n">
        <x:f>IF(('Quantification_Results'!M457&lt;&gt;1),"",IF(('Quantification_Results'!O457=""),IF(ISNUMBER('Quantification_Results'!N457),IF(('Quantification_Results'!N457&lt;'Quantification_Config'!$S$9),"",IF(('Quantification_Results'!N457&gt;'Quantification_Config'!$T$9),"",'Quantification_Results'!N457)),""),IF(ISNUMBER('Quantification_Results'!O457),IF(('Quantification_Results'!O457&lt;'Quantification_Config'!$S$9),"",IF(('Quantification_Results'!O457&gt;'Quantification_Config'!$T$9),"",'Quantification_Results'!O457)),"")))</x:f>
        <x:v>5</x:v>
      </x:c>
      <x:c r="Q457" t="n">
        <x:f>IF(ISNUMBER('Quantification_Results'!P457),IFERROR(ROUND(((('Quantification_Results'!P457-'Quantification_Config'!$S$9)/('Quantification_Config'!$T$9-'Quantification_Config'!$S$9))*100),'Quantification_Config'!$U$2),""),"")</x:f>
        <x:v>50</x:v>
      </x:c>
      <x:c r="R457" t="inlineStr">
        <x:is>
          <x:t xml:space="preserve">SYSTEM-TEST-ONLY-NO-NETWORK-NOT-AN-EDUCATIONAL-EVALUATION</x:t>
        </x:is>
      </x:c>
      <x:c r="S457" t="inlineStr">
        <x:is>
          <x:t xml:space="preserve"/>
        </x:is>
      </x:c>
      <x:c r="T457" t="inlineStr">
        <x:is>
          <x:t xml:space="preserve">NONE</x:t>
        </x:is>
      </x:c>
      <x:c r="U457" t="inlineStr">
        <x:is>
          <x:t xml:space="preserve"/>
        </x:is>
      </x:c>
      <x:c r="V457" t="inlineStr">
        <x:is>
          <x:t xml:space="preserve">SUCCESS</x:t>
        </x:is>
      </x:c>
      <x:c r="W457" t="n">
        <x:f>IF((COUNT('Quantification_Results'!Q457)=1),IFERROR(ROUND((SUM(('Quantification_Results'!Q457*'Quantification_Config'!$R$9))/SUM('Quantification_Config'!$R$9)),'Quantification_Config'!$U$2),""),"")</x:f>
        <x:v>50</x:v>
      </x:c>
      <x:c r="X457" t="n">
        <x:f>IF((COUNT('Quantification_Results'!W457)=1),IFERROR(ROUND((SUM(('Quantification_Results'!W457*'Quantification_Config'!$R$8))/SUM('Quantification_Config'!$R$8)),'Quantification_Config'!$U$2),""),"")</x:f>
        <x:v>50</x:v>
      </x:c>
      <x:c r="Y457" t="n">
        <x:v>0</x:v>
      </x:c>
      <x:c r="Z457"/>
      <x:c r="AA457"/>
      <x:c r="AB457">
        <x:f>IF(('Quantification_Results'!Y457&lt;&gt;1),"",IF(('Quantification_Results'!AA457=""),IF(ISNUMBER('Quantification_Results'!Z457),IF(('Quantification_Results'!Z457&lt;'Quantification_Config'!$S$12),"",IF(('Quantification_Results'!Z457&gt;'Quantification_Config'!$T$12),"",'Quantification_Results'!Z457)),""),IF(ISNUMBER('Quantification_Results'!AA457),IF(('Quantification_Results'!AA457&lt;'Quantification_Config'!$S$12),"",IF(('Quantification_Results'!AA457&gt;'Quantification_Config'!$T$12),"",'Quantification_Results'!AA457)),"")))</x:f>
      </x:c>
      <x:c r="AC457">
        <x:f>IF(ISNUMBER('Quantification_Results'!AB457),IFERROR(ROUND(((('Quantification_Results'!AB457-'Quantification_Config'!$S$12)/('Quantification_Config'!$T$12-'Quantification_Config'!$S$12))*100),'Quantification_Config'!$U$2),""),"")</x:f>
      </x:c>
      <x:c r="AD457" t="inlineStr">
        <x:is>
          <x:t xml:space="preserve"/>
        </x:is>
      </x:c>
      <x:c r="AE457" t="inlineStr">
        <x:is>
          <x:t xml:space="preserve"/>
        </x:is>
      </x:c>
      <x:c r="AF457" t="inlineStr">
        <x:is>
          <x:t xml:space="preserve"/>
        </x:is>
      </x:c>
      <x:c r="AG457" t="inlineStr">
        <x:is>
          <x:t xml:space="preserve"/>
        </x:is>
      </x:c>
      <x:c r="AH457" t="inlineStr">
        <x:is>
          <x:t xml:space="preserve">EMPTY</x:t>
        </x:is>
      </x:c>
      <x:c r="AI457">
        <x:f>IF((COUNT('Quantification_Results'!AC457)=1),IFERROR(ROUND((SUM(('Quantification_Results'!AC457*'Quantification_Config'!$R$12))/SUM('Quantification_Config'!$R$12)),'Quantification_Config'!$U$2),""),"")</x:f>
      </x:c>
      <x:c r="AJ457">
        <x:f>IF((COUNT('Quantification_Results'!AI457)=1),IFERROR(ROUND((SUM(('Quantification_Results'!AI457*'Quantification_Config'!$R$11))/SUM('Quantification_Config'!$R$11)),'Quantification_Config'!$U$2),""),"")</x:f>
      </x:c>
      <x:c r="AK457" t="n">
        <x:v>1</x:v>
      </x:c>
      <x:c r="AL457" t="n">
        <x:v>5</x:v>
      </x:c>
      <x:c r="AM457"/>
      <x:c r="AN457" t="n">
        <x:f>IF(('Quantification_Results'!AK457&lt;&gt;1),"",IF(('Quantification_Results'!AM457=""),IF(ISNUMBER('Quantification_Results'!AL457),IF(('Quantification_Results'!AL457&lt;'Quantification_Config'!$S$15),"",IF(('Quantification_Results'!AL457&gt;'Quantification_Config'!$T$15),"",'Quantification_Results'!AL457)),""),IF(ISNUMBER('Quantification_Results'!AM457),IF(('Quantification_Results'!AM457&lt;'Quantification_Config'!$S$15),"",IF(('Quantification_Results'!AM457&gt;'Quantification_Config'!$T$15),"",'Quantification_Results'!AM457)),"")))</x:f>
        <x:v>5</x:v>
      </x:c>
      <x:c r="AO457" t="n">
        <x:f>IF(ISNUMBER('Quantification_Results'!AN457),IFERROR(ROUND(((('Quantification_Results'!AN457-'Quantification_Config'!$S$15)/('Quantification_Config'!$T$15-'Quantification_Config'!$S$15))*100),'Quantification_Config'!$U$2),""),"")</x:f>
        <x:v>50</x:v>
      </x:c>
      <x:c r="AP457" t="inlineStr">
        <x:is>
          <x:t xml:space="preserve">SYSTEM-TEST-ONLY-NO-NETWORK-NOT-AN-EDUCATIONAL-EVALUATION</x:t>
        </x:is>
      </x:c>
      <x:c r="AQ457" t="inlineStr">
        <x:is>
          <x:t xml:space="preserve"/>
        </x:is>
      </x:c>
      <x:c r="AR457" t="inlineStr">
        <x:is>
          <x:t xml:space="preserve">NONE</x:t>
        </x:is>
      </x:c>
      <x:c r="AS457" t="inlineStr">
        <x:is>
          <x:t xml:space="preserve"/>
        </x:is>
      </x:c>
      <x:c r="AT457" t="inlineStr">
        <x:is>
          <x:t xml:space="preserve">SUCCESS</x:t>
        </x:is>
      </x:c>
      <x:c r="AU457" t="n">
        <x:f>IF((COUNT('Quantification_Results'!AO457)=1),IFERROR(ROUND((SUM(('Quantification_Results'!AO457*'Quantification_Config'!$R$15))/SUM('Quantification_Config'!$R$15)),'Quantification_Config'!$U$2),""),"")</x:f>
        <x:v>50</x:v>
      </x:c>
      <x:c r="AV457" t="n">
        <x:f>IF((COUNT('Quantification_Results'!AU457)=1),IFERROR(ROUND((SUM(('Quantification_Results'!AU457*'Quantification_Config'!$R$14))/SUM('Quantification_Config'!$R$14)),'Quantification_Config'!$U$2),""),"")</x:f>
        <x:v>50</x:v>
      </x:c>
      <x:c r="AW457" t="n">
        <x:v>1</x:v>
      </x:c>
      <x:c r="AX457" t="n">
        <x:v>5</x:v>
      </x:c>
      <x:c r="AY457"/>
      <x:c r="AZ457" t="n">
        <x:f>IF(('Quantification_Results'!AW457&lt;&gt;1),"",IF(('Quantification_Results'!AY457=""),IF(ISNUMBER('Quantification_Results'!AX457),IF(('Quantification_Results'!AX457&lt;'Quantification_Config'!$S$19),"",IF(('Quantification_Results'!AX457&gt;'Quantification_Config'!$T$19),"",'Quantification_Results'!AX457)),""),IF(ISNUMBER('Quantification_Results'!AY457),IF(('Quantification_Results'!AY457&lt;'Quantification_Config'!$S$19),"",IF(('Quantification_Results'!AY457&gt;'Quantification_Config'!$T$19),"",'Quantification_Results'!AY457)),"")))</x:f>
        <x:v>5</x:v>
      </x:c>
      <x:c r="BA457" t="n">
        <x:f>IF(ISNUMBER('Quantification_Results'!AZ457),IFERROR(ROUND(((('Quantification_Results'!AZ457-'Quantification_Config'!$S$19)/('Quantification_Config'!$T$19-'Quantification_Config'!$S$19))*100),'Quantification_Config'!$U$2),""),"")</x:f>
        <x:v>50</x:v>
      </x:c>
      <x:c r="BB457" t="inlineStr">
        <x:is>
          <x:t xml:space="preserve">SYSTEM-TEST-ONLY-NO-NETWORK-NOT-AN-EDUCATIONAL-EVALUATION</x:t>
        </x:is>
      </x:c>
      <x:c r="BC457" t="inlineStr">
        <x:is>
          <x:t xml:space="preserve"/>
        </x:is>
      </x:c>
      <x:c r="BD457" t="inlineStr">
        <x:is>
          <x:t xml:space="preserve">NONE</x:t>
        </x:is>
      </x:c>
      <x:c r="BE457" t="inlineStr">
        <x:is>
          <x:t xml:space="preserve"/>
        </x:is>
      </x:c>
      <x:c r="BF457" t="inlineStr">
        <x:is>
          <x:t xml:space="preserve">SUCCESS</x:t>
        </x:is>
      </x:c>
      <x:c r="BG457" t="n">
        <x:f>IF((COUNT('Quantification_Results'!BA457)=1),IFERROR(ROUND((SUM(('Quantification_Results'!BA457*'Quantification_Config'!$R$19))/SUM('Quantification_Config'!$R$19)),'Quantification_Config'!$U$2),""),"")</x:f>
        <x:v>50</x:v>
      </x:c>
      <x:c r="BH457" t="n">
        <x:f>IF((COUNT('Quantification_Results'!BG457)=1),IFERROR(ROUND((SUM(('Quantification_Results'!BG457*'Quantification_Config'!$R$18))/SUM('Quantification_Config'!$R$18)),'Quantification_Config'!$U$2),""),"")</x:f>
        <x:v>50</x:v>
      </x:c>
      <x:c r="BI457">
        <x:f>IF((COUNT('Quantification_Results'!L457,'Quantification_Results'!X457,'Quantification_Results'!AJ457,'Quantification_Results'!AV457,'Quantification_Results'!BH457)=5),IFERROR(ROUND((SUM(('Quantification_Results'!L457*'Quantification_Config'!$R$4),('Quantification_Results'!X457*'Quantification_Config'!$R$7),('Quantification_Results'!AJ457*'Quantification_Config'!$R$10),('Quantification_Results'!AV457*'Quantification_Config'!$R$13),('Quantification_Results'!BH457*'Quantification_Config'!$R$16))/SUM('Quantification_Config'!$R$4,'Quantification_Config'!$R$7,'Quantification_Config'!$R$10,'Quantification_Config'!$R$13,'Quantification_Config'!$R$16)),'Quantification_Config'!$U$2),""),"")</x:f>
      </x:c>
    </x:row>
    <x:row r="458">
      <x:c r="A458" t="n">
        <x:v>1</x:v>
      </x:c>
      <x:c r="B458" t="n">
        <x:v>5</x:v>
      </x:c>
      <x:c r="C458"/>
      <x:c r="D458" t="n">
        <x:f>IF(('Quantification_Results'!A458&lt;&gt;1),"",IF(('Quantification_Results'!C458=""),IF(ISNUMBER('Quantification_Results'!B458),IF(('Quantification_Results'!B458&lt;'Quantification_Config'!$S$6),"",IF(('Quantification_Results'!B458&gt;'Quantification_Config'!$T$6),"",'Quantification_Results'!B458)),""),IF(ISNUMBER('Quantification_Results'!C458),IF(('Quantification_Results'!C458&lt;'Quantification_Config'!$S$6),"",IF(('Quantification_Results'!C458&gt;'Quantification_Config'!$T$6),"",'Quantification_Results'!C458)),"")))</x:f>
        <x:v>5</x:v>
      </x:c>
      <x:c r="E458" t="n">
        <x:f>IF(ISNUMBER('Quantification_Results'!D458),IFERROR(ROUND(((('Quantification_Results'!D458-'Quantification_Config'!$S$6)/('Quantification_Config'!$T$6-'Quantification_Config'!$S$6))*100),'Quantification_Config'!$U$2),""),"")</x:f>
        <x:v>50</x:v>
      </x:c>
      <x:c r="F458" t="inlineStr">
        <x:is>
          <x:t xml:space="preserve">SYSTEM-TEST-ONLY-NO-NETWORK-NOT-AN-EDUCATIONAL-EVALUATION</x:t>
        </x:is>
      </x:c>
      <x:c r="G458" t="inlineStr">
        <x:is>
          <x:t xml:space="preserve"/>
        </x:is>
      </x:c>
      <x:c r="H458" t="inlineStr">
        <x:is>
          <x:t xml:space="preserve">NONE</x:t>
        </x:is>
      </x:c>
      <x:c r="I458" t="inlineStr">
        <x:is>
          <x:t xml:space="preserve"/>
        </x:is>
      </x:c>
      <x:c r="J458" t="inlineStr">
        <x:is>
          <x:t xml:space="preserve">SUCCESS</x:t>
        </x:is>
      </x:c>
      <x:c r="K458" t="n">
        <x:f>IF((COUNT('Quantification_Results'!E458)=1),IFERROR(ROUND((SUM(('Quantification_Results'!E458*'Quantification_Config'!$R$6))/SUM('Quantification_Config'!$R$6)),'Quantification_Config'!$U$2),""),"")</x:f>
        <x:v>50</x:v>
      </x:c>
      <x:c r="L458" t="n">
        <x:f>IF((COUNT('Quantification_Results'!K458)=1),IFERROR(ROUND((SUM(('Quantification_Results'!K458*'Quantification_Config'!$R$5))/SUM('Quantification_Config'!$R$5)),'Quantification_Config'!$U$2),""),"")</x:f>
        <x:v>50</x:v>
      </x:c>
      <x:c r="M458" t="n">
        <x:v>1</x:v>
      </x:c>
      <x:c r="N458" t="n">
        <x:v>5</x:v>
      </x:c>
      <x:c r="O458"/>
      <x:c r="P458" t="n">
        <x:f>IF(('Quantification_Results'!M458&lt;&gt;1),"",IF(('Quantification_Results'!O458=""),IF(ISNUMBER('Quantification_Results'!N458),IF(('Quantification_Results'!N458&lt;'Quantification_Config'!$S$9),"",IF(('Quantification_Results'!N458&gt;'Quantification_Config'!$T$9),"",'Quantification_Results'!N458)),""),IF(ISNUMBER('Quantification_Results'!O458),IF(('Quantification_Results'!O458&lt;'Quantification_Config'!$S$9),"",IF(('Quantification_Results'!O458&gt;'Quantification_Config'!$T$9),"",'Quantification_Results'!O458)),"")))</x:f>
        <x:v>5</x:v>
      </x:c>
      <x:c r="Q458" t="n">
        <x:f>IF(ISNUMBER('Quantification_Results'!P458),IFERROR(ROUND(((('Quantification_Results'!P458-'Quantification_Config'!$S$9)/('Quantification_Config'!$T$9-'Quantification_Config'!$S$9))*100),'Quantification_Config'!$U$2),""),"")</x:f>
        <x:v>50</x:v>
      </x:c>
      <x:c r="R458" t="inlineStr">
        <x:is>
          <x:t xml:space="preserve">SYSTEM-TEST-ONLY-NO-NETWORK-NOT-AN-EDUCATIONAL-EVALUATION</x:t>
        </x:is>
      </x:c>
      <x:c r="S458" t="inlineStr">
        <x:is>
          <x:t xml:space="preserve"/>
        </x:is>
      </x:c>
      <x:c r="T458" t="inlineStr">
        <x:is>
          <x:t xml:space="preserve">NONE</x:t>
        </x:is>
      </x:c>
      <x:c r="U458" t="inlineStr">
        <x:is>
          <x:t xml:space="preserve"/>
        </x:is>
      </x:c>
      <x:c r="V458" t="inlineStr">
        <x:is>
          <x:t xml:space="preserve">SUCCESS</x:t>
        </x:is>
      </x:c>
      <x:c r="W458" t="n">
        <x:f>IF((COUNT('Quantification_Results'!Q458)=1),IFERROR(ROUND((SUM(('Quantification_Results'!Q458*'Quantification_Config'!$R$9))/SUM('Quantification_Config'!$R$9)),'Quantification_Config'!$U$2),""),"")</x:f>
        <x:v>50</x:v>
      </x:c>
      <x:c r="X458" t="n">
        <x:f>IF((COUNT('Quantification_Results'!W458)=1),IFERROR(ROUND((SUM(('Quantification_Results'!W458*'Quantification_Config'!$R$8))/SUM('Quantification_Config'!$R$8)),'Quantification_Config'!$U$2),""),"")</x:f>
        <x:v>50</x:v>
      </x:c>
      <x:c r="Y458" t="n">
        <x:v>0</x:v>
      </x:c>
      <x:c r="Z458"/>
      <x:c r="AA458"/>
      <x:c r="AB458">
        <x:f>IF(('Quantification_Results'!Y458&lt;&gt;1),"",IF(('Quantification_Results'!AA458=""),IF(ISNUMBER('Quantification_Results'!Z458),IF(('Quantification_Results'!Z458&lt;'Quantification_Config'!$S$12),"",IF(('Quantification_Results'!Z458&gt;'Quantification_Config'!$T$12),"",'Quantification_Results'!Z458)),""),IF(ISNUMBER('Quantification_Results'!AA458),IF(('Quantification_Results'!AA458&lt;'Quantification_Config'!$S$12),"",IF(('Quantification_Results'!AA458&gt;'Quantification_Config'!$T$12),"",'Quantification_Results'!AA458)),"")))</x:f>
      </x:c>
      <x:c r="AC458">
        <x:f>IF(ISNUMBER('Quantification_Results'!AB458),IFERROR(ROUND(((('Quantification_Results'!AB458-'Quantification_Config'!$S$12)/('Quantification_Config'!$T$12-'Quantification_Config'!$S$12))*100),'Quantification_Config'!$U$2),""),"")</x:f>
      </x:c>
      <x:c r="AD458" t="inlineStr">
        <x:is>
          <x:t xml:space="preserve"/>
        </x:is>
      </x:c>
      <x:c r="AE458" t="inlineStr">
        <x:is>
          <x:t xml:space="preserve"/>
        </x:is>
      </x:c>
      <x:c r="AF458" t="inlineStr">
        <x:is>
          <x:t xml:space="preserve"/>
        </x:is>
      </x:c>
      <x:c r="AG458" t="inlineStr">
        <x:is>
          <x:t xml:space="preserve"/>
        </x:is>
      </x:c>
      <x:c r="AH458" t="inlineStr">
        <x:is>
          <x:t xml:space="preserve">EMPTY</x:t>
        </x:is>
      </x:c>
      <x:c r="AI458">
        <x:f>IF((COUNT('Quantification_Results'!AC458)=1),IFERROR(ROUND((SUM(('Quantification_Results'!AC458*'Quantification_Config'!$R$12))/SUM('Quantification_Config'!$R$12)),'Quantification_Config'!$U$2),""),"")</x:f>
      </x:c>
      <x:c r="AJ458">
        <x:f>IF((COUNT('Quantification_Results'!AI458)=1),IFERROR(ROUND((SUM(('Quantification_Results'!AI458*'Quantification_Config'!$R$11))/SUM('Quantification_Config'!$R$11)),'Quantification_Config'!$U$2),""),"")</x:f>
      </x:c>
      <x:c r="AK458" t="n">
        <x:v>1</x:v>
      </x:c>
      <x:c r="AL458" t="n">
        <x:v>5</x:v>
      </x:c>
      <x:c r="AM458"/>
      <x:c r="AN458" t="n">
        <x:f>IF(('Quantification_Results'!AK458&lt;&gt;1),"",IF(('Quantification_Results'!AM458=""),IF(ISNUMBER('Quantification_Results'!AL458),IF(('Quantification_Results'!AL458&lt;'Quantification_Config'!$S$15),"",IF(('Quantification_Results'!AL458&gt;'Quantification_Config'!$T$15),"",'Quantification_Results'!AL458)),""),IF(ISNUMBER('Quantification_Results'!AM458),IF(('Quantification_Results'!AM458&lt;'Quantification_Config'!$S$15),"",IF(('Quantification_Results'!AM458&gt;'Quantification_Config'!$T$15),"",'Quantification_Results'!AM458)),"")))</x:f>
        <x:v>5</x:v>
      </x:c>
      <x:c r="AO458" t="n">
        <x:f>IF(ISNUMBER('Quantification_Results'!AN458),IFERROR(ROUND(((('Quantification_Results'!AN458-'Quantification_Config'!$S$15)/('Quantification_Config'!$T$15-'Quantification_Config'!$S$15))*100),'Quantification_Config'!$U$2),""),"")</x:f>
        <x:v>50</x:v>
      </x:c>
      <x:c r="AP458" t="inlineStr">
        <x:is>
          <x:t xml:space="preserve">SYSTEM-TEST-ONLY-NO-NETWORK-NOT-AN-EDUCATIONAL-EVALUATION</x:t>
        </x:is>
      </x:c>
      <x:c r="AQ458" t="inlineStr">
        <x:is>
          <x:t xml:space="preserve"/>
        </x:is>
      </x:c>
      <x:c r="AR458" t="inlineStr">
        <x:is>
          <x:t xml:space="preserve">NONE</x:t>
        </x:is>
      </x:c>
      <x:c r="AS458" t="inlineStr">
        <x:is>
          <x:t xml:space="preserve"/>
        </x:is>
      </x:c>
      <x:c r="AT458" t="inlineStr">
        <x:is>
          <x:t xml:space="preserve">SUCCESS</x:t>
        </x:is>
      </x:c>
      <x:c r="AU458" t="n">
        <x:f>IF((COUNT('Quantification_Results'!AO458)=1),IFERROR(ROUND((SUM(('Quantification_Results'!AO458*'Quantification_Config'!$R$15))/SUM('Quantification_Config'!$R$15)),'Quantification_Config'!$U$2),""),"")</x:f>
        <x:v>50</x:v>
      </x:c>
      <x:c r="AV458" t="n">
        <x:f>IF((COUNT('Quantification_Results'!AU458)=1),IFERROR(ROUND((SUM(('Quantification_Results'!AU458*'Quantification_Config'!$R$14))/SUM('Quantification_Config'!$R$14)),'Quantification_Config'!$U$2),""),"")</x:f>
        <x:v>50</x:v>
      </x:c>
      <x:c r="AW458" t="n">
        <x:v>0</x:v>
      </x:c>
      <x:c r="AX458"/>
      <x:c r="AY458"/>
      <x:c r="AZ458">
        <x:f>IF(('Quantification_Results'!AW458&lt;&gt;1),"",IF(('Quantification_Results'!AY458=""),IF(ISNUMBER('Quantification_Results'!AX458),IF(('Quantification_Results'!AX458&lt;'Quantification_Config'!$S$19),"",IF(('Quantification_Results'!AX458&gt;'Quantification_Config'!$T$19),"",'Quantification_Results'!AX458)),""),IF(ISNUMBER('Quantification_Results'!AY458),IF(('Quantification_Results'!AY458&lt;'Quantification_Config'!$S$19),"",IF(('Quantification_Results'!AY458&gt;'Quantification_Config'!$T$19),"",'Quantification_Results'!AY458)),"")))</x:f>
      </x:c>
      <x:c r="BA458">
        <x:f>IF(ISNUMBER('Quantification_Results'!AZ458),IFERROR(ROUND(((('Quantification_Results'!AZ458-'Quantification_Config'!$S$19)/('Quantification_Config'!$T$19-'Quantification_Config'!$S$19))*100),'Quantification_Config'!$U$2),""),"")</x:f>
      </x:c>
      <x:c r="BB458" t="inlineStr">
        <x:is>
          <x:t xml:space="preserve"/>
        </x:is>
      </x:c>
      <x:c r="BC458" t="inlineStr">
        <x:is>
          <x:t xml:space="preserve"/>
        </x:is>
      </x:c>
      <x:c r="BD458" t="inlineStr">
        <x:is>
          <x:t xml:space="preserve"/>
        </x:is>
      </x:c>
      <x:c r="BE458" t="inlineStr">
        <x:is>
          <x:t xml:space="preserve"/>
        </x:is>
      </x:c>
      <x:c r="BF458" t="inlineStr">
        <x:is>
          <x:t xml:space="preserve">EMPTY</x:t>
        </x:is>
      </x:c>
      <x:c r="BG458">
        <x:f>IF((COUNT('Quantification_Results'!BA458)=1),IFERROR(ROUND((SUM(('Quantification_Results'!BA458*'Quantification_Config'!$R$19))/SUM('Quantification_Config'!$R$19)),'Quantification_Config'!$U$2),""),"")</x:f>
      </x:c>
      <x:c r="BH458">
        <x:f>IF((COUNT('Quantification_Results'!BG458)=1),IFERROR(ROUND((SUM(('Quantification_Results'!BG458*'Quantification_Config'!$R$18))/SUM('Quantification_Config'!$R$18)),'Quantification_Config'!$U$2),""),"")</x:f>
      </x:c>
      <x:c r="BI458">
        <x:f>IF((COUNT('Quantification_Results'!L458,'Quantification_Results'!X458,'Quantification_Results'!AJ458,'Quantification_Results'!AV458,'Quantification_Results'!BH458)=5),IFERROR(ROUND((SUM(('Quantification_Results'!L458*'Quantification_Config'!$R$4),('Quantification_Results'!X458*'Quantification_Config'!$R$7),('Quantification_Results'!AJ458*'Quantification_Config'!$R$10),('Quantification_Results'!AV458*'Quantification_Config'!$R$13),('Quantification_Results'!BH458*'Quantification_Config'!$R$16))/SUM('Quantification_Config'!$R$4,'Quantification_Config'!$R$7,'Quantification_Config'!$R$10,'Quantification_Config'!$R$13,'Quantification_Config'!$R$16)),'Quantification_Config'!$U$2),""),"")</x:f>
      </x:c>
    </x:row>
    <x:row r="459">
      <x:c r="A459" t="n">
        <x:v>1</x:v>
      </x:c>
      <x:c r="B459" t="n">
        <x:v>5</x:v>
      </x:c>
      <x:c r="C459"/>
      <x:c r="D459" t="n">
        <x:f>IF(('Quantification_Results'!A459&lt;&gt;1),"",IF(('Quantification_Results'!C459=""),IF(ISNUMBER('Quantification_Results'!B459),IF(('Quantification_Results'!B459&lt;'Quantification_Config'!$S$6),"",IF(('Quantification_Results'!B459&gt;'Quantification_Config'!$T$6),"",'Quantification_Results'!B459)),""),IF(ISNUMBER('Quantification_Results'!C459),IF(('Quantification_Results'!C459&lt;'Quantification_Config'!$S$6),"",IF(('Quantification_Results'!C459&gt;'Quantification_Config'!$T$6),"",'Quantification_Results'!C459)),"")))</x:f>
        <x:v>5</x:v>
      </x:c>
      <x:c r="E459" t="n">
        <x:f>IF(ISNUMBER('Quantification_Results'!D459),IFERROR(ROUND(((('Quantification_Results'!D459-'Quantification_Config'!$S$6)/('Quantification_Config'!$T$6-'Quantification_Config'!$S$6))*100),'Quantification_Config'!$U$2),""),"")</x:f>
        <x:v>50</x:v>
      </x:c>
      <x:c r="F459" t="inlineStr">
        <x:is>
          <x:t xml:space="preserve">SYSTEM-TEST-ONLY-NO-NETWORK-NOT-AN-EDUCATIONAL-EVALUATION</x:t>
        </x:is>
      </x:c>
      <x:c r="G459" t="inlineStr">
        <x:is>
          <x:t xml:space="preserve"/>
        </x:is>
      </x:c>
      <x:c r="H459" t="inlineStr">
        <x:is>
          <x:t xml:space="preserve">NONE</x:t>
        </x:is>
      </x:c>
      <x:c r="I459" t="inlineStr">
        <x:is>
          <x:t xml:space="preserve"/>
        </x:is>
      </x:c>
      <x:c r="J459" t="inlineStr">
        <x:is>
          <x:t xml:space="preserve">SUCCESS</x:t>
        </x:is>
      </x:c>
      <x:c r="K459" t="n">
        <x:f>IF((COUNT('Quantification_Results'!E459)=1),IFERROR(ROUND((SUM(('Quantification_Results'!E459*'Quantification_Config'!$R$6))/SUM('Quantification_Config'!$R$6)),'Quantification_Config'!$U$2),""),"")</x:f>
        <x:v>50</x:v>
      </x:c>
      <x:c r="L459" t="n">
        <x:f>IF((COUNT('Quantification_Results'!K459)=1),IFERROR(ROUND((SUM(('Quantification_Results'!K459*'Quantification_Config'!$R$5))/SUM('Quantification_Config'!$R$5)),'Quantification_Config'!$U$2),""),"")</x:f>
        <x:v>50</x:v>
      </x:c>
      <x:c r="M459" t="n">
        <x:v>1</x:v>
      </x:c>
      <x:c r="N459" t="n">
        <x:v>5</x:v>
      </x:c>
      <x:c r="O459"/>
      <x:c r="P459" t="n">
        <x:f>IF(('Quantification_Results'!M459&lt;&gt;1),"",IF(('Quantification_Results'!O459=""),IF(ISNUMBER('Quantification_Results'!N459),IF(('Quantification_Results'!N459&lt;'Quantification_Config'!$S$9),"",IF(('Quantification_Results'!N459&gt;'Quantification_Config'!$T$9),"",'Quantification_Results'!N459)),""),IF(ISNUMBER('Quantification_Results'!O459),IF(('Quantification_Results'!O459&lt;'Quantification_Config'!$S$9),"",IF(('Quantification_Results'!O459&gt;'Quantification_Config'!$T$9),"",'Quantification_Results'!O459)),"")))</x:f>
        <x:v>5</x:v>
      </x:c>
      <x:c r="Q459" t="n">
        <x:f>IF(ISNUMBER('Quantification_Results'!P459),IFERROR(ROUND(((('Quantification_Results'!P459-'Quantification_Config'!$S$9)/('Quantification_Config'!$T$9-'Quantification_Config'!$S$9))*100),'Quantification_Config'!$U$2),""),"")</x:f>
        <x:v>50</x:v>
      </x:c>
      <x:c r="R459" t="inlineStr">
        <x:is>
          <x:t xml:space="preserve">SYSTEM-TEST-ONLY-NO-NETWORK-NOT-AN-EDUCATIONAL-EVALUATION</x:t>
        </x:is>
      </x:c>
      <x:c r="S459" t="inlineStr">
        <x:is>
          <x:t xml:space="preserve"/>
        </x:is>
      </x:c>
      <x:c r="T459" t="inlineStr">
        <x:is>
          <x:t xml:space="preserve">NONE</x:t>
        </x:is>
      </x:c>
      <x:c r="U459" t="inlineStr">
        <x:is>
          <x:t xml:space="preserve"/>
        </x:is>
      </x:c>
      <x:c r="V459" t="inlineStr">
        <x:is>
          <x:t xml:space="preserve">SUCCESS</x:t>
        </x:is>
      </x:c>
      <x:c r="W459" t="n">
        <x:f>IF((COUNT('Quantification_Results'!Q459)=1),IFERROR(ROUND((SUM(('Quantification_Results'!Q459*'Quantification_Config'!$R$9))/SUM('Quantification_Config'!$R$9)),'Quantification_Config'!$U$2),""),"")</x:f>
        <x:v>50</x:v>
      </x:c>
      <x:c r="X459" t="n">
        <x:f>IF((COUNT('Quantification_Results'!W459)=1),IFERROR(ROUND((SUM(('Quantification_Results'!W459*'Quantification_Config'!$R$8))/SUM('Quantification_Config'!$R$8)),'Quantification_Config'!$U$2),""),"")</x:f>
        <x:v>50</x:v>
      </x:c>
      <x:c r="Y459" t="n">
        <x:v>0</x:v>
      </x:c>
      <x:c r="Z459"/>
      <x:c r="AA459"/>
      <x:c r="AB459">
        <x:f>IF(('Quantification_Results'!Y459&lt;&gt;1),"",IF(('Quantification_Results'!AA459=""),IF(ISNUMBER('Quantification_Results'!Z459),IF(('Quantification_Results'!Z459&lt;'Quantification_Config'!$S$12),"",IF(('Quantification_Results'!Z459&gt;'Quantification_Config'!$T$12),"",'Quantification_Results'!Z459)),""),IF(ISNUMBER('Quantification_Results'!AA459),IF(('Quantification_Results'!AA459&lt;'Quantification_Config'!$S$12),"",IF(('Quantification_Results'!AA459&gt;'Quantification_Config'!$T$12),"",'Quantification_Results'!AA459)),"")))</x:f>
      </x:c>
      <x:c r="AC459">
        <x:f>IF(ISNUMBER('Quantification_Results'!AB459),IFERROR(ROUND(((('Quantification_Results'!AB459-'Quantification_Config'!$S$12)/('Quantification_Config'!$T$12-'Quantification_Config'!$S$12))*100),'Quantification_Config'!$U$2),""),"")</x:f>
      </x:c>
      <x:c r="AD459" t="inlineStr">
        <x:is>
          <x:t xml:space="preserve"/>
        </x:is>
      </x:c>
      <x:c r="AE459" t="inlineStr">
        <x:is>
          <x:t xml:space="preserve"/>
        </x:is>
      </x:c>
      <x:c r="AF459" t="inlineStr">
        <x:is>
          <x:t xml:space="preserve"/>
        </x:is>
      </x:c>
      <x:c r="AG459" t="inlineStr">
        <x:is>
          <x:t xml:space="preserve"/>
        </x:is>
      </x:c>
      <x:c r="AH459" t="inlineStr">
        <x:is>
          <x:t xml:space="preserve">EMPTY</x:t>
        </x:is>
      </x:c>
      <x:c r="AI459">
        <x:f>IF((COUNT('Quantification_Results'!AC459)=1),IFERROR(ROUND((SUM(('Quantification_Results'!AC459*'Quantification_Config'!$R$12))/SUM('Quantification_Config'!$R$12)),'Quantification_Config'!$U$2),""),"")</x:f>
      </x:c>
      <x:c r="AJ459">
        <x:f>IF((COUNT('Quantification_Results'!AI459)=1),IFERROR(ROUND((SUM(('Quantification_Results'!AI459*'Quantification_Config'!$R$11))/SUM('Quantification_Config'!$R$11)),'Quantification_Config'!$U$2),""),"")</x:f>
      </x:c>
      <x:c r="AK459" t="n">
        <x:v>1</x:v>
      </x:c>
      <x:c r="AL459" t="n">
        <x:v>5</x:v>
      </x:c>
      <x:c r="AM459"/>
      <x:c r="AN459" t="n">
        <x:f>IF(('Quantification_Results'!AK459&lt;&gt;1),"",IF(('Quantification_Results'!AM459=""),IF(ISNUMBER('Quantification_Results'!AL459),IF(('Quantification_Results'!AL459&lt;'Quantification_Config'!$S$15),"",IF(('Quantification_Results'!AL459&gt;'Quantification_Config'!$T$15),"",'Quantification_Results'!AL459)),""),IF(ISNUMBER('Quantification_Results'!AM459),IF(('Quantification_Results'!AM459&lt;'Quantification_Config'!$S$15),"",IF(('Quantification_Results'!AM459&gt;'Quantification_Config'!$T$15),"",'Quantification_Results'!AM459)),"")))</x:f>
        <x:v>5</x:v>
      </x:c>
      <x:c r="AO459" t="n">
        <x:f>IF(ISNUMBER('Quantification_Results'!AN459),IFERROR(ROUND(((('Quantification_Results'!AN459-'Quantification_Config'!$S$15)/('Quantification_Config'!$T$15-'Quantification_Config'!$S$15))*100),'Quantification_Config'!$U$2),""),"")</x:f>
        <x:v>50</x:v>
      </x:c>
      <x:c r="AP459" t="inlineStr">
        <x:is>
          <x:t xml:space="preserve">SYSTEM-TEST-ONLY-NO-NETWORK-NOT-AN-EDUCATIONAL-EVALUATION</x:t>
        </x:is>
      </x:c>
      <x:c r="AQ459" t="inlineStr">
        <x:is>
          <x:t xml:space="preserve"/>
        </x:is>
      </x:c>
      <x:c r="AR459" t="inlineStr">
        <x:is>
          <x:t xml:space="preserve">NONE</x:t>
        </x:is>
      </x:c>
      <x:c r="AS459" t="inlineStr">
        <x:is>
          <x:t xml:space="preserve"/>
        </x:is>
      </x:c>
      <x:c r="AT459" t="inlineStr">
        <x:is>
          <x:t xml:space="preserve">SUCCESS</x:t>
        </x:is>
      </x:c>
      <x:c r="AU459" t="n">
        <x:f>IF((COUNT('Quantification_Results'!AO459)=1),IFERROR(ROUND((SUM(('Quantification_Results'!AO459*'Quantification_Config'!$R$15))/SUM('Quantification_Config'!$R$15)),'Quantification_Config'!$U$2),""),"")</x:f>
        <x:v>50</x:v>
      </x:c>
      <x:c r="AV459" t="n">
        <x:f>IF((COUNT('Quantification_Results'!AU459)=1),IFERROR(ROUND((SUM(('Quantification_Results'!AU459*'Quantification_Config'!$R$14))/SUM('Quantification_Config'!$R$14)),'Quantification_Config'!$U$2),""),"")</x:f>
        <x:v>50</x:v>
      </x:c>
      <x:c r="AW459" t="n">
        <x:v>1</x:v>
      </x:c>
      <x:c r="AX459" t="n">
        <x:v>5</x:v>
      </x:c>
      <x:c r="AY459"/>
      <x:c r="AZ459" t="n">
        <x:f>IF(('Quantification_Results'!AW459&lt;&gt;1),"",IF(('Quantification_Results'!AY459=""),IF(ISNUMBER('Quantification_Results'!AX459),IF(('Quantification_Results'!AX459&lt;'Quantification_Config'!$S$19),"",IF(('Quantification_Results'!AX459&gt;'Quantification_Config'!$T$19),"",'Quantification_Results'!AX459)),""),IF(ISNUMBER('Quantification_Results'!AY459),IF(('Quantification_Results'!AY459&lt;'Quantification_Config'!$S$19),"",IF(('Quantification_Results'!AY459&gt;'Quantification_Config'!$T$19),"",'Quantification_Results'!AY459)),"")))</x:f>
        <x:v>5</x:v>
      </x:c>
      <x:c r="BA459" t="n">
        <x:f>IF(ISNUMBER('Quantification_Results'!AZ459),IFERROR(ROUND(((('Quantification_Results'!AZ459-'Quantification_Config'!$S$19)/('Quantification_Config'!$T$19-'Quantification_Config'!$S$19))*100),'Quantification_Config'!$U$2),""),"")</x:f>
        <x:v>50</x:v>
      </x:c>
      <x:c r="BB459" t="inlineStr">
        <x:is>
          <x:t xml:space="preserve">SYSTEM-TEST-ONLY-NO-NETWORK-NOT-AN-EDUCATIONAL-EVALUATION</x:t>
        </x:is>
      </x:c>
      <x:c r="BC459" t="inlineStr">
        <x:is>
          <x:t xml:space="preserve"/>
        </x:is>
      </x:c>
      <x:c r="BD459" t="inlineStr">
        <x:is>
          <x:t xml:space="preserve">NONE</x:t>
        </x:is>
      </x:c>
      <x:c r="BE459" t="inlineStr">
        <x:is>
          <x:t xml:space="preserve"/>
        </x:is>
      </x:c>
      <x:c r="BF459" t="inlineStr">
        <x:is>
          <x:t xml:space="preserve">SUCCESS</x:t>
        </x:is>
      </x:c>
      <x:c r="BG459" t="n">
        <x:f>IF((COUNT('Quantification_Results'!BA459)=1),IFERROR(ROUND((SUM(('Quantification_Results'!BA459*'Quantification_Config'!$R$19))/SUM('Quantification_Config'!$R$19)),'Quantification_Config'!$U$2),""),"")</x:f>
        <x:v>50</x:v>
      </x:c>
      <x:c r="BH459" t="n">
        <x:f>IF((COUNT('Quantification_Results'!BG459)=1),IFERROR(ROUND((SUM(('Quantification_Results'!BG459*'Quantification_Config'!$R$18))/SUM('Quantification_Config'!$R$18)),'Quantification_Config'!$U$2),""),"")</x:f>
        <x:v>50</x:v>
      </x:c>
      <x:c r="BI459">
        <x:f>IF((COUNT('Quantification_Results'!L459,'Quantification_Results'!X459,'Quantification_Results'!AJ459,'Quantification_Results'!AV459,'Quantification_Results'!BH459)=5),IFERROR(ROUND((SUM(('Quantification_Results'!L459*'Quantification_Config'!$R$4),('Quantification_Results'!X459*'Quantification_Config'!$R$7),('Quantification_Results'!AJ459*'Quantification_Config'!$R$10),('Quantification_Results'!AV459*'Quantification_Config'!$R$13),('Quantification_Results'!BH459*'Quantification_Config'!$R$16))/SUM('Quantification_Config'!$R$4,'Quantification_Config'!$R$7,'Quantification_Config'!$R$10,'Quantification_Config'!$R$13,'Quantification_Config'!$R$16)),'Quantification_Config'!$U$2),""),"")</x:f>
      </x:c>
    </x:row>
    <x:row r="460">
      <x:c r="A460" t="n">
        <x:v>1</x:v>
      </x:c>
      <x:c r="B460" t="n">
        <x:v>5</x:v>
      </x:c>
      <x:c r="C460"/>
      <x:c r="D460" t="n">
        <x:f>IF(('Quantification_Results'!A460&lt;&gt;1),"",IF(('Quantification_Results'!C460=""),IF(ISNUMBER('Quantification_Results'!B460),IF(('Quantification_Results'!B460&lt;'Quantification_Config'!$S$6),"",IF(('Quantification_Results'!B460&gt;'Quantification_Config'!$T$6),"",'Quantification_Results'!B460)),""),IF(ISNUMBER('Quantification_Results'!C460),IF(('Quantification_Results'!C460&lt;'Quantification_Config'!$S$6),"",IF(('Quantification_Results'!C460&gt;'Quantification_Config'!$T$6),"",'Quantification_Results'!C460)),"")))</x:f>
        <x:v>5</x:v>
      </x:c>
      <x:c r="E460" t="n">
        <x:f>IF(ISNUMBER('Quantification_Results'!D460),IFERROR(ROUND(((('Quantification_Results'!D460-'Quantification_Config'!$S$6)/('Quantification_Config'!$T$6-'Quantification_Config'!$S$6))*100),'Quantification_Config'!$U$2),""),"")</x:f>
        <x:v>50</x:v>
      </x:c>
      <x:c r="F460" t="inlineStr">
        <x:is>
          <x:t xml:space="preserve">SYSTEM-TEST-ONLY-NO-NETWORK-NOT-AN-EDUCATIONAL-EVALUATION</x:t>
        </x:is>
      </x:c>
      <x:c r="G460" t="inlineStr">
        <x:is>
          <x:t xml:space="preserve"/>
        </x:is>
      </x:c>
      <x:c r="H460" t="inlineStr">
        <x:is>
          <x:t xml:space="preserve">NONE</x:t>
        </x:is>
      </x:c>
      <x:c r="I460" t="inlineStr">
        <x:is>
          <x:t xml:space="preserve"/>
        </x:is>
      </x:c>
      <x:c r="J460" t="inlineStr">
        <x:is>
          <x:t xml:space="preserve">SUCCESS</x:t>
        </x:is>
      </x:c>
      <x:c r="K460" t="n">
        <x:f>IF((COUNT('Quantification_Results'!E460)=1),IFERROR(ROUND((SUM(('Quantification_Results'!E460*'Quantification_Config'!$R$6))/SUM('Quantification_Config'!$R$6)),'Quantification_Config'!$U$2),""),"")</x:f>
        <x:v>50</x:v>
      </x:c>
      <x:c r="L460" t="n">
        <x:f>IF((COUNT('Quantification_Results'!K460)=1),IFERROR(ROUND((SUM(('Quantification_Results'!K460*'Quantification_Config'!$R$5))/SUM('Quantification_Config'!$R$5)),'Quantification_Config'!$U$2),""),"")</x:f>
        <x:v>50</x:v>
      </x:c>
      <x:c r="M460" t="n">
        <x:v>1</x:v>
      </x:c>
      <x:c r="N460" t="n">
        <x:v>5</x:v>
      </x:c>
      <x:c r="O460"/>
      <x:c r="P460" t="n">
        <x:f>IF(('Quantification_Results'!M460&lt;&gt;1),"",IF(('Quantification_Results'!O460=""),IF(ISNUMBER('Quantification_Results'!N460),IF(('Quantification_Results'!N460&lt;'Quantification_Config'!$S$9),"",IF(('Quantification_Results'!N460&gt;'Quantification_Config'!$T$9),"",'Quantification_Results'!N460)),""),IF(ISNUMBER('Quantification_Results'!O460),IF(('Quantification_Results'!O460&lt;'Quantification_Config'!$S$9),"",IF(('Quantification_Results'!O460&gt;'Quantification_Config'!$T$9),"",'Quantification_Results'!O460)),"")))</x:f>
        <x:v>5</x:v>
      </x:c>
      <x:c r="Q460" t="n">
        <x:f>IF(ISNUMBER('Quantification_Results'!P460),IFERROR(ROUND(((('Quantification_Results'!P460-'Quantification_Config'!$S$9)/('Quantification_Config'!$T$9-'Quantification_Config'!$S$9))*100),'Quantification_Config'!$U$2),""),"")</x:f>
        <x:v>50</x:v>
      </x:c>
      <x:c r="R460" t="inlineStr">
        <x:is>
          <x:t xml:space="preserve">SYSTEM-TEST-ONLY-NO-NETWORK-NOT-AN-EDUCATIONAL-EVALUATION</x:t>
        </x:is>
      </x:c>
      <x:c r="S460" t="inlineStr">
        <x:is>
          <x:t xml:space="preserve"/>
        </x:is>
      </x:c>
      <x:c r="T460" t="inlineStr">
        <x:is>
          <x:t xml:space="preserve">NONE</x:t>
        </x:is>
      </x:c>
      <x:c r="U460" t="inlineStr">
        <x:is>
          <x:t xml:space="preserve"/>
        </x:is>
      </x:c>
      <x:c r="V460" t="inlineStr">
        <x:is>
          <x:t xml:space="preserve">SUCCESS</x:t>
        </x:is>
      </x:c>
      <x:c r="W460" t="n">
        <x:f>IF((COUNT('Quantification_Results'!Q460)=1),IFERROR(ROUND((SUM(('Quantification_Results'!Q460*'Quantification_Config'!$R$9))/SUM('Quantification_Config'!$R$9)),'Quantification_Config'!$U$2),""),"")</x:f>
        <x:v>50</x:v>
      </x:c>
      <x:c r="X460" t="n">
        <x:f>IF((COUNT('Quantification_Results'!W460)=1),IFERROR(ROUND((SUM(('Quantification_Results'!W460*'Quantification_Config'!$R$8))/SUM('Quantification_Config'!$R$8)),'Quantification_Config'!$U$2),""),"")</x:f>
        <x:v>50</x:v>
      </x:c>
      <x:c r="Y460" t="n">
        <x:v>0</x:v>
      </x:c>
      <x:c r="Z460"/>
      <x:c r="AA460"/>
      <x:c r="AB460">
        <x:f>IF(('Quantification_Results'!Y460&lt;&gt;1),"",IF(('Quantification_Results'!AA460=""),IF(ISNUMBER('Quantification_Results'!Z460),IF(('Quantification_Results'!Z460&lt;'Quantification_Config'!$S$12),"",IF(('Quantification_Results'!Z460&gt;'Quantification_Config'!$T$12),"",'Quantification_Results'!Z460)),""),IF(ISNUMBER('Quantification_Results'!AA460),IF(('Quantification_Results'!AA460&lt;'Quantification_Config'!$S$12),"",IF(('Quantification_Results'!AA460&gt;'Quantification_Config'!$T$12),"",'Quantification_Results'!AA460)),"")))</x:f>
      </x:c>
      <x:c r="AC460">
        <x:f>IF(ISNUMBER('Quantification_Results'!AB460),IFERROR(ROUND(((('Quantification_Results'!AB460-'Quantification_Config'!$S$12)/('Quantification_Config'!$T$12-'Quantification_Config'!$S$12))*100),'Quantification_Config'!$U$2),""),"")</x:f>
      </x:c>
      <x:c r="AD460" t="inlineStr">
        <x:is>
          <x:t xml:space="preserve"/>
        </x:is>
      </x:c>
      <x:c r="AE460" t="inlineStr">
        <x:is>
          <x:t xml:space="preserve"/>
        </x:is>
      </x:c>
      <x:c r="AF460" t="inlineStr">
        <x:is>
          <x:t xml:space="preserve"/>
        </x:is>
      </x:c>
      <x:c r="AG460" t="inlineStr">
        <x:is>
          <x:t xml:space="preserve"/>
        </x:is>
      </x:c>
      <x:c r="AH460" t="inlineStr">
        <x:is>
          <x:t xml:space="preserve">EMPTY</x:t>
        </x:is>
      </x:c>
      <x:c r="AI460">
        <x:f>IF((COUNT('Quantification_Results'!AC460)=1),IFERROR(ROUND((SUM(('Quantification_Results'!AC460*'Quantification_Config'!$R$12))/SUM('Quantification_Config'!$R$12)),'Quantification_Config'!$U$2),""),"")</x:f>
      </x:c>
      <x:c r="AJ460">
        <x:f>IF((COUNT('Quantification_Results'!AI460)=1),IFERROR(ROUND((SUM(('Quantification_Results'!AI460*'Quantification_Config'!$R$11))/SUM('Quantification_Config'!$R$11)),'Quantification_Config'!$U$2),""),"")</x:f>
      </x:c>
      <x:c r="AK460" t="n">
        <x:v>1</x:v>
      </x:c>
      <x:c r="AL460" t="n">
        <x:v>5</x:v>
      </x:c>
      <x:c r="AM460"/>
      <x:c r="AN460" t="n">
        <x:f>IF(('Quantification_Results'!AK460&lt;&gt;1),"",IF(('Quantification_Results'!AM460=""),IF(ISNUMBER('Quantification_Results'!AL460),IF(('Quantification_Results'!AL460&lt;'Quantification_Config'!$S$15),"",IF(('Quantification_Results'!AL460&gt;'Quantification_Config'!$T$15),"",'Quantification_Results'!AL460)),""),IF(ISNUMBER('Quantification_Results'!AM460),IF(('Quantification_Results'!AM460&lt;'Quantification_Config'!$S$15),"",IF(('Quantification_Results'!AM460&gt;'Quantification_Config'!$T$15),"",'Quantification_Results'!AM460)),"")))</x:f>
        <x:v>5</x:v>
      </x:c>
      <x:c r="AO460" t="n">
        <x:f>IF(ISNUMBER('Quantification_Results'!AN460),IFERROR(ROUND(((('Quantification_Results'!AN460-'Quantification_Config'!$S$15)/('Quantification_Config'!$T$15-'Quantification_Config'!$S$15))*100),'Quantification_Config'!$U$2),""),"")</x:f>
        <x:v>50</x:v>
      </x:c>
      <x:c r="AP460" t="inlineStr">
        <x:is>
          <x:t xml:space="preserve">SYSTEM-TEST-ONLY-NO-NETWORK-NOT-AN-EDUCATIONAL-EVALUATION</x:t>
        </x:is>
      </x:c>
      <x:c r="AQ460" t="inlineStr">
        <x:is>
          <x:t xml:space="preserve"/>
        </x:is>
      </x:c>
      <x:c r="AR460" t="inlineStr">
        <x:is>
          <x:t xml:space="preserve">NONE</x:t>
        </x:is>
      </x:c>
      <x:c r="AS460" t="inlineStr">
        <x:is>
          <x:t xml:space="preserve"/>
        </x:is>
      </x:c>
      <x:c r="AT460" t="inlineStr">
        <x:is>
          <x:t xml:space="preserve">SUCCESS</x:t>
        </x:is>
      </x:c>
      <x:c r="AU460" t="n">
        <x:f>IF((COUNT('Quantification_Results'!AO460)=1),IFERROR(ROUND((SUM(('Quantification_Results'!AO460*'Quantification_Config'!$R$15))/SUM('Quantification_Config'!$R$15)),'Quantification_Config'!$U$2),""),"")</x:f>
        <x:v>50</x:v>
      </x:c>
      <x:c r="AV460" t="n">
        <x:f>IF((COUNT('Quantification_Results'!AU460)=1),IFERROR(ROUND((SUM(('Quantification_Results'!AU460*'Quantification_Config'!$R$14))/SUM('Quantification_Config'!$R$14)),'Quantification_Config'!$U$2),""),"")</x:f>
        <x:v>50</x:v>
      </x:c>
      <x:c r="AW460" t="n">
        <x:v>0</x:v>
      </x:c>
      <x:c r="AX460"/>
      <x:c r="AY460"/>
      <x:c r="AZ460">
        <x:f>IF(('Quantification_Results'!AW460&lt;&gt;1),"",IF(('Quantification_Results'!AY460=""),IF(ISNUMBER('Quantification_Results'!AX460),IF(('Quantification_Results'!AX460&lt;'Quantification_Config'!$S$19),"",IF(('Quantification_Results'!AX460&gt;'Quantification_Config'!$T$19),"",'Quantification_Results'!AX460)),""),IF(ISNUMBER('Quantification_Results'!AY460),IF(('Quantification_Results'!AY460&lt;'Quantification_Config'!$S$19),"",IF(('Quantification_Results'!AY460&gt;'Quantification_Config'!$T$19),"",'Quantification_Results'!AY460)),"")))</x:f>
      </x:c>
      <x:c r="BA460">
        <x:f>IF(ISNUMBER('Quantification_Results'!AZ460),IFERROR(ROUND(((('Quantification_Results'!AZ460-'Quantification_Config'!$S$19)/('Quantification_Config'!$T$19-'Quantification_Config'!$S$19))*100),'Quantification_Config'!$U$2),""),"")</x:f>
      </x:c>
      <x:c r="BB460" t="inlineStr">
        <x:is>
          <x:t xml:space="preserve"/>
        </x:is>
      </x:c>
      <x:c r="BC460" t="inlineStr">
        <x:is>
          <x:t xml:space="preserve"/>
        </x:is>
      </x:c>
      <x:c r="BD460" t="inlineStr">
        <x:is>
          <x:t xml:space="preserve"/>
        </x:is>
      </x:c>
      <x:c r="BE460" t="inlineStr">
        <x:is>
          <x:t xml:space="preserve"/>
        </x:is>
      </x:c>
      <x:c r="BF460" t="inlineStr">
        <x:is>
          <x:t xml:space="preserve">EMPTY</x:t>
        </x:is>
      </x:c>
      <x:c r="BG460">
        <x:f>IF((COUNT('Quantification_Results'!BA460)=1),IFERROR(ROUND((SUM(('Quantification_Results'!BA460*'Quantification_Config'!$R$19))/SUM('Quantification_Config'!$R$19)),'Quantification_Config'!$U$2),""),"")</x:f>
      </x:c>
      <x:c r="BH460">
        <x:f>IF((COUNT('Quantification_Results'!BG460)=1),IFERROR(ROUND((SUM(('Quantification_Results'!BG460*'Quantification_Config'!$R$18))/SUM('Quantification_Config'!$R$18)),'Quantification_Config'!$U$2),""),"")</x:f>
      </x:c>
      <x:c r="BI460">
        <x:f>IF((COUNT('Quantification_Results'!L460,'Quantification_Results'!X460,'Quantification_Results'!AJ460,'Quantification_Results'!AV460,'Quantification_Results'!BH460)=5),IFERROR(ROUND((SUM(('Quantification_Results'!L460*'Quantification_Config'!$R$4),('Quantification_Results'!X460*'Quantification_Config'!$R$7),('Quantification_Results'!AJ460*'Quantification_Config'!$R$10),('Quantification_Results'!AV460*'Quantification_Config'!$R$13),('Quantification_Results'!BH460*'Quantification_Config'!$R$16))/SUM('Quantification_Config'!$R$4,'Quantification_Config'!$R$7,'Quantification_Config'!$R$10,'Quantification_Config'!$R$13,'Quantification_Config'!$R$16)),'Quantification_Config'!$U$2),""),"")</x:f>
      </x:c>
    </x:row>
    <x:row r="461">
      <x:c r="A461" t="n">
        <x:v>1</x:v>
      </x:c>
      <x:c r="B461" t="n">
        <x:v>5</x:v>
      </x:c>
      <x:c r="C461"/>
      <x:c r="D461" t="n">
        <x:f>IF(('Quantification_Results'!A461&lt;&gt;1),"",IF(('Quantification_Results'!C461=""),IF(ISNUMBER('Quantification_Results'!B461),IF(('Quantification_Results'!B461&lt;'Quantification_Config'!$S$6),"",IF(('Quantification_Results'!B461&gt;'Quantification_Config'!$T$6),"",'Quantification_Results'!B461)),""),IF(ISNUMBER('Quantification_Results'!C461),IF(('Quantification_Results'!C461&lt;'Quantification_Config'!$S$6),"",IF(('Quantification_Results'!C461&gt;'Quantification_Config'!$T$6),"",'Quantification_Results'!C461)),"")))</x:f>
        <x:v>5</x:v>
      </x:c>
      <x:c r="E461" t="n">
        <x:f>IF(ISNUMBER('Quantification_Results'!D461),IFERROR(ROUND(((('Quantification_Results'!D461-'Quantification_Config'!$S$6)/('Quantification_Config'!$T$6-'Quantification_Config'!$S$6))*100),'Quantification_Config'!$U$2),""),"")</x:f>
        <x:v>50</x:v>
      </x:c>
      <x:c r="F461" t="inlineStr">
        <x:is>
          <x:t xml:space="preserve">SYSTEM-TEST-ONLY-NO-NETWORK-NOT-AN-EDUCATIONAL-EVALUATION</x:t>
        </x:is>
      </x:c>
      <x:c r="G461" t="inlineStr">
        <x:is>
          <x:t xml:space="preserve"/>
        </x:is>
      </x:c>
      <x:c r="H461" t="inlineStr">
        <x:is>
          <x:t xml:space="preserve">NONE</x:t>
        </x:is>
      </x:c>
      <x:c r="I461" t="inlineStr">
        <x:is>
          <x:t xml:space="preserve"/>
        </x:is>
      </x:c>
      <x:c r="J461" t="inlineStr">
        <x:is>
          <x:t xml:space="preserve">SUCCESS</x:t>
        </x:is>
      </x:c>
      <x:c r="K461" t="n">
        <x:f>IF((COUNT('Quantification_Results'!E461)=1),IFERROR(ROUND((SUM(('Quantification_Results'!E461*'Quantification_Config'!$R$6))/SUM('Quantification_Config'!$R$6)),'Quantification_Config'!$U$2),""),"")</x:f>
        <x:v>50</x:v>
      </x:c>
      <x:c r="L461" t="n">
        <x:f>IF((COUNT('Quantification_Results'!K461)=1),IFERROR(ROUND((SUM(('Quantification_Results'!K461*'Quantification_Config'!$R$5))/SUM('Quantification_Config'!$R$5)),'Quantification_Config'!$U$2),""),"")</x:f>
        <x:v>50</x:v>
      </x:c>
      <x:c r="M461" t="n">
        <x:v>1</x:v>
      </x:c>
      <x:c r="N461" t="n">
        <x:v>5</x:v>
      </x:c>
      <x:c r="O461"/>
      <x:c r="P461" t="n">
        <x:f>IF(('Quantification_Results'!M461&lt;&gt;1),"",IF(('Quantification_Results'!O461=""),IF(ISNUMBER('Quantification_Results'!N461),IF(('Quantification_Results'!N461&lt;'Quantification_Config'!$S$9),"",IF(('Quantification_Results'!N461&gt;'Quantification_Config'!$T$9),"",'Quantification_Results'!N461)),""),IF(ISNUMBER('Quantification_Results'!O461),IF(('Quantification_Results'!O461&lt;'Quantification_Config'!$S$9),"",IF(('Quantification_Results'!O461&gt;'Quantification_Config'!$T$9),"",'Quantification_Results'!O461)),"")))</x:f>
        <x:v>5</x:v>
      </x:c>
      <x:c r="Q461" t="n">
        <x:f>IF(ISNUMBER('Quantification_Results'!P461),IFERROR(ROUND(((('Quantification_Results'!P461-'Quantification_Config'!$S$9)/('Quantification_Config'!$T$9-'Quantification_Config'!$S$9))*100),'Quantification_Config'!$U$2),""),"")</x:f>
        <x:v>50</x:v>
      </x:c>
      <x:c r="R461" t="inlineStr">
        <x:is>
          <x:t xml:space="preserve">SYSTEM-TEST-ONLY-NO-NETWORK-NOT-AN-EDUCATIONAL-EVALUATION</x:t>
        </x:is>
      </x:c>
      <x:c r="S461" t="inlineStr">
        <x:is>
          <x:t xml:space="preserve"/>
        </x:is>
      </x:c>
      <x:c r="T461" t="inlineStr">
        <x:is>
          <x:t xml:space="preserve">NONE</x:t>
        </x:is>
      </x:c>
      <x:c r="U461" t="inlineStr">
        <x:is>
          <x:t xml:space="preserve"/>
        </x:is>
      </x:c>
      <x:c r="V461" t="inlineStr">
        <x:is>
          <x:t xml:space="preserve">SUCCESS</x:t>
        </x:is>
      </x:c>
      <x:c r="W461" t="n">
        <x:f>IF((COUNT('Quantification_Results'!Q461)=1),IFERROR(ROUND((SUM(('Quantification_Results'!Q461*'Quantification_Config'!$R$9))/SUM('Quantification_Config'!$R$9)),'Quantification_Config'!$U$2),""),"")</x:f>
        <x:v>50</x:v>
      </x:c>
      <x:c r="X461" t="n">
        <x:f>IF((COUNT('Quantification_Results'!W461)=1),IFERROR(ROUND((SUM(('Quantification_Results'!W461*'Quantification_Config'!$R$8))/SUM('Quantification_Config'!$R$8)),'Quantification_Config'!$U$2),""),"")</x:f>
        <x:v>50</x:v>
      </x:c>
      <x:c r="Y461" t="n">
        <x:v>0</x:v>
      </x:c>
      <x:c r="Z461"/>
      <x:c r="AA461"/>
      <x:c r="AB461">
        <x:f>IF(('Quantification_Results'!Y461&lt;&gt;1),"",IF(('Quantification_Results'!AA461=""),IF(ISNUMBER('Quantification_Results'!Z461),IF(('Quantification_Results'!Z461&lt;'Quantification_Config'!$S$12),"",IF(('Quantification_Results'!Z461&gt;'Quantification_Config'!$T$12),"",'Quantification_Results'!Z461)),""),IF(ISNUMBER('Quantification_Results'!AA461),IF(('Quantification_Results'!AA461&lt;'Quantification_Config'!$S$12),"",IF(('Quantification_Results'!AA461&gt;'Quantification_Config'!$T$12),"",'Quantification_Results'!AA461)),"")))</x:f>
      </x:c>
      <x:c r="AC461">
        <x:f>IF(ISNUMBER('Quantification_Results'!AB461),IFERROR(ROUND(((('Quantification_Results'!AB461-'Quantification_Config'!$S$12)/('Quantification_Config'!$T$12-'Quantification_Config'!$S$12))*100),'Quantification_Config'!$U$2),""),"")</x:f>
      </x:c>
      <x:c r="AD461" t="inlineStr">
        <x:is>
          <x:t xml:space="preserve"/>
        </x:is>
      </x:c>
      <x:c r="AE461" t="inlineStr">
        <x:is>
          <x:t xml:space="preserve"/>
        </x:is>
      </x:c>
      <x:c r="AF461" t="inlineStr">
        <x:is>
          <x:t xml:space="preserve"/>
        </x:is>
      </x:c>
      <x:c r="AG461" t="inlineStr">
        <x:is>
          <x:t xml:space="preserve"/>
        </x:is>
      </x:c>
      <x:c r="AH461" t="inlineStr">
        <x:is>
          <x:t xml:space="preserve">EMPTY</x:t>
        </x:is>
      </x:c>
      <x:c r="AI461">
        <x:f>IF((COUNT('Quantification_Results'!AC461)=1),IFERROR(ROUND((SUM(('Quantification_Results'!AC461*'Quantification_Config'!$R$12))/SUM('Quantification_Config'!$R$12)),'Quantification_Config'!$U$2),""),"")</x:f>
      </x:c>
      <x:c r="AJ461">
        <x:f>IF((COUNT('Quantification_Results'!AI461)=1),IFERROR(ROUND((SUM(('Quantification_Results'!AI461*'Quantification_Config'!$R$11))/SUM('Quantification_Config'!$R$11)),'Quantification_Config'!$U$2),""),"")</x:f>
      </x:c>
      <x:c r="AK461" t="n">
        <x:v>1</x:v>
      </x:c>
      <x:c r="AL461" t="n">
        <x:v>5</x:v>
      </x:c>
      <x:c r="AM461"/>
      <x:c r="AN461" t="n">
        <x:f>IF(('Quantification_Results'!AK461&lt;&gt;1),"",IF(('Quantification_Results'!AM461=""),IF(ISNUMBER('Quantification_Results'!AL461),IF(('Quantification_Results'!AL461&lt;'Quantification_Config'!$S$15),"",IF(('Quantification_Results'!AL461&gt;'Quantification_Config'!$T$15),"",'Quantification_Results'!AL461)),""),IF(ISNUMBER('Quantification_Results'!AM461),IF(('Quantification_Results'!AM461&lt;'Quantification_Config'!$S$15),"",IF(('Quantification_Results'!AM461&gt;'Quantification_Config'!$T$15),"",'Quantification_Results'!AM461)),"")))</x:f>
        <x:v>5</x:v>
      </x:c>
      <x:c r="AO461" t="n">
        <x:f>IF(ISNUMBER('Quantification_Results'!AN461),IFERROR(ROUND(((('Quantification_Results'!AN461-'Quantification_Config'!$S$15)/('Quantification_Config'!$T$15-'Quantification_Config'!$S$15))*100),'Quantification_Config'!$U$2),""),"")</x:f>
        <x:v>50</x:v>
      </x:c>
      <x:c r="AP461" t="inlineStr">
        <x:is>
          <x:t xml:space="preserve">SYSTEM-TEST-ONLY-NO-NETWORK-NOT-AN-EDUCATIONAL-EVALUATION</x:t>
        </x:is>
      </x:c>
      <x:c r="AQ461" t="inlineStr">
        <x:is>
          <x:t xml:space="preserve"/>
        </x:is>
      </x:c>
      <x:c r="AR461" t="inlineStr">
        <x:is>
          <x:t xml:space="preserve">NONE</x:t>
        </x:is>
      </x:c>
      <x:c r="AS461" t="inlineStr">
        <x:is>
          <x:t xml:space="preserve"/>
        </x:is>
      </x:c>
      <x:c r="AT461" t="inlineStr">
        <x:is>
          <x:t xml:space="preserve">SUCCESS</x:t>
        </x:is>
      </x:c>
      <x:c r="AU461" t="n">
        <x:f>IF((COUNT('Quantification_Results'!AO461)=1),IFERROR(ROUND((SUM(('Quantification_Results'!AO461*'Quantification_Config'!$R$15))/SUM('Quantification_Config'!$R$15)),'Quantification_Config'!$U$2),""),"")</x:f>
        <x:v>50</x:v>
      </x:c>
      <x:c r="AV461" t="n">
        <x:f>IF((COUNT('Quantification_Results'!AU461)=1),IFERROR(ROUND((SUM(('Quantification_Results'!AU461*'Quantification_Config'!$R$14))/SUM('Quantification_Config'!$R$14)),'Quantification_Config'!$U$2),""),"")</x:f>
        <x:v>50</x:v>
      </x:c>
      <x:c r="AW461" t="n">
        <x:v>1</x:v>
      </x:c>
      <x:c r="AX461" t="n">
        <x:v>5</x:v>
      </x:c>
      <x:c r="AY461"/>
      <x:c r="AZ461" t="n">
        <x:f>IF(('Quantification_Results'!AW461&lt;&gt;1),"",IF(('Quantification_Results'!AY461=""),IF(ISNUMBER('Quantification_Results'!AX461),IF(('Quantification_Results'!AX461&lt;'Quantification_Config'!$S$19),"",IF(('Quantification_Results'!AX461&gt;'Quantification_Config'!$T$19),"",'Quantification_Results'!AX461)),""),IF(ISNUMBER('Quantification_Results'!AY461),IF(('Quantification_Results'!AY461&lt;'Quantification_Config'!$S$19),"",IF(('Quantification_Results'!AY461&gt;'Quantification_Config'!$T$19),"",'Quantification_Results'!AY461)),"")))</x:f>
        <x:v>5</x:v>
      </x:c>
      <x:c r="BA461" t="n">
        <x:f>IF(ISNUMBER('Quantification_Results'!AZ461),IFERROR(ROUND(((('Quantification_Results'!AZ461-'Quantification_Config'!$S$19)/('Quantification_Config'!$T$19-'Quantification_Config'!$S$19))*100),'Quantification_Config'!$U$2),""),"")</x:f>
        <x:v>50</x:v>
      </x:c>
      <x:c r="BB461" t="inlineStr">
        <x:is>
          <x:t xml:space="preserve">SYSTEM-TEST-ONLY-NO-NETWORK-NOT-AN-EDUCATIONAL-EVALUATION</x:t>
        </x:is>
      </x:c>
      <x:c r="BC461" t="inlineStr">
        <x:is>
          <x:t xml:space="preserve"/>
        </x:is>
      </x:c>
      <x:c r="BD461" t="inlineStr">
        <x:is>
          <x:t xml:space="preserve">NONE</x:t>
        </x:is>
      </x:c>
      <x:c r="BE461" t="inlineStr">
        <x:is>
          <x:t xml:space="preserve"/>
        </x:is>
      </x:c>
      <x:c r="BF461" t="inlineStr">
        <x:is>
          <x:t xml:space="preserve">SUCCESS</x:t>
        </x:is>
      </x:c>
      <x:c r="BG461" t="n">
        <x:f>IF((COUNT('Quantification_Results'!BA461)=1),IFERROR(ROUND((SUM(('Quantification_Results'!BA461*'Quantification_Config'!$R$19))/SUM('Quantification_Config'!$R$19)),'Quantification_Config'!$U$2),""),"")</x:f>
        <x:v>50</x:v>
      </x:c>
      <x:c r="BH461" t="n">
        <x:f>IF((COUNT('Quantification_Results'!BG461)=1),IFERROR(ROUND((SUM(('Quantification_Results'!BG461*'Quantification_Config'!$R$18))/SUM('Quantification_Config'!$R$18)),'Quantification_Config'!$U$2),""),"")</x:f>
        <x:v>50</x:v>
      </x:c>
      <x:c r="BI461">
        <x:f>IF((COUNT('Quantification_Results'!L461,'Quantification_Results'!X461,'Quantification_Results'!AJ461,'Quantification_Results'!AV461,'Quantification_Results'!BH461)=5),IFERROR(ROUND((SUM(('Quantification_Results'!L461*'Quantification_Config'!$R$4),('Quantification_Results'!X461*'Quantification_Config'!$R$7),('Quantification_Results'!AJ461*'Quantification_Config'!$R$10),('Quantification_Results'!AV461*'Quantification_Config'!$R$13),('Quantification_Results'!BH461*'Quantification_Config'!$R$16))/SUM('Quantification_Config'!$R$4,'Quantification_Config'!$R$7,'Quantification_Config'!$R$10,'Quantification_Config'!$R$13,'Quantification_Config'!$R$16)),'Quantification_Config'!$U$2),""),"")</x:f>
      </x:c>
    </x:row>
    <x:row r="462">
      <x:c r="A462" t="n">
        <x:v>1</x:v>
      </x:c>
      <x:c r="B462" t="n">
        <x:v>5</x:v>
      </x:c>
      <x:c r="C462"/>
      <x:c r="D462" t="n">
        <x:f>IF(('Quantification_Results'!A462&lt;&gt;1),"",IF(('Quantification_Results'!C462=""),IF(ISNUMBER('Quantification_Results'!B462),IF(('Quantification_Results'!B462&lt;'Quantification_Config'!$S$6),"",IF(('Quantification_Results'!B462&gt;'Quantification_Config'!$T$6),"",'Quantification_Results'!B462)),""),IF(ISNUMBER('Quantification_Results'!C462),IF(('Quantification_Results'!C462&lt;'Quantification_Config'!$S$6),"",IF(('Quantification_Results'!C462&gt;'Quantification_Config'!$T$6),"",'Quantification_Results'!C462)),"")))</x:f>
        <x:v>5</x:v>
      </x:c>
      <x:c r="E462" t="n">
        <x:f>IF(ISNUMBER('Quantification_Results'!D462),IFERROR(ROUND(((('Quantification_Results'!D462-'Quantification_Config'!$S$6)/('Quantification_Config'!$T$6-'Quantification_Config'!$S$6))*100),'Quantification_Config'!$U$2),""),"")</x:f>
        <x:v>50</x:v>
      </x:c>
      <x:c r="F462" t="inlineStr">
        <x:is>
          <x:t xml:space="preserve">SYSTEM-TEST-ONLY-NO-NETWORK-NOT-AN-EDUCATIONAL-EVALUATION</x:t>
        </x:is>
      </x:c>
      <x:c r="G462" t="inlineStr">
        <x:is>
          <x:t xml:space="preserve"/>
        </x:is>
      </x:c>
      <x:c r="H462" t="inlineStr">
        <x:is>
          <x:t xml:space="preserve">NONE</x:t>
        </x:is>
      </x:c>
      <x:c r="I462" t="inlineStr">
        <x:is>
          <x:t xml:space="preserve"/>
        </x:is>
      </x:c>
      <x:c r="J462" t="inlineStr">
        <x:is>
          <x:t xml:space="preserve">SUCCESS</x:t>
        </x:is>
      </x:c>
      <x:c r="K462" t="n">
        <x:f>IF((COUNT('Quantification_Results'!E462)=1),IFERROR(ROUND((SUM(('Quantification_Results'!E462*'Quantification_Config'!$R$6))/SUM('Quantification_Config'!$R$6)),'Quantification_Config'!$U$2),""),"")</x:f>
        <x:v>50</x:v>
      </x:c>
      <x:c r="L462" t="n">
        <x:f>IF((COUNT('Quantification_Results'!K462)=1),IFERROR(ROUND((SUM(('Quantification_Results'!K462*'Quantification_Config'!$R$5))/SUM('Quantification_Config'!$R$5)),'Quantification_Config'!$U$2),""),"")</x:f>
        <x:v>50</x:v>
      </x:c>
      <x:c r="M462" t="n">
        <x:v>1</x:v>
      </x:c>
      <x:c r="N462" t="n">
        <x:v>5</x:v>
      </x:c>
      <x:c r="O462"/>
      <x:c r="P462" t="n">
        <x:f>IF(('Quantification_Results'!M462&lt;&gt;1),"",IF(('Quantification_Results'!O462=""),IF(ISNUMBER('Quantification_Results'!N462),IF(('Quantification_Results'!N462&lt;'Quantification_Config'!$S$9),"",IF(('Quantification_Results'!N462&gt;'Quantification_Config'!$T$9),"",'Quantification_Results'!N462)),""),IF(ISNUMBER('Quantification_Results'!O462),IF(('Quantification_Results'!O462&lt;'Quantification_Config'!$S$9),"",IF(('Quantification_Results'!O462&gt;'Quantification_Config'!$T$9),"",'Quantification_Results'!O462)),"")))</x:f>
        <x:v>5</x:v>
      </x:c>
      <x:c r="Q462" t="n">
        <x:f>IF(ISNUMBER('Quantification_Results'!P462),IFERROR(ROUND(((('Quantification_Results'!P462-'Quantification_Config'!$S$9)/('Quantification_Config'!$T$9-'Quantification_Config'!$S$9))*100),'Quantification_Config'!$U$2),""),"")</x:f>
        <x:v>50</x:v>
      </x:c>
      <x:c r="R462" t="inlineStr">
        <x:is>
          <x:t xml:space="preserve">SYSTEM-TEST-ONLY-NO-NETWORK-NOT-AN-EDUCATIONAL-EVALUATION</x:t>
        </x:is>
      </x:c>
      <x:c r="S462" t="inlineStr">
        <x:is>
          <x:t xml:space="preserve"/>
        </x:is>
      </x:c>
      <x:c r="T462" t="inlineStr">
        <x:is>
          <x:t xml:space="preserve">NONE</x:t>
        </x:is>
      </x:c>
      <x:c r="U462" t="inlineStr">
        <x:is>
          <x:t xml:space="preserve"/>
        </x:is>
      </x:c>
      <x:c r="V462" t="inlineStr">
        <x:is>
          <x:t xml:space="preserve">SUCCESS</x:t>
        </x:is>
      </x:c>
      <x:c r="W462" t="n">
        <x:f>IF((COUNT('Quantification_Results'!Q462)=1),IFERROR(ROUND((SUM(('Quantification_Results'!Q462*'Quantification_Config'!$R$9))/SUM('Quantification_Config'!$R$9)),'Quantification_Config'!$U$2),""),"")</x:f>
        <x:v>50</x:v>
      </x:c>
      <x:c r="X462" t="n">
        <x:f>IF((COUNT('Quantification_Results'!W462)=1),IFERROR(ROUND((SUM(('Quantification_Results'!W462*'Quantification_Config'!$R$8))/SUM('Quantification_Config'!$R$8)),'Quantification_Config'!$U$2),""),"")</x:f>
        <x:v>50</x:v>
      </x:c>
      <x:c r="Y462" t="n">
        <x:v>0</x:v>
      </x:c>
      <x:c r="Z462"/>
      <x:c r="AA462"/>
      <x:c r="AB462">
        <x:f>IF(('Quantification_Results'!Y462&lt;&gt;1),"",IF(('Quantification_Results'!AA462=""),IF(ISNUMBER('Quantification_Results'!Z462),IF(('Quantification_Results'!Z462&lt;'Quantification_Config'!$S$12),"",IF(('Quantification_Results'!Z462&gt;'Quantification_Config'!$T$12),"",'Quantification_Results'!Z462)),""),IF(ISNUMBER('Quantification_Results'!AA462),IF(('Quantification_Results'!AA462&lt;'Quantification_Config'!$S$12),"",IF(('Quantification_Results'!AA462&gt;'Quantification_Config'!$T$12),"",'Quantification_Results'!AA462)),"")))</x:f>
      </x:c>
      <x:c r="AC462">
        <x:f>IF(ISNUMBER('Quantification_Results'!AB462),IFERROR(ROUND(((('Quantification_Results'!AB462-'Quantification_Config'!$S$12)/('Quantification_Config'!$T$12-'Quantification_Config'!$S$12))*100),'Quantification_Config'!$U$2),""),"")</x:f>
      </x:c>
      <x:c r="AD462" t="inlineStr">
        <x:is>
          <x:t xml:space="preserve"/>
        </x:is>
      </x:c>
      <x:c r="AE462" t="inlineStr">
        <x:is>
          <x:t xml:space="preserve"/>
        </x:is>
      </x:c>
      <x:c r="AF462" t="inlineStr">
        <x:is>
          <x:t xml:space="preserve"/>
        </x:is>
      </x:c>
      <x:c r="AG462" t="inlineStr">
        <x:is>
          <x:t xml:space="preserve"/>
        </x:is>
      </x:c>
      <x:c r="AH462" t="inlineStr">
        <x:is>
          <x:t xml:space="preserve">EMPTY</x:t>
        </x:is>
      </x:c>
      <x:c r="AI462">
        <x:f>IF((COUNT('Quantification_Results'!AC462)=1),IFERROR(ROUND((SUM(('Quantification_Results'!AC462*'Quantification_Config'!$R$12))/SUM('Quantification_Config'!$R$12)),'Quantification_Config'!$U$2),""),"")</x:f>
      </x:c>
      <x:c r="AJ462">
        <x:f>IF((COUNT('Quantification_Results'!AI462)=1),IFERROR(ROUND((SUM(('Quantification_Results'!AI462*'Quantification_Config'!$R$11))/SUM('Quantification_Config'!$R$11)),'Quantification_Config'!$U$2),""),"")</x:f>
      </x:c>
      <x:c r="AK462" t="n">
        <x:v>1</x:v>
      </x:c>
      <x:c r="AL462" t="n">
        <x:v>5</x:v>
      </x:c>
      <x:c r="AM462"/>
      <x:c r="AN462" t="n">
        <x:f>IF(('Quantification_Results'!AK462&lt;&gt;1),"",IF(('Quantification_Results'!AM462=""),IF(ISNUMBER('Quantification_Results'!AL462),IF(('Quantification_Results'!AL462&lt;'Quantification_Config'!$S$15),"",IF(('Quantification_Results'!AL462&gt;'Quantification_Config'!$T$15),"",'Quantification_Results'!AL462)),""),IF(ISNUMBER('Quantification_Results'!AM462),IF(('Quantification_Results'!AM462&lt;'Quantification_Config'!$S$15),"",IF(('Quantification_Results'!AM462&gt;'Quantification_Config'!$T$15),"",'Quantification_Results'!AM462)),"")))</x:f>
        <x:v>5</x:v>
      </x:c>
      <x:c r="AO462" t="n">
        <x:f>IF(ISNUMBER('Quantification_Results'!AN462),IFERROR(ROUND(((('Quantification_Results'!AN462-'Quantification_Config'!$S$15)/('Quantification_Config'!$T$15-'Quantification_Config'!$S$15))*100),'Quantification_Config'!$U$2),""),"")</x:f>
        <x:v>50</x:v>
      </x:c>
      <x:c r="AP462" t="inlineStr">
        <x:is>
          <x:t xml:space="preserve">SYSTEM-TEST-ONLY-NO-NETWORK-NOT-AN-EDUCATIONAL-EVALUATION</x:t>
        </x:is>
      </x:c>
      <x:c r="AQ462" t="inlineStr">
        <x:is>
          <x:t xml:space="preserve"/>
        </x:is>
      </x:c>
      <x:c r="AR462" t="inlineStr">
        <x:is>
          <x:t xml:space="preserve">NONE</x:t>
        </x:is>
      </x:c>
      <x:c r="AS462" t="inlineStr">
        <x:is>
          <x:t xml:space="preserve"/>
        </x:is>
      </x:c>
      <x:c r="AT462" t="inlineStr">
        <x:is>
          <x:t xml:space="preserve">SUCCESS</x:t>
        </x:is>
      </x:c>
      <x:c r="AU462" t="n">
        <x:f>IF((COUNT('Quantification_Results'!AO462)=1),IFERROR(ROUND((SUM(('Quantification_Results'!AO462*'Quantification_Config'!$R$15))/SUM('Quantification_Config'!$R$15)),'Quantification_Config'!$U$2),""),"")</x:f>
        <x:v>50</x:v>
      </x:c>
      <x:c r="AV462" t="n">
        <x:f>IF((COUNT('Quantification_Results'!AU462)=1),IFERROR(ROUND((SUM(('Quantification_Results'!AU462*'Quantification_Config'!$R$14))/SUM('Quantification_Config'!$R$14)),'Quantification_Config'!$U$2),""),"")</x:f>
        <x:v>50</x:v>
      </x:c>
      <x:c r="AW462" t="n">
        <x:v>1</x:v>
      </x:c>
      <x:c r="AX462" t="n">
        <x:v>5</x:v>
      </x:c>
      <x:c r="AY462"/>
      <x:c r="AZ462" t="n">
        <x:f>IF(('Quantification_Results'!AW462&lt;&gt;1),"",IF(('Quantification_Results'!AY462=""),IF(ISNUMBER('Quantification_Results'!AX462),IF(('Quantification_Results'!AX462&lt;'Quantification_Config'!$S$19),"",IF(('Quantification_Results'!AX462&gt;'Quantification_Config'!$T$19),"",'Quantification_Results'!AX462)),""),IF(ISNUMBER('Quantification_Results'!AY462),IF(('Quantification_Results'!AY462&lt;'Quantification_Config'!$S$19),"",IF(('Quantification_Results'!AY462&gt;'Quantification_Config'!$T$19),"",'Quantification_Results'!AY462)),"")))</x:f>
        <x:v>5</x:v>
      </x:c>
      <x:c r="BA462" t="n">
        <x:f>IF(ISNUMBER('Quantification_Results'!AZ462),IFERROR(ROUND(((('Quantification_Results'!AZ462-'Quantification_Config'!$S$19)/('Quantification_Config'!$T$19-'Quantification_Config'!$S$19))*100),'Quantification_Config'!$U$2),""),"")</x:f>
        <x:v>50</x:v>
      </x:c>
      <x:c r="BB462" t="inlineStr">
        <x:is>
          <x:t xml:space="preserve">SYSTEM-TEST-ONLY-NO-NETWORK-NOT-AN-EDUCATIONAL-EVALUATION</x:t>
        </x:is>
      </x:c>
      <x:c r="BC462" t="inlineStr">
        <x:is>
          <x:t xml:space="preserve"/>
        </x:is>
      </x:c>
      <x:c r="BD462" t="inlineStr">
        <x:is>
          <x:t xml:space="preserve">NONE</x:t>
        </x:is>
      </x:c>
      <x:c r="BE462" t="inlineStr">
        <x:is>
          <x:t xml:space="preserve"/>
        </x:is>
      </x:c>
      <x:c r="BF462" t="inlineStr">
        <x:is>
          <x:t xml:space="preserve">SUCCESS</x:t>
        </x:is>
      </x:c>
      <x:c r="BG462" t="n">
        <x:f>IF((COUNT('Quantification_Results'!BA462)=1),IFERROR(ROUND((SUM(('Quantification_Results'!BA462*'Quantification_Config'!$R$19))/SUM('Quantification_Config'!$R$19)),'Quantification_Config'!$U$2),""),"")</x:f>
        <x:v>50</x:v>
      </x:c>
      <x:c r="BH462" t="n">
        <x:f>IF((COUNT('Quantification_Results'!BG462)=1),IFERROR(ROUND((SUM(('Quantification_Results'!BG462*'Quantification_Config'!$R$18))/SUM('Quantification_Config'!$R$18)),'Quantification_Config'!$U$2),""),"")</x:f>
        <x:v>50</x:v>
      </x:c>
      <x:c r="BI462">
        <x:f>IF((COUNT('Quantification_Results'!L462,'Quantification_Results'!X462,'Quantification_Results'!AJ462,'Quantification_Results'!AV462,'Quantification_Results'!BH462)=5),IFERROR(ROUND((SUM(('Quantification_Results'!L462*'Quantification_Config'!$R$4),('Quantification_Results'!X462*'Quantification_Config'!$R$7),('Quantification_Results'!AJ462*'Quantification_Config'!$R$10),('Quantification_Results'!AV462*'Quantification_Config'!$R$13),('Quantification_Results'!BH462*'Quantification_Config'!$R$16))/SUM('Quantification_Config'!$R$4,'Quantification_Config'!$R$7,'Quantification_Config'!$R$10,'Quantification_Config'!$R$13,'Quantification_Config'!$R$16)),'Quantification_Config'!$U$2),""),"")</x:f>
      </x:c>
    </x:row>
    <x:row r="463">
      <x:c r="A463" t="n">
        <x:v>1</x:v>
      </x:c>
      <x:c r="B463" t="n">
        <x:v>5</x:v>
      </x:c>
      <x:c r="C463"/>
      <x:c r="D463" t="n">
        <x:f>IF(('Quantification_Results'!A463&lt;&gt;1),"",IF(('Quantification_Results'!C463=""),IF(ISNUMBER('Quantification_Results'!B463),IF(('Quantification_Results'!B463&lt;'Quantification_Config'!$S$6),"",IF(('Quantification_Results'!B463&gt;'Quantification_Config'!$T$6),"",'Quantification_Results'!B463)),""),IF(ISNUMBER('Quantification_Results'!C463),IF(('Quantification_Results'!C463&lt;'Quantification_Config'!$S$6),"",IF(('Quantification_Results'!C463&gt;'Quantification_Config'!$T$6),"",'Quantification_Results'!C463)),"")))</x:f>
        <x:v>5</x:v>
      </x:c>
      <x:c r="E463" t="n">
        <x:f>IF(ISNUMBER('Quantification_Results'!D463),IFERROR(ROUND(((('Quantification_Results'!D463-'Quantification_Config'!$S$6)/('Quantification_Config'!$T$6-'Quantification_Config'!$S$6))*100),'Quantification_Config'!$U$2),""),"")</x:f>
        <x:v>50</x:v>
      </x:c>
      <x:c r="F463" t="inlineStr">
        <x:is>
          <x:t xml:space="preserve">SYSTEM-TEST-ONLY-NO-NETWORK-NOT-AN-EDUCATIONAL-EVALUATION</x:t>
        </x:is>
      </x:c>
      <x:c r="G463" t="inlineStr">
        <x:is>
          <x:t xml:space="preserve"/>
        </x:is>
      </x:c>
      <x:c r="H463" t="inlineStr">
        <x:is>
          <x:t xml:space="preserve">NONE</x:t>
        </x:is>
      </x:c>
      <x:c r="I463" t="inlineStr">
        <x:is>
          <x:t xml:space="preserve"/>
        </x:is>
      </x:c>
      <x:c r="J463" t="inlineStr">
        <x:is>
          <x:t xml:space="preserve">SUCCESS</x:t>
        </x:is>
      </x:c>
      <x:c r="K463" t="n">
        <x:f>IF((COUNT('Quantification_Results'!E463)=1),IFERROR(ROUND((SUM(('Quantification_Results'!E463*'Quantification_Config'!$R$6))/SUM('Quantification_Config'!$R$6)),'Quantification_Config'!$U$2),""),"")</x:f>
        <x:v>50</x:v>
      </x:c>
      <x:c r="L463" t="n">
        <x:f>IF((COUNT('Quantification_Results'!K463)=1),IFERROR(ROUND((SUM(('Quantification_Results'!K463*'Quantification_Config'!$R$5))/SUM('Quantification_Config'!$R$5)),'Quantification_Config'!$U$2),""),"")</x:f>
        <x:v>50</x:v>
      </x:c>
      <x:c r="M463" t="n">
        <x:v>1</x:v>
      </x:c>
      <x:c r="N463" t="n">
        <x:v>5</x:v>
      </x:c>
      <x:c r="O463"/>
      <x:c r="P463" t="n">
        <x:f>IF(('Quantification_Results'!M463&lt;&gt;1),"",IF(('Quantification_Results'!O463=""),IF(ISNUMBER('Quantification_Results'!N463),IF(('Quantification_Results'!N463&lt;'Quantification_Config'!$S$9),"",IF(('Quantification_Results'!N463&gt;'Quantification_Config'!$T$9),"",'Quantification_Results'!N463)),""),IF(ISNUMBER('Quantification_Results'!O463),IF(('Quantification_Results'!O463&lt;'Quantification_Config'!$S$9),"",IF(('Quantification_Results'!O463&gt;'Quantification_Config'!$T$9),"",'Quantification_Results'!O463)),"")))</x:f>
        <x:v>5</x:v>
      </x:c>
      <x:c r="Q463" t="n">
        <x:f>IF(ISNUMBER('Quantification_Results'!P463),IFERROR(ROUND(((('Quantification_Results'!P463-'Quantification_Config'!$S$9)/('Quantification_Config'!$T$9-'Quantification_Config'!$S$9))*100),'Quantification_Config'!$U$2),""),"")</x:f>
        <x:v>50</x:v>
      </x:c>
      <x:c r="R463" t="inlineStr">
        <x:is>
          <x:t xml:space="preserve">SYSTEM-TEST-ONLY-NO-NETWORK-NOT-AN-EDUCATIONAL-EVALUATION</x:t>
        </x:is>
      </x:c>
      <x:c r="S463" t="inlineStr">
        <x:is>
          <x:t xml:space="preserve"/>
        </x:is>
      </x:c>
      <x:c r="T463" t="inlineStr">
        <x:is>
          <x:t xml:space="preserve">NONE</x:t>
        </x:is>
      </x:c>
      <x:c r="U463" t="inlineStr">
        <x:is>
          <x:t xml:space="preserve"/>
        </x:is>
      </x:c>
      <x:c r="V463" t="inlineStr">
        <x:is>
          <x:t xml:space="preserve">SUCCESS</x:t>
        </x:is>
      </x:c>
      <x:c r="W463" t="n">
        <x:f>IF((COUNT('Quantification_Results'!Q463)=1),IFERROR(ROUND((SUM(('Quantification_Results'!Q463*'Quantification_Config'!$R$9))/SUM('Quantification_Config'!$R$9)),'Quantification_Config'!$U$2),""),"")</x:f>
        <x:v>50</x:v>
      </x:c>
      <x:c r="X463" t="n">
        <x:f>IF((COUNT('Quantification_Results'!W463)=1),IFERROR(ROUND((SUM(('Quantification_Results'!W463*'Quantification_Config'!$R$8))/SUM('Quantification_Config'!$R$8)),'Quantification_Config'!$U$2),""),"")</x:f>
        <x:v>50</x:v>
      </x:c>
      <x:c r="Y463" t="n">
        <x:v>0</x:v>
      </x:c>
      <x:c r="Z463"/>
      <x:c r="AA463"/>
      <x:c r="AB463">
        <x:f>IF(('Quantification_Results'!Y463&lt;&gt;1),"",IF(('Quantification_Results'!AA463=""),IF(ISNUMBER('Quantification_Results'!Z463),IF(('Quantification_Results'!Z463&lt;'Quantification_Config'!$S$12),"",IF(('Quantification_Results'!Z463&gt;'Quantification_Config'!$T$12),"",'Quantification_Results'!Z463)),""),IF(ISNUMBER('Quantification_Results'!AA463),IF(('Quantification_Results'!AA463&lt;'Quantification_Config'!$S$12),"",IF(('Quantification_Results'!AA463&gt;'Quantification_Config'!$T$12),"",'Quantification_Results'!AA463)),"")))</x:f>
      </x:c>
      <x:c r="AC463">
        <x:f>IF(ISNUMBER('Quantification_Results'!AB463),IFERROR(ROUND(((('Quantification_Results'!AB463-'Quantification_Config'!$S$12)/('Quantification_Config'!$T$12-'Quantification_Config'!$S$12))*100),'Quantification_Config'!$U$2),""),"")</x:f>
      </x:c>
      <x:c r="AD463" t="inlineStr">
        <x:is>
          <x:t xml:space="preserve"/>
        </x:is>
      </x:c>
      <x:c r="AE463" t="inlineStr">
        <x:is>
          <x:t xml:space="preserve"/>
        </x:is>
      </x:c>
      <x:c r="AF463" t="inlineStr">
        <x:is>
          <x:t xml:space="preserve"/>
        </x:is>
      </x:c>
      <x:c r="AG463" t="inlineStr">
        <x:is>
          <x:t xml:space="preserve"/>
        </x:is>
      </x:c>
      <x:c r="AH463" t="inlineStr">
        <x:is>
          <x:t xml:space="preserve">EMPTY</x:t>
        </x:is>
      </x:c>
      <x:c r="AI463">
        <x:f>IF((COUNT('Quantification_Results'!AC463)=1),IFERROR(ROUND((SUM(('Quantification_Results'!AC463*'Quantification_Config'!$R$12))/SUM('Quantification_Config'!$R$12)),'Quantification_Config'!$U$2),""),"")</x:f>
      </x:c>
      <x:c r="AJ463">
        <x:f>IF((COUNT('Quantification_Results'!AI463)=1),IFERROR(ROUND((SUM(('Quantification_Results'!AI463*'Quantification_Config'!$R$11))/SUM('Quantification_Config'!$R$11)),'Quantification_Config'!$U$2),""),"")</x:f>
      </x:c>
      <x:c r="AK463" t="n">
        <x:v>1</x:v>
      </x:c>
      <x:c r="AL463" t="n">
        <x:v>5</x:v>
      </x:c>
      <x:c r="AM463"/>
      <x:c r="AN463" t="n">
        <x:f>IF(('Quantification_Results'!AK463&lt;&gt;1),"",IF(('Quantification_Results'!AM463=""),IF(ISNUMBER('Quantification_Results'!AL463),IF(('Quantification_Results'!AL463&lt;'Quantification_Config'!$S$15),"",IF(('Quantification_Results'!AL463&gt;'Quantification_Config'!$T$15),"",'Quantification_Results'!AL463)),""),IF(ISNUMBER('Quantification_Results'!AM463),IF(('Quantification_Results'!AM463&lt;'Quantification_Config'!$S$15),"",IF(('Quantification_Results'!AM463&gt;'Quantification_Config'!$T$15),"",'Quantification_Results'!AM463)),"")))</x:f>
        <x:v>5</x:v>
      </x:c>
      <x:c r="AO463" t="n">
        <x:f>IF(ISNUMBER('Quantification_Results'!AN463),IFERROR(ROUND(((('Quantification_Results'!AN463-'Quantification_Config'!$S$15)/('Quantification_Config'!$T$15-'Quantification_Config'!$S$15))*100),'Quantification_Config'!$U$2),""),"")</x:f>
        <x:v>50</x:v>
      </x:c>
      <x:c r="AP463" t="inlineStr">
        <x:is>
          <x:t xml:space="preserve">SYSTEM-TEST-ONLY-NO-NETWORK-NOT-AN-EDUCATIONAL-EVALUATION</x:t>
        </x:is>
      </x:c>
      <x:c r="AQ463" t="inlineStr">
        <x:is>
          <x:t xml:space="preserve"/>
        </x:is>
      </x:c>
      <x:c r="AR463" t="inlineStr">
        <x:is>
          <x:t xml:space="preserve">NONE</x:t>
        </x:is>
      </x:c>
      <x:c r="AS463" t="inlineStr">
        <x:is>
          <x:t xml:space="preserve"/>
        </x:is>
      </x:c>
      <x:c r="AT463" t="inlineStr">
        <x:is>
          <x:t xml:space="preserve">SUCCESS</x:t>
        </x:is>
      </x:c>
      <x:c r="AU463" t="n">
        <x:f>IF((COUNT('Quantification_Results'!AO463)=1),IFERROR(ROUND((SUM(('Quantification_Results'!AO463*'Quantification_Config'!$R$15))/SUM('Quantification_Config'!$R$15)),'Quantification_Config'!$U$2),""),"")</x:f>
        <x:v>50</x:v>
      </x:c>
      <x:c r="AV463" t="n">
        <x:f>IF((COUNT('Quantification_Results'!AU463)=1),IFERROR(ROUND((SUM(('Quantification_Results'!AU463*'Quantification_Config'!$R$14))/SUM('Quantification_Config'!$R$14)),'Quantification_Config'!$U$2),""),"")</x:f>
        <x:v>50</x:v>
      </x:c>
      <x:c r="AW463" t="n">
        <x:v>0</x:v>
      </x:c>
      <x:c r="AX463"/>
      <x:c r="AY463"/>
      <x:c r="AZ463">
        <x:f>IF(('Quantification_Results'!AW463&lt;&gt;1),"",IF(('Quantification_Results'!AY463=""),IF(ISNUMBER('Quantification_Results'!AX463),IF(('Quantification_Results'!AX463&lt;'Quantification_Config'!$S$19),"",IF(('Quantification_Results'!AX463&gt;'Quantification_Config'!$T$19),"",'Quantification_Results'!AX463)),""),IF(ISNUMBER('Quantification_Results'!AY463),IF(('Quantification_Results'!AY463&lt;'Quantification_Config'!$S$19),"",IF(('Quantification_Results'!AY463&gt;'Quantification_Config'!$T$19),"",'Quantification_Results'!AY463)),"")))</x:f>
      </x:c>
      <x:c r="BA463">
        <x:f>IF(ISNUMBER('Quantification_Results'!AZ463),IFERROR(ROUND(((('Quantification_Results'!AZ463-'Quantification_Config'!$S$19)/('Quantification_Config'!$T$19-'Quantification_Config'!$S$19))*100),'Quantification_Config'!$U$2),""),"")</x:f>
      </x:c>
      <x:c r="BB463" t="inlineStr">
        <x:is>
          <x:t xml:space="preserve"/>
        </x:is>
      </x:c>
      <x:c r="BC463" t="inlineStr">
        <x:is>
          <x:t xml:space="preserve"/>
        </x:is>
      </x:c>
      <x:c r="BD463" t="inlineStr">
        <x:is>
          <x:t xml:space="preserve"/>
        </x:is>
      </x:c>
      <x:c r="BE463" t="inlineStr">
        <x:is>
          <x:t xml:space="preserve"/>
        </x:is>
      </x:c>
      <x:c r="BF463" t="inlineStr">
        <x:is>
          <x:t xml:space="preserve">EMPTY</x:t>
        </x:is>
      </x:c>
      <x:c r="BG463">
        <x:f>IF((COUNT('Quantification_Results'!BA463)=1),IFERROR(ROUND((SUM(('Quantification_Results'!BA463*'Quantification_Config'!$R$19))/SUM('Quantification_Config'!$R$19)),'Quantification_Config'!$U$2),""),"")</x:f>
      </x:c>
      <x:c r="BH463">
        <x:f>IF((COUNT('Quantification_Results'!BG463)=1),IFERROR(ROUND((SUM(('Quantification_Results'!BG463*'Quantification_Config'!$R$18))/SUM('Quantification_Config'!$R$18)),'Quantification_Config'!$U$2),""),"")</x:f>
      </x:c>
      <x:c r="BI463">
        <x:f>IF((COUNT('Quantification_Results'!L463,'Quantification_Results'!X463,'Quantification_Results'!AJ463,'Quantification_Results'!AV463,'Quantification_Results'!BH463)=5),IFERROR(ROUND((SUM(('Quantification_Results'!L463*'Quantification_Config'!$R$4),('Quantification_Results'!X463*'Quantification_Config'!$R$7),('Quantification_Results'!AJ463*'Quantification_Config'!$R$10),('Quantification_Results'!AV463*'Quantification_Config'!$R$13),('Quantification_Results'!BH463*'Quantification_Config'!$R$16))/SUM('Quantification_Config'!$R$4,'Quantification_Config'!$R$7,'Quantification_Config'!$R$10,'Quantification_Config'!$R$13,'Quantification_Config'!$R$16)),'Quantification_Config'!$U$2),""),"")</x:f>
      </x:c>
    </x:row>
    <x:row r="464">
      <x:c r="A464" t="n">
        <x:v>1</x:v>
      </x:c>
      <x:c r="B464" t="n">
        <x:v>5</x:v>
      </x:c>
      <x:c r="C464"/>
      <x:c r="D464" t="n">
        <x:f>IF(('Quantification_Results'!A464&lt;&gt;1),"",IF(('Quantification_Results'!C464=""),IF(ISNUMBER('Quantification_Results'!B464),IF(('Quantification_Results'!B464&lt;'Quantification_Config'!$S$6),"",IF(('Quantification_Results'!B464&gt;'Quantification_Config'!$T$6),"",'Quantification_Results'!B464)),""),IF(ISNUMBER('Quantification_Results'!C464),IF(('Quantification_Results'!C464&lt;'Quantification_Config'!$S$6),"",IF(('Quantification_Results'!C464&gt;'Quantification_Config'!$T$6),"",'Quantification_Results'!C464)),"")))</x:f>
        <x:v>5</x:v>
      </x:c>
      <x:c r="E464" t="n">
        <x:f>IF(ISNUMBER('Quantification_Results'!D464),IFERROR(ROUND(((('Quantification_Results'!D464-'Quantification_Config'!$S$6)/('Quantification_Config'!$T$6-'Quantification_Config'!$S$6))*100),'Quantification_Config'!$U$2),""),"")</x:f>
        <x:v>50</x:v>
      </x:c>
      <x:c r="F464" t="inlineStr">
        <x:is>
          <x:t xml:space="preserve">SYSTEM-TEST-ONLY-NO-NETWORK-NOT-AN-EDUCATIONAL-EVALUATION</x:t>
        </x:is>
      </x:c>
      <x:c r="G464" t="inlineStr">
        <x:is>
          <x:t xml:space="preserve"/>
        </x:is>
      </x:c>
      <x:c r="H464" t="inlineStr">
        <x:is>
          <x:t xml:space="preserve">NONE</x:t>
        </x:is>
      </x:c>
      <x:c r="I464" t="inlineStr">
        <x:is>
          <x:t xml:space="preserve"/>
        </x:is>
      </x:c>
      <x:c r="J464" t="inlineStr">
        <x:is>
          <x:t xml:space="preserve">SUCCESS</x:t>
        </x:is>
      </x:c>
      <x:c r="K464" t="n">
        <x:f>IF((COUNT('Quantification_Results'!E464)=1),IFERROR(ROUND((SUM(('Quantification_Results'!E464*'Quantification_Config'!$R$6))/SUM('Quantification_Config'!$R$6)),'Quantification_Config'!$U$2),""),"")</x:f>
        <x:v>50</x:v>
      </x:c>
      <x:c r="L464" t="n">
        <x:f>IF((COUNT('Quantification_Results'!K464)=1),IFERROR(ROUND((SUM(('Quantification_Results'!K464*'Quantification_Config'!$R$5))/SUM('Quantification_Config'!$R$5)),'Quantification_Config'!$U$2),""),"")</x:f>
        <x:v>50</x:v>
      </x:c>
      <x:c r="M464" t="n">
        <x:v>1</x:v>
      </x:c>
      <x:c r="N464" t="n">
        <x:v>5</x:v>
      </x:c>
      <x:c r="O464"/>
      <x:c r="P464" t="n">
        <x:f>IF(('Quantification_Results'!M464&lt;&gt;1),"",IF(('Quantification_Results'!O464=""),IF(ISNUMBER('Quantification_Results'!N464),IF(('Quantification_Results'!N464&lt;'Quantification_Config'!$S$9),"",IF(('Quantification_Results'!N464&gt;'Quantification_Config'!$T$9),"",'Quantification_Results'!N464)),""),IF(ISNUMBER('Quantification_Results'!O464),IF(('Quantification_Results'!O464&lt;'Quantification_Config'!$S$9),"",IF(('Quantification_Results'!O464&gt;'Quantification_Config'!$T$9),"",'Quantification_Results'!O464)),"")))</x:f>
        <x:v>5</x:v>
      </x:c>
      <x:c r="Q464" t="n">
        <x:f>IF(ISNUMBER('Quantification_Results'!P464),IFERROR(ROUND(((('Quantification_Results'!P464-'Quantification_Config'!$S$9)/('Quantification_Config'!$T$9-'Quantification_Config'!$S$9))*100),'Quantification_Config'!$U$2),""),"")</x:f>
        <x:v>50</x:v>
      </x:c>
      <x:c r="R464" t="inlineStr">
        <x:is>
          <x:t xml:space="preserve">SYSTEM-TEST-ONLY-NO-NETWORK-NOT-AN-EDUCATIONAL-EVALUATION</x:t>
        </x:is>
      </x:c>
      <x:c r="S464" t="inlineStr">
        <x:is>
          <x:t xml:space="preserve"/>
        </x:is>
      </x:c>
      <x:c r="T464" t="inlineStr">
        <x:is>
          <x:t xml:space="preserve">NONE</x:t>
        </x:is>
      </x:c>
      <x:c r="U464" t="inlineStr">
        <x:is>
          <x:t xml:space="preserve"/>
        </x:is>
      </x:c>
      <x:c r="V464" t="inlineStr">
        <x:is>
          <x:t xml:space="preserve">SUCCESS</x:t>
        </x:is>
      </x:c>
      <x:c r="W464" t="n">
        <x:f>IF((COUNT('Quantification_Results'!Q464)=1),IFERROR(ROUND((SUM(('Quantification_Results'!Q464*'Quantification_Config'!$R$9))/SUM('Quantification_Config'!$R$9)),'Quantification_Config'!$U$2),""),"")</x:f>
        <x:v>50</x:v>
      </x:c>
      <x:c r="X464" t="n">
        <x:f>IF((COUNT('Quantification_Results'!W464)=1),IFERROR(ROUND((SUM(('Quantification_Results'!W464*'Quantification_Config'!$R$8))/SUM('Quantification_Config'!$R$8)),'Quantification_Config'!$U$2),""),"")</x:f>
        <x:v>50</x:v>
      </x:c>
      <x:c r="Y464" t="n">
        <x:v>0</x:v>
      </x:c>
      <x:c r="Z464"/>
      <x:c r="AA464"/>
      <x:c r="AB464">
        <x:f>IF(('Quantification_Results'!Y464&lt;&gt;1),"",IF(('Quantification_Results'!AA464=""),IF(ISNUMBER('Quantification_Results'!Z464),IF(('Quantification_Results'!Z464&lt;'Quantification_Config'!$S$12),"",IF(('Quantification_Results'!Z464&gt;'Quantification_Config'!$T$12),"",'Quantification_Results'!Z464)),""),IF(ISNUMBER('Quantification_Results'!AA464),IF(('Quantification_Results'!AA464&lt;'Quantification_Config'!$S$12),"",IF(('Quantification_Results'!AA464&gt;'Quantification_Config'!$T$12),"",'Quantification_Results'!AA464)),"")))</x:f>
      </x:c>
      <x:c r="AC464">
        <x:f>IF(ISNUMBER('Quantification_Results'!AB464),IFERROR(ROUND(((('Quantification_Results'!AB464-'Quantification_Config'!$S$12)/('Quantification_Config'!$T$12-'Quantification_Config'!$S$12))*100),'Quantification_Config'!$U$2),""),"")</x:f>
      </x:c>
      <x:c r="AD464" t="inlineStr">
        <x:is>
          <x:t xml:space="preserve"/>
        </x:is>
      </x:c>
      <x:c r="AE464" t="inlineStr">
        <x:is>
          <x:t xml:space="preserve"/>
        </x:is>
      </x:c>
      <x:c r="AF464" t="inlineStr">
        <x:is>
          <x:t xml:space="preserve"/>
        </x:is>
      </x:c>
      <x:c r="AG464" t="inlineStr">
        <x:is>
          <x:t xml:space="preserve"/>
        </x:is>
      </x:c>
      <x:c r="AH464" t="inlineStr">
        <x:is>
          <x:t xml:space="preserve">EMPTY</x:t>
        </x:is>
      </x:c>
      <x:c r="AI464">
        <x:f>IF((COUNT('Quantification_Results'!AC464)=1),IFERROR(ROUND((SUM(('Quantification_Results'!AC464*'Quantification_Config'!$R$12))/SUM('Quantification_Config'!$R$12)),'Quantification_Config'!$U$2),""),"")</x:f>
      </x:c>
      <x:c r="AJ464">
        <x:f>IF((COUNT('Quantification_Results'!AI464)=1),IFERROR(ROUND((SUM(('Quantification_Results'!AI464*'Quantification_Config'!$R$11))/SUM('Quantification_Config'!$R$11)),'Quantification_Config'!$U$2),""),"")</x:f>
      </x:c>
      <x:c r="AK464" t="n">
        <x:v>1</x:v>
      </x:c>
      <x:c r="AL464" t="n">
        <x:v>5</x:v>
      </x:c>
      <x:c r="AM464"/>
      <x:c r="AN464" t="n">
        <x:f>IF(('Quantification_Results'!AK464&lt;&gt;1),"",IF(('Quantification_Results'!AM464=""),IF(ISNUMBER('Quantification_Results'!AL464),IF(('Quantification_Results'!AL464&lt;'Quantification_Config'!$S$15),"",IF(('Quantification_Results'!AL464&gt;'Quantification_Config'!$T$15),"",'Quantification_Results'!AL464)),""),IF(ISNUMBER('Quantification_Results'!AM464),IF(('Quantification_Results'!AM464&lt;'Quantification_Config'!$S$15),"",IF(('Quantification_Results'!AM464&gt;'Quantification_Config'!$T$15),"",'Quantification_Results'!AM464)),"")))</x:f>
        <x:v>5</x:v>
      </x:c>
      <x:c r="AO464" t="n">
        <x:f>IF(ISNUMBER('Quantification_Results'!AN464),IFERROR(ROUND(((('Quantification_Results'!AN464-'Quantification_Config'!$S$15)/('Quantification_Config'!$T$15-'Quantification_Config'!$S$15))*100),'Quantification_Config'!$U$2),""),"")</x:f>
        <x:v>50</x:v>
      </x:c>
      <x:c r="AP464" t="inlineStr">
        <x:is>
          <x:t xml:space="preserve">SYSTEM-TEST-ONLY-NO-NETWORK-NOT-AN-EDUCATIONAL-EVALUATION</x:t>
        </x:is>
      </x:c>
      <x:c r="AQ464" t="inlineStr">
        <x:is>
          <x:t xml:space="preserve"/>
        </x:is>
      </x:c>
      <x:c r="AR464" t="inlineStr">
        <x:is>
          <x:t xml:space="preserve">NONE</x:t>
        </x:is>
      </x:c>
      <x:c r="AS464" t="inlineStr">
        <x:is>
          <x:t xml:space="preserve"/>
        </x:is>
      </x:c>
      <x:c r="AT464" t="inlineStr">
        <x:is>
          <x:t xml:space="preserve">SUCCESS</x:t>
        </x:is>
      </x:c>
      <x:c r="AU464" t="n">
        <x:f>IF((COUNT('Quantification_Results'!AO464)=1),IFERROR(ROUND((SUM(('Quantification_Results'!AO464*'Quantification_Config'!$R$15))/SUM('Quantification_Config'!$R$15)),'Quantification_Config'!$U$2),""),"")</x:f>
        <x:v>50</x:v>
      </x:c>
      <x:c r="AV464" t="n">
        <x:f>IF((COUNT('Quantification_Results'!AU464)=1),IFERROR(ROUND((SUM(('Quantification_Results'!AU464*'Quantification_Config'!$R$14))/SUM('Quantification_Config'!$R$14)),'Quantification_Config'!$U$2),""),"")</x:f>
        <x:v>50</x:v>
      </x:c>
      <x:c r="AW464" t="n">
        <x:v>1</x:v>
      </x:c>
      <x:c r="AX464" t="n">
        <x:v>5</x:v>
      </x:c>
      <x:c r="AY464"/>
      <x:c r="AZ464" t="n">
        <x:f>IF(('Quantification_Results'!AW464&lt;&gt;1),"",IF(('Quantification_Results'!AY464=""),IF(ISNUMBER('Quantification_Results'!AX464),IF(('Quantification_Results'!AX464&lt;'Quantification_Config'!$S$19),"",IF(('Quantification_Results'!AX464&gt;'Quantification_Config'!$T$19),"",'Quantification_Results'!AX464)),""),IF(ISNUMBER('Quantification_Results'!AY464),IF(('Quantification_Results'!AY464&lt;'Quantification_Config'!$S$19),"",IF(('Quantification_Results'!AY464&gt;'Quantification_Config'!$T$19),"",'Quantification_Results'!AY464)),"")))</x:f>
        <x:v>5</x:v>
      </x:c>
      <x:c r="BA464" t="n">
        <x:f>IF(ISNUMBER('Quantification_Results'!AZ464),IFERROR(ROUND(((('Quantification_Results'!AZ464-'Quantification_Config'!$S$19)/('Quantification_Config'!$T$19-'Quantification_Config'!$S$19))*100),'Quantification_Config'!$U$2),""),"")</x:f>
        <x:v>50</x:v>
      </x:c>
      <x:c r="BB464" t="inlineStr">
        <x:is>
          <x:t xml:space="preserve">SYSTEM-TEST-ONLY-NO-NETWORK-NOT-AN-EDUCATIONAL-EVALUATION</x:t>
        </x:is>
      </x:c>
      <x:c r="BC464" t="inlineStr">
        <x:is>
          <x:t xml:space="preserve"/>
        </x:is>
      </x:c>
      <x:c r="BD464" t="inlineStr">
        <x:is>
          <x:t xml:space="preserve">NONE</x:t>
        </x:is>
      </x:c>
      <x:c r="BE464" t="inlineStr">
        <x:is>
          <x:t xml:space="preserve"/>
        </x:is>
      </x:c>
      <x:c r="BF464" t="inlineStr">
        <x:is>
          <x:t xml:space="preserve">SUCCESS</x:t>
        </x:is>
      </x:c>
      <x:c r="BG464" t="n">
        <x:f>IF((COUNT('Quantification_Results'!BA464)=1),IFERROR(ROUND((SUM(('Quantification_Results'!BA464*'Quantification_Config'!$R$19))/SUM('Quantification_Config'!$R$19)),'Quantification_Config'!$U$2),""),"")</x:f>
        <x:v>50</x:v>
      </x:c>
      <x:c r="BH464" t="n">
        <x:f>IF((COUNT('Quantification_Results'!BG464)=1),IFERROR(ROUND((SUM(('Quantification_Results'!BG464*'Quantification_Config'!$R$18))/SUM('Quantification_Config'!$R$18)),'Quantification_Config'!$U$2),""),"")</x:f>
        <x:v>50</x:v>
      </x:c>
      <x:c r="BI464">
        <x:f>IF((COUNT('Quantification_Results'!L464,'Quantification_Results'!X464,'Quantification_Results'!AJ464,'Quantification_Results'!AV464,'Quantification_Results'!BH464)=5),IFERROR(ROUND((SUM(('Quantification_Results'!L464*'Quantification_Config'!$R$4),('Quantification_Results'!X464*'Quantification_Config'!$R$7),('Quantification_Results'!AJ464*'Quantification_Config'!$R$10),('Quantification_Results'!AV464*'Quantification_Config'!$R$13),('Quantification_Results'!BH464*'Quantification_Config'!$R$16))/SUM('Quantification_Config'!$R$4,'Quantification_Config'!$R$7,'Quantification_Config'!$R$10,'Quantification_Config'!$R$13,'Quantification_Config'!$R$16)),'Quantification_Config'!$U$2),""),"")</x:f>
      </x:c>
    </x:row>
    <x:row r="465">
      <x:c r="A465" t="n">
        <x:v>1</x:v>
      </x:c>
      <x:c r="B465" t="n">
        <x:v>5</x:v>
      </x:c>
      <x:c r="C465"/>
      <x:c r="D465" t="n">
        <x:f>IF(('Quantification_Results'!A465&lt;&gt;1),"",IF(('Quantification_Results'!C465=""),IF(ISNUMBER('Quantification_Results'!B465),IF(('Quantification_Results'!B465&lt;'Quantification_Config'!$S$6),"",IF(('Quantification_Results'!B465&gt;'Quantification_Config'!$T$6),"",'Quantification_Results'!B465)),""),IF(ISNUMBER('Quantification_Results'!C465),IF(('Quantification_Results'!C465&lt;'Quantification_Config'!$S$6),"",IF(('Quantification_Results'!C465&gt;'Quantification_Config'!$T$6),"",'Quantification_Results'!C465)),"")))</x:f>
        <x:v>5</x:v>
      </x:c>
      <x:c r="E465" t="n">
        <x:f>IF(ISNUMBER('Quantification_Results'!D465),IFERROR(ROUND(((('Quantification_Results'!D465-'Quantification_Config'!$S$6)/('Quantification_Config'!$T$6-'Quantification_Config'!$S$6))*100),'Quantification_Config'!$U$2),""),"")</x:f>
        <x:v>50</x:v>
      </x:c>
      <x:c r="F465" t="inlineStr">
        <x:is>
          <x:t xml:space="preserve">SYSTEM-TEST-ONLY-NO-NETWORK-NOT-AN-EDUCATIONAL-EVALUATION</x:t>
        </x:is>
      </x:c>
      <x:c r="G465" t="inlineStr">
        <x:is>
          <x:t xml:space="preserve"/>
        </x:is>
      </x:c>
      <x:c r="H465" t="inlineStr">
        <x:is>
          <x:t xml:space="preserve">NONE</x:t>
        </x:is>
      </x:c>
      <x:c r="I465" t="inlineStr">
        <x:is>
          <x:t xml:space="preserve"/>
        </x:is>
      </x:c>
      <x:c r="J465" t="inlineStr">
        <x:is>
          <x:t xml:space="preserve">SUCCESS</x:t>
        </x:is>
      </x:c>
      <x:c r="K465" t="n">
        <x:f>IF((COUNT('Quantification_Results'!E465)=1),IFERROR(ROUND((SUM(('Quantification_Results'!E465*'Quantification_Config'!$R$6))/SUM('Quantification_Config'!$R$6)),'Quantification_Config'!$U$2),""),"")</x:f>
        <x:v>50</x:v>
      </x:c>
      <x:c r="L465" t="n">
        <x:f>IF((COUNT('Quantification_Results'!K465)=1),IFERROR(ROUND((SUM(('Quantification_Results'!K465*'Quantification_Config'!$R$5))/SUM('Quantification_Config'!$R$5)),'Quantification_Config'!$U$2),""),"")</x:f>
        <x:v>50</x:v>
      </x:c>
      <x:c r="M465" t="n">
        <x:v>1</x:v>
      </x:c>
      <x:c r="N465" t="n">
        <x:v>5</x:v>
      </x:c>
      <x:c r="O465"/>
      <x:c r="P465" t="n">
        <x:f>IF(('Quantification_Results'!M465&lt;&gt;1),"",IF(('Quantification_Results'!O465=""),IF(ISNUMBER('Quantification_Results'!N465),IF(('Quantification_Results'!N465&lt;'Quantification_Config'!$S$9),"",IF(('Quantification_Results'!N465&gt;'Quantification_Config'!$T$9),"",'Quantification_Results'!N465)),""),IF(ISNUMBER('Quantification_Results'!O465),IF(('Quantification_Results'!O465&lt;'Quantification_Config'!$S$9),"",IF(('Quantification_Results'!O465&gt;'Quantification_Config'!$T$9),"",'Quantification_Results'!O465)),"")))</x:f>
        <x:v>5</x:v>
      </x:c>
      <x:c r="Q465" t="n">
        <x:f>IF(ISNUMBER('Quantification_Results'!P465),IFERROR(ROUND(((('Quantification_Results'!P465-'Quantification_Config'!$S$9)/('Quantification_Config'!$T$9-'Quantification_Config'!$S$9))*100),'Quantification_Config'!$U$2),""),"")</x:f>
        <x:v>50</x:v>
      </x:c>
      <x:c r="R465" t="inlineStr">
        <x:is>
          <x:t xml:space="preserve">SYSTEM-TEST-ONLY-NO-NETWORK-NOT-AN-EDUCATIONAL-EVALUATION</x:t>
        </x:is>
      </x:c>
      <x:c r="S465" t="inlineStr">
        <x:is>
          <x:t xml:space="preserve"/>
        </x:is>
      </x:c>
      <x:c r="T465" t="inlineStr">
        <x:is>
          <x:t xml:space="preserve">NONE</x:t>
        </x:is>
      </x:c>
      <x:c r="U465" t="inlineStr">
        <x:is>
          <x:t xml:space="preserve"/>
        </x:is>
      </x:c>
      <x:c r="V465" t="inlineStr">
        <x:is>
          <x:t xml:space="preserve">SUCCESS</x:t>
        </x:is>
      </x:c>
      <x:c r="W465" t="n">
        <x:f>IF((COUNT('Quantification_Results'!Q465)=1),IFERROR(ROUND((SUM(('Quantification_Results'!Q465*'Quantification_Config'!$R$9))/SUM('Quantification_Config'!$R$9)),'Quantification_Config'!$U$2),""),"")</x:f>
        <x:v>50</x:v>
      </x:c>
      <x:c r="X465" t="n">
        <x:f>IF((COUNT('Quantification_Results'!W465)=1),IFERROR(ROUND((SUM(('Quantification_Results'!W465*'Quantification_Config'!$R$8))/SUM('Quantification_Config'!$R$8)),'Quantification_Config'!$U$2),""),"")</x:f>
        <x:v>50</x:v>
      </x:c>
      <x:c r="Y465" t="n">
        <x:v>0</x:v>
      </x:c>
      <x:c r="Z465"/>
      <x:c r="AA465"/>
      <x:c r="AB465">
        <x:f>IF(('Quantification_Results'!Y465&lt;&gt;1),"",IF(('Quantification_Results'!AA465=""),IF(ISNUMBER('Quantification_Results'!Z465),IF(('Quantification_Results'!Z465&lt;'Quantification_Config'!$S$12),"",IF(('Quantification_Results'!Z465&gt;'Quantification_Config'!$T$12),"",'Quantification_Results'!Z465)),""),IF(ISNUMBER('Quantification_Results'!AA465),IF(('Quantification_Results'!AA465&lt;'Quantification_Config'!$S$12),"",IF(('Quantification_Results'!AA465&gt;'Quantification_Config'!$T$12),"",'Quantification_Results'!AA465)),"")))</x:f>
      </x:c>
      <x:c r="AC465">
        <x:f>IF(ISNUMBER('Quantification_Results'!AB465),IFERROR(ROUND(((('Quantification_Results'!AB465-'Quantification_Config'!$S$12)/('Quantification_Config'!$T$12-'Quantification_Config'!$S$12))*100),'Quantification_Config'!$U$2),""),"")</x:f>
      </x:c>
      <x:c r="AD465" t="inlineStr">
        <x:is>
          <x:t xml:space="preserve"/>
        </x:is>
      </x:c>
      <x:c r="AE465" t="inlineStr">
        <x:is>
          <x:t xml:space="preserve"/>
        </x:is>
      </x:c>
      <x:c r="AF465" t="inlineStr">
        <x:is>
          <x:t xml:space="preserve"/>
        </x:is>
      </x:c>
      <x:c r="AG465" t="inlineStr">
        <x:is>
          <x:t xml:space="preserve"/>
        </x:is>
      </x:c>
      <x:c r="AH465" t="inlineStr">
        <x:is>
          <x:t xml:space="preserve">EMPTY</x:t>
        </x:is>
      </x:c>
      <x:c r="AI465">
        <x:f>IF((COUNT('Quantification_Results'!AC465)=1),IFERROR(ROUND((SUM(('Quantification_Results'!AC465*'Quantification_Config'!$R$12))/SUM('Quantification_Config'!$R$12)),'Quantification_Config'!$U$2),""),"")</x:f>
      </x:c>
      <x:c r="AJ465">
        <x:f>IF((COUNT('Quantification_Results'!AI465)=1),IFERROR(ROUND((SUM(('Quantification_Results'!AI465*'Quantification_Config'!$R$11))/SUM('Quantification_Config'!$R$11)),'Quantification_Config'!$U$2),""),"")</x:f>
      </x:c>
      <x:c r="AK465" t="n">
        <x:v>1</x:v>
      </x:c>
      <x:c r="AL465" t="n">
        <x:v>5</x:v>
      </x:c>
      <x:c r="AM465"/>
      <x:c r="AN465" t="n">
        <x:f>IF(('Quantification_Results'!AK465&lt;&gt;1),"",IF(('Quantification_Results'!AM465=""),IF(ISNUMBER('Quantification_Results'!AL465),IF(('Quantification_Results'!AL465&lt;'Quantification_Config'!$S$15),"",IF(('Quantification_Results'!AL465&gt;'Quantification_Config'!$T$15),"",'Quantification_Results'!AL465)),""),IF(ISNUMBER('Quantification_Results'!AM465),IF(('Quantification_Results'!AM465&lt;'Quantification_Config'!$S$15),"",IF(('Quantification_Results'!AM465&gt;'Quantification_Config'!$T$15),"",'Quantification_Results'!AM465)),"")))</x:f>
        <x:v>5</x:v>
      </x:c>
      <x:c r="AO465" t="n">
        <x:f>IF(ISNUMBER('Quantification_Results'!AN465),IFERROR(ROUND(((('Quantification_Results'!AN465-'Quantification_Config'!$S$15)/('Quantification_Config'!$T$15-'Quantification_Config'!$S$15))*100),'Quantification_Config'!$U$2),""),"")</x:f>
        <x:v>50</x:v>
      </x:c>
      <x:c r="AP465" t="inlineStr">
        <x:is>
          <x:t xml:space="preserve">SYSTEM-TEST-ONLY-NO-NETWORK-NOT-AN-EDUCATIONAL-EVALUATION</x:t>
        </x:is>
      </x:c>
      <x:c r="AQ465" t="inlineStr">
        <x:is>
          <x:t xml:space="preserve"/>
        </x:is>
      </x:c>
      <x:c r="AR465" t="inlineStr">
        <x:is>
          <x:t xml:space="preserve">NONE</x:t>
        </x:is>
      </x:c>
      <x:c r="AS465" t="inlineStr">
        <x:is>
          <x:t xml:space="preserve"/>
        </x:is>
      </x:c>
      <x:c r="AT465" t="inlineStr">
        <x:is>
          <x:t xml:space="preserve">SUCCESS</x:t>
        </x:is>
      </x:c>
      <x:c r="AU465" t="n">
        <x:f>IF((COUNT('Quantification_Results'!AO465)=1),IFERROR(ROUND((SUM(('Quantification_Results'!AO465*'Quantification_Config'!$R$15))/SUM('Quantification_Config'!$R$15)),'Quantification_Config'!$U$2),""),"")</x:f>
        <x:v>50</x:v>
      </x:c>
      <x:c r="AV465" t="n">
        <x:f>IF((COUNT('Quantification_Results'!AU465)=1),IFERROR(ROUND((SUM(('Quantification_Results'!AU465*'Quantification_Config'!$R$14))/SUM('Quantification_Config'!$R$14)),'Quantification_Config'!$U$2),""),"")</x:f>
        <x:v>50</x:v>
      </x:c>
      <x:c r="AW465" t="n">
        <x:v>1</x:v>
      </x:c>
      <x:c r="AX465" t="n">
        <x:v>5</x:v>
      </x:c>
      <x:c r="AY465"/>
      <x:c r="AZ465" t="n">
        <x:f>IF(('Quantification_Results'!AW465&lt;&gt;1),"",IF(('Quantification_Results'!AY465=""),IF(ISNUMBER('Quantification_Results'!AX465),IF(('Quantification_Results'!AX465&lt;'Quantification_Config'!$S$19),"",IF(('Quantification_Results'!AX465&gt;'Quantification_Config'!$T$19),"",'Quantification_Results'!AX465)),""),IF(ISNUMBER('Quantification_Results'!AY465),IF(('Quantification_Results'!AY465&lt;'Quantification_Config'!$S$19),"",IF(('Quantification_Results'!AY465&gt;'Quantification_Config'!$T$19),"",'Quantification_Results'!AY465)),"")))</x:f>
        <x:v>5</x:v>
      </x:c>
      <x:c r="BA465" t="n">
        <x:f>IF(ISNUMBER('Quantification_Results'!AZ465),IFERROR(ROUND(((('Quantification_Results'!AZ465-'Quantification_Config'!$S$19)/('Quantification_Config'!$T$19-'Quantification_Config'!$S$19))*100),'Quantification_Config'!$U$2),""),"")</x:f>
        <x:v>50</x:v>
      </x:c>
      <x:c r="BB465" t="inlineStr">
        <x:is>
          <x:t xml:space="preserve">SYSTEM-TEST-ONLY-NO-NETWORK-NOT-AN-EDUCATIONAL-EVALUATION</x:t>
        </x:is>
      </x:c>
      <x:c r="BC465" t="inlineStr">
        <x:is>
          <x:t xml:space="preserve"/>
        </x:is>
      </x:c>
      <x:c r="BD465" t="inlineStr">
        <x:is>
          <x:t xml:space="preserve">NONE</x:t>
        </x:is>
      </x:c>
      <x:c r="BE465" t="inlineStr">
        <x:is>
          <x:t xml:space="preserve"/>
        </x:is>
      </x:c>
      <x:c r="BF465" t="inlineStr">
        <x:is>
          <x:t xml:space="preserve">SUCCESS</x:t>
        </x:is>
      </x:c>
      <x:c r="BG465" t="n">
        <x:f>IF((COUNT('Quantification_Results'!BA465)=1),IFERROR(ROUND((SUM(('Quantification_Results'!BA465*'Quantification_Config'!$R$19))/SUM('Quantification_Config'!$R$19)),'Quantification_Config'!$U$2),""),"")</x:f>
        <x:v>50</x:v>
      </x:c>
      <x:c r="BH465" t="n">
        <x:f>IF((COUNT('Quantification_Results'!BG465)=1),IFERROR(ROUND((SUM(('Quantification_Results'!BG465*'Quantification_Config'!$R$18))/SUM('Quantification_Config'!$R$18)),'Quantification_Config'!$U$2),""),"")</x:f>
        <x:v>50</x:v>
      </x:c>
      <x:c r="BI465">
        <x:f>IF((COUNT('Quantification_Results'!L465,'Quantification_Results'!X465,'Quantification_Results'!AJ465,'Quantification_Results'!AV465,'Quantification_Results'!BH465)=5),IFERROR(ROUND((SUM(('Quantification_Results'!L465*'Quantification_Config'!$R$4),('Quantification_Results'!X465*'Quantification_Config'!$R$7),('Quantification_Results'!AJ465*'Quantification_Config'!$R$10),('Quantification_Results'!AV465*'Quantification_Config'!$R$13),('Quantification_Results'!BH465*'Quantification_Config'!$R$16))/SUM('Quantification_Config'!$R$4,'Quantification_Config'!$R$7,'Quantification_Config'!$R$10,'Quantification_Config'!$R$13,'Quantification_Config'!$R$16)),'Quantification_Config'!$U$2),""),"")</x:f>
      </x:c>
    </x:row>
    <x:row r="466">
      <x:c r="A466" t="n">
        <x:v>1</x:v>
      </x:c>
      <x:c r="B466" t="n">
        <x:v>5</x:v>
      </x:c>
      <x:c r="C466"/>
      <x:c r="D466" t="n">
        <x:f>IF(('Quantification_Results'!A466&lt;&gt;1),"",IF(('Quantification_Results'!C466=""),IF(ISNUMBER('Quantification_Results'!B466),IF(('Quantification_Results'!B466&lt;'Quantification_Config'!$S$6),"",IF(('Quantification_Results'!B466&gt;'Quantification_Config'!$T$6),"",'Quantification_Results'!B466)),""),IF(ISNUMBER('Quantification_Results'!C466),IF(('Quantification_Results'!C466&lt;'Quantification_Config'!$S$6),"",IF(('Quantification_Results'!C466&gt;'Quantification_Config'!$T$6),"",'Quantification_Results'!C466)),"")))</x:f>
        <x:v>5</x:v>
      </x:c>
      <x:c r="E466" t="n">
        <x:f>IF(ISNUMBER('Quantification_Results'!D466),IFERROR(ROUND(((('Quantification_Results'!D466-'Quantification_Config'!$S$6)/('Quantification_Config'!$T$6-'Quantification_Config'!$S$6))*100),'Quantification_Config'!$U$2),""),"")</x:f>
        <x:v>50</x:v>
      </x:c>
      <x:c r="F466" t="inlineStr">
        <x:is>
          <x:t xml:space="preserve">SYSTEM-TEST-ONLY-NO-NETWORK-NOT-AN-EDUCATIONAL-EVALUATION</x:t>
        </x:is>
      </x:c>
      <x:c r="G466" t="inlineStr">
        <x:is>
          <x:t xml:space="preserve"/>
        </x:is>
      </x:c>
      <x:c r="H466" t="inlineStr">
        <x:is>
          <x:t xml:space="preserve">NONE</x:t>
        </x:is>
      </x:c>
      <x:c r="I466" t="inlineStr">
        <x:is>
          <x:t xml:space="preserve"/>
        </x:is>
      </x:c>
      <x:c r="J466" t="inlineStr">
        <x:is>
          <x:t xml:space="preserve">SUCCESS</x:t>
        </x:is>
      </x:c>
      <x:c r="K466" t="n">
        <x:f>IF((COUNT('Quantification_Results'!E466)=1),IFERROR(ROUND((SUM(('Quantification_Results'!E466*'Quantification_Config'!$R$6))/SUM('Quantification_Config'!$R$6)),'Quantification_Config'!$U$2),""),"")</x:f>
        <x:v>50</x:v>
      </x:c>
      <x:c r="L466" t="n">
        <x:f>IF((COUNT('Quantification_Results'!K466)=1),IFERROR(ROUND((SUM(('Quantification_Results'!K466*'Quantification_Config'!$R$5))/SUM('Quantification_Config'!$R$5)),'Quantification_Config'!$U$2),""),"")</x:f>
        <x:v>50</x:v>
      </x:c>
      <x:c r="M466" t="n">
        <x:v>1</x:v>
      </x:c>
      <x:c r="N466" t="n">
        <x:v>5</x:v>
      </x:c>
      <x:c r="O466"/>
      <x:c r="P466" t="n">
        <x:f>IF(('Quantification_Results'!M466&lt;&gt;1),"",IF(('Quantification_Results'!O466=""),IF(ISNUMBER('Quantification_Results'!N466),IF(('Quantification_Results'!N466&lt;'Quantification_Config'!$S$9),"",IF(('Quantification_Results'!N466&gt;'Quantification_Config'!$T$9),"",'Quantification_Results'!N466)),""),IF(ISNUMBER('Quantification_Results'!O466),IF(('Quantification_Results'!O466&lt;'Quantification_Config'!$S$9),"",IF(('Quantification_Results'!O466&gt;'Quantification_Config'!$T$9),"",'Quantification_Results'!O466)),"")))</x:f>
        <x:v>5</x:v>
      </x:c>
      <x:c r="Q466" t="n">
        <x:f>IF(ISNUMBER('Quantification_Results'!P466),IFERROR(ROUND(((('Quantification_Results'!P466-'Quantification_Config'!$S$9)/('Quantification_Config'!$T$9-'Quantification_Config'!$S$9))*100),'Quantification_Config'!$U$2),""),"")</x:f>
        <x:v>50</x:v>
      </x:c>
      <x:c r="R466" t="inlineStr">
        <x:is>
          <x:t xml:space="preserve">SYSTEM-TEST-ONLY-NO-NETWORK-NOT-AN-EDUCATIONAL-EVALUATION</x:t>
        </x:is>
      </x:c>
      <x:c r="S466" t="inlineStr">
        <x:is>
          <x:t xml:space="preserve"/>
        </x:is>
      </x:c>
      <x:c r="T466" t="inlineStr">
        <x:is>
          <x:t xml:space="preserve">NONE</x:t>
        </x:is>
      </x:c>
      <x:c r="U466" t="inlineStr">
        <x:is>
          <x:t xml:space="preserve"/>
        </x:is>
      </x:c>
      <x:c r="V466" t="inlineStr">
        <x:is>
          <x:t xml:space="preserve">SUCCESS</x:t>
        </x:is>
      </x:c>
      <x:c r="W466" t="n">
        <x:f>IF((COUNT('Quantification_Results'!Q466)=1),IFERROR(ROUND((SUM(('Quantification_Results'!Q466*'Quantification_Config'!$R$9))/SUM('Quantification_Config'!$R$9)),'Quantification_Config'!$U$2),""),"")</x:f>
        <x:v>50</x:v>
      </x:c>
      <x:c r="X466" t="n">
        <x:f>IF((COUNT('Quantification_Results'!W466)=1),IFERROR(ROUND((SUM(('Quantification_Results'!W466*'Quantification_Config'!$R$8))/SUM('Quantification_Config'!$R$8)),'Quantification_Config'!$U$2),""),"")</x:f>
        <x:v>50</x:v>
      </x:c>
      <x:c r="Y466" t="n">
        <x:v>0</x:v>
      </x:c>
      <x:c r="Z466"/>
      <x:c r="AA466"/>
      <x:c r="AB466">
        <x:f>IF(('Quantification_Results'!Y466&lt;&gt;1),"",IF(('Quantification_Results'!AA466=""),IF(ISNUMBER('Quantification_Results'!Z466),IF(('Quantification_Results'!Z466&lt;'Quantification_Config'!$S$12),"",IF(('Quantification_Results'!Z466&gt;'Quantification_Config'!$T$12),"",'Quantification_Results'!Z466)),""),IF(ISNUMBER('Quantification_Results'!AA466),IF(('Quantification_Results'!AA466&lt;'Quantification_Config'!$S$12),"",IF(('Quantification_Results'!AA466&gt;'Quantification_Config'!$T$12),"",'Quantification_Results'!AA466)),"")))</x:f>
      </x:c>
      <x:c r="AC466">
        <x:f>IF(ISNUMBER('Quantification_Results'!AB466),IFERROR(ROUND(((('Quantification_Results'!AB466-'Quantification_Config'!$S$12)/('Quantification_Config'!$T$12-'Quantification_Config'!$S$12))*100),'Quantification_Config'!$U$2),""),"")</x:f>
      </x:c>
      <x:c r="AD466" t="inlineStr">
        <x:is>
          <x:t xml:space="preserve"/>
        </x:is>
      </x:c>
      <x:c r="AE466" t="inlineStr">
        <x:is>
          <x:t xml:space="preserve"/>
        </x:is>
      </x:c>
      <x:c r="AF466" t="inlineStr">
        <x:is>
          <x:t xml:space="preserve"/>
        </x:is>
      </x:c>
      <x:c r="AG466" t="inlineStr">
        <x:is>
          <x:t xml:space="preserve"/>
        </x:is>
      </x:c>
      <x:c r="AH466" t="inlineStr">
        <x:is>
          <x:t xml:space="preserve">EMPTY</x:t>
        </x:is>
      </x:c>
      <x:c r="AI466">
        <x:f>IF((COUNT('Quantification_Results'!AC466)=1),IFERROR(ROUND((SUM(('Quantification_Results'!AC466*'Quantification_Config'!$R$12))/SUM('Quantification_Config'!$R$12)),'Quantification_Config'!$U$2),""),"")</x:f>
      </x:c>
      <x:c r="AJ466">
        <x:f>IF((COUNT('Quantification_Results'!AI466)=1),IFERROR(ROUND((SUM(('Quantification_Results'!AI466*'Quantification_Config'!$R$11))/SUM('Quantification_Config'!$R$11)),'Quantification_Config'!$U$2),""),"")</x:f>
      </x:c>
      <x:c r="AK466" t="n">
        <x:v>1</x:v>
      </x:c>
      <x:c r="AL466" t="n">
        <x:v>5</x:v>
      </x:c>
      <x:c r="AM466"/>
      <x:c r="AN466" t="n">
        <x:f>IF(('Quantification_Results'!AK466&lt;&gt;1),"",IF(('Quantification_Results'!AM466=""),IF(ISNUMBER('Quantification_Results'!AL466),IF(('Quantification_Results'!AL466&lt;'Quantification_Config'!$S$15),"",IF(('Quantification_Results'!AL466&gt;'Quantification_Config'!$T$15),"",'Quantification_Results'!AL466)),""),IF(ISNUMBER('Quantification_Results'!AM466),IF(('Quantification_Results'!AM466&lt;'Quantification_Config'!$S$15),"",IF(('Quantification_Results'!AM466&gt;'Quantification_Config'!$T$15),"",'Quantification_Results'!AM466)),"")))</x:f>
        <x:v>5</x:v>
      </x:c>
      <x:c r="AO466" t="n">
        <x:f>IF(ISNUMBER('Quantification_Results'!AN466),IFERROR(ROUND(((('Quantification_Results'!AN466-'Quantification_Config'!$S$15)/('Quantification_Config'!$T$15-'Quantification_Config'!$S$15))*100),'Quantification_Config'!$U$2),""),"")</x:f>
        <x:v>50</x:v>
      </x:c>
      <x:c r="AP466" t="inlineStr">
        <x:is>
          <x:t xml:space="preserve">SYSTEM-TEST-ONLY-NO-NETWORK-NOT-AN-EDUCATIONAL-EVALUATION</x:t>
        </x:is>
      </x:c>
      <x:c r="AQ466" t="inlineStr">
        <x:is>
          <x:t xml:space="preserve"/>
        </x:is>
      </x:c>
      <x:c r="AR466" t="inlineStr">
        <x:is>
          <x:t xml:space="preserve">NONE</x:t>
        </x:is>
      </x:c>
      <x:c r="AS466" t="inlineStr">
        <x:is>
          <x:t xml:space="preserve"/>
        </x:is>
      </x:c>
      <x:c r="AT466" t="inlineStr">
        <x:is>
          <x:t xml:space="preserve">SUCCESS</x:t>
        </x:is>
      </x:c>
      <x:c r="AU466" t="n">
        <x:f>IF((COUNT('Quantification_Results'!AO466)=1),IFERROR(ROUND((SUM(('Quantification_Results'!AO466*'Quantification_Config'!$R$15))/SUM('Quantification_Config'!$R$15)),'Quantification_Config'!$U$2),""),"")</x:f>
        <x:v>50</x:v>
      </x:c>
      <x:c r="AV466" t="n">
        <x:f>IF((COUNT('Quantification_Results'!AU466)=1),IFERROR(ROUND((SUM(('Quantification_Results'!AU466*'Quantification_Config'!$R$14))/SUM('Quantification_Config'!$R$14)),'Quantification_Config'!$U$2),""),"")</x:f>
        <x:v>50</x:v>
      </x:c>
      <x:c r="AW466" t="n">
        <x:v>1</x:v>
      </x:c>
      <x:c r="AX466" t="n">
        <x:v>5</x:v>
      </x:c>
      <x:c r="AY466"/>
      <x:c r="AZ466" t="n">
        <x:f>IF(('Quantification_Results'!AW466&lt;&gt;1),"",IF(('Quantification_Results'!AY466=""),IF(ISNUMBER('Quantification_Results'!AX466),IF(('Quantification_Results'!AX466&lt;'Quantification_Config'!$S$19),"",IF(('Quantification_Results'!AX466&gt;'Quantification_Config'!$T$19),"",'Quantification_Results'!AX466)),""),IF(ISNUMBER('Quantification_Results'!AY466),IF(('Quantification_Results'!AY466&lt;'Quantification_Config'!$S$19),"",IF(('Quantification_Results'!AY466&gt;'Quantification_Config'!$T$19),"",'Quantification_Results'!AY466)),"")))</x:f>
        <x:v>5</x:v>
      </x:c>
      <x:c r="BA466" t="n">
        <x:f>IF(ISNUMBER('Quantification_Results'!AZ466),IFERROR(ROUND(((('Quantification_Results'!AZ466-'Quantification_Config'!$S$19)/('Quantification_Config'!$T$19-'Quantification_Config'!$S$19))*100),'Quantification_Config'!$U$2),""),"")</x:f>
        <x:v>50</x:v>
      </x:c>
      <x:c r="BB466" t="inlineStr">
        <x:is>
          <x:t xml:space="preserve">SYSTEM-TEST-ONLY-NO-NETWORK-NOT-AN-EDUCATIONAL-EVALUATION</x:t>
        </x:is>
      </x:c>
      <x:c r="BC466" t="inlineStr">
        <x:is>
          <x:t xml:space="preserve"/>
        </x:is>
      </x:c>
      <x:c r="BD466" t="inlineStr">
        <x:is>
          <x:t xml:space="preserve">NONE</x:t>
        </x:is>
      </x:c>
      <x:c r="BE466" t="inlineStr">
        <x:is>
          <x:t xml:space="preserve"/>
        </x:is>
      </x:c>
      <x:c r="BF466" t="inlineStr">
        <x:is>
          <x:t xml:space="preserve">SUCCESS</x:t>
        </x:is>
      </x:c>
      <x:c r="BG466" t="n">
        <x:f>IF((COUNT('Quantification_Results'!BA466)=1),IFERROR(ROUND((SUM(('Quantification_Results'!BA466*'Quantification_Config'!$R$19))/SUM('Quantification_Config'!$R$19)),'Quantification_Config'!$U$2),""),"")</x:f>
        <x:v>50</x:v>
      </x:c>
      <x:c r="BH466" t="n">
        <x:f>IF((COUNT('Quantification_Results'!BG466)=1),IFERROR(ROUND((SUM(('Quantification_Results'!BG466*'Quantification_Config'!$R$18))/SUM('Quantification_Config'!$R$18)),'Quantification_Config'!$U$2),""),"")</x:f>
        <x:v>50</x:v>
      </x:c>
      <x:c r="BI466">
        <x:f>IF((COUNT('Quantification_Results'!L466,'Quantification_Results'!X466,'Quantification_Results'!AJ466,'Quantification_Results'!AV466,'Quantification_Results'!BH466)=5),IFERROR(ROUND((SUM(('Quantification_Results'!L466*'Quantification_Config'!$R$4),('Quantification_Results'!X466*'Quantification_Config'!$R$7),('Quantification_Results'!AJ466*'Quantification_Config'!$R$10),('Quantification_Results'!AV466*'Quantification_Config'!$R$13),('Quantification_Results'!BH466*'Quantification_Config'!$R$16))/SUM('Quantification_Config'!$R$4,'Quantification_Config'!$R$7,'Quantification_Config'!$R$10,'Quantification_Config'!$R$13,'Quantification_Config'!$R$16)),'Quantification_Config'!$U$2),""),"")</x:f>
      </x:c>
    </x:row>
    <x:row r="467">
      <x:c r="A467" t="n">
        <x:v>1</x:v>
      </x:c>
      <x:c r="B467" t="n">
        <x:v>5</x:v>
      </x:c>
      <x:c r="C467"/>
      <x:c r="D467" t="n">
        <x:f>IF(('Quantification_Results'!A467&lt;&gt;1),"",IF(('Quantification_Results'!C467=""),IF(ISNUMBER('Quantification_Results'!B467),IF(('Quantification_Results'!B467&lt;'Quantification_Config'!$S$6),"",IF(('Quantification_Results'!B467&gt;'Quantification_Config'!$T$6),"",'Quantification_Results'!B467)),""),IF(ISNUMBER('Quantification_Results'!C467),IF(('Quantification_Results'!C467&lt;'Quantification_Config'!$S$6),"",IF(('Quantification_Results'!C467&gt;'Quantification_Config'!$T$6),"",'Quantification_Results'!C467)),"")))</x:f>
        <x:v>5</x:v>
      </x:c>
      <x:c r="E467" t="n">
        <x:f>IF(ISNUMBER('Quantification_Results'!D467),IFERROR(ROUND(((('Quantification_Results'!D467-'Quantification_Config'!$S$6)/('Quantification_Config'!$T$6-'Quantification_Config'!$S$6))*100),'Quantification_Config'!$U$2),""),"")</x:f>
        <x:v>50</x:v>
      </x:c>
      <x:c r="F467" t="inlineStr">
        <x:is>
          <x:t xml:space="preserve">SYSTEM-TEST-ONLY-NO-NETWORK-NOT-AN-EDUCATIONAL-EVALUATION</x:t>
        </x:is>
      </x:c>
      <x:c r="G467" t="inlineStr">
        <x:is>
          <x:t xml:space="preserve"/>
        </x:is>
      </x:c>
      <x:c r="H467" t="inlineStr">
        <x:is>
          <x:t xml:space="preserve">NONE</x:t>
        </x:is>
      </x:c>
      <x:c r="I467" t="inlineStr">
        <x:is>
          <x:t xml:space="preserve"/>
        </x:is>
      </x:c>
      <x:c r="J467" t="inlineStr">
        <x:is>
          <x:t xml:space="preserve">SUCCESS</x:t>
        </x:is>
      </x:c>
      <x:c r="K467" t="n">
        <x:f>IF((COUNT('Quantification_Results'!E467)=1),IFERROR(ROUND((SUM(('Quantification_Results'!E467*'Quantification_Config'!$R$6))/SUM('Quantification_Config'!$R$6)),'Quantification_Config'!$U$2),""),"")</x:f>
        <x:v>50</x:v>
      </x:c>
      <x:c r="L467" t="n">
        <x:f>IF((COUNT('Quantification_Results'!K467)=1),IFERROR(ROUND((SUM(('Quantification_Results'!K467*'Quantification_Config'!$R$5))/SUM('Quantification_Config'!$R$5)),'Quantification_Config'!$U$2),""),"")</x:f>
        <x:v>50</x:v>
      </x:c>
      <x:c r="M467" t="n">
        <x:v>0</x:v>
      </x:c>
      <x:c r="N467"/>
      <x:c r="O467"/>
      <x:c r="P467">
        <x:f>IF(('Quantification_Results'!M467&lt;&gt;1),"",IF(('Quantification_Results'!O467=""),IF(ISNUMBER('Quantification_Results'!N467),IF(('Quantification_Results'!N467&lt;'Quantification_Config'!$S$9),"",IF(('Quantification_Results'!N467&gt;'Quantification_Config'!$T$9),"",'Quantification_Results'!N467)),""),IF(ISNUMBER('Quantification_Results'!O467),IF(('Quantification_Results'!O467&lt;'Quantification_Config'!$S$9),"",IF(('Quantification_Results'!O467&gt;'Quantification_Config'!$T$9),"",'Quantification_Results'!O467)),"")))</x:f>
      </x:c>
      <x:c r="Q467">
        <x:f>IF(ISNUMBER('Quantification_Results'!P467),IFERROR(ROUND(((('Quantification_Results'!P467-'Quantification_Config'!$S$9)/('Quantification_Config'!$T$9-'Quantification_Config'!$S$9))*100),'Quantification_Config'!$U$2),""),"")</x:f>
      </x:c>
      <x:c r="R467" t="inlineStr">
        <x:is>
          <x:t xml:space="preserve"/>
        </x:is>
      </x:c>
      <x:c r="S467" t="inlineStr">
        <x:is>
          <x:t xml:space="preserve"/>
        </x:is>
      </x:c>
      <x:c r="T467" t="inlineStr">
        <x:is>
          <x:t xml:space="preserve"/>
        </x:is>
      </x:c>
      <x:c r="U467" t="inlineStr">
        <x:is>
          <x:t xml:space="preserve"/>
        </x:is>
      </x:c>
      <x:c r="V467" t="inlineStr">
        <x:is>
          <x:t xml:space="preserve">EMPTY</x:t>
        </x:is>
      </x:c>
      <x:c r="W467">
        <x:f>IF((COUNT('Quantification_Results'!Q467)=1),IFERROR(ROUND((SUM(('Quantification_Results'!Q467*'Quantification_Config'!$R$9))/SUM('Quantification_Config'!$R$9)),'Quantification_Config'!$U$2),""),"")</x:f>
      </x:c>
      <x:c r="X467">
        <x:f>IF((COUNT('Quantification_Results'!W467)=1),IFERROR(ROUND((SUM(('Quantification_Results'!W467*'Quantification_Config'!$R$8))/SUM('Quantification_Config'!$R$8)),'Quantification_Config'!$U$2),""),"")</x:f>
      </x:c>
      <x:c r="Y467" t="n">
        <x:v>0</x:v>
      </x:c>
      <x:c r="Z467"/>
      <x:c r="AA467"/>
      <x:c r="AB467">
        <x:f>IF(('Quantification_Results'!Y467&lt;&gt;1),"",IF(('Quantification_Results'!AA467=""),IF(ISNUMBER('Quantification_Results'!Z467),IF(('Quantification_Results'!Z467&lt;'Quantification_Config'!$S$12),"",IF(('Quantification_Results'!Z467&gt;'Quantification_Config'!$T$12),"",'Quantification_Results'!Z467)),""),IF(ISNUMBER('Quantification_Results'!AA467),IF(('Quantification_Results'!AA467&lt;'Quantification_Config'!$S$12),"",IF(('Quantification_Results'!AA467&gt;'Quantification_Config'!$T$12),"",'Quantification_Results'!AA467)),"")))</x:f>
      </x:c>
      <x:c r="AC467">
        <x:f>IF(ISNUMBER('Quantification_Results'!AB467),IFERROR(ROUND(((('Quantification_Results'!AB467-'Quantification_Config'!$S$12)/('Quantification_Config'!$T$12-'Quantification_Config'!$S$12))*100),'Quantification_Config'!$U$2),""),"")</x:f>
      </x:c>
      <x:c r="AD467" t="inlineStr">
        <x:is>
          <x:t xml:space="preserve"/>
        </x:is>
      </x:c>
      <x:c r="AE467" t="inlineStr">
        <x:is>
          <x:t xml:space="preserve"/>
        </x:is>
      </x:c>
      <x:c r="AF467" t="inlineStr">
        <x:is>
          <x:t xml:space="preserve"/>
        </x:is>
      </x:c>
      <x:c r="AG467" t="inlineStr">
        <x:is>
          <x:t xml:space="preserve"/>
        </x:is>
      </x:c>
      <x:c r="AH467" t="inlineStr">
        <x:is>
          <x:t xml:space="preserve">EMPTY</x:t>
        </x:is>
      </x:c>
      <x:c r="AI467">
        <x:f>IF((COUNT('Quantification_Results'!AC467)=1),IFERROR(ROUND((SUM(('Quantification_Results'!AC467*'Quantification_Config'!$R$12))/SUM('Quantification_Config'!$R$12)),'Quantification_Config'!$U$2),""),"")</x:f>
      </x:c>
      <x:c r="AJ467">
        <x:f>IF((COUNT('Quantification_Results'!AI467)=1),IFERROR(ROUND((SUM(('Quantification_Results'!AI467*'Quantification_Config'!$R$11))/SUM('Quantification_Config'!$R$11)),'Quantification_Config'!$U$2),""),"")</x:f>
      </x:c>
      <x:c r="AK467" t="n">
        <x:v>1</x:v>
      </x:c>
      <x:c r="AL467" t="n">
        <x:v>5</x:v>
      </x:c>
      <x:c r="AM467"/>
      <x:c r="AN467" t="n">
        <x:f>IF(('Quantification_Results'!AK467&lt;&gt;1),"",IF(('Quantification_Results'!AM467=""),IF(ISNUMBER('Quantification_Results'!AL467),IF(('Quantification_Results'!AL467&lt;'Quantification_Config'!$S$15),"",IF(('Quantification_Results'!AL467&gt;'Quantification_Config'!$T$15),"",'Quantification_Results'!AL467)),""),IF(ISNUMBER('Quantification_Results'!AM467),IF(('Quantification_Results'!AM467&lt;'Quantification_Config'!$S$15),"",IF(('Quantification_Results'!AM467&gt;'Quantification_Config'!$T$15),"",'Quantification_Results'!AM467)),"")))</x:f>
        <x:v>5</x:v>
      </x:c>
      <x:c r="AO467" t="n">
        <x:f>IF(ISNUMBER('Quantification_Results'!AN467),IFERROR(ROUND(((('Quantification_Results'!AN467-'Quantification_Config'!$S$15)/('Quantification_Config'!$T$15-'Quantification_Config'!$S$15))*100),'Quantification_Config'!$U$2),""),"")</x:f>
        <x:v>50</x:v>
      </x:c>
      <x:c r="AP467" t="inlineStr">
        <x:is>
          <x:t xml:space="preserve">SYSTEM-TEST-ONLY-NO-NETWORK-NOT-AN-EDUCATIONAL-EVALUATION</x:t>
        </x:is>
      </x:c>
      <x:c r="AQ467" t="inlineStr">
        <x:is>
          <x:t xml:space="preserve"/>
        </x:is>
      </x:c>
      <x:c r="AR467" t="inlineStr">
        <x:is>
          <x:t xml:space="preserve">NONE</x:t>
        </x:is>
      </x:c>
      <x:c r="AS467" t="inlineStr">
        <x:is>
          <x:t xml:space="preserve"/>
        </x:is>
      </x:c>
      <x:c r="AT467" t="inlineStr">
        <x:is>
          <x:t xml:space="preserve">SUCCESS</x:t>
        </x:is>
      </x:c>
      <x:c r="AU467" t="n">
        <x:f>IF((COUNT('Quantification_Results'!AO467)=1),IFERROR(ROUND((SUM(('Quantification_Results'!AO467*'Quantification_Config'!$R$15))/SUM('Quantification_Config'!$R$15)),'Quantification_Config'!$U$2),""),"")</x:f>
        <x:v>50</x:v>
      </x:c>
      <x:c r="AV467" t="n">
        <x:f>IF((COUNT('Quantification_Results'!AU467)=1),IFERROR(ROUND((SUM(('Quantification_Results'!AU467*'Quantification_Config'!$R$14))/SUM('Quantification_Config'!$R$14)),'Quantification_Config'!$U$2),""),"")</x:f>
        <x:v>50</x:v>
      </x:c>
      <x:c r="AW467" t="n">
        <x:v>1</x:v>
      </x:c>
      <x:c r="AX467" t="n">
        <x:v>5</x:v>
      </x:c>
      <x:c r="AY467"/>
      <x:c r="AZ467" t="n">
        <x:f>IF(('Quantification_Results'!AW467&lt;&gt;1),"",IF(('Quantification_Results'!AY467=""),IF(ISNUMBER('Quantification_Results'!AX467),IF(('Quantification_Results'!AX467&lt;'Quantification_Config'!$S$19),"",IF(('Quantification_Results'!AX467&gt;'Quantification_Config'!$T$19),"",'Quantification_Results'!AX467)),""),IF(ISNUMBER('Quantification_Results'!AY467),IF(('Quantification_Results'!AY467&lt;'Quantification_Config'!$S$19),"",IF(('Quantification_Results'!AY467&gt;'Quantification_Config'!$T$19),"",'Quantification_Results'!AY467)),"")))</x:f>
        <x:v>5</x:v>
      </x:c>
      <x:c r="BA467" t="n">
        <x:f>IF(ISNUMBER('Quantification_Results'!AZ467),IFERROR(ROUND(((('Quantification_Results'!AZ467-'Quantification_Config'!$S$19)/('Quantification_Config'!$T$19-'Quantification_Config'!$S$19))*100),'Quantification_Config'!$U$2),""),"")</x:f>
        <x:v>50</x:v>
      </x:c>
      <x:c r="BB467" t="inlineStr">
        <x:is>
          <x:t xml:space="preserve">SYSTEM-TEST-ONLY-NO-NETWORK-NOT-AN-EDUCATIONAL-EVALUATION</x:t>
        </x:is>
      </x:c>
      <x:c r="BC467" t="inlineStr">
        <x:is>
          <x:t xml:space="preserve"/>
        </x:is>
      </x:c>
      <x:c r="BD467" t="inlineStr">
        <x:is>
          <x:t xml:space="preserve">NONE</x:t>
        </x:is>
      </x:c>
      <x:c r="BE467" t="inlineStr">
        <x:is>
          <x:t xml:space="preserve"/>
        </x:is>
      </x:c>
      <x:c r="BF467" t="inlineStr">
        <x:is>
          <x:t xml:space="preserve">SUCCESS</x:t>
        </x:is>
      </x:c>
      <x:c r="BG467" t="n">
        <x:f>IF((COUNT('Quantification_Results'!BA467)=1),IFERROR(ROUND((SUM(('Quantification_Results'!BA467*'Quantification_Config'!$R$19))/SUM('Quantification_Config'!$R$19)),'Quantification_Config'!$U$2),""),"")</x:f>
        <x:v>50</x:v>
      </x:c>
      <x:c r="BH467" t="n">
        <x:f>IF((COUNT('Quantification_Results'!BG467)=1),IFERROR(ROUND((SUM(('Quantification_Results'!BG467*'Quantification_Config'!$R$18))/SUM('Quantification_Config'!$R$18)),'Quantification_Config'!$U$2),""),"")</x:f>
        <x:v>50</x:v>
      </x:c>
      <x:c r="BI467">
        <x:f>IF((COUNT('Quantification_Results'!L467,'Quantification_Results'!X467,'Quantification_Results'!AJ467,'Quantification_Results'!AV467,'Quantification_Results'!BH467)=5),IFERROR(ROUND((SUM(('Quantification_Results'!L467*'Quantification_Config'!$R$4),('Quantification_Results'!X467*'Quantification_Config'!$R$7),('Quantification_Results'!AJ467*'Quantification_Config'!$R$10),('Quantification_Results'!AV467*'Quantification_Config'!$R$13),('Quantification_Results'!BH467*'Quantification_Config'!$R$16))/SUM('Quantification_Config'!$R$4,'Quantification_Config'!$R$7,'Quantification_Config'!$R$10,'Quantification_Config'!$R$13,'Quantification_Config'!$R$16)),'Quantification_Config'!$U$2),""),"")</x:f>
      </x:c>
    </x:row>
    <x:row r="468">
      <x:c r="A468" t="n">
        <x:v>1</x:v>
      </x:c>
      <x:c r="B468" t="n">
        <x:v>5</x:v>
      </x:c>
      <x:c r="C468"/>
      <x:c r="D468" t="n">
        <x:f>IF(('Quantification_Results'!A468&lt;&gt;1),"",IF(('Quantification_Results'!C468=""),IF(ISNUMBER('Quantification_Results'!B468),IF(('Quantification_Results'!B468&lt;'Quantification_Config'!$S$6),"",IF(('Quantification_Results'!B468&gt;'Quantification_Config'!$T$6),"",'Quantification_Results'!B468)),""),IF(ISNUMBER('Quantification_Results'!C468),IF(('Quantification_Results'!C468&lt;'Quantification_Config'!$S$6),"",IF(('Quantification_Results'!C468&gt;'Quantification_Config'!$T$6),"",'Quantification_Results'!C468)),"")))</x:f>
        <x:v>5</x:v>
      </x:c>
      <x:c r="E468" t="n">
        <x:f>IF(ISNUMBER('Quantification_Results'!D468),IFERROR(ROUND(((('Quantification_Results'!D468-'Quantification_Config'!$S$6)/('Quantification_Config'!$T$6-'Quantification_Config'!$S$6))*100),'Quantification_Config'!$U$2),""),"")</x:f>
        <x:v>50</x:v>
      </x:c>
      <x:c r="F468" t="inlineStr">
        <x:is>
          <x:t xml:space="preserve">SYSTEM-TEST-ONLY-NO-NETWORK-NOT-AN-EDUCATIONAL-EVALUATION</x:t>
        </x:is>
      </x:c>
      <x:c r="G468" t="inlineStr">
        <x:is>
          <x:t xml:space="preserve"/>
        </x:is>
      </x:c>
      <x:c r="H468" t="inlineStr">
        <x:is>
          <x:t xml:space="preserve">NONE</x:t>
        </x:is>
      </x:c>
      <x:c r="I468" t="inlineStr">
        <x:is>
          <x:t xml:space="preserve"/>
        </x:is>
      </x:c>
      <x:c r="J468" t="inlineStr">
        <x:is>
          <x:t xml:space="preserve">SUCCESS</x:t>
        </x:is>
      </x:c>
      <x:c r="K468" t="n">
        <x:f>IF((COUNT('Quantification_Results'!E468)=1),IFERROR(ROUND((SUM(('Quantification_Results'!E468*'Quantification_Config'!$R$6))/SUM('Quantification_Config'!$R$6)),'Quantification_Config'!$U$2),""),"")</x:f>
        <x:v>50</x:v>
      </x:c>
      <x:c r="L468" t="n">
        <x:f>IF((COUNT('Quantification_Results'!K468)=1),IFERROR(ROUND((SUM(('Quantification_Results'!K468*'Quantification_Config'!$R$5))/SUM('Quantification_Config'!$R$5)),'Quantification_Config'!$U$2),""),"")</x:f>
        <x:v>50</x:v>
      </x:c>
      <x:c r="M468" t="n">
        <x:v>1</x:v>
      </x:c>
      <x:c r="N468" t="n">
        <x:v>5</x:v>
      </x:c>
      <x:c r="O468"/>
      <x:c r="P468" t="n">
        <x:f>IF(('Quantification_Results'!M468&lt;&gt;1),"",IF(('Quantification_Results'!O468=""),IF(ISNUMBER('Quantification_Results'!N468),IF(('Quantification_Results'!N468&lt;'Quantification_Config'!$S$9),"",IF(('Quantification_Results'!N468&gt;'Quantification_Config'!$T$9),"",'Quantification_Results'!N468)),""),IF(ISNUMBER('Quantification_Results'!O468),IF(('Quantification_Results'!O468&lt;'Quantification_Config'!$S$9),"",IF(('Quantification_Results'!O468&gt;'Quantification_Config'!$T$9),"",'Quantification_Results'!O468)),"")))</x:f>
        <x:v>5</x:v>
      </x:c>
      <x:c r="Q468" t="n">
        <x:f>IF(ISNUMBER('Quantification_Results'!P468),IFERROR(ROUND(((('Quantification_Results'!P468-'Quantification_Config'!$S$9)/('Quantification_Config'!$T$9-'Quantification_Config'!$S$9))*100),'Quantification_Config'!$U$2),""),"")</x:f>
        <x:v>50</x:v>
      </x:c>
      <x:c r="R468" t="inlineStr">
        <x:is>
          <x:t xml:space="preserve">SYSTEM-TEST-ONLY-NO-NETWORK-NOT-AN-EDUCATIONAL-EVALUATION</x:t>
        </x:is>
      </x:c>
      <x:c r="S468" t="inlineStr">
        <x:is>
          <x:t xml:space="preserve"/>
        </x:is>
      </x:c>
      <x:c r="T468" t="inlineStr">
        <x:is>
          <x:t xml:space="preserve">NONE</x:t>
        </x:is>
      </x:c>
      <x:c r="U468" t="inlineStr">
        <x:is>
          <x:t xml:space="preserve"/>
        </x:is>
      </x:c>
      <x:c r="V468" t="inlineStr">
        <x:is>
          <x:t xml:space="preserve">SUCCESS</x:t>
        </x:is>
      </x:c>
      <x:c r="W468" t="n">
        <x:f>IF((COUNT('Quantification_Results'!Q468)=1),IFERROR(ROUND((SUM(('Quantification_Results'!Q468*'Quantification_Config'!$R$9))/SUM('Quantification_Config'!$R$9)),'Quantification_Config'!$U$2),""),"")</x:f>
        <x:v>50</x:v>
      </x:c>
      <x:c r="X468" t="n">
        <x:f>IF((COUNT('Quantification_Results'!W468)=1),IFERROR(ROUND((SUM(('Quantification_Results'!W468*'Quantification_Config'!$R$8))/SUM('Quantification_Config'!$R$8)),'Quantification_Config'!$U$2),""),"")</x:f>
        <x:v>50</x:v>
      </x:c>
      <x:c r="Y468" t="n">
        <x:v>0</x:v>
      </x:c>
      <x:c r="Z468"/>
      <x:c r="AA468"/>
      <x:c r="AB468">
        <x:f>IF(('Quantification_Results'!Y468&lt;&gt;1),"",IF(('Quantification_Results'!AA468=""),IF(ISNUMBER('Quantification_Results'!Z468),IF(('Quantification_Results'!Z468&lt;'Quantification_Config'!$S$12),"",IF(('Quantification_Results'!Z468&gt;'Quantification_Config'!$T$12),"",'Quantification_Results'!Z468)),""),IF(ISNUMBER('Quantification_Results'!AA468),IF(('Quantification_Results'!AA468&lt;'Quantification_Config'!$S$12),"",IF(('Quantification_Results'!AA468&gt;'Quantification_Config'!$T$12),"",'Quantification_Results'!AA468)),"")))</x:f>
      </x:c>
      <x:c r="AC468">
        <x:f>IF(ISNUMBER('Quantification_Results'!AB468),IFERROR(ROUND(((('Quantification_Results'!AB468-'Quantification_Config'!$S$12)/('Quantification_Config'!$T$12-'Quantification_Config'!$S$12))*100),'Quantification_Config'!$U$2),""),"")</x:f>
      </x:c>
      <x:c r="AD468" t="inlineStr">
        <x:is>
          <x:t xml:space="preserve"/>
        </x:is>
      </x:c>
      <x:c r="AE468" t="inlineStr">
        <x:is>
          <x:t xml:space="preserve"/>
        </x:is>
      </x:c>
      <x:c r="AF468" t="inlineStr">
        <x:is>
          <x:t xml:space="preserve"/>
        </x:is>
      </x:c>
      <x:c r="AG468" t="inlineStr">
        <x:is>
          <x:t xml:space="preserve"/>
        </x:is>
      </x:c>
      <x:c r="AH468" t="inlineStr">
        <x:is>
          <x:t xml:space="preserve">EMPTY</x:t>
        </x:is>
      </x:c>
      <x:c r="AI468">
        <x:f>IF((COUNT('Quantification_Results'!AC468)=1),IFERROR(ROUND((SUM(('Quantification_Results'!AC468*'Quantification_Config'!$R$12))/SUM('Quantification_Config'!$R$12)),'Quantification_Config'!$U$2),""),"")</x:f>
      </x:c>
      <x:c r="AJ468">
        <x:f>IF((COUNT('Quantification_Results'!AI468)=1),IFERROR(ROUND((SUM(('Quantification_Results'!AI468*'Quantification_Config'!$R$11))/SUM('Quantification_Config'!$R$11)),'Quantification_Config'!$U$2),""),"")</x:f>
      </x:c>
      <x:c r="AK468" t="n">
        <x:v>1</x:v>
      </x:c>
      <x:c r="AL468" t="n">
        <x:v>5</x:v>
      </x:c>
      <x:c r="AM468"/>
      <x:c r="AN468" t="n">
        <x:f>IF(('Quantification_Results'!AK468&lt;&gt;1),"",IF(('Quantification_Results'!AM468=""),IF(ISNUMBER('Quantification_Results'!AL468),IF(('Quantification_Results'!AL468&lt;'Quantification_Config'!$S$15),"",IF(('Quantification_Results'!AL468&gt;'Quantification_Config'!$T$15),"",'Quantification_Results'!AL468)),""),IF(ISNUMBER('Quantification_Results'!AM468),IF(('Quantification_Results'!AM468&lt;'Quantification_Config'!$S$15),"",IF(('Quantification_Results'!AM468&gt;'Quantification_Config'!$T$15),"",'Quantification_Results'!AM468)),"")))</x:f>
        <x:v>5</x:v>
      </x:c>
      <x:c r="AO468" t="n">
        <x:f>IF(ISNUMBER('Quantification_Results'!AN468),IFERROR(ROUND(((('Quantification_Results'!AN468-'Quantification_Config'!$S$15)/('Quantification_Config'!$T$15-'Quantification_Config'!$S$15))*100),'Quantification_Config'!$U$2),""),"")</x:f>
        <x:v>50</x:v>
      </x:c>
      <x:c r="AP468" t="inlineStr">
        <x:is>
          <x:t xml:space="preserve">SYSTEM-TEST-ONLY-NO-NETWORK-NOT-AN-EDUCATIONAL-EVALUATION</x:t>
        </x:is>
      </x:c>
      <x:c r="AQ468" t="inlineStr">
        <x:is>
          <x:t xml:space="preserve"/>
        </x:is>
      </x:c>
      <x:c r="AR468" t="inlineStr">
        <x:is>
          <x:t xml:space="preserve">NONE</x:t>
        </x:is>
      </x:c>
      <x:c r="AS468" t="inlineStr">
        <x:is>
          <x:t xml:space="preserve"/>
        </x:is>
      </x:c>
      <x:c r="AT468" t="inlineStr">
        <x:is>
          <x:t xml:space="preserve">SUCCESS</x:t>
        </x:is>
      </x:c>
      <x:c r="AU468" t="n">
        <x:f>IF((COUNT('Quantification_Results'!AO468)=1),IFERROR(ROUND((SUM(('Quantification_Results'!AO468*'Quantification_Config'!$R$15))/SUM('Quantification_Config'!$R$15)),'Quantification_Config'!$U$2),""),"")</x:f>
        <x:v>50</x:v>
      </x:c>
      <x:c r="AV468" t="n">
        <x:f>IF((COUNT('Quantification_Results'!AU468)=1),IFERROR(ROUND((SUM(('Quantification_Results'!AU468*'Quantification_Config'!$R$14))/SUM('Quantification_Config'!$R$14)),'Quantification_Config'!$U$2),""),"")</x:f>
        <x:v>50</x:v>
      </x:c>
      <x:c r="AW468" t="n">
        <x:v>1</x:v>
      </x:c>
      <x:c r="AX468" t="n">
        <x:v>5</x:v>
      </x:c>
      <x:c r="AY468"/>
      <x:c r="AZ468" t="n">
        <x:f>IF(('Quantification_Results'!AW468&lt;&gt;1),"",IF(('Quantification_Results'!AY468=""),IF(ISNUMBER('Quantification_Results'!AX468),IF(('Quantification_Results'!AX468&lt;'Quantification_Config'!$S$19),"",IF(('Quantification_Results'!AX468&gt;'Quantification_Config'!$T$19),"",'Quantification_Results'!AX468)),""),IF(ISNUMBER('Quantification_Results'!AY468),IF(('Quantification_Results'!AY468&lt;'Quantification_Config'!$S$19),"",IF(('Quantification_Results'!AY468&gt;'Quantification_Config'!$T$19),"",'Quantification_Results'!AY468)),"")))</x:f>
        <x:v>5</x:v>
      </x:c>
      <x:c r="BA468" t="n">
        <x:f>IF(ISNUMBER('Quantification_Results'!AZ468),IFERROR(ROUND(((('Quantification_Results'!AZ468-'Quantification_Config'!$S$19)/('Quantification_Config'!$T$19-'Quantification_Config'!$S$19))*100),'Quantification_Config'!$U$2),""),"")</x:f>
        <x:v>50</x:v>
      </x:c>
      <x:c r="BB468" t="inlineStr">
        <x:is>
          <x:t xml:space="preserve">SYSTEM-TEST-ONLY-NO-NETWORK-NOT-AN-EDUCATIONAL-EVALUATION</x:t>
        </x:is>
      </x:c>
      <x:c r="BC468" t="inlineStr">
        <x:is>
          <x:t xml:space="preserve"/>
        </x:is>
      </x:c>
      <x:c r="BD468" t="inlineStr">
        <x:is>
          <x:t xml:space="preserve">NONE</x:t>
        </x:is>
      </x:c>
      <x:c r="BE468" t="inlineStr">
        <x:is>
          <x:t xml:space="preserve"/>
        </x:is>
      </x:c>
      <x:c r="BF468" t="inlineStr">
        <x:is>
          <x:t xml:space="preserve">SUCCESS</x:t>
        </x:is>
      </x:c>
      <x:c r="BG468" t="n">
        <x:f>IF((COUNT('Quantification_Results'!BA468)=1),IFERROR(ROUND((SUM(('Quantification_Results'!BA468*'Quantification_Config'!$R$19))/SUM('Quantification_Config'!$R$19)),'Quantification_Config'!$U$2),""),"")</x:f>
        <x:v>50</x:v>
      </x:c>
      <x:c r="BH468" t="n">
        <x:f>IF((COUNT('Quantification_Results'!BG468)=1),IFERROR(ROUND((SUM(('Quantification_Results'!BG468*'Quantification_Config'!$R$18))/SUM('Quantification_Config'!$R$18)),'Quantification_Config'!$U$2),""),"")</x:f>
        <x:v>50</x:v>
      </x:c>
      <x:c r="BI468">
        <x:f>IF((COUNT('Quantification_Results'!L468,'Quantification_Results'!X468,'Quantification_Results'!AJ468,'Quantification_Results'!AV468,'Quantification_Results'!BH468)=5),IFERROR(ROUND((SUM(('Quantification_Results'!L468*'Quantification_Config'!$R$4),('Quantification_Results'!X468*'Quantification_Config'!$R$7),('Quantification_Results'!AJ468*'Quantification_Config'!$R$10),('Quantification_Results'!AV468*'Quantification_Config'!$R$13),('Quantification_Results'!BH468*'Quantification_Config'!$R$16))/SUM('Quantification_Config'!$R$4,'Quantification_Config'!$R$7,'Quantification_Config'!$R$10,'Quantification_Config'!$R$13,'Quantification_Config'!$R$16)),'Quantification_Config'!$U$2),""),"")</x:f>
      </x:c>
    </x:row>
    <x:row r="469">
      <x:c r="A469" t="n">
        <x:v>1</x:v>
      </x:c>
      <x:c r="B469" t="n">
        <x:v>5</x:v>
      </x:c>
      <x:c r="C469"/>
      <x:c r="D469" t="n">
        <x:f>IF(('Quantification_Results'!A469&lt;&gt;1),"",IF(('Quantification_Results'!C469=""),IF(ISNUMBER('Quantification_Results'!B469),IF(('Quantification_Results'!B469&lt;'Quantification_Config'!$S$6),"",IF(('Quantification_Results'!B469&gt;'Quantification_Config'!$T$6),"",'Quantification_Results'!B469)),""),IF(ISNUMBER('Quantification_Results'!C469),IF(('Quantification_Results'!C469&lt;'Quantification_Config'!$S$6),"",IF(('Quantification_Results'!C469&gt;'Quantification_Config'!$T$6),"",'Quantification_Results'!C469)),"")))</x:f>
        <x:v>5</x:v>
      </x:c>
      <x:c r="E469" t="n">
        <x:f>IF(ISNUMBER('Quantification_Results'!D469),IFERROR(ROUND(((('Quantification_Results'!D469-'Quantification_Config'!$S$6)/('Quantification_Config'!$T$6-'Quantification_Config'!$S$6))*100),'Quantification_Config'!$U$2),""),"")</x:f>
        <x:v>50</x:v>
      </x:c>
      <x:c r="F469" t="inlineStr">
        <x:is>
          <x:t xml:space="preserve">SYSTEM-TEST-ONLY-NO-NETWORK-NOT-AN-EDUCATIONAL-EVALUATION</x:t>
        </x:is>
      </x:c>
      <x:c r="G469" t="inlineStr">
        <x:is>
          <x:t xml:space="preserve"/>
        </x:is>
      </x:c>
      <x:c r="H469" t="inlineStr">
        <x:is>
          <x:t xml:space="preserve">NONE</x:t>
        </x:is>
      </x:c>
      <x:c r="I469" t="inlineStr">
        <x:is>
          <x:t xml:space="preserve"/>
        </x:is>
      </x:c>
      <x:c r="J469" t="inlineStr">
        <x:is>
          <x:t xml:space="preserve">SUCCESS</x:t>
        </x:is>
      </x:c>
      <x:c r="K469" t="n">
        <x:f>IF((COUNT('Quantification_Results'!E469)=1),IFERROR(ROUND((SUM(('Quantification_Results'!E469*'Quantification_Config'!$R$6))/SUM('Quantification_Config'!$R$6)),'Quantification_Config'!$U$2),""),"")</x:f>
        <x:v>50</x:v>
      </x:c>
      <x:c r="L469" t="n">
        <x:f>IF((COUNT('Quantification_Results'!K469)=1),IFERROR(ROUND((SUM(('Quantification_Results'!K469*'Quantification_Config'!$R$5))/SUM('Quantification_Config'!$R$5)),'Quantification_Config'!$U$2),""),"")</x:f>
        <x:v>50</x:v>
      </x:c>
      <x:c r="M469" t="n">
        <x:v>1</x:v>
      </x:c>
      <x:c r="N469" t="n">
        <x:v>5</x:v>
      </x:c>
      <x:c r="O469"/>
      <x:c r="P469" t="n">
        <x:f>IF(('Quantification_Results'!M469&lt;&gt;1),"",IF(('Quantification_Results'!O469=""),IF(ISNUMBER('Quantification_Results'!N469),IF(('Quantification_Results'!N469&lt;'Quantification_Config'!$S$9),"",IF(('Quantification_Results'!N469&gt;'Quantification_Config'!$T$9),"",'Quantification_Results'!N469)),""),IF(ISNUMBER('Quantification_Results'!O469),IF(('Quantification_Results'!O469&lt;'Quantification_Config'!$S$9),"",IF(('Quantification_Results'!O469&gt;'Quantification_Config'!$T$9),"",'Quantification_Results'!O469)),"")))</x:f>
        <x:v>5</x:v>
      </x:c>
      <x:c r="Q469" t="n">
        <x:f>IF(ISNUMBER('Quantification_Results'!P469),IFERROR(ROUND(((('Quantification_Results'!P469-'Quantification_Config'!$S$9)/('Quantification_Config'!$T$9-'Quantification_Config'!$S$9))*100),'Quantification_Config'!$U$2),""),"")</x:f>
        <x:v>50</x:v>
      </x:c>
      <x:c r="R469" t="inlineStr">
        <x:is>
          <x:t xml:space="preserve">SYSTEM-TEST-ONLY-NO-NETWORK-NOT-AN-EDUCATIONAL-EVALUATION</x:t>
        </x:is>
      </x:c>
      <x:c r="S469" t="inlineStr">
        <x:is>
          <x:t xml:space="preserve"/>
        </x:is>
      </x:c>
      <x:c r="T469" t="inlineStr">
        <x:is>
          <x:t xml:space="preserve">NONE</x:t>
        </x:is>
      </x:c>
      <x:c r="U469" t="inlineStr">
        <x:is>
          <x:t xml:space="preserve"/>
        </x:is>
      </x:c>
      <x:c r="V469" t="inlineStr">
        <x:is>
          <x:t xml:space="preserve">SUCCESS</x:t>
        </x:is>
      </x:c>
      <x:c r="W469" t="n">
        <x:f>IF((COUNT('Quantification_Results'!Q469)=1),IFERROR(ROUND((SUM(('Quantification_Results'!Q469*'Quantification_Config'!$R$9))/SUM('Quantification_Config'!$R$9)),'Quantification_Config'!$U$2),""),"")</x:f>
        <x:v>50</x:v>
      </x:c>
      <x:c r="X469" t="n">
        <x:f>IF((COUNT('Quantification_Results'!W469)=1),IFERROR(ROUND((SUM(('Quantification_Results'!W469*'Quantification_Config'!$R$8))/SUM('Quantification_Config'!$R$8)),'Quantification_Config'!$U$2),""),"")</x:f>
        <x:v>50</x:v>
      </x:c>
      <x:c r="Y469" t="n">
        <x:v>0</x:v>
      </x:c>
      <x:c r="Z469"/>
      <x:c r="AA469"/>
      <x:c r="AB469">
        <x:f>IF(('Quantification_Results'!Y469&lt;&gt;1),"",IF(('Quantification_Results'!AA469=""),IF(ISNUMBER('Quantification_Results'!Z469),IF(('Quantification_Results'!Z469&lt;'Quantification_Config'!$S$12),"",IF(('Quantification_Results'!Z469&gt;'Quantification_Config'!$T$12),"",'Quantification_Results'!Z469)),""),IF(ISNUMBER('Quantification_Results'!AA469),IF(('Quantification_Results'!AA469&lt;'Quantification_Config'!$S$12),"",IF(('Quantification_Results'!AA469&gt;'Quantification_Config'!$T$12),"",'Quantification_Results'!AA469)),"")))</x:f>
      </x:c>
      <x:c r="AC469">
        <x:f>IF(ISNUMBER('Quantification_Results'!AB469),IFERROR(ROUND(((('Quantification_Results'!AB469-'Quantification_Config'!$S$12)/('Quantification_Config'!$T$12-'Quantification_Config'!$S$12))*100),'Quantification_Config'!$U$2),""),"")</x:f>
      </x:c>
      <x:c r="AD469" t="inlineStr">
        <x:is>
          <x:t xml:space="preserve"/>
        </x:is>
      </x:c>
      <x:c r="AE469" t="inlineStr">
        <x:is>
          <x:t xml:space="preserve"/>
        </x:is>
      </x:c>
      <x:c r="AF469" t="inlineStr">
        <x:is>
          <x:t xml:space="preserve"/>
        </x:is>
      </x:c>
      <x:c r="AG469" t="inlineStr">
        <x:is>
          <x:t xml:space="preserve"/>
        </x:is>
      </x:c>
      <x:c r="AH469" t="inlineStr">
        <x:is>
          <x:t xml:space="preserve">EMPTY</x:t>
        </x:is>
      </x:c>
      <x:c r="AI469">
        <x:f>IF((COUNT('Quantification_Results'!AC469)=1),IFERROR(ROUND((SUM(('Quantification_Results'!AC469*'Quantification_Config'!$R$12))/SUM('Quantification_Config'!$R$12)),'Quantification_Config'!$U$2),""),"")</x:f>
      </x:c>
      <x:c r="AJ469">
        <x:f>IF((COUNT('Quantification_Results'!AI469)=1),IFERROR(ROUND((SUM(('Quantification_Results'!AI469*'Quantification_Config'!$R$11))/SUM('Quantification_Config'!$R$11)),'Quantification_Config'!$U$2),""),"")</x:f>
      </x:c>
      <x:c r="AK469" t="n">
        <x:v>1</x:v>
      </x:c>
      <x:c r="AL469" t="n">
        <x:v>5</x:v>
      </x:c>
      <x:c r="AM469"/>
      <x:c r="AN469" t="n">
        <x:f>IF(('Quantification_Results'!AK469&lt;&gt;1),"",IF(('Quantification_Results'!AM469=""),IF(ISNUMBER('Quantification_Results'!AL469),IF(('Quantification_Results'!AL469&lt;'Quantification_Config'!$S$15),"",IF(('Quantification_Results'!AL469&gt;'Quantification_Config'!$T$15),"",'Quantification_Results'!AL469)),""),IF(ISNUMBER('Quantification_Results'!AM469),IF(('Quantification_Results'!AM469&lt;'Quantification_Config'!$S$15),"",IF(('Quantification_Results'!AM469&gt;'Quantification_Config'!$T$15),"",'Quantification_Results'!AM469)),"")))</x:f>
        <x:v>5</x:v>
      </x:c>
      <x:c r="AO469" t="n">
        <x:f>IF(ISNUMBER('Quantification_Results'!AN469),IFERROR(ROUND(((('Quantification_Results'!AN469-'Quantification_Config'!$S$15)/('Quantification_Config'!$T$15-'Quantification_Config'!$S$15))*100),'Quantification_Config'!$U$2),""),"")</x:f>
        <x:v>50</x:v>
      </x:c>
      <x:c r="AP469" t="inlineStr">
        <x:is>
          <x:t xml:space="preserve">SYSTEM-TEST-ONLY-NO-NETWORK-NOT-AN-EDUCATIONAL-EVALUATION</x:t>
        </x:is>
      </x:c>
      <x:c r="AQ469" t="inlineStr">
        <x:is>
          <x:t xml:space="preserve"/>
        </x:is>
      </x:c>
      <x:c r="AR469" t="inlineStr">
        <x:is>
          <x:t xml:space="preserve">NONE</x:t>
        </x:is>
      </x:c>
      <x:c r="AS469" t="inlineStr">
        <x:is>
          <x:t xml:space="preserve"/>
        </x:is>
      </x:c>
      <x:c r="AT469" t="inlineStr">
        <x:is>
          <x:t xml:space="preserve">SUCCESS</x:t>
        </x:is>
      </x:c>
      <x:c r="AU469" t="n">
        <x:f>IF((COUNT('Quantification_Results'!AO469)=1),IFERROR(ROUND((SUM(('Quantification_Results'!AO469*'Quantification_Config'!$R$15))/SUM('Quantification_Config'!$R$15)),'Quantification_Config'!$U$2),""),"")</x:f>
        <x:v>50</x:v>
      </x:c>
      <x:c r="AV469" t="n">
        <x:f>IF((COUNT('Quantification_Results'!AU469)=1),IFERROR(ROUND((SUM(('Quantification_Results'!AU469*'Quantification_Config'!$R$14))/SUM('Quantification_Config'!$R$14)),'Quantification_Config'!$U$2),""),"")</x:f>
        <x:v>50</x:v>
      </x:c>
      <x:c r="AW469" t="n">
        <x:v>1</x:v>
      </x:c>
      <x:c r="AX469" t="n">
        <x:v>5</x:v>
      </x:c>
      <x:c r="AY469"/>
      <x:c r="AZ469" t="n">
        <x:f>IF(('Quantification_Results'!AW469&lt;&gt;1),"",IF(('Quantification_Results'!AY469=""),IF(ISNUMBER('Quantification_Results'!AX469),IF(('Quantification_Results'!AX469&lt;'Quantification_Config'!$S$19),"",IF(('Quantification_Results'!AX469&gt;'Quantification_Config'!$T$19),"",'Quantification_Results'!AX469)),""),IF(ISNUMBER('Quantification_Results'!AY469),IF(('Quantification_Results'!AY469&lt;'Quantification_Config'!$S$19),"",IF(('Quantification_Results'!AY469&gt;'Quantification_Config'!$T$19),"",'Quantification_Results'!AY469)),"")))</x:f>
        <x:v>5</x:v>
      </x:c>
      <x:c r="BA469" t="n">
        <x:f>IF(ISNUMBER('Quantification_Results'!AZ469),IFERROR(ROUND(((('Quantification_Results'!AZ469-'Quantification_Config'!$S$19)/('Quantification_Config'!$T$19-'Quantification_Config'!$S$19))*100),'Quantification_Config'!$U$2),""),"")</x:f>
        <x:v>50</x:v>
      </x:c>
      <x:c r="BB469" t="inlineStr">
        <x:is>
          <x:t xml:space="preserve">SYSTEM-TEST-ONLY-NO-NETWORK-NOT-AN-EDUCATIONAL-EVALUATION</x:t>
        </x:is>
      </x:c>
      <x:c r="BC469" t="inlineStr">
        <x:is>
          <x:t xml:space="preserve"/>
        </x:is>
      </x:c>
      <x:c r="BD469" t="inlineStr">
        <x:is>
          <x:t xml:space="preserve">NONE</x:t>
        </x:is>
      </x:c>
      <x:c r="BE469" t="inlineStr">
        <x:is>
          <x:t xml:space="preserve"/>
        </x:is>
      </x:c>
      <x:c r="BF469" t="inlineStr">
        <x:is>
          <x:t xml:space="preserve">SUCCESS</x:t>
        </x:is>
      </x:c>
      <x:c r="BG469" t="n">
        <x:f>IF((COUNT('Quantification_Results'!BA469)=1),IFERROR(ROUND((SUM(('Quantification_Results'!BA469*'Quantification_Config'!$R$19))/SUM('Quantification_Config'!$R$19)),'Quantification_Config'!$U$2),""),"")</x:f>
        <x:v>50</x:v>
      </x:c>
      <x:c r="BH469" t="n">
        <x:f>IF((COUNT('Quantification_Results'!BG469)=1),IFERROR(ROUND((SUM(('Quantification_Results'!BG469*'Quantification_Config'!$R$18))/SUM('Quantification_Config'!$R$18)),'Quantification_Config'!$U$2),""),"")</x:f>
        <x:v>50</x:v>
      </x:c>
      <x:c r="BI469">
        <x:f>IF((COUNT('Quantification_Results'!L469,'Quantification_Results'!X469,'Quantification_Results'!AJ469,'Quantification_Results'!AV469,'Quantification_Results'!BH469)=5),IFERROR(ROUND((SUM(('Quantification_Results'!L469*'Quantification_Config'!$R$4),('Quantification_Results'!X469*'Quantification_Config'!$R$7),('Quantification_Results'!AJ469*'Quantification_Config'!$R$10),('Quantification_Results'!AV469*'Quantification_Config'!$R$13),('Quantification_Results'!BH469*'Quantification_Config'!$R$16))/SUM('Quantification_Config'!$R$4,'Quantification_Config'!$R$7,'Quantification_Config'!$R$10,'Quantification_Config'!$R$13,'Quantification_Config'!$R$16)),'Quantification_Config'!$U$2),""),"")</x:f>
      </x:c>
    </x:row>
    <x:row r="470">
      <x:c r="A470" t="n">
        <x:v>1</x:v>
      </x:c>
      <x:c r="B470" t="n">
        <x:v>5</x:v>
      </x:c>
      <x:c r="C470"/>
      <x:c r="D470" t="n">
        <x:f>IF(('Quantification_Results'!A470&lt;&gt;1),"",IF(('Quantification_Results'!C470=""),IF(ISNUMBER('Quantification_Results'!B470),IF(('Quantification_Results'!B470&lt;'Quantification_Config'!$S$6),"",IF(('Quantification_Results'!B470&gt;'Quantification_Config'!$T$6),"",'Quantification_Results'!B470)),""),IF(ISNUMBER('Quantification_Results'!C470),IF(('Quantification_Results'!C470&lt;'Quantification_Config'!$S$6),"",IF(('Quantification_Results'!C470&gt;'Quantification_Config'!$T$6),"",'Quantification_Results'!C470)),"")))</x:f>
        <x:v>5</x:v>
      </x:c>
      <x:c r="E470" t="n">
        <x:f>IF(ISNUMBER('Quantification_Results'!D470),IFERROR(ROUND(((('Quantification_Results'!D470-'Quantification_Config'!$S$6)/('Quantification_Config'!$T$6-'Quantification_Config'!$S$6))*100),'Quantification_Config'!$U$2),""),"")</x:f>
        <x:v>50</x:v>
      </x:c>
      <x:c r="F470" t="inlineStr">
        <x:is>
          <x:t xml:space="preserve">SYSTEM-TEST-ONLY-NO-NETWORK-NOT-AN-EDUCATIONAL-EVALUATION</x:t>
        </x:is>
      </x:c>
      <x:c r="G470" t="inlineStr">
        <x:is>
          <x:t xml:space="preserve"/>
        </x:is>
      </x:c>
      <x:c r="H470" t="inlineStr">
        <x:is>
          <x:t xml:space="preserve">NONE</x:t>
        </x:is>
      </x:c>
      <x:c r="I470" t="inlineStr">
        <x:is>
          <x:t xml:space="preserve"/>
        </x:is>
      </x:c>
      <x:c r="J470" t="inlineStr">
        <x:is>
          <x:t xml:space="preserve">SUCCESS</x:t>
        </x:is>
      </x:c>
      <x:c r="K470" t="n">
        <x:f>IF((COUNT('Quantification_Results'!E470)=1),IFERROR(ROUND((SUM(('Quantification_Results'!E470*'Quantification_Config'!$R$6))/SUM('Quantification_Config'!$R$6)),'Quantification_Config'!$U$2),""),"")</x:f>
        <x:v>50</x:v>
      </x:c>
      <x:c r="L470" t="n">
        <x:f>IF((COUNT('Quantification_Results'!K470)=1),IFERROR(ROUND((SUM(('Quantification_Results'!K470*'Quantification_Config'!$R$5))/SUM('Quantification_Config'!$R$5)),'Quantification_Config'!$U$2),""),"")</x:f>
        <x:v>50</x:v>
      </x:c>
      <x:c r="M470" t="n">
        <x:v>1</x:v>
      </x:c>
      <x:c r="N470" t="n">
        <x:v>5</x:v>
      </x:c>
      <x:c r="O470"/>
      <x:c r="P470" t="n">
        <x:f>IF(('Quantification_Results'!M470&lt;&gt;1),"",IF(('Quantification_Results'!O470=""),IF(ISNUMBER('Quantification_Results'!N470),IF(('Quantification_Results'!N470&lt;'Quantification_Config'!$S$9),"",IF(('Quantification_Results'!N470&gt;'Quantification_Config'!$T$9),"",'Quantification_Results'!N470)),""),IF(ISNUMBER('Quantification_Results'!O470),IF(('Quantification_Results'!O470&lt;'Quantification_Config'!$S$9),"",IF(('Quantification_Results'!O470&gt;'Quantification_Config'!$T$9),"",'Quantification_Results'!O470)),"")))</x:f>
        <x:v>5</x:v>
      </x:c>
      <x:c r="Q470" t="n">
        <x:f>IF(ISNUMBER('Quantification_Results'!P470),IFERROR(ROUND(((('Quantification_Results'!P470-'Quantification_Config'!$S$9)/('Quantification_Config'!$T$9-'Quantification_Config'!$S$9))*100),'Quantification_Config'!$U$2),""),"")</x:f>
        <x:v>50</x:v>
      </x:c>
      <x:c r="R470" t="inlineStr">
        <x:is>
          <x:t xml:space="preserve">SYSTEM-TEST-ONLY-NO-NETWORK-NOT-AN-EDUCATIONAL-EVALUATION</x:t>
        </x:is>
      </x:c>
      <x:c r="S470" t="inlineStr">
        <x:is>
          <x:t xml:space="preserve"/>
        </x:is>
      </x:c>
      <x:c r="T470" t="inlineStr">
        <x:is>
          <x:t xml:space="preserve">NONE</x:t>
        </x:is>
      </x:c>
      <x:c r="U470" t="inlineStr">
        <x:is>
          <x:t xml:space="preserve"/>
        </x:is>
      </x:c>
      <x:c r="V470" t="inlineStr">
        <x:is>
          <x:t xml:space="preserve">SUCCESS</x:t>
        </x:is>
      </x:c>
      <x:c r="W470" t="n">
        <x:f>IF((COUNT('Quantification_Results'!Q470)=1),IFERROR(ROUND((SUM(('Quantification_Results'!Q470*'Quantification_Config'!$R$9))/SUM('Quantification_Config'!$R$9)),'Quantification_Config'!$U$2),""),"")</x:f>
        <x:v>50</x:v>
      </x:c>
      <x:c r="X470" t="n">
        <x:f>IF((COUNT('Quantification_Results'!W470)=1),IFERROR(ROUND((SUM(('Quantification_Results'!W470*'Quantification_Config'!$R$8))/SUM('Quantification_Config'!$R$8)),'Quantification_Config'!$U$2),""),"")</x:f>
        <x:v>50</x:v>
      </x:c>
      <x:c r="Y470" t="n">
        <x:v>1</x:v>
      </x:c>
      <x:c r="Z470" t="n">
        <x:v>5</x:v>
      </x:c>
      <x:c r="AA470"/>
      <x:c r="AB470" t="n">
        <x:f>IF(('Quantification_Results'!Y470&lt;&gt;1),"",IF(('Quantification_Results'!AA470=""),IF(ISNUMBER('Quantification_Results'!Z470),IF(('Quantification_Results'!Z470&lt;'Quantification_Config'!$S$12),"",IF(('Quantification_Results'!Z470&gt;'Quantification_Config'!$T$12),"",'Quantification_Results'!Z470)),""),IF(ISNUMBER('Quantification_Results'!AA470),IF(('Quantification_Results'!AA470&lt;'Quantification_Config'!$S$12),"",IF(('Quantification_Results'!AA470&gt;'Quantification_Config'!$T$12),"",'Quantification_Results'!AA470)),"")))</x:f>
        <x:v>5</x:v>
      </x:c>
      <x:c r="AC470" t="n">
        <x:f>IF(ISNUMBER('Quantification_Results'!AB470),IFERROR(ROUND(((('Quantification_Results'!AB470-'Quantification_Config'!$S$12)/('Quantification_Config'!$T$12-'Quantification_Config'!$S$12))*100),'Quantification_Config'!$U$2),""),"")</x:f>
        <x:v>50</x:v>
      </x:c>
      <x:c r="AD470" t="inlineStr">
        <x:is>
          <x:t xml:space="preserve">SYSTEM-TEST-ONLY-NO-NETWORK-NOT-AN-EDUCATIONAL-EVALUATION</x:t>
        </x:is>
      </x:c>
      <x:c r="AE470" t="inlineStr">
        <x:is>
          <x:t xml:space="preserve"/>
        </x:is>
      </x:c>
      <x:c r="AF470" t="inlineStr">
        <x:is>
          <x:t xml:space="preserve">NONE</x:t>
        </x:is>
      </x:c>
      <x:c r="AG470" t="inlineStr">
        <x:is>
          <x:t xml:space="preserve"/>
        </x:is>
      </x:c>
      <x:c r="AH470" t="inlineStr">
        <x:is>
          <x:t xml:space="preserve">SUCCESS</x:t>
        </x:is>
      </x:c>
      <x:c r="AI470" t="n">
        <x:f>IF((COUNT('Quantification_Results'!AC470)=1),IFERROR(ROUND((SUM(('Quantification_Results'!AC470*'Quantification_Config'!$R$12))/SUM('Quantification_Config'!$R$12)),'Quantification_Config'!$U$2),""),"")</x:f>
        <x:v>50</x:v>
      </x:c>
      <x:c r="AJ470" t="n">
        <x:f>IF((COUNT('Quantification_Results'!AI470)=1),IFERROR(ROUND((SUM(('Quantification_Results'!AI470*'Quantification_Config'!$R$11))/SUM('Quantification_Config'!$R$11)),'Quantification_Config'!$U$2),""),"")</x:f>
        <x:v>50</x:v>
      </x:c>
      <x:c r="AK470" t="n">
        <x:v>1</x:v>
      </x:c>
      <x:c r="AL470" t="n">
        <x:v>5</x:v>
      </x:c>
      <x:c r="AM470"/>
      <x:c r="AN470" t="n">
        <x:f>IF(('Quantification_Results'!AK470&lt;&gt;1),"",IF(('Quantification_Results'!AM470=""),IF(ISNUMBER('Quantification_Results'!AL470),IF(('Quantification_Results'!AL470&lt;'Quantification_Config'!$S$15),"",IF(('Quantification_Results'!AL470&gt;'Quantification_Config'!$T$15),"",'Quantification_Results'!AL470)),""),IF(ISNUMBER('Quantification_Results'!AM470),IF(('Quantification_Results'!AM470&lt;'Quantification_Config'!$S$15),"",IF(('Quantification_Results'!AM470&gt;'Quantification_Config'!$T$15),"",'Quantification_Results'!AM470)),"")))</x:f>
        <x:v>5</x:v>
      </x:c>
      <x:c r="AO470" t="n">
        <x:f>IF(ISNUMBER('Quantification_Results'!AN470),IFERROR(ROUND(((('Quantification_Results'!AN470-'Quantification_Config'!$S$15)/('Quantification_Config'!$T$15-'Quantification_Config'!$S$15))*100),'Quantification_Config'!$U$2),""),"")</x:f>
        <x:v>50</x:v>
      </x:c>
      <x:c r="AP470" t="inlineStr">
        <x:is>
          <x:t xml:space="preserve">SYSTEM-TEST-ONLY-NO-NETWORK-NOT-AN-EDUCATIONAL-EVALUATION</x:t>
        </x:is>
      </x:c>
      <x:c r="AQ470" t="inlineStr">
        <x:is>
          <x:t xml:space="preserve"/>
        </x:is>
      </x:c>
      <x:c r="AR470" t="inlineStr">
        <x:is>
          <x:t xml:space="preserve">NONE</x:t>
        </x:is>
      </x:c>
      <x:c r="AS470" t="inlineStr">
        <x:is>
          <x:t xml:space="preserve"/>
        </x:is>
      </x:c>
      <x:c r="AT470" t="inlineStr">
        <x:is>
          <x:t xml:space="preserve">SUCCESS</x:t>
        </x:is>
      </x:c>
      <x:c r="AU470" t="n">
        <x:f>IF((COUNT('Quantification_Results'!AO470)=1),IFERROR(ROUND((SUM(('Quantification_Results'!AO470*'Quantification_Config'!$R$15))/SUM('Quantification_Config'!$R$15)),'Quantification_Config'!$U$2),""),"")</x:f>
        <x:v>50</x:v>
      </x:c>
      <x:c r="AV470" t="n">
        <x:f>IF((COUNT('Quantification_Results'!AU470)=1),IFERROR(ROUND((SUM(('Quantification_Results'!AU470*'Quantification_Config'!$R$14))/SUM('Quantification_Config'!$R$14)),'Quantification_Config'!$U$2),""),"")</x:f>
        <x:v>50</x:v>
      </x:c>
      <x:c r="AW470" t="n">
        <x:v>1</x:v>
      </x:c>
      <x:c r="AX470" t="n">
        <x:v>5</x:v>
      </x:c>
      <x:c r="AY470"/>
      <x:c r="AZ470" t="n">
        <x:f>IF(('Quantification_Results'!AW470&lt;&gt;1),"",IF(('Quantification_Results'!AY470=""),IF(ISNUMBER('Quantification_Results'!AX470),IF(('Quantification_Results'!AX470&lt;'Quantification_Config'!$S$19),"",IF(('Quantification_Results'!AX470&gt;'Quantification_Config'!$T$19),"",'Quantification_Results'!AX470)),""),IF(ISNUMBER('Quantification_Results'!AY470),IF(('Quantification_Results'!AY470&lt;'Quantification_Config'!$S$19),"",IF(('Quantification_Results'!AY470&gt;'Quantification_Config'!$T$19),"",'Quantification_Results'!AY470)),"")))</x:f>
        <x:v>5</x:v>
      </x:c>
      <x:c r="BA470" t="n">
        <x:f>IF(ISNUMBER('Quantification_Results'!AZ470),IFERROR(ROUND(((('Quantification_Results'!AZ470-'Quantification_Config'!$S$19)/('Quantification_Config'!$T$19-'Quantification_Config'!$S$19))*100),'Quantification_Config'!$U$2),""),"")</x:f>
        <x:v>50</x:v>
      </x:c>
      <x:c r="BB470" t="inlineStr">
        <x:is>
          <x:t xml:space="preserve">SYSTEM-TEST-ONLY-NO-NETWORK-NOT-AN-EDUCATIONAL-EVALUATION</x:t>
        </x:is>
      </x:c>
      <x:c r="BC470" t="inlineStr">
        <x:is>
          <x:t xml:space="preserve"/>
        </x:is>
      </x:c>
      <x:c r="BD470" t="inlineStr">
        <x:is>
          <x:t xml:space="preserve">NONE</x:t>
        </x:is>
      </x:c>
      <x:c r="BE470" t="inlineStr">
        <x:is>
          <x:t xml:space="preserve"/>
        </x:is>
      </x:c>
      <x:c r="BF470" t="inlineStr">
        <x:is>
          <x:t xml:space="preserve">SUCCESS</x:t>
        </x:is>
      </x:c>
      <x:c r="BG470" t="n">
        <x:f>IF((COUNT('Quantification_Results'!BA470)=1),IFERROR(ROUND((SUM(('Quantification_Results'!BA470*'Quantification_Config'!$R$19))/SUM('Quantification_Config'!$R$19)),'Quantification_Config'!$U$2),""),"")</x:f>
        <x:v>50</x:v>
      </x:c>
      <x:c r="BH470" t="n">
        <x:f>IF((COUNT('Quantification_Results'!BG470)=1),IFERROR(ROUND((SUM(('Quantification_Results'!BG470*'Quantification_Config'!$R$18))/SUM('Quantification_Config'!$R$18)),'Quantification_Config'!$U$2),""),"")</x:f>
        <x:v>50</x:v>
      </x:c>
      <x:c r="BI470" t="n">
        <x:f>IF((COUNT('Quantification_Results'!L470,'Quantification_Results'!X470,'Quantification_Results'!AJ470,'Quantification_Results'!AV470,'Quantification_Results'!BH470)=5),IFERROR(ROUND((SUM(('Quantification_Results'!L470*'Quantification_Config'!$R$4),('Quantification_Results'!X470*'Quantification_Config'!$R$7),('Quantification_Results'!AJ470*'Quantification_Config'!$R$10),('Quantification_Results'!AV470*'Quantification_Config'!$R$13),('Quantification_Results'!BH470*'Quantification_Config'!$R$16))/SUM('Quantification_Config'!$R$4,'Quantification_Config'!$R$7,'Quantification_Config'!$R$10,'Quantification_Config'!$R$13,'Quantification_Config'!$R$16)),'Quantification_Config'!$U$2),""),"")</x:f>
        <x:v>50</x:v>
      </x:c>
    </x:row>
    <x:row r="471">
      <x:c r="A471" t="n">
        <x:v>1</x:v>
      </x:c>
      <x:c r="B471" t="n">
        <x:v>5</x:v>
      </x:c>
      <x:c r="C471"/>
      <x:c r="D471" t="n">
        <x:f>IF(('Quantification_Results'!A471&lt;&gt;1),"",IF(('Quantification_Results'!C471=""),IF(ISNUMBER('Quantification_Results'!B471),IF(('Quantification_Results'!B471&lt;'Quantification_Config'!$S$6),"",IF(('Quantification_Results'!B471&gt;'Quantification_Config'!$T$6),"",'Quantification_Results'!B471)),""),IF(ISNUMBER('Quantification_Results'!C471),IF(('Quantification_Results'!C471&lt;'Quantification_Config'!$S$6),"",IF(('Quantification_Results'!C471&gt;'Quantification_Config'!$T$6),"",'Quantification_Results'!C471)),"")))</x:f>
        <x:v>5</x:v>
      </x:c>
      <x:c r="E471" t="n">
        <x:f>IF(ISNUMBER('Quantification_Results'!D471),IFERROR(ROUND(((('Quantification_Results'!D471-'Quantification_Config'!$S$6)/('Quantification_Config'!$T$6-'Quantification_Config'!$S$6))*100),'Quantification_Config'!$U$2),""),"")</x:f>
        <x:v>50</x:v>
      </x:c>
      <x:c r="F471" t="inlineStr">
        <x:is>
          <x:t xml:space="preserve">SYSTEM-TEST-ONLY-NO-NETWORK-NOT-AN-EDUCATIONAL-EVALUATION</x:t>
        </x:is>
      </x:c>
      <x:c r="G471" t="inlineStr">
        <x:is>
          <x:t xml:space="preserve"/>
        </x:is>
      </x:c>
      <x:c r="H471" t="inlineStr">
        <x:is>
          <x:t xml:space="preserve">NONE</x:t>
        </x:is>
      </x:c>
      <x:c r="I471" t="inlineStr">
        <x:is>
          <x:t xml:space="preserve"/>
        </x:is>
      </x:c>
      <x:c r="J471" t="inlineStr">
        <x:is>
          <x:t xml:space="preserve">SUCCESS</x:t>
        </x:is>
      </x:c>
      <x:c r="K471" t="n">
        <x:f>IF((COUNT('Quantification_Results'!E471)=1),IFERROR(ROUND((SUM(('Quantification_Results'!E471*'Quantification_Config'!$R$6))/SUM('Quantification_Config'!$R$6)),'Quantification_Config'!$U$2),""),"")</x:f>
        <x:v>50</x:v>
      </x:c>
      <x:c r="L471" t="n">
        <x:f>IF((COUNT('Quantification_Results'!K471)=1),IFERROR(ROUND((SUM(('Quantification_Results'!K471*'Quantification_Config'!$R$5))/SUM('Quantification_Config'!$R$5)),'Quantification_Config'!$U$2),""),"")</x:f>
        <x:v>50</x:v>
      </x:c>
      <x:c r="M471" t="n">
        <x:v>1</x:v>
      </x:c>
      <x:c r="N471" t="n">
        <x:v>5</x:v>
      </x:c>
      <x:c r="O471"/>
      <x:c r="P471" t="n">
        <x:f>IF(('Quantification_Results'!M471&lt;&gt;1),"",IF(('Quantification_Results'!O471=""),IF(ISNUMBER('Quantification_Results'!N471),IF(('Quantification_Results'!N471&lt;'Quantification_Config'!$S$9),"",IF(('Quantification_Results'!N471&gt;'Quantification_Config'!$T$9),"",'Quantification_Results'!N471)),""),IF(ISNUMBER('Quantification_Results'!O471),IF(('Quantification_Results'!O471&lt;'Quantification_Config'!$S$9),"",IF(('Quantification_Results'!O471&gt;'Quantification_Config'!$T$9),"",'Quantification_Results'!O471)),"")))</x:f>
        <x:v>5</x:v>
      </x:c>
      <x:c r="Q471" t="n">
        <x:f>IF(ISNUMBER('Quantification_Results'!P471),IFERROR(ROUND(((('Quantification_Results'!P471-'Quantification_Config'!$S$9)/('Quantification_Config'!$T$9-'Quantification_Config'!$S$9))*100),'Quantification_Config'!$U$2),""),"")</x:f>
        <x:v>50</x:v>
      </x:c>
      <x:c r="R471" t="inlineStr">
        <x:is>
          <x:t xml:space="preserve">SYSTEM-TEST-ONLY-NO-NETWORK-NOT-AN-EDUCATIONAL-EVALUATION</x:t>
        </x:is>
      </x:c>
      <x:c r="S471" t="inlineStr">
        <x:is>
          <x:t xml:space="preserve"/>
        </x:is>
      </x:c>
      <x:c r="T471" t="inlineStr">
        <x:is>
          <x:t xml:space="preserve">NONE</x:t>
        </x:is>
      </x:c>
      <x:c r="U471" t="inlineStr">
        <x:is>
          <x:t xml:space="preserve"/>
        </x:is>
      </x:c>
      <x:c r="V471" t="inlineStr">
        <x:is>
          <x:t xml:space="preserve">SUCCESS</x:t>
        </x:is>
      </x:c>
      <x:c r="W471" t="n">
        <x:f>IF((COUNT('Quantification_Results'!Q471)=1),IFERROR(ROUND((SUM(('Quantification_Results'!Q471*'Quantification_Config'!$R$9))/SUM('Quantification_Config'!$R$9)),'Quantification_Config'!$U$2),""),"")</x:f>
        <x:v>50</x:v>
      </x:c>
      <x:c r="X471" t="n">
        <x:f>IF((COUNT('Quantification_Results'!W471)=1),IFERROR(ROUND((SUM(('Quantification_Results'!W471*'Quantification_Config'!$R$8))/SUM('Quantification_Config'!$R$8)),'Quantification_Config'!$U$2),""),"")</x:f>
        <x:v>50</x:v>
      </x:c>
      <x:c r="Y471" t="n">
        <x:v>1</x:v>
      </x:c>
      <x:c r="Z471" t="n">
        <x:v>5</x:v>
      </x:c>
      <x:c r="AA471"/>
      <x:c r="AB471" t="n">
        <x:f>IF(('Quantification_Results'!Y471&lt;&gt;1),"",IF(('Quantification_Results'!AA471=""),IF(ISNUMBER('Quantification_Results'!Z471),IF(('Quantification_Results'!Z471&lt;'Quantification_Config'!$S$12),"",IF(('Quantification_Results'!Z471&gt;'Quantification_Config'!$T$12),"",'Quantification_Results'!Z471)),""),IF(ISNUMBER('Quantification_Results'!AA471),IF(('Quantification_Results'!AA471&lt;'Quantification_Config'!$S$12),"",IF(('Quantification_Results'!AA471&gt;'Quantification_Config'!$T$12),"",'Quantification_Results'!AA471)),"")))</x:f>
        <x:v>5</x:v>
      </x:c>
      <x:c r="AC471" t="n">
        <x:f>IF(ISNUMBER('Quantification_Results'!AB471),IFERROR(ROUND(((('Quantification_Results'!AB471-'Quantification_Config'!$S$12)/('Quantification_Config'!$T$12-'Quantification_Config'!$S$12))*100),'Quantification_Config'!$U$2),""),"")</x:f>
        <x:v>50</x:v>
      </x:c>
      <x:c r="AD471" t="inlineStr">
        <x:is>
          <x:t xml:space="preserve">SYSTEM-TEST-ONLY-NO-NETWORK-NOT-AN-EDUCATIONAL-EVALUATION</x:t>
        </x:is>
      </x:c>
      <x:c r="AE471" t="inlineStr">
        <x:is>
          <x:t xml:space="preserve"/>
        </x:is>
      </x:c>
      <x:c r="AF471" t="inlineStr">
        <x:is>
          <x:t xml:space="preserve">NONE</x:t>
        </x:is>
      </x:c>
      <x:c r="AG471" t="inlineStr">
        <x:is>
          <x:t xml:space="preserve"/>
        </x:is>
      </x:c>
      <x:c r="AH471" t="inlineStr">
        <x:is>
          <x:t xml:space="preserve">SUCCESS</x:t>
        </x:is>
      </x:c>
      <x:c r="AI471" t="n">
        <x:f>IF((COUNT('Quantification_Results'!AC471)=1),IFERROR(ROUND((SUM(('Quantification_Results'!AC471*'Quantification_Config'!$R$12))/SUM('Quantification_Config'!$R$12)),'Quantification_Config'!$U$2),""),"")</x:f>
        <x:v>50</x:v>
      </x:c>
      <x:c r="AJ471" t="n">
        <x:f>IF((COUNT('Quantification_Results'!AI471)=1),IFERROR(ROUND((SUM(('Quantification_Results'!AI471*'Quantification_Config'!$R$11))/SUM('Quantification_Config'!$R$11)),'Quantification_Config'!$U$2),""),"")</x:f>
        <x:v>50</x:v>
      </x:c>
      <x:c r="AK471" t="n">
        <x:v>1</x:v>
      </x:c>
      <x:c r="AL471" t="n">
        <x:v>5</x:v>
      </x:c>
      <x:c r="AM471"/>
      <x:c r="AN471" t="n">
        <x:f>IF(('Quantification_Results'!AK471&lt;&gt;1),"",IF(('Quantification_Results'!AM471=""),IF(ISNUMBER('Quantification_Results'!AL471),IF(('Quantification_Results'!AL471&lt;'Quantification_Config'!$S$15),"",IF(('Quantification_Results'!AL471&gt;'Quantification_Config'!$T$15),"",'Quantification_Results'!AL471)),""),IF(ISNUMBER('Quantification_Results'!AM471),IF(('Quantification_Results'!AM471&lt;'Quantification_Config'!$S$15),"",IF(('Quantification_Results'!AM471&gt;'Quantification_Config'!$T$15),"",'Quantification_Results'!AM471)),"")))</x:f>
        <x:v>5</x:v>
      </x:c>
      <x:c r="AO471" t="n">
        <x:f>IF(ISNUMBER('Quantification_Results'!AN471),IFERROR(ROUND(((('Quantification_Results'!AN471-'Quantification_Config'!$S$15)/('Quantification_Config'!$T$15-'Quantification_Config'!$S$15))*100),'Quantification_Config'!$U$2),""),"")</x:f>
        <x:v>50</x:v>
      </x:c>
      <x:c r="AP471" t="inlineStr">
        <x:is>
          <x:t xml:space="preserve">SYSTEM-TEST-ONLY-NO-NETWORK-NOT-AN-EDUCATIONAL-EVALUATION</x:t>
        </x:is>
      </x:c>
      <x:c r="AQ471" t="inlineStr">
        <x:is>
          <x:t xml:space="preserve"/>
        </x:is>
      </x:c>
      <x:c r="AR471" t="inlineStr">
        <x:is>
          <x:t xml:space="preserve">NONE</x:t>
        </x:is>
      </x:c>
      <x:c r="AS471" t="inlineStr">
        <x:is>
          <x:t xml:space="preserve"/>
        </x:is>
      </x:c>
      <x:c r="AT471" t="inlineStr">
        <x:is>
          <x:t xml:space="preserve">SUCCESS</x:t>
        </x:is>
      </x:c>
      <x:c r="AU471" t="n">
        <x:f>IF((COUNT('Quantification_Results'!AO471)=1),IFERROR(ROUND((SUM(('Quantification_Results'!AO471*'Quantification_Config'!$R$15))/SUM('Quantification_Config'!$R$15)),'Quantification_Config'!$U$2),""),"")</x:f>
        <x:v>50</x:v>
      </x:c>
      <x:c r="AV471" t="n">
        <x:f>IF((COUNT('Quantification_Results'!AU471)=1),IFERROR(ROUND((SUM(('Quantification_Results'!AU471*'Quantification_Config'!$R$14))/SUM('Quantification_Config'!$R$14)),'Quantification_Config'!$U$2),""),"")</x:f>
        <x:v>50</x:v>
      </x:c>
      <x:c r="AW471" t="n">
        <x:v>1</x:v>
      </x:c>
      <x:c r="AX471" t="n">
        <x:v>5</x:v>
      </x:c>
      <x:c r="AY471"/>
      <x:c r="AZ471" t="n">
        <x:f>IF(('Quantification_Results'!AW471&lt;&gt;1),"",IF(('Quantification_Results'!AY471=""),IF(ISNUMBER('Quantification_Results'!AX471),IF(('Quantification_Results'!AX471&lt;'Quantification_Config'!$S$19),"",IF(('Quantification_Results'!AX471&gt;'Quantification_Config'!$T$19),"",'Quantification_Results'!AX471)),""),IF(ISNUMBER('Quantification_Results'!AY471),IF(('Quantification_Results'!AY471&lt;'Quantification_Config'!$S$19),"",IF(('Quantification_Results'!AY471&gt;'Quantification_Config'!$T$19),"",'Quantification_Results'!AY471)),"")))</x:f>
        <x:v>5</x:v>
      </x:c>
      <x:c r="BA471" t="n">
        <x:f>IF(ISNUMBER('Quantification_Results'!AZ471),IFERROR(ROUND(((('Quantification_Results'!AZ471-'Quantification_Config'!$S$19)/('Quantification_Config'!$T$19-'Quantification_Config'!$S$19))*100),'Quantification_Config'!$U$2),""),"")</x:f>
        <x:v>50</x:v>
      </x:c>
      <x:c r="BB471" t="inlineStr">
        <x:is>
          <x:t xml:space="preserve">SYSTEM-TEST-ONLY-NO-NETWORK-NOT-AN-EDUCATIONAL-EVALUATION</x:t>
        </x:is>
      </x:c>
      <x:c r="BC471" t="inlineStr">
        <x:is>
          <x:t xml:space="preserve"/>
        </x:is>
      </x:c>
      <x:c r="BD471" t="inlineStr">
        <x:is>
          <x:t xml:space="preserve">NONE</x:t>
        </x:is>
      </x:c>
      <x:c r="BE471" t="inlineStr">
        <x:is>
          <x:t xml:space="preserve"/>
        </x:is>
      </x:c>
      <x:c r="BF471" t="inlineStr">
        <x:is>
          <x:t xml:space="preserve">SUCCESS</x:t>
        </x:is>
      </x:c>
      <x:c r="BG471" t="n">
        <x:f>IF((COUNT('Quantification_Results'!BA471)=1),IFERROR(ROUND((SUM(('Quantification_Results'!BA471*'Quantification_Config'!$R$19))/SUM('Quantification_Config'!$R$19)),'Quantification_Config'!$U$2),""),"")</x:f>
        <x:v>50</x:v>
      </x:c>
      <x:c r="BH471" t="n">
        <x:f>IF((COUNT('Quantification_Results'!BG471)=1),IFERROR(ROUND((SUM(('Quantification_Results'!BG471*'Quantification_Config'!$R$18))/SUM('Quantification_Config'!$R$18)),'Quantification_Config'!$U$2),""),"")</x:f>
        <x:v>50</x:v>
      </x:c>
      <x:c r="BI471" t="n">
        <x:f>IF((COUNT('Quantification_Results'!L471,'Quantification_Results'!X471,'Quantification_Results'!AJ471,'Quantification_Results'!AV471,'Quantification_Results'!BH471)=5),IFERROR(ROUND((SUM(('Quantification_Results'!L471*'Quantification_Config'!$R$4),('Quantification_Results'!X471*'Quantification_Config'!$R$7),('Quantification_Results'!AJ471*'Quantification_Config'!$R$10),('Quantification_Results'!AV471*'Quantification_Config'!$R$13),('Quantification_Results'!BH471*'Quantification_Config'!$R$16))/SUM('Quantification_Config'!$R$4,'Quantification_Config'!$R$7,'Quantification_Config'!$R$10,'Quantification_Config'!$R$13,'Quantification_Config'!$R$16)),'Quantification_Config'!$U$2),""),"")</x:f>
        <x:v>50</x:v>
      </x:c>
    </x:row>
    <x:row r="472">
      <x:c r="A472" t="n">
        <x:v>1</x:v>
      </x:c>
      <x:c r="B472" t="n">
        <x:v>5</x:v>
      </x:c>
      <x:c r="C472"/>
      <x:c r="D472" t="n">
        <x:f>IF(('Quantification_Results'!A472&lt;&gt;1),"",IF(('Quantification_Results'!C472=""),IF(ISNUMBER('Quantification_Results'!B472),IF(('Quantification_Results'!B472&lt;'Quantification_Config'!$S$6),"",IF(('Quantification_Results'!B472&gt;'Quantification_Config'!$T$6),"",'Quantification_Results'!B472)),""),IF(ISNUMBER('Quantification_Results'!C472),IF(('Quantification_Results'!C472&lt;'Quantification_Config'!$S$6),"",IF(('Quantification_Results'!C472&gt;'Quantification_Config'!$T$6),"",'Quantification_Results'!C472)),"")))</x:f>
        <x:v>5</x:v>
      </x:c>
      <x:c r="E472" t="n">
        <x:f>IF(ISNUMBER('Quantification_Results'!D472),IFERROR(ROUND(((('Quantification_Results'!D472-'Quantification_Config'!$S$6)/('Quantification_Config'!$T$6-'Quantification_Config'!$S$6))*100),'Quantification_Config'!$U$2),""),"")</x:f>
        <x:v>50</x:v>
      </x:c>
      <x:c r="F472" t="inlineStr">
        <x:is>
          <x:t xml:space="preserve">SYSTEM-TEST-ONLY-NO-NETWORK-NOT-AN-EDUCATIONAL-EVALUATION</x:t>
        </x:is>
      </x:c>
      <x:c r="G472" t="inlineStr">
        <x:is>
          <x:t xml:space="preserve"/>
        </x:is>
      </x:c>
      <x:c r="H472" t="inlineStr">
        <x:is>
          <x:t xml:space="preserve">NONE</x:t>
        </x:is>
      </x:c>
      <x:c r="I472" t="inlineStr">
        <x:is>
          <x:t xml:space="preserve"/>
        </x:is>
      </x:c>
      <x:c r="J472" t="inlineStr">
        <x:is>
          <x:t xml:space="preserve">SUCCESS</x:t>
        </x:is>
      </x:c>
      <x:c r="K472" t="n">
        <x:f>IF((COUNT('Quantification_Results'!E472)=1),IFERROR(ROUND((SUM(('Quantification_Results'!E472*'Quantification_Config'!$R$6))/SUM('Quantification_Config'!$R$6)),'Quantification_Config'!$U$2),""),"")</x:f>
        <x:v>50</x:v>
      </x:c>
      <x:c r="L472" t="n">
        <x:f>IF((COUNT('Quantification_Results'!K472)=1),IFERROR(ROUND((SUM(('Quantification_Results'!K472*'Quantification_Config'!$R$5))/SUM('Quantification_Config'!$R$5)),'Quantification_Config'!$U$2),""),"")</x:f>
        <x:v>50</x:v>
      </x:c>
      <x:c r="M472" t="n">
        <x:v>1</x:v>
      </x:c>
      <x:c r="N472" t="n">
        <x:v>5</x:v>
      </x:c>
      <x:c r="O472"/>
      <x:c r="P472" t="n">
        <x:f>IF(('Quantification_Results'!M472&lt;&gt;1),"",IF(('Quantification_Results'!O472=""),IF(ISNUMBER('Quantification_Results'!N472),IF(('Quantification_Results'!N472&lt;'Quantification_Config'!$S$9),"",IF(('Quantification_Results'!N472&gt;'Quantification_Config'!$T$9),"",'Quantification_Results'!N472)),""),IF(ISNUMBER('Quantification_Results'!O472),IF(('Quantification_Results'!O472&lt;'Quantification_Config'!$S$9),"",IF(('Quantification_Results'!O472&gt;'Quantification_Config'!$T$9),"",'Quantification_Results'!O472)),"")))</x:f>
        <x:v>5</x:v>
      </x:c>
      <x:c r="Q472" t="n">
        <x:f>IF(ISNUMBER('Quantification_Results'!P472),IFERROR(ROUND(((('Quantification_Results'!P472-'Quantification_Config'!$S$9)/('Quantification_Config'!$T$9-'Quantification_Config'!$S$9))*100),'Quantification_Config'!$U$2),""),"")</x:f>
        <x:v>50</x:v>
      </x:c>
      <x:c r="R472" t="inlineStr">
        <x:is>
          <x:t xml:space="preserve">SYSTEM-TEST-ONLY-NO-NETWORK-NOT-AN-EDUCATIONAL-EVALUATION</x:t>
        </x:is>
      </x:c>
      <x:c r="S472" t="inlineStr">
        <x:is>
          <x:t xml:space="preserve"/>
        </x:is>
      </x:c>
      <x:c r="T472" t="inlineStr">
        <x:is>
          <x:t xml:space="preserve">NONE</x:t>
        </x:is>
      </x:c>
      <x:c r="U472" t="inlineStr">
        <x:is>
          <x:t xml:space="preserve"/>
        </x:is>
      </x:c>
      <x:c r="V472" t="inlineStr">
        <x:is>
          <x:t xml:space="preserve">SUCCESS</x:t>
        </x:is>
      </x:c>
      <x:c r="W472" t="n">
        <x:f>IF((COUNT('Quantification_Results'!Q472)=1),IFERROR(ROUND((SUM(('Quantification_Results'!Q472*'Quantification_Config'!$R$9))/SUM('Quantification_Config'!$R$9)),'Quantification_Config'!$U$2),""),"")</x:f>
        <x:v>50</x:v>
      </x:c>
      <x:c r="X472" t="n">
        <x:f>IF((COUNT('Quantification_Results'!W472)=1),IFERROR(ROUND((SUM(('Quantification_Results'!W472*'Quantification_Config'!$R$8))/SUM('Quantification_Config'!$R$8)),'Quantification_Config'!$U$2),""),"")</x:f>
        <x:v>50</x:v>
      </x:c>
      <x:c r="Y472" t="n">
        <x:v>0</x:v>
      </x:c>
      <x:c r="Z472"/>
      <x:c r="AA472"/>
      <x:c r="AB472">
        <x:f>IF(('Quantification_Results'!Y472&lt;&gt;1),"",IF(('Quantification_Results'!AA472=""),IF(ISNUMBER('Quantification_Results'!Z472),IF(('Quantification_Results'!Z472&lt;'Quantification_Config'!$S$12),"",IF(('Quantification_Results'!Z472&gt;'Quantification_Config'!$T$12),"",'Quantification_Results'!Z472)),""),IF(ISNUMBER('Quantification_Results'!AA472),IF(('Quantification_Results'!AA472&lt;'Quantification_Config'!$S$12),"",IF(('Quantification_Results'!AA472&gt;'Quantification_Config'!$T$12),"",'Quantification_Results'!AA472)),"")))</x:f>
      </x:c>
      <x:c r="AC472">
        <x:f>IF(ISNUMBER('Quantification_Results'!AB472),IFERROR(ROUND(((('Quantification_Results'!AB472-'Quantification_Config'!$S$12)/('Quantification_Config'!$T$12-'Quantification_Config'!$S$12))*100),'Quantification_Config'!$U$2),""),"")</x:f>
      </x:c>
      <x:c r="AD472" t="inlineStr">
        <x:is>
          <x:t xml:space="preserve"/>
        </x:is>
      </x:c>
      <x:c r="AE472" t="inlineStr">
        <x:is>
          <x:t xml:space="preserve"/>
        </x:is>
      </x:c>
      <x:c r="AF472" t="inlineStr">
        <x:is>
          <x:t xml:space="preserve"/>
        </x:is>
      </x:c>
      <x:c r="AG472" t="inlineStr">
        <x:is>
          <x:t xml:space="preserve"/>
        </x:is>
      </x:c>
      <x:c r="AH472" t="inlineStr">
        <x:is>
          <x:t xml:space="preserve">EMPTY</x:t>
        </x:is>
      </x:c>
      <x:c r="AI472">
        <x:f>IF((COUNT('Quantification_Results'!AC472)=1),IFERROR(ROUND((SUM(('Quantification_Results'!AC472*'Quantification_Config'!$R$12))/SUM('Quantification_Config'!$R$12)),'Quantification_Config'!$U$2),""),"")</x:f>
      </x:c>
      <x:c r="AJ472">
        <x:f>IF((COUNT('Quantification_Results'!AI472)=1),IFERROR(ROUND((SUM(('Quantification_Results'!AI472*'Quantification_Config'!$R$11))/SUM('Quantification_Config'!$R$11)),'Quantification_Config'!$U$2),""),"")</x:f>
      </x:c>
      <x:c r="AK472" t="n">
        <x:v>1</x:v>
      </x:c>
      <x:c r="AL472" t="n">
        <x:v>5</x:v>
      </x:c>
      <x:c r="AM472"/>
      <x:c r="AN472" t="n">
        <x:f>IF(('Quantification_Results'!AK472&lt;&gt;1),"",IF(('Quantification_Results'!AM472=""),IF(ISNUMBER('Quantification_Results'!AL472),IF(('Quantification_Results'!AL472&lt;'Quantification_Config'!$S$15),"",IF(('Quantification_Results'!AL472&gt;'Quantification_Config'!$T$15),"",'Quantification_Results'!AL472)),""),IF(ISNUMBER('Quantification_Results'!AM472),IF(('Quantification_Results'!AM472&lt;'Quantification_Config'!$S$15),"",IF(('Quantification_Results'!AM472&gt;'Quantification_Config'!$T$15),"",'Quantification_Results'!AM472)),"")))</x:f>
        <x:v>5</x:v>
      </x:c>
      <x:c r="AO472" t="n">
        <x:f>IF(ISNUMBER('Quantification_Results'!AN472),IFERROR(ROUND(((('Quantification_Results'!AN472-'Quantification_Config'!$S$15)/('Quantification_Config'!$T$15-'Quantification_Config'!$S$15))*100),'Quantification_Config'!$U$2),""),"")</x:f>
        <x:v>50</x:v>
      </x:c>
      <x:c r="AP472" t="inlineStr">
        <x:is>
          <x:t xml:space="preserve">SYSTEM-TEST-ONLY-NO-NETWORK-NOT-AN-EDUCATIONAL-EVALUATION</x:t>
        </x:is>
      </x:c>
      <x:c r="AQ472" t="inlineStr">
        <x:is>
          <x:t xml:space="preserve"/>
        </x:is>
      </x:c>
      <x:c r="AR472" t="inlineStr">
        <x:is>
          <x:t xml:space="preserve">NONE</x:t>
        </x:is>
      </x:c>
      <x:c r="AS472" t="inlineStr">
        <x:is>
          <x:t xml:space="preserve"/>
        </x:is>
      </x:c>
      <x:c r="AT472" t="inlineStr">
        <x:is>
          <x:t xml:space="preserve">SUCCESS</x:t>
        </x:is>
      </x:c>
      <x:c r="AU472" t="n">
        <x:f>IF((COUNT('Quantification_Results'!AO472)=1),IFERROR(ROUND((SUM(('Quantification_Results'!AO472*'Quantification_Config'!$R$15))/SUM('Quantification_Config'!$R$15)),'Quantification_Config'!$U$2),""),"")</x:f>
        <x:v>50</x:v>
      </x:c>
      <x:c r="AV472" t="n">
        <x:f>IF((COUNT('Quantification_Results'!AU472)=1),IFERROR(ROUND((SUM(('Quantification_Results'!AU472*'Quantification_Config'!$R$14))/SUM('Quantification_Config'!$R$14)),'Quantification_Config'!$U$2),""),"")</x:f>
        <x:v>50</x:v>
      </x:c>
      <x:c r="AW472" t="n">
        <x:v>1</x:v>
      </x:c>
      <x:c r="AX472" t="n">
        <x:v>5</x:v>
      </x:c>
      <x:c r="AY472"/>
      <x:c r="AZ472" t="n">
        <x:f>IF(('Quantification_Results'!AW472&lt;&gt;1),"",IF(('Quantification_Results'!AY472=""),IF(ISNUMBER('Quantification_Results'!AX472),IF(('Quantification_Results'!AX472&lt;'Quantification_Config'!$S$19),"",IF(('Quantification_Results'!AX472&gt;'Quantification_Config'!$T$19),"",'Quantification_Results'!AX472)),""),IF(ISNUMBER('Quantification_Results'!AY472),IF(('Quantification_Results'!AY472&lt;'Quantification_Config'!$S$19),"",IF(('Quantification_Results'!AY472&gt;'Quantification_Config'!$T$19),"",'Quantification_Results'!AY472)),"")))</x:f>
        <x:v>5</x:v>
      </x:c>
      <x:c r="BA472" t="n">
        <x:f>IF(ISNUMBER('Quantification_Results'!AZ472),IFERROR(ROUND(((('Quantification_Results'!AZ472-'Quantification_Config'!$S$19)/('Quantification_Config'!$T$19-'Quantification_Config'!$S$19))*100),'Quantification_Config'!$U$2),""),"")</x:f>
        <x:v>50</x:v>
      </x:c>
      <x:c r="BB472" t="inlineStr">
        <x:is>
          <x:t xml:space="preserve">SYSTEM-TEST-ONLY-NO-NETWORK-NOT-AN-EDUCATIONAL-EVALUATION</x:t>
        </x:is>
      </x:c>
      <x:c r="BC472" t="inlineStr">
        <x:is>
          <x:t xml:space="preserve"/>
        </x:is>
      </x:c>
      <x:c r="BD472" t="inlineStr">
        <x:is>
          <x:t xml:space="preserve">NONE</x:t>
        </x:is>
      </x:c>
      <x:c r="BE472" t="inlineStr">
        <x:is>
          <x:t xml:space="preserve"/>
        </x:is>
      </x:c>
      <x:c r="BF472" t="inlineStr">
        <x:is>
          <x:t xml:space="preserve">SUCCESS</x:t>
        </x:is>
      </x:c>
      <x:c r="BG472" t="n">
        <x:f>IF((COUNT('Quantification_Results'!BA472)=1),IFERROR(ROUND((SUM(('Quantification_Results'!BA472*'Quantification_Config'!$R$19))/SUM('Quantification_Config'!$R$19)),'Quantification_Config'!$U$2),""),"")</x:f>
        <x:v>50</x:v>
      </x:c>
      <x:c r="BH472" t="n">
        <x:f>IF((COUNT('Quantification_Results'!BG472)=1),IFERROR(ROUND((SUM(('Quantification_Results'!BG472*'Quantification_Config'!$R$18))/SUM('Quantification_Config'!$R$18)),'Quantification_Config'!$U$2),""),"")</x:f>
        <x:v>50</x:v>
      </x:c>
      <x:c r="BI472">
        <x:f>IF((COUNT('Quantification_Results'!L472,'Quantification_Results'!X472,'Quantification_Results'!AJ472,'Quantification_Results'!AV472,'Quantification_Results'!BH472)=5),IFERROR(ROUND((SUM(('Quantification_Results'!L472*'Quantification_Config'!$R$4),('Quantification_Results'!X472*'Quantification_Config'!$R$7),('Quantification_Results'!AJ472*'Quantification_Config'!$R$10),('Quantification_Results'!AV472*'Quantification_Config'!$R$13),('Quantification_Results'!BH472*'Quantification_Config'!$R$16))/SUM('Quantification_Config'!$R$4,'Quantification_Config'!$R$7,'Quantification_Config'!$R$10,'Quantification_Config'!$R$13,'Quantification_Config'!$R$16)),'Quantification_Config'!$U$2),""),"")</x:f>
      </x:c>
    </x:row>
    <x:row r="473">
      <x:c r="A473" t="n">
        <x:v>1</x:v>
      </x:c>
      <x:c r="B473" t="n">
        <x:v>5</x:v>
      </x:c>
      <x:c r="C473"/>
      <x:c r="D473" t="n">
        <x:f>IF(('Quantification_Results'!A473&lt;&gt;1),"",IF(('Quantification_Results'!C473=""),IF(ISNUMBER('Quantification_Results'!B473),IF(('Quantification_Results'!B473&lt;'Quantification_Config'!$S$6),"",IF(('Quantification_Results'!B473&gt;'Quantification_Config'!$T$6),"",'Quantification_Results'!B473)),""),IF(ISNUMBER('Quantification_Results'!C473),IF(('Quantification_Results'!C473&lt;'Quantification_Config'!$S$6),"",IF(('Quantification_Results'!C473&gt;'Quantification_Config'!$T$6),"",'Quantification_Results'!C473)),"")))</x:f>
        <x:v>5</x:v>
      </x:c>
      <x:c r="E473" t="n">
        <x:f>IF(ISNUMBER('Quantification_Results'!D473),IFERROR(ROUND(((('Quantification_Results'!D473-'Quantification_Config'!$S$6)/('Quantification_Config'!$T$6-'Quantification_Config'!$S$6))*100),'Quantification_Config'!$U$2),""),"")</x:f>
        <x:v>50</x:v>
      </x:c>
      <x:c r="F473" t="inlineStr">
        <x:is>
          <x:t xml:space="preserve">SYSTEM-TEST-ONLY-NO-NETWORK-NOT-AN-EDUCATIONAL-EVALUATION</x:t>
        </x:is>
      </x:c>
      <x:c r="G473" t="inlineStr">
        <x:is>
          <x:t xml:space="preserve"/>
        </x:is>
      </x:c>
      <x:c r="H473" t="inlineStr">
        <x:is>
          <x:t xml:space="preserve">NONE</x:t>
        </x:is>
      </x:c>
      <x:c r="I473" t="inlineStr">
        <x:is>
          <x:t xml:space="preserve"/>
        </x:is>
      </x:c>
      <x:c r="J473" t="inlineStr">
        <x:is>
          <x:t xml:space="preserve">SUCCESS</x:t>
        </x:is>
      </x:c>
      <x:c r="K473" t="n">
        <x:f>IF((COUNT('Quantification_Results'!E473)=1),IFERROR(ROUND((SUM(('Quantification_Results'!E473*'Quantification_Config'!$R$6))/SUM('Quantification_Config'!$R$6)),'Quantification_Config'!$U$2),""),"")</x:f>
        <x:v>50</x:v>
      </x:c>
      <x:c r="L473" t="n">
        <x:f>IF((COUNT('Quantification_Results'!K473)=1),IFERROR(ROUND((SUM(('Quantification_Results'!K473*'Quantification_Config'!$R$5))/SUM('Quantification_Config'!$R$5)),'Quantification_Config'!$U$2),""),"")</x:f>
        <x:v>50</x:v>
      </x:c>
      <x:c r="M473" t="n">
        <x:v>1</x:v>
      </x:c>
      <x:c r="N473" t="n">
        <x:v>5</x:v>
      </x:c>
      <x:c r="O473"/>
      <x:c r="P473" t="n">
        <x:f>IF(('Quantification_Results'!M473&lt;&gt;1),"",IF(('Quantification_Results'!O473=""),IF(ISNUMBER('Quantification_Results'!N473),IF(('Quantification_Results'!N473&lt;'Quantification_Config'!$S$9),"",IF(('Quantification_Results'!N473&gt;'Quantification_Config'!$T$9),"",'Quantification_Results'!N473)),""),IF(ISNUMBER('Quantification_Results'!O473),IF(('Quantification_Results'!O473&lt;'Quantification_Config'!$S$9),"",IF(('Quantification_Results'!O473&gt;'Quantification_Config'!$T$9),"",'Quantification_Results'!O473)),"")))</x:f>
        <x:v>5</x:v>
      </x:c>
      <x:c r="Q473" t="n">
        <x:f>IF(ISNUMBER('Quantification_Results'!P473),IFERROR(ROUND(((('Quantification_Results'!P473-'Quantification_Config'!$S$9)/('Quantification_Config'!$T$9-'Quantification_Config'!$S$9))*100),'Quantification_Config'!$U$2),""),"")</x:f>
        <x:v>50</x:v>
      </x:c>
      <x:c r="R473" t="inlineStr">
        <x:is>
          <x:t xml:space="preserve">SYSTEM-TEST-ONLY-NO-NETWORK-NOT-AN-EDUCATIONAL-EVALUATION</x:t>
        </x:is>
      </x:c>
      <x:c r="S473" t="inlineStr">
        <x:is>
          <x:t xml:space="preserve"/>
        </x:is>
      </x:c>
      <x:c r="T473" t="inlineStr">
        <x:is>
          <x:t xml:space="preserve">NONE</x:t>
        </x:is>
      </x:c>
      <x:c r="U473" t="inlineStr">
        <x:is>
          <x:t xml:space="preserve"/>
        </x:is>
      </x:c>
      <x:c r="V473" t="inlineStr">
        <x:is>
          <x:t xml:space="preserve">SUCCESS</x:t>
        </x:is>
      </x:c>
      <x:c r="W473" t="n">
        <x:f>IF((COUNT('Quantification_Results'!Q473)=1),IFERROR(ROUND((SUM(('Quantification_Results'!Q473*'Quantification_Config'!$R$9))/SUM('Quantification_Config'!$R$9)),'Quantification_Config'!$U$2),""),"")</x:f>
        <x:v>50</x:v>
      </x:c>
      <x:c r="X473" t="n">
        <x:f>IF((COUNT('Quantification_Results'!W473)=1),IFERROR(ROUND((SUM(('Quantification_Results'!W473*'Quantification_Config'!$R$8))/SUM('Quantification_Config'!$R$8)),'Quantification_Config'!$U$2),""),"")</x:f>
        <x:v>50</x:v>
      </x:c>
      <x:c r="Y473" t="n">
        <x:v>0</x:v>
      </x:c>
      <x:c r="Z473"/>
      <x:c r="AA473"/>
      <x:c r="AB473">
        <x:f>IF(('Quantification_Results'!Y473&lt;&gt;1),"",IF(('Quantification_Results'!AA473=""),IF(ISNUMBER('Quantification_Results'!Z473),IF(('Quantification_Results'!Z473&lt;'Quantification_Config'!$S$12),"",IF(('Quantification_Results'!Z473&gt;'Quantification_Config'!$T$12),"",'Quantification_Results'!Z473)),""),IF(ISNUMBER('Quantification_Results'!AA473),IF(('Quantification_Results'!AA473&lt;'Quantification_Config'!$S$12),"",IF(('Quantification_Results'!AA473&gt;'Quantification_Config'!$T$12),"",'Quantification_Results'!AA473)),"")))</x:f>
      </x:c>
      <x:c r="AC473">
        <x:f>IF(ISNUMBER('Quantification_Results'!AB473),IFERROR(ROUND(((('Quantification_Results'!AB473-'Quantification_Config'!$S$12)/('Quantification_Config'!$T$12-'Quantification_Config'!$S$12))*100),'Quantification_Config'!$U$2),""),"")</x:f>
      </x:c>
      <x:c r="AD473" t="inlineStr">
        <x:is>
          <x:t xml:space="preserve"/>
        </x:is>
      </x:c>
      <x:c r="AE473" t="inlineStr">
        <x:is>
          <x:t xml:space="preserve"/>
        </x:is>
      </x:c>
      <x:c r="AF473" t="inlineStr">
        <x:is>
          <x:t xml:space="preserve"/>
        </x:is>
      </x:c>
      <x:c r="AG473" t="inlineStr">
        <x:is>
          <x:t xml:space="preserve"/>
        </x:is>
      </x:c>
      <x:c r="AH473" t="inlineStr">
        <x:is>
          <x:t xml:space="preserve">EMPTY</x:t>
        </x:is>
      </x:c>
      <x:c r="AI473">
        <x:f>IF((COUNT('Quantification_Results'!AC473)=1),IFERROR(ROUND((SUM(('Quantification_Results'!AC473*'Quantification_Config'!$R$12))/SUM('Quantification_Config'!$R$12)),'Quantification_Config'!$U$2),""),"")</x:f>
      </x:c>
      <x:c r="AJ473">
        <x:f>IF((COUNT('Quantification_Results'!AI473)=1),IFERROR(ROUND((SUM(('Quantification_Results'!AI473*'Quantification_Config'!$R$11))/SUM('Quantification_Config'!$R$11)),'Quantification_Config'!$U$2),""),"")</x:f>
      </x:c>
      <x:c r="AK473" t="n">
        <x:v>1</x:v>
      </x:c>
      <x:c r="AL473" t="n">
        <x:v>5</x:v>
      </x:c>
      <x:c r="AM473"/>
      <x:c r="AN473" t="n">
        <x:f>IF(('Quantification_Results'!AK473&lt;&gt;1),"",IF(('Quantification_Results'!AM473=""),IF(ISNUMBER('Quantification_Results'!AL473),IF(('Quantification_Results'!AL473&lt;'Quantification_Config'!$S$15),"",IF(('Quantification_Results'!AL473&gt;'Quantification_Config'!$T$15),"",'Quantification_Results'!AL473)),""),IF(ISNUMBER('Quantification_Results'!AM473),IF(('Quantification_Results'!AM473&lt;'Quantification_Config'!$S$15),"",IF(('Quantification_Results'!AM473&gt;'Quantification_Config'!$T$15),"",'Quantification_Results'!AM473)),"")))</x:f>
        <x:v>5</x:v>
      </x:c>
      <x:c r="AO473" t="n">
        <x:f>IF(ISNUMBER('Quantification_Results'!AN473),IFERROR(ROUND(((('Quantification_Results'!AN473-'Quantification_Config'!$S$15)/('Quantification_Config'!$T$15-'Quantification_Config'!$S$15))*100),'Quantification_Config'!$U$2),""),"")</x:f>
        <x:v>50</x:v>
      </x:c>
      <x:c r="AP473" t="inlineStr">
        <x:is>
          <x:t xml:space="preserve">SYSTEM-TEST-ONLY-NO-NETWORK-NOT-AN-EDUCATIONAL-EVALUATION</x:t>
        </x:is>
      </x:c>
      <x:c r="AQ473" t="inlineStr">
        <x:is>
          <x:t xml:space="preserve"/>
        </x:is>
      </x:c>
      <x:c r="AR473" t="inlineStr">
        <x:is>
          <x:t xml:space="preserve">NONE</x:t>
        </x:is>
      </x:c>
      <x:c r="AS473" t="inlineStr">
        <x:is>
          <x:t xml:space="preserve"/>
        </x:is>
      </x:c>
      <x:c r="AT473" t="inlineStr">
        <x:is>
          <x:t xml:space="preserve">SUCCESS</x:t>
        </x:is>
      </x:c>
      <x:c r="AU473" t="n">
        <x:f>IF((COUNT('Quantification_Results'!AO473)=1),IFERROR(ROUND((SUM(('Quantification_Results'!AO473*'Quantification_Config'!$R$15))/SUM('Quantification_Config'!$R$15)),'Quantification_Config'!$U$2),""),"")</x:f>
        <x:v>50</x:v>
      </x:c>
      <x:c r="AV473" t="n">
        <x:f>IF((COUNT('Quantification_Results'!AU473)=1),IFERROR(ROUND((SUM(('Quantification_Results'!AU473*'Quantification_Config'!$R$14))/SUM('Quantification_Config'!$R$14)),'Quantification_Config'!$U$2),""),"")</x:f>
        <x:v>50</x:v>
      </x:c>
      <x:c r="AW473" t="n">
        <x:v>1</x:v>
      </x:c>
      <x:c r="AX473" t="n">
        <x:v>5</x:v>
      </x:c>
      <x:c r="AY473"/>
      <x:c r="AZ473" t="n">
        <x:f>IF(('Quantification_Results'!AW473&lt;&gt;1),"",IF(('Quantification_Results'!AY473=""),IF(ISNUMBER('Quantification_Results'!AX473),IF(('Quantification_Results'!AX473&lt;'Quantification_Config'!$S$19),"",IF(('Quantification_Results'!AX473&gt;'Quantification_Config'!$T$19),"",'Quantification_Results'!AX473)),""),IF(ISNUMBER('Quantification_Results'!AY473),IF(('Quantification_Results'!AY473&lt;'Quantification_Config'!$S$19),"",IF(('Quantification_Results'!AY473&gt;'Quantification_Config'!$T$19),"",'Quantification_Results'!AY473)),"")))</x:f>
        <x:v>5</x:v>
      </x:c>
      <x:c r="BA473" t="n">
        <x:f>IF(ISNUMBER('Quantification_Results'!AZ473),IFERROR(ROUND(((('Quantification_Results'!AZ473-'Quantification_Config'!$S$19)/('Quantification_Config'!$T$19-'Quantification_Config'!$S$19))*100),'Quantification_Config'!$U$2),""),"")</x:f>
        <x:v>50</x:v>
      </x:c>
      <x:c r="BB473" t="inlineStr">
        <x:is>
          <x:t xml:space="preserve">SYSTEM-TEST-ONLY-NO-NETWORK-NOT-AN-EDUCATIONAL-EVALUATION</x:t>
        </x:is>
      </x:c>
      <x:c r="BC473" t="inlineStr">
        <x:is>
          <x:t xml:space="preserve"/>
        </x:is>
      </x:c>
      <x:c r="BD473" t="inlineStr">
        <x:is>
          <x:t xml:space="preserve">NONE</x:t>
        </x:is>
      </x:c>
      <x:c r="BE473" t="inlineStr">
        <x:is>
          <x:t xml:space="preserve"/>
        </x:is>
      </x:c>
      <x:c r="BF473" t="inlineStr">
        <x:is>
          <x:t xml:space="preserve">SUCCESS</x:t>
        </x:is>
      </x:c>
      <x:c r="BG473" t="n">
        <x:f>IF((COUNT('Quantification_Results'!BA473)=1),IFERROR(ROUND((SUM(('Quantification_Results'!BA473*'Quantification_Config'!$R$19))/SUM('Quantification_Config'!$R$19)),'Quantification_Config'!$U$2),""),"")</x:f>
        <x:v>50</x:v>
      </x:c>
      <x:c r="BH473" t="n">
        <x:f>IF((COUNT('Quantification_Results'!BG473)=1),IFERROR(ROUND((SUM(('Quantification_Results'!BG473*'Quantification_Config'!$R$18))/SUM('Quantification_Config'!$R$18)),'Quantification_Config'!$U$2),""),"")</x:f>
        <x:v>50</x:v>
      </x:c>
      <x:c r="BI473">
        <x:f>IF((COUNT('Quantification_Results'!L473,'Quantification_Results'!X473,'Quantification_Results'!AJ473,'Quantification_Results'!AV473,'Quantification_Results'!BH473)=5),IFERROR(ROUND((SUM(('Quantification_Results'!L473*'Quantification_Config'!$R$4),('Quantification_Results'!X473*'Quantification_Config'!$R$7),('Quantification_Results'!AJ473*'Quantification_Config'!$R$10),('Quantification_Results'!AV473*'Quantification_Config'!$R$13),('Quantification_Results'!BH473*'Quantification_Config'!$R$16))/SUM('Quantification_Config'!$R$4,'Quantification_Config'!$R$7,'Quantification_Config'!$R$10,'Quantification_Config'!$R$13,'Quantification_Config'!$R$16)),'Quantification_Config'!$U$2),""),"")</x:f>
      </x:c>
    </x:row>
    <x:row r="474">
      <x:c r="A474" t="n">
        <x:v>1</x:v>
      </x:c>
      <x:c r="B474" t="n">
        <x:v>5</x:v>
      </x:c>
      <x:c r="C474"/>
      <x:c r="D474" t="n">
        <x:f>IF(('Quantification_Results'!A474&lt;&gt;1),"",IF(('Quantification_Results'!C474=""),IF(ISNUMBER('Quantification_Results'!B474),IF(('Quantification_Results'!B474&lt;'Quantification_Config'!$S$6),"",IF(('Quantification_Results'!B474&gt;'Quantification_Config'!$T$6),"",'Quantification_Results'!B474)),""),IF(ISNUMBER('Quantification_Results'!C474),IF(('Quantification_Results'!C474&lt;'Quantification_Config'!$S$6),"",IF(('Quantification_Results'!C474&gt;'Quantification_Config'!$T$6),"",'Quantification_Results'!C474)),"")))</x:f>
        <x:v>5</x:v>
      </x:c>
      <x:c r="E474" t="n">
        <x:f>IF(ISNUMBER('Quantification_Results'!D474),IFERROR(ROUND(((('Quantification_Results'!D474-'Quantification_Config'!$S$6)/('Quantification_Config'!$T$6-'Quantification_Config'!$S$6))*100),'Quantification_Config'!$U$2),""),"")</x:f>
        <x:v>50</x:v>
      </x:c>
      <x:c r="F474" t="inlineStr">
        <x:is>
          <x:t xml:space="preserve">SYSTEM-TEST-ONLY-NO-NETWORK-NOT-AN-EDUCATIONAL-EVALUATION</x:t>
        </x:is>
      </x:c>
      <x:c r="G474" t="inlineStr">
        <x:is>
          <x:t xml:space="preserve"/>
        </x:is>
      </x:c>
      <x:c r="H474" t="inlineStr">
        <x:is>
          <x:t xml:space="preserve">NONE</x:t>
        </x:is>
      </x:c>
      <x:c r="I474" t="inlineStr">
        <x:is>
          <x:t xml:space="preserve"/>
        </x:is>
      </x:c>
      <x:c r="J474" t="inlineStr">
        <x:is>
          <x:t xml:space="preserve">SUCCESS</x:t>
        </x:is>
      </x:c>
      <x:c r="K474" t="n">
        <x:f>IF((COUNT('Quantification_Results'!E474)=1),IFERROR(ROUND((SUM(('Quantification_Results'!E474*'Quantification_Config'!$R$6))/SUM('Quantification_Config'!$R$6)),'Quantification_Config'!$U$2),""),"")</x:f>
        <x:v>50</x:v>
      </x:c>
      <x:c r="L474" t="n">
        <x:f>IF((COUNT('Quantification_Results'!K474)=1),IFERROR(ROUND((SUM(('Quantification_Results'!K474*'Quantification_Config'!$R$5))/SUM('Quantification_Config'!$R$5)),'Quantification_Config'!$U$2),""),"")</x:f>
        <x:v>50</x:v>
      </x:c>
      <x:c r="M474" t="n">
        <x:v>1</x:v>
      </x:c>
      <x:c r="N474" t="n">
        <x:v>5</x:v>
      </x:c>
      <x:c r="O474"/>
      <x:c r="P474" t="n">
        <x:f>IF(('Quantification_Results'!M474&lt;&gt;1),"",IF(('Quantification_Results'!O474=""),IF(ISNUMBER('Quantification_Results'!N474),IF(('Quantification_Results'!N474&lt;'Quantification_Config'!$S$9),"",IF(('Quantification_Results'!N474&gt;'Quantification_Config'!$T$9),"",'Quantification_Results'!N474)),""),IF(ISNUMBER('Quantification_Results'!O474),IF(('Quantification_Results'!O474&lt;'Quantification_Config'!$S$9),"",IF(('Quantification_Results'!O474&gt;'Quantification_Config'!$T$9),"",'Quantification_Results'!O474)),"")))</x:f>
        <x:v>5</x:v>
      </x:c>
      <x:c r="Q474" t="n">
        <x:f>IF(ISNUMBER('Quantification_Results'!P474),IFERROR(ROUND(((('Quantification_Results'!P474-'Quantification_Config'!$S$9)/('Quantification_Config'!$T$9-'Quantification_Config'!$S$9))*100),'Quantification_Config'!$U$2),""),"")</x:f>
        <x:v>50</x:v>
      </x:c>
      <x:c r="R474" t="inlineStr">
        <x:is>
          <x:t xml:space="preserve">SYSTEM-TEST-ONLY-NO-NETWORK-NOT-AN-EDUCATIONAL-EVALUATION</x:t>
        </x:is>
      </x:c>
      <x:c r="S474" t="inlineStr">
        <x:is>
          <x:t xml:space="preserve"/>
        </x:is>
      </x:c>
      <x:c r="T474" t="inlineStr">
        <x:is>
          <x:t xml:space="preserve">NONE</x:t>
        </x:is>
      </x:c>
      <x:c r="U474" t="inlineStr">
        <x:is>
          <x:t xml:space="preserve"/>
        </x:is>
      </x:c>
      <x:c r="V474" t="inlineStr">
        <x:is>
          <x:t xml:space="preserve">SUCCESS</x:t>
        </x:is>
      </x:c>
      <x:c r="W474" t="n">
        <x:f>IF((COUNT('Quantification_Results'!Q474)=1),IFERROR(ROUND((SUM(('Quantification_Results'!Q474*'Quantification_Config'!$R$9))/SUM('Quantification_Config'!$R$9)),'Quantification_Config'!$U$2),""),"")</x:f>
        <x:v>50</x:v>
      </x:c>
      <x:c r="X474" t="n">
        <x:f>IF((COUNT('Quantification_Results'!W474)=1),IFERROR(ROUND((SUM(('Quantification_Results'!W474*'Quantification_Config'!$R$8))/SUM('Quantification_Config'!$R$8)),'Quantification_Config'!$U$2),""),"")</x:f>
        <x:v>50</x:v>
      </x:c>
      <x:c r="Y474" t="n">
        <x:v>0</x:v>
      </x:c>
      <x:c r="Z474"/>
      <x:c r="AA474"/>
      <x:c r="AB474">
        <x:f>IF(('Quantification_Results'!Y474&lt;&gt;1),"",IF(('Quantification_Results'!AA474=""),IF(ISNUMBER('Quantification_Results'!Z474),IF(('Quantification_Results'!Z474&lt;'Quantification_Config'!$S$12),"",IF(('Quantification_Results'!Z474&gt;'Quantification_Config'!$T$12),"",'Quantification_Results'!Z474)),""),IF(ISNUMBER('Quantification_Results'!AA474),IF(('Quantification_Results'!AA474&lt;'Quantification_Config'!$S$12),"",IF(('Quantification_Results'!AA474&gt;'Quantification_Config'!$T$12),"",'Quantification_Results'!AA474)),"")))</x:f>
      </x:c>
      <x:c r="AC474">
        <x:f>IF(ISNUMBER('Quantification_Results'!AB474),IFERROR(ROUND(((('Quantification_Results'!AB474-'Quantification_Config'!$S$12)/('Quantification_Config'!$T$12-'Quantification_Config'!$S$12))*100),'Quantification_Config'!$U$2),""),"")</x:f>
      </x:c>
      <x:c r="AD474" t="inlineStr">
        <x:is>
          <x:t xml:space="preserve"/>
        </x:is>
      </x:c>
      <x:c r="AE474" t="inlineStr">
        <x:is>
          <x:t xml:space="preserve"/>
        </x:is>
      </x:c>
      <x:c r="AF474" t="inlineStr">
        <x:is>
          <x:t xml:space="preserve"/>
        </x:is>
      </x:c>
      <x:c r="AG474" t="inlineStr">
        <x:is>
          <x:t xml:space="preserve"/>
        </x:is>
      </x:c>
      <x:c r="AH474" t="inlineStr">
        <x:is>
          <x:t xml:space="preserve">EMPTY</x:t>
        </x:is>
      </x:c>
      <x:c r="AI474">
        <x:f>IF((COUNT('Quantification_Results'!AC474)=1),IFERROR(ROUND((SUM(('Quantification_Results'!AC474*'Quantification_Config'!$R$12))/SUM('Quantification_Config'!$R$12)),'Quantification_Config'!$U$2),""),"")</x:f>
      </x:c>
      <x:c r="AJ474">
        <x:f>IF((COUNT('Quantification_Results'!AI474)=1),IFERROR(ROUND((SUM(('Quantification_Results'!AI474*'Quantification_Config'!$R$11))/SUM('Quantification_Config'!$R$11)),'Quantification_Config'!$U$2),""),"")</x:f>
      </x:c>
      <x:c r="AK474" t="n">
        <x:v>1</x:v>
      </x:c>
      <x:c r="AL474" t="n">
        <x:v>5</x:v>
      </x:c>
      <x:c r="AM474"/>
      <x:c r="AN474" t="n">
        <x:f>IF(('Quantification_Results'!AK474&lt;&gt;1),"",IF(('Quantification_Results'!AM474=""),IF(ISNUMBER('Quantification_Results'!AL474),IF(('Quantification_Results'!AL474&lt;'Quantification_Config'!$S$15),"",IF(('Quantification_Results'!AL474&gt;'Quantification_Config'!$T$15),"",'Quantification_Results'!AL474)),""),IF(ISNUMBER('Quantification_Results'!AM474),IF(('Quantification_Results'!AM474&lt;'Quantification_Config'!$S$15),"",IF(('Quantification_Results'!AM474&gt;'Quantification_Config'!$T$15),"",'Quantification_Results'!AM474)),"")))</x:f>
        <x:v>5</x:v>
      </x:c>
      <x:c r="AO474" t="n">
        <x:f>IF(ISNUMBER('Quantification_Results'!AN474),IFERROR(ROUND(((('Quantification_Results'!AN474-'Quantification_Config'!$S$15)/('Quantification_Config'!$T$15-'Quantification_Config'!$S$15))*100),'Quantification_Config'!$U$2),""),"")</x:f>
        <x:v>50</x:v>
      </x:c>
      <x:c r="AP474" t="inlineStr">
        <x:is>
          <x:t xml:space="preserve">SYSTEM-TEST-ONLY-NO-NETWORK-NOT-AN-EDUCATIONAL-EVALUATION</x:t>
        </x:is>
      </x:c>
      <x:c r="AQ474" t="inlineStr">
        <x:is>
          <x:t xml:space="preserve"/>
        </x:is>
      </x:c>
      <x:c r="AR474" t="inlineStr">
        <x:is>
          <x:t xml:space="preserve">NONE</x:t>
        </x:is>
      </x:c>
      <x:c r="AS474" t="inlineStr">
        <x:is>
          <x:t xml:space="preserve"/>
        </x:is>
      </x:c>
      <x:c r="AT474" t="inlineStr">
        <x:is>
          <x:t xml:space="preserve">SUCCESS</x:t>
        </x:is>
      </x:c>
      <x:c r="AU474" t="n">
        <x:f>IF((COUNT('Quantification_Results'!AO474)=1),IFERROR(ROUND((SUM(('Quantification_Results'!AO474*'Quantification_Config'!$R$15))/SUM('Quantification_Config'!$R$15)),'Quantification_Config'!$U$2),""),"")</x:f>
        <x:v>50</x:v>
      </x:c>
      <x:c r="AV474" t="n">
        <x:f>IF((COUNT('Quantification_Results'!AU474)=1),IFERROR(ROUND((SUM(('Quantification_Results'!AU474*'Quantification_Config'!$R$14))/SUM('Quantification_Config'!$R$14)),'Quantification_Config'!$U$2),""),"")</x:f>
        <x:v>50</x:v>
      </x:c>
      <x:c r="AW474" t="n">
        <x:v>1</x:v>
      </x:c>
      <x:c r="AX474" t="n">
        <x:v>5</x:v>
      </x:c>
      <x:c r="AY474"/>
      <x:c r="AZ474" t="n">
        <x:f>IF(('Quantification_Results'!AW474&lt;&gt;1),"",IF(('Quantification_Results'!AY474=""),IF(ISNUMBER('Quantification_Results'!AX474),IF(('Quantification_Results'!AX474&lt;'Quantification_Config'!$S$19),"",IF(('Quantification_Results'!AX474&gt;'Quantification_Config'!$T$19),"",'Quantification_Results'!AX474)),""),IF(ISNUMBER('Quantification_Results'!AY474),IF(('Quantification_Results'!AY474&lt;'Quantification_Config'!$S$19),"",IF(('Quantification_Results'!AY474&gt;'Quantification_Config'!$T$19),"",'Quantification_Results'!AY474)),"")))</x:f>
        <x:v>5</x:v>
      </x:c>
      <x:c r="BA474" t="n">
        <x:f>IF(ISNUMBER('Quantification_Results'!AZ474),IFERROR(ROUND(((('Quantification_Results'!AZ474-'Quantification_Config'!$S$19)/('Quantification_Config'!$T$19-'Quantification_Config'!$S$19))*100),'Quantification_Config'!$U$2),""),"")</x:f>
        <x:v>50</x:v>
      </x:c>
      <x:c r="BB474" t="inlineStr">
        <x:is>
          <x:t xml:space="preserve">SYSTEM-TEST-ONLY-NO-NETWORK-NOT-AN-EDUCATIONAL-EVALUATION</x:t>
        </x:is>
      </x:c>
      <x:c r="BC474" t="inlineStr">
        <x:is>
          <x:t xml:space="preserve"/>
        </x:is>
      </x:c>
      <x:c r="BD474" t="inlineStr">
        <x:is>
          <x:t xml:space="preserve">NONE</x:t>
        </x:is>
      </x:c>
      <x:c r="BE474" t="inlineStr">
        <x:is>
          <x:t xml:space="preserve"/>
        </x:is>
      </x:c>
      <x:c r="BF474" t="inlineStr">
        <x:is>
          <x:t xml:space="preserve">SUCCESS</x:t>
        </x:is>
      </x:c>
      <x:c r="BG474" t="n">
        <x:f>IF((COUNT('Quantification_Results'!BA474)=1),IFERROR(ROUND((SUM(('Quantification_Results'!BA474*'Quantification_Config'!$R$19))/SUM('Quantification_Config'!$R$19)),'Quantification_Config'!$U$2),""),"")</x:f>
        <x:v>50</x:v>
      </x:c>
      <x:c r="BH474" t="n">
        <x:f>IF((COUNT('Quantification_Results'!BG474)=1),IFERROR(ROUND((SUM(('Quantification_Results'!BG474*'Quantification_Config'!$R$18))/SUM('Quantification_Config'!$R$18)),'Quantification_Config'!$U$2),""),"")</x:f>
        <x:v>50</x:v>
      </x:c>
      <x:c r="BI474">
        <x:f>IF((COUNT('Quantification_Results'!L474,'Quantification_Results'!X474,'Quantification_Results'!AJ474,'Quantification_Results'!AV474,'Quantification_Results'!BH474)=5),IFERROR(ROUND((SUM(('Quantification_Results'!L474*'Quantification_Config'!$R$4),('Quantification_Results'!X474*'Quantification_Config'!$R$7),('Quantification_Results'!AJ474*'Quantification_Config'!$R$10),('Quantification_Results'!AV474*'Quantification_Config'!$R$13),('Quantification_Results'!BH474*'Quantification_Config'!$R$16))/SUM('Quantification_Config'!$R$4,'Quantification_Config'!$R$7,'Quantification_Config'!$R$10,'Quantification_Config'!$R$13,'Quantification_Config'!$R$16)),'Quantification_Config'!$U$2),""),"")</x:f>
      </x:c>
    </x:row>
    <x:row r="475">
      <x:c r="A475" t="n">
        <x:v>1</x:v>
      </x:c>
      <x:c r="B475" t="n">
        <x:v>5</x:v>
      </x:c>
      <x:c r="C475"/>
      <x:c r="D475" t="n">
        <x:f>IF(('Quantification_Results'!A475&lt;&gt;1),"",IF(('Quantification_Results'!C475=""),IF(ISNUMBER('Quantification_Results'!B475),IF(('Quantification_Results'!B475&lt;'Quantification_Config'!$S$6),"",IF(('Quantification_Results'!B475&gt;'Quantification_Config'!$T$6),"",'Quantification_Results'!B475)),""),IF(ISNUMBER('Quantification_Results'!C475),IF(('Quantification_Results'!C475&lt;'Quantification_Config'!$S$6),"",IF(('Quantification_Results'!C475&gt;'Quantification_Config'!$T$6),"",'Quantification_Results'!C475)),"")))</x:f>
        <x:v>5</x:v>
      </x:c>
      <x:c r="E475" t="n">
        <x:f>IF(ISNUMBER('Quantification_Results'!D475),IFERROR(ROUND(((('Quantification_Results'!D475-'Quantification_Config'!$S$6)/('Quantification_Config'!$T$6-'Quantification_Config'!$S$6))*100),'Quantification_Config'!$U$2),""),"")</x:f>
        <x:v>50</x:v>
      </x:c>
      <x:c r="F475" t="inlineStr">
        <x:is>
          <x:t xml:space="preserve">SYSTEM-TEST-ONLY-NO-NETWORK-NOT-AN-EDUCATIONAL-EVALUATION</x:t>
        </x:is>
      </x:c>
      <x:c r="G475" t="inlineStr">
        <x:is>
          <x:t xml:space="preserve"/>
        </x:is>
      </x:c>
      <x:c r="H475" t="inlineStr">
        <x:is>
          <x:t xml:space="preserve">NONE</x:t>
        </x:is>
      </x:c>
      <x:c r="I475" t="inlineStr">
        <x:is>
          <x:t xml:space="preserve"/>
        </x:is>
      </x:c>
      <x:c r="J475" t="inlineStr">
        <x:is>
          <x:t xml:space="preserve">SUCCESS</x:t>
        </x:is>
      </x:c>
      <x:c r="K475" t="n">
        <x:f>IF((COUNT('Quantification_Results'!E475)=1),IFERROR(ROUND((SUM(('Quantification_Results'!E475*'Quantification_Config'!$R$6))/SUM('Quantification_Config'!$R$6)),'Quantification_Config'!$U$2),""),"")</x:f>
        <x:v>50</x:v>
      </x:c>
      <x:c r="L475" t="n">
        <x:f>IF((COUNT('Quantification_Results'!K475)=1),IFERROR(ROUND((SUM(('Quantification_Results'!K475*'Quantification_Config'!$R$5))/SUM('Quantification_Config'!$R$5)),'Quantification_Config'!$U$2),""),"")</x:f>
        <x:v>50</x:v>
      </x:c>
      <x:c r="M475" t="n">
        <x:v>1</x:v>
      </x:c>
      <x:c r="N475" t="n">
        <x:v>5</x:v>
      </x:c>
      <x:c r="O475"/>
      <x:c r="P475" t="n">
        <x:f>IF(('Quantification_Results'!M475&lt;&gt;1),"",IF(('Quantification_Results'!O475=""),IF(ISNUMBER('Quantification_Results'!N475),IF(('Quantification_Results'!N475&lt;'Quantification_Config'!$S$9),"",IF(('Quantification_Results'!N475&gt;'Quantification_Config'!$T$9),"",'Quantification_Results'!N475)),""),IF(ISNUMBER('Quantification_Results'!O475),IF(('Quantification_Results'!O475&lt;'Quantification_Config'!$S$9),"",IF(('Quantification_Results'!O475&gt;'Quantification_Config'!$T$9),"",'Quantification_Results'!O475)),"")))</x:f>
        <x:v>5</x:v>
      </x:c>
      <x:c r="Q475" t="n">
        <x:f>IF(ISNUMBER('Quantification_Results'!P475),IFERROR(ROUND(((('Quantification_Results'!P475-'Quantification_Config'!$S$9)/('Quantification_Config'!$T$9-'Quantification_Config'!$S$9))*100),'Quantification_Config'!$U$2),""),"")</x:f>
        <x:v>50</x:v>
      </x:c>
      <x:c r="R475" t="inlineStr">
        <x:is>
          <x:t xml:space="preserve">SYSTEM-TEST-ONLY-NO-NETWORK-NOT-AN-EDUCATIONAL-EVALUATION</x:t>
        </x:is>
      </x:c>
      <x:c r="S475" t="inlineStr">
        <x:is>
          <x:t xml:space="preserve"/>
        </x:is>
      </x:c>
      <x:c r="T475" t="inlineStr">
        <x:is>
          <x:t xml:space="preserve">NONE</x:t>
        </x:is>
      </x:c>
      <x:c r="U475" t="inlineStr">
        <x:is>
          <x:t xml:space="preserve"/>
        </x:is>
      </x:c>
      <x:c r="V475" t="inlineStr">
        <x:is>
          <x:t xml:space="preserve">SUCCESS</x:t>
        </x:is>
      </x:c>
      <x:c r="W475" t="n">
        <x:f>IF((COUNT('Quantification_Results'!Q475)=1),IFERROR(ROUND((SUM(('Quantification_Results'!Q475*'Quantification_Config'!$R$9))/SUM('Quantification_Config'!$R$9)),'Quantification_Config'!$U$2),""),"")</x:f>
        <x:v>50</x:v>
      </x:c>
      <x:c r="X475" t="n">
        <x:f>IF((COUNT('Quantification_Results'!W475)=1),IFERROR(ROUND((SUM(('Quantification_Results'!W475*'Quantification_Config'!$R$8))/SUM('Quantification_Config'!$R$8)),'Quantification_Config'!$U$2),""),"")</x:f>
        <x:v>50</x:v>
      </x:c>
      <x:c r="Y475" t="n">
        <x:v>0</x:v>
      </x:c>
      <x:c r="Z475"/>
      <x:c r="AA475"/>
      <x:c r="AB475">
        <x:f>IF(('Quantification_Results'!Y475&lt;&gt;1),"",IF(('Quantification_Results'!AA475=""),IF(ISNUMBER('Quantification_Results'!Z475),IF(('Quantification_Results'!Z475&lt;'Quantification_Config'!$S$12),"",IF(('Quantification_Results'!Z475&gt;'Quantification_Config'!$T$12),"",'Quantification_Results'!Z475)),""),IF(ISNUMBER('Quantification_Results'!AA475),IF(('Quantification_Results'!AA475&lt;'Quantification_Config'!$S$12),"",IF(('Quantification_Results'!AA475&gt;'Quantification_Config'!$T$12),"",'Quantification_Results'!AA475)),"")))</x:f>
      </x:c>
      <x:c r="AC475">
        <x:f>IF(ISNUMBER('Quantification_Results'!AB475),IFERROR(ROUND(((('Quantification_Results'!AB475-'Quantification_Config'!$S$12)/('Quantification_Config'!$T$12-'Quantification_Config'!$S$12))*100),'Quantification_Config'!$U$2),""),"")</x:f>
      </x:c>
      <x:c r="AD475" t="inlineStr">
        <x:is>
          <x:t xml:space="preserve"/>
        </x:is>
      </x:c>
      <x:c r="AE475" t="inlineStr">
        <x:is>
          <x:t xml:space="preserve"/>
        </x:is>
      </x:c>
      <x:c r="AF475" t="inlineStr">
        <x:is>
          <x:t xml:space="preserve"/>
        </x:is>
      </x:c>
      <x:c r="AG475" t="inlineStr">
        <x:is>
          <x:t xml:space="preserve"/>
        </x:is>
      </x:c>
      <x:c r="AH475" t="inlineStr">
        <x:is>
          <x:t xml:space="preserve">EMPTY</x:t>
        </x:is>
      </x:c>
      <x:c r="AI475">
        <x:f>IF((COUNT('Quantification_Results'!AC475)=1),IFERROR(ROUND((SUM(('Quantification_Results'!AC475*'Quantification_Config'!$R$12))/SUM('Quantification_Config'!$R$12)),'Quantification_Config'!$U$2),""),"")</x:f>
      </x:c>
      <x:c r="AJ475">
        <x:f>IF((COUNT('Quantification_Results'!AI475)=1),IFERROR(ROUND((SUM(('Quantification_Results'!AI475*'Quantification_Config'!$R$11))/SUM('Quantification_Config'!$R$11)),'Quantification_Config'!$U$2),""),"")</x:f>
      </x:c>
      <x:c r="AK475" t="n">
        <x:v>1</x:v>
      </x:c>
      <x:c r="AL475" t="n">
        <x:v>5</x:v>
      </x:c>
      <x:c r="AM475"/>
      <x:c r="AN475" t="n">
        <x:f>IF(('Quantification_Results'!AK475&lt;&gt;1),"",IF(('Quantification_Results'!AM475=""),IF(ISNUMBER('Quantification_Results'!AL475),IF(('Quantification_Results'!AL475&lt;'Quantification_Config'!$S$15),"",IF(('Quantification_Results'!AL475&gt;'Quantification_Config'!$T$15),"",'Quantification_Results'!AL475)),""),IF(ISNUMBER('Quantification_Results'!AM475),IF(('Quantification_Results'!AM475&lt;'Quantification_Config'!$S$15),"",IF(('Quantification_Results'!AM475&gt;'Quantification_Config'!$T$15),"",'Quantification_Results'!AM475)),"")))</x:f>
        <x:v>5</x:v>
      </x:c>
      <x:c r="AO475" t="n">
        <x:f>IF(ISNUMBER('Quantification_Results'!AN475),IFERROR(ROUND(((('Quantification_Results'!AN475-'Quantification_Config'!$S$15)/('Quantification_Config'!$T$15-'Quantification_Config'!$S$15))*100),'Quantification_Config'!$U$2),""),"")</x:f>
        <x:v>50</x:v>
      </x:c>
      <x:c r="AP475" t="inlineStr">
        <x:is>
          <x:t xml:space="preserve">SYSTEM-TEST-ONLY-NO-NETWORK-NOT-AN-EDUCATIONAL-EVALUATION</x:t>
        </x:is>
      </x:c>
      <x:c r="AQ475" t="inlineStr">
        <x:is>
          <x:t xml:space="preserve"/>
        </x:is>
      </x:c>
      <x:c r="AR475" t="inlineStr">
        <x:is>
          <x:t xml:space="preserve">NONE</x:t>
        </x:is>
      </x:c>
      <x:c r="AS475" t="inlineStr">
        <x:is>
          <x:t xml:space="preserve"/>
        </x:is>
      </x:c>
      <x:c r="AT475" t="inlineStr">
        <x:is>
          <x:t xml:space="preserve">SUCCESS</x:t>
        </x:is>
      </x:c>
      <x:c r="AU475" t="n">
        <x:f>IF((COUNT('Quantification_Results'!AO475)=1),IFERROR(ROUND((SUM(('Quantification_Results'!AO475*'Quantification_Config'!$R$15))/SUM('Quantification_Config'!$R$15)),'Quantification_Config'!$U$2),""),"")</x:f>
        <x:v>50</x:v>
      </x:c>
      <x:c r="AV475" t="n">
        <x:f>IF((COUNT('Quantification_Results'!AU475)=1),IFERROR(ROUND((SUM(('Quantification_Results'!AU475*'Quantification_Config'!$R$14))/SUM('Quantification_Config'!$R$14)),'Quantification_Config'!$U$2),""),"")</x:f>
        <x:v>50</x:v>
      </x:c>
      <x:c r="AW475" t="n">
        <x:v>1</x:v>
      </x:c>
      <x:c r="AX475" t="n">
        <x:v>5</x:v>
      </x:c>
      <x:c r="AY475"/>
      <x:c r="AZ475" t="n">
        <x:f>IF(('Quantification_Results'!AW475&lt;&gt;1),"",IF(('Quantification_Results'!AY475=""),IF(ISNUMBER('Quantification_Results'!AX475),IF(('Quantification_Results'!AX475&lt;'Quantification_Config'!$S$19),"",IF(('Quantification_Results'!AX475&gt;'Quantification_Config'!$T$19),"",'Quantification_Results'!AX475)),""),IF(ISNUMBER('Quantification_Results'!AY475),IF(('Quantification_Results'!AY475&lt;'Quantification_Config'!$S$19),"",IF(('Quantification_Results'!AY475&gt;'Quantification_Config'!$T$19),"",'Quantification_Results'!AY475)),"")))</x:f>
        <x:v>5</x:v>
      </x:c>
      <x:c r="BA475" t="n">
        <x:f>IF(ISNUMBER('Quantification_Results'!AZ475),IFERROR(ROUND(((('Quantification_Results'!AZ475-'Quantification_Config'!$S$19)/('Quantification_Config'!$T$19-'Quantification_Config'!$S$19))*100),'Quantification_Config'!$U$2),""),"")</x:f>
        <x:v>50</x:v>
      </x:c>
      <x:c r="BB475" t="inlineStr">
        <x:is>
          <x:t xml:space="preserve">SYSTEM-TEST-ONLY-NO-NETWORK-NOT-AN-EDUCATIONAL-EVALUATION</x:t>
        </x:is>
      </x:c>
      <x:c r="BC475" t="inlineStr">
        <x:is>
          <x:t xml:space="preserve"/>
        </x:is>
      </x:c>
      <x:c r="BD475" t="inlineStr">
        <x:is>
          <x:t xml:space="preserve">NONE</x:t>
        </x:is>
      </x:c>
      <x:c r="BE475" t="inlineStr">
        <x:is>
          <x:t xml:space="preserve"/>
        </x:is>
      </x:c>
      <x:c r="BF475" t="inlineStr">
        <x:is>
          <x:t xml:space="preserve">SUCCESS</x:t>
        </x:is>
      </x:c>
      <x:c r="BG475" t="n">
        <x:f>IF((COUNT('Quantification_Results'!BA475)=1),IFERROR(ROUND((SUM(('Quantification_Results'!BA475*'Quantification_Config'!$R$19))/SUM('Quantification_Config'!$R$19)),'Quantification_Config'!$U$2),""),"")</x:f>
        <x:v>50</x:v>
      </x:c>
      <x:c r="BH475" t="n">
        <x:f>IF((COUNT('Quantification_Results'!BG475)=1),IFERROR(ROUND((SUM(('Quantification_Results'!BG475*'Quantification_Config'!$R$18))/SUM('Quantification_Config'!$R$18)),'Quantification_Config'!$U$2),""),"")</x:f>
        <x:v>50</x:v>
      </x:c>
      <x:c r="BI475">
        <x:f>IF((COUNT('Quantification_Results'!L475,'Quantification_Results'!X475,'Quantification_Results'!AJ475,'Quantification_Results'!AV475,'Quantification_Results'!BH475)=5),IFERROR(ROUND((SUM(('Quantification_Results'!L475*'Quantification_Config'!$R$4),('Quantification_Results'!X475*'Quantification_Config'!$R$7),('Quantification_Results'!AJ475*'Quantification_Config'!$R$10),('Quantification_Results'!AV475*'Quantification_Config'!$R$13),('Quantification_Results'!BH475*'Quantification_Config'!$R$16))/SUM('Quantification_Config'!$R$4,'Quantification_Config'!$R$7,'Quantification_Config'!$R$10,'Quantification_Config'!$R$13,'Quantification_Config'!$R$16)),'Quantification_Config'!$U$2),""),"")</x:f>
      </x:c>
    </x:row>
    <x:row r="476">
      <x:c r="A476" t="n">
        <x:v>1</x:v>
      </x:c>
      <x:c r="B476" t="n">
        <x:v>5</x:v>
      </x:c>
      <x:c r="C476"/>
      <x:c r="D476" t="n">
        <x:f>IF(('Quantification_Results'!A476&lt;&gt;1),"",IF(('Quantification_Results'!C476=""),IF(ISNUMBER('Quantification_Results'!B476),IF(('Quantification_Results'!B476&lt;'Quantification_Config'!$S$6),"",IF(('Quantification_Results'!B476&gt;'Quantification_Config'!$T$6),"",'Quantification_Results'!B476)),""),IF(ISNUMBER('Quantification_Results'!C476),IF(('Quantification_Results'!C476&lt;'Quantification_Config'!$S$6),"",IF(('Quantification_Results'!C476&gt;'Quantification_Config'!$T$6),"",'Quantification_Results'!C476)),"")))</x:f>
        <x:v>5</x:v>
      </x:c>
      <x:c r="E476" t="n">
        <x:f>IF(ISNUMBER('Quantification_Results'!D476),IFERROR(ROUND(((('Quantification_Results'!D476-'Quantification_Config'!$S$6)/('Quantification_Config'!$T$6-'Quantification_Config'!$S$6))*100),'Quantification_Config'!$U$2),""),"")</x:f>
        <x:v>50</x:v>
      </x:c>
      <x:c r="F476" t="inlineStr">
        <x:is>
          <x:t xml:space="preserve">SYSTEM-TEST-ONLY-NO-NETWORK-NOT-AN-EDUCATIONAL-EVALUATION</x:t>
        </x:is>
      </x:c>
      <x:c r="G476" t="inlineStr">
        <x:is>
          <x:t xml:space="preserve"/>
        </x:is>
      </x:c>
      <x:c r="H476" t="inlineStr">
        <x:is>
          <x:t xml:space="preserve">NONE</x:t>
        </x:is>
      </x:c>
      <x:c r="I476" t="inlineStr">
        <x:is>
          <x:t xml:space="preserve"/>
        </x:is>
      </x:c>
      <x:c r="J476" t="inlineStr">
        <x:is>
          <x:t xml:space="preserve">SUCCESS</x:t>
        </x:is>
      </x:c>
      <x:c r="K476" t="n">
        <x:f>IF((COUNT('Quantification_Results'!E476)=1),IFERROR(ROUND((SUM(('Quantification_Results'!E476*'Quantification_Config'!$R$6))/SUM('Quantification_Config'!$R$6)),'Quantification_Config'!$U$2),""),"")</x:f>
        <x:v>50</x:v>
      </x:c>
      <x:c r="L476" t="n">
        <x:f>IF((COUNT('Quantification_Results'!K476)=1),IFERROR(ROUND((SUM(('Quantification_Results'!K476*'Quantification_Config'!$R$5))/SUM('Quantification_Config'!$R$5)),'Quantification_Config'!$U$2),""),"")</x:f>
        <x:v>50</x:v>
      </x:c>
      <x:c r="M476" t="n">
        <x:v>1</x:v>
      </x:c>
      <x:c r="N476" t="n">
        <x:v>5</x:v>
      </x:c>
      <x:c r="O476"/>
      <x:c r="P476" t="n">
        <x:f>IF(('Quantification_Results'!M476&lt;&gt;1),"",IF(('Quantification_Results'!O476=""),IF(ISNUMBER('Quantification_Results'!N476),IF(('Quantification_Results'!N476&lt;'Quantification_Config'!$S$9),"",IF(('Quantification_Results'!N476&gt;'Quantification_Config'!$T$9),"",'Quantification_Results'!N476)),""),IF(ISNUMBER('Quantification_Results'!O476),IF(('Quantification_Results'!O476&lt;'Quantification_Config'!$S$9),"",IF(('Quantification_Results'!O476&gt;'Quantification_Config'!$T$9),"",'Quantification_Results'!O476)),"")))</x:f>
        <x:v>5</x:v>
      </x:c>
      <x:c r="Q476" t="n">
        <x:f>IF(ISNUMBER('Quantification_Results'!P476),IFERROR(ROUND(((('Quantification_Results'!P476-'Quantification_Config'!$S$9)/('Quantification_Config'!$T$9-'Quantification_Config'!$S$9))*100),'Quantification_Config'!$U$2),""),"")</x:f>
        <x:v>50</x:v>
      </x:c>
      <x:c r="R476" t="inlineStr">
        <x:is>
          <x:t xml:space="preserve">SYSTEM-TEST-ONLY-NO-NETWORK-NOT-AN-EDUCATIONAL-EVALUATION</x:t>
        </x:is>
      </x:c>
      <x:c r="S476" t="inlineStr">
        <x:is>
          <x:t xml:space="preserve"/>
        </x:is>
      </x:c>
      <x:c r="T476" t="inlineStr">
        <x:is>
          <x:t xml:space="preserve">NONE</x:t>
        </x:is>
      </x:c>
      <x:c r="U476" t="inlineStr">
        <x:is>
          <x:t xml:space="preserve"/>
        </x:is>
      </x:c>
      <x:c r="V476" t="inlineStr">
        <x:is>
          <x:t xml:space="preserve">SUCCESS</x:t>
        </x:is>
      </x:c>
      <x:c r="W476" t="n">
        <x:f>IF((COUNT('Quantification_Results'!Q476)=1),IFERROR(ROUND((SUM(('Quantification_Results'!Q476*'Quantification_Config'!$R$9))/SUM('Quantification_Config'!$R$9)),'Quantification_Config'!$U$2),""),"")</x:f>
        <x:v>50</x:v>
      </x:c>
      <x:c r="X476" t="n">
        <x:f>IF((COUNT('Quantification_Results'!W476)=1),IFERROR(ROUND((SUM(('Quantification_Results'!W476*'Quantification_Config'!$R$8))/SUM('Quantification_Config'!$R$8)),'Quantification_Config'!$U$2),""),"")</x:f>
        <x:v>50</x:v>
      </x:c>
      <x:c r="Y476" t="n">
        <x:v>0</x:v>
      </x:c>
      <x:c r="Z476"/>
      <x:c r="AA476"/>
      <x:c r="AB476">
        <x:f>IF(('Quantification_Results'!Y476&lt;&gt;1),"",IF(('Quantification_Results'!AA476=""),IF(ISNUMBER('Quantification_Results'!Z476),IF(('Quantification_Results'!Z476&lt;'Quantification_Config'!$S$12),"",IF(('Quantification_Results'!Z476&gt;'Quantification_Config'!$T$12),"",'Quantification_Results'!Z476)),""),IF(ISNUMBER('Quantification_Results'!AA476),IF(('Quantification_Results'!AA476&lt;'Quantification_Config'!$S$12),"",IF(('Quantification_Results'!AA476&gt;'Quantification_Config'!$T$12),"",'Quantification_Results'!AA476)),"")))</x:f>
      </x:c>
      <x:c r="AC476">
        <x:f>IF(ISNUMBER('Quantification_Results'!AB476),IFERROR(ROUND(((('Quantification_Results'!AB476-'Quantification_Config'!$S$12)/('Quantification_Config'!$T$12-'Quantification_Config'!$S$12))*100),'Quantification_Config'!$U$2),""),"")</x:f>
      </x:c>
      <x:c r="AD476" t="inlineStr">
        <x:is>
          <x:t xml:space="preserve"/>
        </x:is>
      </x:c>
      <x:c r="AE476" t="inlineStr">
        <x:is>
          <x:t xml:space="preserve"/>
        </x:is>
      </x:c>
      <x:c r="AF476" t="inlineStr">
        <x:is>
          <x:t xml:space="preserve"/>
        </x:is>
      </x:c>
      <x:c r="AG476" t="inlineStr">
        <x:is>
          <x:t xml:space="preserve"/>
        </x:is>
      </x:c>
      <x:c r="AH476" t="inlineStr">
        <x:is>
          <x:t xml:space="preserve">EMPTY</x:t>
        </x:is>
      </x:c>
      <x:c r="AI476">
        <x:f>IF((COUNT('Quantification_Results'!AC476)=1),IFERROR(ROUND((SUM(('Quantification_Results'!AC476*'Quantification_Config'!$R$12))/SUM('Quantification_Config'!$R$12)),'Quantification_Config'!$U$2),""),"")</x:f>
      </x:c>
      <x:c r="AJ476">
        <x:f>IF((COUNT('Quantification_Results'!AI476)=1),IFERROR(ROUND((SUM(('Quantification_Results'!AI476*'Quantification_Config'!$R$11))/SUM('Quantification_Config'!$R$11)),'Quantification_Config'!$U$2),""),"")</x:f>
      </x:c>
      <x:c r="AK476" t="n">
        <x:v>1</x:v>
      </x:c>
      <x:c r="AL476" t="n">
        <x:v>5</x:v>
      </x:c>
      <x:c r="AM476"/>
      <x:c r="AN476" t="n">
        <x:f>IF(('Quantification_Results'!AK476&lt;&gt;1),"",IF(('Quantification_Results'!AM476=""),IF(ISNUMBER('Quantification_Results'!AL476),IF(('Quantification_Results'!AL476&lt;'Quantification_Config'!$S$15),"",IF(('Quantification_Results'!AL476&gt;'Quantification_Config'!$T$15),"",'Quantification_Results'!AL476)),""),IF(ISNUMBER('Quantification_Results'!AM476),IF(('Quantification_Results'!AM476&lt;'Quantification_Config'!$S$15),"",IF(('Quantification_Results'!AM476&gt;'Quantification_Config'!$T$15),"",'Quantification_Results'!AM476)),"")))</x:f>
        <x:v>5</x:v>
      </x:c>
      <x:c r="AO476" t="n">
        <x:f>IF(ISNUMBER('Quantification_Results'!AN476),IFERROR(ROUND(((('Quantification_Results'!AN476-'Quantification_Config'!$S$15)/('Quantification_Config'!$T$15-'Quantification_Config'!$S$15))*100),'Quantification_Config'!$U$2),""),"")</x:f>
        <x:v>50</x:v>
      </x:c>
      <x:c r="AP476" t="inlineStr">
        <x:is>
          <x:t xml:space="preserve">SYSTEM-TEST-ONLY-NO-NETWORK-NOT-AN-EDUCATIONAL-EVALUATION</x:t>
        </x:is>
      </x:c>
      <x:c r="AQ476" t="inlineStr">
        <x:is>
          <x:t xml:space="preserve"/>
        </x:is>
      </x:c>
      <x:c r="AR476" t="inlineStr">
        <x:is>
          <x:t xml:space="preserve">NONE</x:t>
        </x:is>
      </x:c>
      <x:c r="AS476" t="inlineStr">
        <x:is>
          <x:t xml:space="preserve"/>
        </x:is>
      </x:c>
      <x:c r="AT476" t="inlineStr">
        <x:is>
          <x:t xml:space="preserve">SUCCESS</x:t>
        </x:is>
      </x:c>
      <x:c r="AU476" t="n">
        <x:f>IF((COUNT('Quantification_Results'!AO476)=1),IFERROR(ROUND((SUM(('Quantification_Results'!AO476*'Quantification_Config'!$R$15))/SUM('Quantification_Config'!$R$15)),'Quantification_Config'!$U$2),""),"")</x:f>
        <x:v>50</x:v>
      </x:c>
      <x:c r="AV476" t="n">
        <x:f>IF((COUNT('Quantification_Results'!AU476)=1),IFERROR(ROUND((SUM(('Quantification_Results'!AU476*'Quantification_Config'!$R$14))/SUM('Quantification_Config'!$R$14)),'Quantification_Config'!$U$2),""),"")</x:f>
        <x:v>50</x:v>
      </x:c>
      <x:c r="AW476" t="n">
        <x:v>1</x:v>
      </x:c>
      <x:c r="AX476" t="n">
        <x:v>5</x:v>
      </x:c>
      <x:c r="AY476"/>
      <x:c r="AZ476" t="n">
        <x:f>IF(('Quantification_Results'!AW476&lt;&gt;1),"",IF(('Quantification_Results'!AY476=""),IF(ISNUMBER('Quantification_Results'!AX476),IF(('Quantification_Results'!AX476&lt;'Quantification_Config'!$S$19),"",IF(('Quantification_Results'!AX476&gt;'Quantification_Config'!$T$19),"",'Quantification_Results'!AX476)),""),IF(ISNUMBER('Quantification_Results'!AY476),IF(('Quantification_Results'!AY476&lt;'Quantification_Config'!$S$19),"",IF(('Quantification_Results'!AY476&gt;'Quantification_Config'!$T$19),"",'Quantification_Results'!AY476)),"")))</x:f>
        <x:v>5</x:v>
      </x:c>
      <x:c r="BA476" t="n">
        <x:f>IF(ISNUMBER('Quantification_Results'!AZ476),IFERROR(ROUND(((('Quantification_Results'!AZ476-'Quantification_Config'!$S$19)/('Quantification_Config'!$T$19-'Quantification_Config'!$S$19))*100),'Quantification_Config'!$U$2),""),"")</x:f>
        <x:v>50</x:v>
      </x:c>
      <x:c r="BB476" t="inlineStr">
        <x:is>
          <x:t xml:space="preserve">SYSTEM-TEST-ONLY-NO-NETWORK-NOT-AN-EDUCATIONAL-EVALUATION</x:t>
        </x:is>
      </x:c>
      <x:c r="BC476" t="inlineStr">
        <x:is>
          <x:t xml:space="preserve"/>
        </x:is>
      </x:c>
      <x:c r="BD476" t="inlineStr">
        <x:is>
          <x:t xml:space="preserve">NONE</x:t>
        </x:is>
      </x:c>
      <x:c r="BE476" t="inlineStr">
        <x:is>
          <x:t xml:space="preserve"/>
        </x:is>
      </x:c>
      <x:c r="BF476" t="inlineStr">
        <x:is>
          <x:t xml:space="preserve">SUCCESS</x:t>
        </x:is>
      </x:c>
      <x:c r="BG476" t="n">
        <x:f>IF((COUNT('Quantification_Results'!BA476)=1),IFERROR(ROUND((SUM(('Quantification_Results'!BA476*'Quantification_Config'!$R$19))/SUM('Quantification_Config'!$R$19)),'Quantification_Config'!$U$2),""),"")</x:f>
        <x:v>50</x:v>
      </x:c>
      <x:c r="BH476" t="n">
        <x:f>IF((COUNT('Quantification_Results'!BG476)=1),IFERROR(ROUND((SUM(('Quantification_Results'!BG476*'Quantification_Config'!$R$18))/SUM('Quantification_Config'!$R$18)),'Quantification_Config'!$U$2),""),"")</x:f>
        <x:v>50</x:v>
      </x:c>
      <x:c r="BI476">
        <x:f>IF((COUNT('Quantification_Results'!L476,'Quantification_Results'!X476,'Quantification_Results'!AJ476,'Quantification_Results'!AV476,'Quantification_Results'!BH476)=5),IFERROR(ROUND((SUM(('Quantification_Results'!L476*'Quantification_Config'!$R$4),('Quantification_Results'!X476*'Quantification_Config'!$R$7),('Quantification_Results'!AJ476*'Quantification_Config'!$R$10),('Quantification_Results'!AV476*'Quantification_Config'!$R$13),('Quantification_Results'!BH476*'Quantification_Config'!$R$16))/SUM('Quantification_Config'!$R$4,'Quantification_Config'!$R$7,'Quantification_Config'!$R$10,'Quantification_Config'!$R$13,'Quantification_Config'!$R$16)),'Quantification_Config'!$U$2),""),"")</x:f>
      </x:c>
    </x:row>
    <x:row r="477">
      <x:c r="A477" t="n">
        <x:v>1</x:v>
      </x:c>
      <x:c r="B477" t="n">
        <x:v>5</x:v>
      </x:c>
      <x:c r="C477"/>
      <x:c r="D477" t="n">
        <x:f>IF(('Quantification_Results'!A477&lt;&gt;1),"",IF(('Quantification_Results'!C477=""),IF(ISNUMBER('Quantification_Results'!B477),IF(('Quantification_Results'!B477&lt;'Quantification_Config'!$S$6),"",IF(('Quantification_Results'!B477&gt;'Quantification_Config'!$T$6),"",'Quantification_Results'!B477)),""),IF(ISNUMBER('Quantification_Results'!C477),IF(('Quantification_Results'!C477&lt;'Quantification_Config'!$S$6),"",IF(('Quantification_Results'!C477&gt;'Quantification_Config'!$T$6),"",'Quantification_Results'!C477)),"")))</x:f>
        <x:v>5</x:v>
      </x:c>
      <x:c r="E477" t="n">
        <x:f>IF(ISNUMBER('Quantification_Results'!D477),IFERROR(ROUND(((('Quantification_Results'!D477-'Quantification_Config'!$S$6)/('Quantification_Config'!$T$6-'Quantification_Config'!$S$6))*100),'Quantification_Config'!$U$2),""),"")</x:f>
        <x:v>50</x:v>
      </x:c>
      <x:c r="F477" t="inlineStr">
        <x:is>
          <x:t xml:space="preserve">SYSTEM-TEST-ONLY-NO-NETWORK-NOT-AN-EDUCATIONAL-EVALUATION</x:t>
        </x:is>
      </x:c>
      <x:c r="G477" t="inlineStr">
        <x:is>
          <x:t xml:space="preserve"/>
        </x:is>
      </x:c>
      <x:c r="H477" t="inlineStr">
        <x:is>
          <x:t xml:space="preserve">NONE</x:t>
        </x:is>
      </x:c>
      <x:c r="I477" t="inlineStr">
        <x:is>
          <x:t xml:space="preserve"/>
        </x:is>
      </x:c>
      <x:c r="J477" t="inlineStr">
        <x:is>
          <x:t xml:space="preserve">SUCCESS</x:t>
        </x:is>
      </x:c>
      <x:c r="K477" t="n">
        <x:f>IF((COUNT('Quantification_Results'!E477)=1),IFERROR(ROUND((SUM(('Quantification_Results'!E477*'Quantification_Config'!$R$6))/SUM('Quantification_Config'!$R$6)),'Quantification_Config'!$U$2),""),"")</x:f>
        <x:v>50</x:v>
      </x:c>
      <x:c r="L477" t="n">
        <x:f>IF((COUNT('Quantification_Results'!K477)=1),IFERROR(ROUND((SUM(('Quantification_Results'!K477*'Quantification_Config'!$R$5))/SUM('Quantification_Config'!$R$5)),'Quantification_Config'!$U$2),""),"")</x:f>
        <x:v>50</x:v>
      </x:c>
      <x:c r="M477" t="n">
        <x:v>1</x:v>
      </x:c>
      <x:c r="N477" t="n">
        <x:v>5</x:v>
      </x:c>
      <x:c r="O477"/>
      <x:c r="P477" t="n">
        <x:f>IF(('Quantification_Results'!M477&lt;&gt;1),"",IF(('Quantification_Results'!O477=""),IF(ISNUMBER('Quantification_Results'!N477),IF(('Quantification_Results'!N477&lt;'Quantification_Config'!$S$9),"",IF(('Quantification_Results'!N477&gt;'Quantification_Config'!$T$9),"",'Quantification_Results'!N477)),""),IF(ISNUMBER('Quantification_Results'!O477),IF(('Quantification_Results'!O477&lt;'Quantification_Config'!$S$9),"",IF(('Quantification_Results'!O477&gt;'Quantification_Config'!$T$9),"",'Quantification_Results'!O477)),"")))</x:f>
        <x:v>5</x:v>
      </x:c>
      <x:c r="Q477" t="n">
        <x:f>IF(ISNUMBER('Quantification_Results'!P477),IFERROR(ROUND(((('Quantification_Results'!P477-'Quantification_Config'!$S$9)/('Quantification_Config'!$T$9-'Quantification_Config'!$S$9))*100),'Quantification_Config'!$U$2),""),"")</x:f>
        <x:v>50</x:v>
      </x:c>
      <x:c r="R477" t="inlineStr">
        <x:is>
          <x:t xml:space="preserve">SYSTEM-TEST-ONLY-NO-NETWORK-NOT-AN-EDUCATIONAL-EVALUATION</x:t>
        </x:is>
      </x:c>
      <x:c r="S477" t="inlineStr">
        <x:is>
          <x:t xml:space="preserve"/>
        </x:is>
      </x:c>
      <x:c r="T477" t="inlineStr">
        <x:is>
          <x:t xml:space="preserve">NONE</x:t>
        </x:is>
      </x:c>
      <x:c r="U477" t="inlineStr">
        <x:is>
          <x:t xml:space="preserve"/>
        </x:is>
      </x:c>
      <x:c r="V477" t="inlineStr">
        <x:is>
          <x:t xml:space="preserve">SUCCESS</x:t>
        </x:is>
      </x:c>
      <x:c r="W477" t="n">
        <x:f>IF((COUNT('Quantification_Results'!Q477)=1),IFERROR(ROUND((SUM(('Quantification_Results'!Q477*'Quantification_Config'!$R$9))/SUM('Quantification_Config'!$R$9)),'Quantification_Config'!$U$2),""),"")</x:f>
        <x:v>50</x:v>
      </x:c>
      <x:c r="X477" t="n">
        <x:f>IF((COUNT('Quantification_Results'!W477)=1),IFERROR(ROUND((SUM(('Quantification_Results'!W477*'Quantification_Config'!$R$8))/SUM('Quantification_Config'!$R$8)),'Quantification_Config'!$U$2),""),"")</x:f>
        <x:v>50</x:v>
      </x:c>
      <x:c r="Y477" t="n">
        <x:v>0</x:v>
      </x:c>
      <x:c r="Z477"/>
      <x:c r="AA477"/>
      <x:c r="AB477">
        <x:f>IF(('Quantification_Results'!Y477&lt;&gt;1),"",IF(('Quantification_Results'!AA477=""),IF(ISNUMBER('Quantification_Results'!Z477),IF(('Quantification_Results'!Z477&lt;'Quantification_Config'!$S$12),"",IF(('Quantification_Results'!Z477&gt;'Quantification_Config'!$T$12),"",'Quantification_Results'!Z477)),""),IF(ISNUMBER('Quantification_Results'!AA477),IF(('Quantification_Results'!AA477&lt;'Quantification_Config'!$S$12),"",IF(('Quantification_Results'!AA477&gt;'Quantification_Config'!$T$12),"",'Quantification_Results'!AA477)),"")))</x:f>
      </x:c>
      <x:c r="AC477">
        <x:f>IF(ISNUMBER('Quantification_Results'!AB477),IFERROR(ROUND(((('Quantification_Results'!AB477-'Quantification_Config'!$S$12)/('Quantification_Config'!$T$12-'Quantification_Config'!$S$12))*100),'Quantification_Config'!$U$2),""),"")</x:f>
      </x:c>
      <x:c r="AD477" t="inlineStr">
        <x:is>
          <x:t xml:space="preserve"/>
        </x:is>
      </x:c>
      <x:c r="AE477" t="inlineStr">
        <x:is>
          <x:t xml:space="preserve"/>
        </x:is>
      </x:c>
      <x:c r="AF477" t="inlineStr">
        <x:is>
          <x:t xml:space="preserve"/>
        </x:is>
      </x:c>
      <x:c r="AG477" t="inlineStr">
        <x:is>
          <x:t xml:space="preserve"/>
        </x:is>
      </x:c>
      <x:c r="AH477" t="inlineStr">
        <x:is>
          <x:t xml:space="preserve">EMPTY</x:t>
        </x:is>
      </x:c>
      <x:c r="AI477">
        <x:f>IF((COUNT('Quantification_Results'!AC477)=1),IFERROR(ROUND((SUM(('Quantification_Results'!AC477*'Quantification_Config'!$R$12))/SUM('Quantification_Config'!$R$12)),'Quantification_Config'!$U$2),""),"")</x:f>
      </x:c>
      <x:c r="AJ477">
        <x:f>IF((COUNT('Quantification_Results'!AI477)=1),IFERROR(ROUND((SUM(('Quantification_Results'!AI477*'Quantification_Config'!$R$11))/SUM('Quantification_Config'!$R$11)),'Quantification_Config'!$U$2),""),"")</x:f>
      </x:c>
      <x:c r="AK477" t="n">
        <x:v>1</x:v>
      </x:c>
      <x:c r="AL477" t="n">
        <x:v>5</x:v>
      </x:c>
      <x:c r="AM477"/>
      <x:c r="AN477" t="n">
        <x:f>IF(('Quantification_Results'!AK477&lt;&gt;1),"",IF(('Quantification_Results'!AM477=""),IF(ISNUMBER('Quantification_Results'!AL477),IF(('Quantification_Results'!AL477&lt;'Quantification_Config'!$S$15),"",IF(('Quantification_Results'!AL477&gt;'Quantification_Config'!$T$15),"",'Quantification_Results'!AL477)),""),IF(ISNUMBER('Quantification_Results'!AM477),IF(('Quantification_Results'!AM477&lt;'Quantification_Config'!$S$15),"",IF(('Quantification_Results'!AM477&gt;'Quantification_Config'!$T$15),"",'Quantification_Results'!AM477)),"")))</x:f>
        <x:v>5</x:v>
      </x:c>
      <x:c r="AO477" t="n">
        <x:f>IF(ISNUMBER('Quantification_Results'!AN477),IFERROR(ROUND(((('Quantification_Results'!AN477-'Quantification_Config'!$S$15)/('Quantification_Config'!$T$15-'Quantification_Config'!$S$15))*100),'Quantification_Config'!$U$2),""),"")</x:f>
        <x:v>50</x:v>
      </x:c>
      <x:c r="AP477" t="inlineStr">
        <x:is>
          <x:t xml:space="preserve">SYSTEM-TEST-ONLY-NO-NETWORK-NOT-AN-EDUCATIONAL-EVALUATION</x:t>
        </x:is>
      </x:c>
      <x:c r="AQ477" t="inlineStr">
        <x:is>
          <x:t xml:space="preserve"/>
        </x:is>
      </x:c>
      <x:c r="AR477" t="inlineStr">
        <x:is>
          <x:t xml:space="preserve">NONE</x:t>
        </x:is>
      </x:c>
      <x:c r="AS477" t="inlineStr">
        <x:is>
          <x:t xml:space="preserve"/>
        </x:is>
      </x:c>
      <x:c r="AT477" t="inlineStr">
        <x:is>
          <x:t xml:space="preserve">SUCCESS</x:t>
        </x:is>
      </x:c>
      <x:c r="AU477" t="n">
        <x:f>IF((COUNT('Quantification_Results'!AO477)=1),IFERROR(ROUND((SUM(('Quantification_Results'!AO477*'Quantification_Config'!$R$15))/SUM('Quantification_Config'!$R$15)),'Quantification_Config'!$U$2),""),"")</x:f>
        <x:v>50</x:v>
      </x:c>
      <x:c r="AV477" t="n">
        <x:f>IF((COUNT('Quantification_Results'!AU477)=1),IFERROR(ROUND((SUM(('Quantification_Results'!AU477*'Quantification_Config'!$R$14))/SUM('Quantification_Config'!$R$14)),'Quantification_Config'!$U$2),""),"")</x:f>
        <x:v>50</x:v>
      </x:c>
      <x:c r="AW477" t="n">
        <x:v>1</x:v>
      </x:c>
      <x:c r="AX477" t="n">
        <x:v>5</x:v>
      </x:c>
      <x:c r="AY477"/>
      <x:c r="AZ477" t="n">
        <x:f>IF(('Quantification_Results'!AW477&lt;&gt;1),"",IF(('Quantification_Results'!AY477=""),IF(ISNUMBER('Quantification_Results'!AX477),IF(('Quantification_Results'!AX477&lt;'Quantification_Config'!$S$19),"",IF(('Quantification_Results'!AX477&gt;'Quantification_Config'!$T$19),"",'Quantification_Results'!AX477)),""),IF(ISNUMBER('Quantification_Results'!AY477),IF(('Quantification_Results'!AY477&lt;'Quantification_Config'!$S$19),"",IF(('Quantification_Results'!AY477&gt;'Quantification_Config'!$T$19),"",'Quantification_Results'!AY477)),"")))</x:f>
        <x:v>5</x:v>
      </x:c>
      <x:c r="BA477" t="n">
        <x:f>IF(ISNUMBER('Quantification_Results'!AZ477),IFERROR(ROUND(((('Quantification_Results'!AZ477-'Quantification_Config'!$S$19)/('Quantification_Config'!$T$19-'Quantification_Config'!$S$19))*100),'Quantification_Config'!$U$2),""),"")</x:f>
        <x:v>50</x:v>
      </x:c>
      <x:c r="BB477" t="inlineStr">
        <x:is>
          <x:t xml:space="preserve">SYSTEM-TEST-ONLY-NO-NETWORK-NOT-AN-EDUCATIONAL-EVALUATION</x:t>
        </x:is>
      </x:c>
      <x:c r="BC477" t="inlineStr">
        <x:is>
          <x:t xml:space="preserve"/>
        </x:is>
      </x:c>
      <x:c r="BD477" t="inlineStr">
        <x:is>
          <x:t xml:space="preserve">NONE</x:t>
        </x:is>
      </x:c>
      <x:c r="BE477" t="inlineStr">
        <x:is>
          <x:t xml:space="preserve"/>
        </x:is>
      </x:c>
      <x:c r="BF477" t="inlineStr">
        <x:is>
          <x:t xml:space="preserve">SUCCESS</x:t>
        </x:is>
      </x:c>
      <x:c r="BG477" t="n">
        <x:f>IF((COUNT('Quantification_Results'!BA477)=1),IFERROR(ROUND((SUM(('Quantification_Results'!BA477*'Quantification_Config'!$R$19))/SUM('Quantification_Config'!$R$19)),'Quantification_Config'!$U$2),""),"")</x:f>
        <x:v>50</x:v>
      </x:c>
      <x:c r="BH477" t="n">
        <x:f>IF((COUNT('Quantification_Results'!BG477)=1),IFERROR(ROUND((SUM(('Quantification_Results'!BG477*'Quantification_Config'!$R$18))/SUM('Quantification_Config'!$R$18)),'Quantification_Config'!$U$2),""),"")</x:f>
        <x:v>50</x:v>
      </x:c>
      <x:c r="BI477">
        <x:f>IF((COUNT('Quantification_Results'!L477,'Quantification_Results'!X477,'Quantification_Results'!AJ477,'Quantification_Results'!AV477,'Quantification_Results'!BH477)=5),IFERROR(ROUND((SUM(('Quantification_Results'!L477*'Quantification_Config'!$R$4),('Quantification_Results'!X477*'Quantification_Config'!$R$7),('Quantification_Results'!AJ477*'Quantification_Config'!$R$10),('Quantification_Results'!AV477*'Quantification_Config'!$R$13),('Quantification_Results'!BH477*'Quantification_Config'!$R$16))/SUM('Quantification_Config'!$R$4,'Quantification_Config'!$R$7,'Quantification_Config'!$R$10,'Quantification_Config'!$R$13,'Quantification_Config'!$R$16)),'Quantification_Config'!$U$2),""),"")</x:f>
      </x:c>
    </x:row>
    <x:row r="478">
      <x:c r="A478" t="n">
        <x:v>1</x:v>
      </x:c>
      <x:c r="B478" t="n">
        <x:v>5</x:v>
      </x:c>
      <x:c r="C478"/>
      <x:c r="D478" t="n">
        <x:f>IF(('Quantification_Results'!A478&lt;&gt;1),"",IF(('Quantification_Results'!C478=""),IF(ISNUMBER('Quantification_Results'!B478),IF(('Quantification_Results'!B478&lt;'Quantification_Config'!$S$6),"",IF(('Quantification_Results'!B478&gt;'Quantification_Config'!$T$6),"",'Quantification_Results'!B478)),""),IF(ISNUMBER('Quantification_Results'!C478),IF(('Quantification_Results'!C478&lt;'Quantification_Config'!$S$6),"",IF(('Quantification_Results'!C478&gt;'Quantification_Config'!$T$6),"",'Quantification_Results'!C478)),"")))</x:f>
        <x:v>5</x:v>
      </x:c>
      <x:c r="E478" t="n">
        <x:f>IF(ISNUMBER('Quantification_Results'!D478),IFERROR(ROUND(((('Quantification_Results'!D478-'Quantification_Config'!$S$6)/('Quantification_Config'!$T$6-'Quantification_Config'!$S$6))*100),'Quantification_Config'!$U$2),""),"")</x:f>
        <x:v>50</x:v>
      </x:c>
      <x:c r="F478" t="inlineStr">
        <x:is>
          <x:t xml:space="preserve">SYSTEM-TEST-ONLY-NO-NETWORK-NOT-AN-EDUCATIONAL-EVALUATION</x:t>
        </x:is>
      </x:c>
      <x:c r="G478" t="inlineStr">
        <x:is>
          <x:t xml:space="preserve"/>
        </x:is>
      </x:c>
      <x:c r="H478" t="inlineStr">
        <x:is>
          <x:t xml:space="preserve">NONE</x:t>
        </x:is>
      </x:c>
      <x:c r="I478" t="inlineStr">
        <x:is>
          <x:t xml:space="preserve"/>
        </x:is>
      </x:c>
      <x:c r="J478" t="inlineStr">
        <x:is>
          <x:t xml:space="preserve">SUCCESS</x:t>
        </x:is>
      </x:c>
      <x:c r="K478" t="n">
        <x:f>IF((COUNT('Quantification_Results'!E478)=1),IFERROR(ROUND((SUM(('Quantification_Results'!E478*'Quantification_Config'!$R$6))/SUM('Quantification_Config'!$R$6)),'Quantification_Config'!$U$2),""),"")</x:f>
        <x:v>50</x:v>
      </x:c>
      <x:c r="L478" t="n">
        <x:f>IF((COUNT('Quantification_Results'!K478)=1),IFERROR(ROUND((SUM(('Quantification_Results'!K478*'Quantification_Config'!$R$5))/SUM('Quantification_Config'!$R$5)),'Quantification_Config'!$U$2),""),"")</x:f>
        <x:v>50</x:v>
      </x:c>
      <x:c r="M478" t="n">
        <x:v>1</x:v>
      </x:c>
      <x:c r="N478" t="n">
        <x:v>5</x:v>
      </x:c>
      <x:c r="O478"/>
      <x:c r="P478" t="n">
        <x:f>IF(('Quantification_Results'!M478&lt;&gt;1),"",IF(('Quantification_Results'!O478=""),IF(ISNUMBER('Quantification_Results'!N478),IF(('Quantification_Results'!N478&lt;'Quantification_Config'!$S$9),"",IF(('Quantification_Results'!N478&gt;'Quantification_Config'!$T$9),"",'Quantification_Results'!N478)),""),IF(ISNUMBER('Quantification_Results'!O478),IF(('Quantification_Results'!O478&lt;'Quantification_Config'!$S$9),"",IF(('Quantification_Results'!O478&gt;'Quantification_Config'!$T$9),"",'Quantification_Results'!O478)),"")))</x:f>
        <x:v>5</x:v>
      </x:c>
      <x:c r="Q478" t="n">
        <x:f>IF(ISNUMBER('Quantification_Results'!P478),IFERROR(ROUND(((('Quantification_Results'!P478-'Quantification_Config'!$S$9)/('Quantification_Config'!$T$9-'Quantification_Config'!$S$9))*100),'Quantification_Config'!$U$2),""),"")</x:f>
        <x:v>50</x:v>
      </x:c>
      <x:c r="R478" t="inlineStr">
        <x:is>
          <x:t xml:space="preserve">SYSTEM-TEST-ONLY-NO-NETWORK-NOT-AN-EDUCATIONAL-EVALUATION</x:t>
        </x:is>
      </x:c>
      <x:c r="S478" t="inlineStr">
        <x:is>
          <x:t xml:space="preserve"/>
        </x:is>
      </x:c>
      <x:c r="T478" t="inlineStr">
        <x:is>
          <x:t xml:space="preserve">NONE</x:t>
        </x:is>
      </x:c>
      <x:c r="U478" t="inlineStr">
        <x:is>
          <x:t xml:space="preserve"/>
        </x:is>
      </x:c>
      <x:c r="V478" t="inlineStr">
        <x:is>
          <x:t xml:space="preserve">SUCCESS</x:t>
        </x:is>
      </x:c>
      <x:c r="W478" t="n">
        <x:f>IF((COUNT('Quantification_Results'!Q478)=1),IFERROR(ROUND((SUM(('Quantification_Results'!Q478*'Quantification_Config'!$R$9))/SUM('Quantification_Config'!$R$9)),'Quantification_Config'!$U$2),""),"")</x:f>
        <x:v>50</x:v>
      </x:c>
      <x:c r="X478" t="n">
        <x:f>IF((COUNT('Quantification_Results'!W478)=1),IFERROR(ROUND((SUM(('Quantification_Results'!W478*'Quantification_Config'!$R$8))/SUM('Quantification_Config'!$R$8)),'Quantification_Config'!$U$2),""),"")</x:f>
        <x:v>50</x:v>
      </x:c>
      <x:c r="Y478" t="n">
        <x:v>0</x:v>
      </x:c>
      <x:c r="Z478"/>
      <x:c r="AA478"/>
      <x:c r="AB478">
        <x:f>IF(('Quantification_Results'!Y478&lt;&gt;1),"",IF(('Quantification_Results'!AA478=""),IF(ISNUMBER('Quantification_Results'!Z478),IF(('Quantification_Results'!Z478&lt;'Quantification_Config'!$S$12),"",IF(('Quantification_Results'!Z478&gt;'Quantification_Config'!$T$12),"",'Quantification_Results'!Z478)),""),IF(ISNUMBER('Quantification_Results'!AA478),IF(('Quantification_Results'!AA478&lt;'Quantification_Config'!$S$12),"",IF(('Quantification_Results'!AA478&gt;'Quantification_Config'!$T$12),"",'Quantification_Results'!AA478)),"")))</x:f>
      </x:c>
      <x:c r="AC478">
        <x:f>IF(ISNUMBER('Quantification_Results'!AB478),IFERROR(ROUND(((('Quantification_Results'!AB478-'Quantification_Config'!$S$12)/('Quantification_Config'!$T$12-'Quantification_Config'!$S$12))*100),'Quantification_Config'!$U$2),""),"")</x:f>
      </x:c>
      <x:c r="AD478" t="inlineStr">
        <x:is>
          <x:t xml:space="preserve"/>
        </x:is>
      </x:c>
      <x:c r="AE478" t="inlineStr">
        <x:is>
          <x:t xml:space="preserve"/>
        </x:is>
      </x:c>
      <x:c r="AF478" t="inlineStr">
        <x:is>
          <x:t xml:space="preserve"/>
        </x:is>
      </x:c>
      <x:c r="AG478" t="inlineStr">
        <x:is>
          <x:t xml:space="preserve"/>
        </x:is>
      </x:c>
      <x:c r="AH478" t="inlineStr">
        <x:is>
          <x:t xml:space="preserve">EMPTY</x:t>
        </x:is>
      </x:c>
      <x:c r="AI478">
        <x:f>IF((COUNT('Quantification_Results'!AC478)=1),IFERROR(ROUND((SUM(('Quantification_Results'!AC478*'Quantification_Config'!$R$12))/SUM('Quantification_Config'!$R$12)),'Quantification_Config'!$U$2),""),"")</x:f>
      </x:c>
      <x:c r="AJ478">
        <x:f>IF((COUNT('Quantification_Results'!AI478)=1),IFERROR(ROUND((SUM(('Quantification_Results'!AI478*'Quantification_Config'!$R$11))/SUM('Quantification_Config'!$R$11)),'Quantification_Config'!$U$2),""),"")</x:f>
      </x:c>
      <x:c r="AK478" t="n">
        <x:v>1</x:v>
      </x:c>
      <x:c r="AL478" t="n">
        <x:v>5</x:v>
      </x:c>
      <x:c r="AM478"/>
      <x:c r="AN478" t="n">
        <x:f>IF(('Quantification_Results'!AK478&lt;&gt;1),"",IF(('Quantification_Results'!AM478=""),IF(ISNUMBER('Quantification_Results'!AL478),IF(('Quantification_Results'!AL478&lt;'Quantification_Config'!$S$15),"",IF(('Quantification_Results'!AL478&gt;'Quantification_Config'!$T$15),"",'Quantification_Results'!AL478)),""),IF(ISNUMBER('Quantification_Results'!AM478),IF(('Quantification_Results'!AM478&lt;'Quantification_Config'!$S$15),"",IF(('Quantification_Results'!AM478&gt;'Quantification_Config'!$T$15),"",'Quantification_Results'!AM478)),"")))</x:f>
        <x:v>5</x:v>
      </x:c>
      <x:c r="AO478" t="n">
        <x:f>IF(ISNUMBER('Quantification_Results'!AN478),IFERROR(ROUND(((('Quantification_Results'!AN478-'Quantification_Config'!$S$15)/('Quantification_Config'!$T$15-'Quantification_Config'!$S$15))*100),'Quantification_Config'!$U$2),""),"")</x:f>
        <x:v>50</x:v>
      </x:c>
      <x:c r="AP478" t="inlineStr">
        <x:is>
          <x:t xml:space="preserve">SYSTEM-TEST-ONLY-NO-NETWORK-NOT-AN-EDUCATIONAL-EVALUATION</x:t>
        </x:is>
      </x:c>
      <x:c r="AQ478" t="inlineStr">
        <x:is>
          <x:t xml:space="preserve"/>
        </x:is>
      </x:c>
      <x:c r="AR478" t="inlineStr">
        <x:is>
          <x:t xml:space="preserve">NONE</x:t>
        </x:is>
      </x:c>
      <x:c r="AS478" t="inlineStr">
        <x:is>
          <x:t xml:space="preserve"/>
        </x:is>
      </x:c>
      <x:c r="AT478" t="inlineStr">
        <x:is>
          <x:t xml:space="preserve">SUCCESS</x:t>
        </x:is>
      </x:c>
      <x:c r="AU478" t="n">
        <x:f>IF((COUNT('Quantification_Results'!AO478)=1),IFERROR(ROUND((SUM(('Quantification_Results'!AO478*'Quantification_Config'!$R$15))/SUM('Quantification_Config'!$R$15)),'Quantification_Config'!$U$2),""),"")</x:f>
        <x:v>50</x:v>
      </x:c>
      <x:c r="AV478" t="n">
        <x:f>IF((COUNT('Quantification_Results'!AU478)=1),IFERROR(ROUND((SUM(('Quantification_Results'!AU478*'Quantification_Config'!$R$14))/SUM('Quantification_Config'!$R$14)),'Quantification_Config'!$U$2),""),"")</x:f>
        <x:v>50</x:v>
      </x:c>
      <x:c r="AW478" t="n">
        <x:v>1</x:v>
      </x:c>
      <x:c r="AX478" t="n">
        <x:v>5</x:v>
      </x:c>
      <x:c r="AY478"/>
      <x:c r="AZ478" t="n">
        <x:f>IF(('Quantification_Results'!AW478&lt;&gt;1),"",IF(('Quantification_Results'!AY478=""),IF(ISNUMBER('Quantification_Results'!AX478),IF(('Quantification_Results'!AX478&lt;'Quantification_Config'!$S$19),"",IF(('Quantification_Results'!AX478&gt;'Quantification_Config'!$T$19),"",'Quantification_Results'!AX478)),""),IF(ISNUMBER('Quantification_Results'!AY478),IF(('Quantification_Results'!AY478&lt;'Quantification_Config'!$S$19),"",IF(('Quantification_Results'!AY478&gt;'Quantification_Config'!$T$19),"",'Quantification_Results'!AY478)),"")))</x:f>
        <x:v>5</x:v>
      </x:c>
      <x:c r="BA478" t="n">
        <x:f>IF(ISNUMBER('Quantification_Results'!AZ478),IFERROR(ROUND(((('Quantification_Results'!AZ478-'Quantification_Config'!$S$19)/('Quantification_Config'!$T$19-'Quantification_Config'!$S$19))*100),'Quantification_Config'!$U$2),""),"")</x:f>
        <x:v>50</x:v>
      </x:c>
      <x:c r="BB478" t="inlineStr">
        <x:is>
          <x:t xml:space="preserve">SYSTEM-TEST-ONLY-NO-NETWORK-NOT-AN-EDUCATIONAL-EVALUATION</x:t>
        </x:is>
      </x:c>
      <x:c r="BC478" t="inlineStr">
        <x:is>
          <x:t xml:space="preserve"/>
        </x:is>
      </x:c>
      <x:c r="BD478" t="inlineStr">
        <x:is>
          <x:t xml:space="preserve">NONE</x:t>
        </x:is>
      </x:c>
      <x:c r="BE478" t="inlineStr">
        <x:is>
          <x:t xml:space="preserve"/>
        </x:is>
      </x:c>
      <x:c r="BF478" t="inlineStr">
        <x:is>
          <x:t xml:space="preserve">SUCCESS</x:t>
        </x:is>
      </x:c>
      <x:c r="BG478" t="n">
        <x:f>IF((COUNT('Quantification_Results'!BA478)=1),IFERROR(ROUND((SUM(('Quantification_Results'!BA478*'Quantification_Config'!$R$19))/SUM('Quantification_Config'!$R$19)),'Quantification_Config'!$U$2),""),"")</x:f>
        <x:v>50</x:v>
      </x:c>
      <x:c r="BH478" t="n">
        <x:f>IF((COUNT('Quantification_Results'!BG478)=1),IFERROR(ROUND((SUM(('Quantification_Results'!BG478*'Quantification_Config'!$R$18))/SUM('Quantification_Config'!$R$18)),'Quantification_Config'!$U$2),""),"")</x:f>
        <x:v>50</x:v>
      </x:c>
      <x:c r="BI478">
        <x:f>IF((COUNT('Quantification_Results'!L478,'Quantification_Results'!X478,'Quantification_Results'!AJ478,'Quantification_Results'!AV478,'Quantification_Results'!BH478)=5),IFERROR(ROUND((SUM(('Quantification_Results'!L478*'Quantification_Config'!$R$4),('Quantification_Results'!X478*'Quantification_Config'!$R$7),('Quantification_Results'!AJ478*'Quantification_Config'!$R$10),('Quantification_Results'!AV478*'Quantification_Config'!$R$13),('Quantification_Results'!BH478*'Quantification_Config'!$R$16))/SUM('Quantification_Config'!$R$4,'Quantification_Config'!$R$7,'Quantification_Config'!$R$10,'Quantification_Config'!$R$13,'Quantification_Config'!$R$16)),'Quantification_Config'!$U$2),""),"")</x:f>
      </x:c>
    </x:row>
    <x:row r="479">
      <x:c r="A479" t="n">
        <x:v>1</x:v>
      </x:c>
      <x:c r="B479" t="n">
        <x:v>5</x:v>
      </x:c>
      <x:c r="C479"/>
      <x:c r="D479" t="n">
        <x:f>IF(('Quantification_Results'!A479&lt;&gt;1),"",IF(('Quantification_Results'!C479=""),IF(ISNUMBER('Quantification_Results'!B479),IF(('Quantification_Results'!B479&lt;'Quantification_Config'!$S$6),"",IF(('Quantification_Results'!B479&gt;'Quantification_Config'!$T$6),"",'Quantification_Results'!B479)),""),IF(ISNUMBER('Quantification_Results'!C479),IF(('Quantification_Results'!C479&lt;'Quantification_Config'!$S$6),"",IF(('Quantification_Results'!C479&gt;'Quantification_Config'!$T$6),"",'Quantification_Results'!C479)),"")))</x:f>
        <x:v>5</x:v>
      </x:c>
      <x:c r="E479" t="n">
        <x:f>IF(ISNUMBER('Quantification_Results'!D479),IFERROR(ROUND(((('Quantification_Results'!D479-'Quantification_Config'!$S$6)/('Quantification_Config'!$T$6-'Quantification_Config'!$S$6))*100),'Quantification_Config'!$U$2),""),"")</x:f>
        <x:v>50</x:v>
      </x:c>
      <x:c r="F479" t="inlineStr">
        <x:is>
          <x:t xml:space="preserve">SYSTEM-TEST-ONLY-NO-NETWORK-NOT-AN-EDUCATIONAL-EVALUATION</x:t>
        </x:is>
      </x:c>
      <x:c r="G479" t="inlineStr">
        <x:is>
          <x:t xml:space="preserve"/>
        </x:is>
      </x:c>
      <x:c r="H479" t="inlineStr">
        <x:is>
          <x:t xml:space="preserve">NONE</x:t>
        </x:is>
      </x:c>
      <x:c r="I479" t="inlineStr">
        <x:is>
          <x:t xml:space="preserve"/>
        </x:is>
      </x:c>
      <x:c r="J479" t="inlineStr">
        <x:is>
          <x:t xml:space="preserve">SUCCESS</x:t>
        </x:is>
      </x:c>
      <x:c r="K479" t="n">
        <x:f>IF((COUNT('Quantification_Results'!E479)=1),IFERROR(ROUND((SUM(('Quantification_Results'!E479*'Quantification_Config'!$R$6))/SUM('Quantification_Config'!$R$6)),'Quantification_Config'!$U$2),""),"")</x:f>
        <x:v>50</x:v>
      </x:c>
      <x:c r="L479" t="n">
        <x:f>IF((COUNT('Quantification_Results'!K479)=1),IFERROR(ROUND((SUM(('Quantification_Results'!K479*'Quantification_Config'!$R$5))/SUM('Quantification_Config'!$R$5)),'Quantification_Config'!$U$2),""),"")</x:f>
        <x:v>50</x:v>
      </x:c>
      <x:c r="M479" t="n">
        <x:v>0</x:v>
      </x:c>
      <x:c r="N479"/>
      <x:c r="O479"/>
      <x:c r="P479">
        <x:f>IF(('Quantification_Results'!M479&lt;&gt;1),"",IF(('Quantification_Results'!O479=""),IF(ISNUMBER('Quantification_Results'!N479),IF(('Quantification_Results'!N479&lt;'Quantification_Config'!$S$9),"",IF(('Quantification_Results'!N479&gt;'Quantification_Config'!$T$9),"",'Quantification_Results'!N479)),""),IF(ISNUMBER('Quantification_Results'!O479),IF(('Quantification_Results'!O479&lt;'Quantification_Config'!$S$9),"",IF(('Quantification_Results'!O479&gt;'Quantification_Config'!$T$9),"",'Quantification_Results'!O479)),"")))</x:f>
      </x:c>
      <x:c r="Q479">
        <x:f>IF(ISNUMBER('Quantification_Results'!P479),IFERROR(ROUND(((('Quantification_Results'!P479-'Quantification_Config'!$S$9)/('Quantification_Config'!$T$9-'Quantification_Config'!$S$9))*100),'Quantification_Config'!$U$2),""),"")</x:f>
      </x:c>
      <x:c r="R479" t="inlineStr">
        <x:is>
          <x:t xml:space="preserve"/>
        </x:is>
      </x:c>
      <x:c r="S479" t="inlineStr">
        <x:is>
          <x:t xml:space="preserve"/>
        </x:is>
      </x:c>
      <x:c r="T479" t="inlineStr">
        <x:is>
          <x:t xml:space="preserve"/>
        </x:is>
      </x:c>
      <x:c r="U479" t="inlineStr">
        <x:is>
          <x:t xml:space="preserve"/>
        </x:is>
      </x:c>
      <x:c r="V479" t="inlineStr">
        <x:is>
          <x:t xml:space="preserve">EMPTY</x:t>
        </x:is>
      </x:c>
      <x:c r="W479">
        <x:f>IF((COUNT('Quantification_Results'!Q479)=1),IFERROR(ROUND((SUM(('Quantification_Results'!Q479*'Quantification_Config'!$R$9))/SUM('Quantification_Config'!$R$9)),'Quantification_Config'!$U$2),""),"")</x:f>
      </x:c>
      <x:c r="X479">
        <x:f>IF((COUNT('Quantification_Results'!W479)=1),IFERROR(ROUND((SUM(('Quantification_Results'!W479*'Quantification_Config'!$R$8))/SUM('Quantification_Config'!$R$8)),'Quantification_Config'!$U$2),""),"")</x:f>
      </x:c>
      <x:c r="Y479" t="n">
        <x:v>0</x:v>
      </x:c>
      <x:c r="Z479"/>
      <x:c r="AA479"/>
      <x:c r="AB479">
        <x:f>IF(('Quantification_Results'!Y479&lt;&gt;1),"",IF(('Quantification_Results'!AA479=""),IF(ISNUMBER('Quantification_Results'!Z479),IF(('Quantification_Results'!Z479&lt;'Quantification_Config'!$S$12),"",IF(('Quantification_Results'!Z479&gt;'Quantification_Config'!$T$12),"",'Quantification_Results'!Z479)),""),IF(ISNUMBER('Quantification_Results'!AA479),IF(('Quantification_Results'!AA479&lt;'Quantification_Config'!$S$12),"",IF(('Quantification_Results'!AA479&gt;'Quantification_Config'!$T$12),"",'Quantification_Results'!AA479)),"")))</x:f>
      </x:c>
      <x:c r="AC479">
        <x:f>IF(ISNUMBER('Quantification_Results'!AB479),IFERROR(ROUND(((('Quantification_Results'!AB479-'Quantification_Config'!$S$12)/('Quantification_Config'!$T$12-'Quantification_Config'!$S$12))*100),'Quantification_Config'!$U$2),""),"")</x:f>
      </x:c>
      <x:c r="AD479" t="inlineStr">
        <x:is>
          <x:t xml:space="preserve"/>
        </x:is>
      </x:c>
      <x:c r="AE479" t="inlineStr">
        <x:is>
          <x:t xml:space="preserve"/>
        </x:is>
      </x:c>
      <x:c r="AF479" t="inlineStr">
        <x:is>
          <x:t xml:space="preserve"/>
        </x:is>
      </x:c>
      <x:c r="AG479" t="inlineStr">
        <x:is>
          <x:t xml:space="preserve"/>
        </x:is>
      </x:c>
      <x:c r="AH479" t="inlineStr">
        <x:is>
          <x:t xml:space="preserve">EMPTY</x:t>
        </x:is>
      </x:c>
      <x:c r="AI479">
        <x:f>IF((COUNT('Quantification_Results'!AC479)=1),IFERROR(ROUND((SUM(('Quantification_Results'!AC479*'Quantification_Config'!$R$12))/SUM('Quantification_Config'!$R$12)),'Quantification_Config'!$U$2),""),"")</x:f>
      </x:c>
      <x:c r="AJ479">
        <x:f>IF((COUNT('Quantification_Results'!AI479)=1),IFERROR(ROUND((SUM(('Quantification_Results'!AI479*'Quantification_Config'!$R$11))/SUM('Quantification_Config'!$R$11)),'Quantification_Config'!$U$2),""),"")</x:f>
      </x:c>
      <x:c r="AK479" t="n">
        <x:v>1</x:v>
      </x:c>
      <x:c r="AL479" t="n">
        <x:v>5</x:v>
      </x:c>
      <x:c r="AM479"/>
      <x:c r="AN479" t="n">
        <x:f>IF(('Quantification_Results'!AK479&lt;&gt;1),"",IF(('Quantification_Results'!AM479=""),IF(ISNUMBER('Quantification_Results'!AL479),IF(('Quantification_Results'!AL479&lt;'Quantification_Config'!$S$15),"",IF(('Quantification_Results'!AL479&gt;'Quantification_Config'!$T$15),"",'Quantification_Results'!AL479)),""),IF(ISNUMBER('Quantification_Results'!AM479),IF(('Quantification_Results'!AM479&lt;'Quantification_Config'!$S$15),"",IF(('Quantification_Results'!AM479&gt;'Quantification_Config'!$T$15),"",'Quantification_Results'!AM479)),"")))</x:f>
        <x:v>5</x:v>
      </x:c>
      <x:c r="AO479" t="n">
        <x:f>IF(ISNUMBER('Quantification_Results'!AN479),IFERROR(ROUND(((('Quantification_Results'!AN479-'Quantification_Config'!$S$15)/('Quantification_Config'!$T$15-'Quantification_Config'!$S$15))*100),'Quantification_Config'!$U$2),""),"")</x:f>
        <x:v>50</x:v>
      </x:c>
      <x:c r="AP479" t="inlineStr">
        <x:is>
          <x:t xml:space="preserve">SYSTEM-TEST-ONLY-NO-NETWORK-NOT-AN-EDUCATIONAL-EVALUATION</x:t>
        </x:is>
      </x:c>
      <x:c r="AQ479" t="inlineStr">
        <x:is>
          <x:t xml:space="preserve"/>
        </x:is>
      </x:c>
      <x:c r="AR479" t="inlineStr">
        <x:is>
          <x:t xml:space="preserve">NONE</x:t>
        </x:is>
      </x:c>
      <x:c r="AS479" t="inlineStr">
        <x:is>
          <x:t xml:space="preserve"/>
        </x:is>
      </x:c>
      <x:c r="AT479" t="inlineStr">
        <x:is>
          <x:t xml:space="preserve">SUCCESS</x:t>
        </x:is>
      </x:c>
      <x:c r="AU479" t="n">
        <x:f>IF((COUNT('Quantification_Results'!AO479)=1),IFERROR(ROUND((SUM(('Quantification_Results'!AO479*'Quantification_Config'!$R$15))/SUM('Quantification_Config'!$R$15)),'Quantification_Config'!$U$2),""),"")</x:f>
        <x:v>50</x:v>
      </x:c>
      <x:c r="AV479" t="n">
        <x:f>IF((COUNT('Quantification_Results'!AU479)=1),IFERROR(ROUND((SUM(('Quantification_Results'!AU479*'Quantification_Config'!$R$14))/SUM('Quantification_Config'!$R$14)),'Quantification_Config'!$U$2),""),"")</x:f>
        <x:v>50</x:v>
      </x:c>
      <x:c r="AW479" t="n">
        <x:v>0</x:v>
      </x:c>
      <x:c r="AX479"/>
      <x:c r="AY479"/>
      <x:c r="AZ479">
        <x:f>IF(('Quantification_Results'!AW479&lt;&gt;1),"",IF(('Quantification_Results'!AY479=""),IF(ISNUMBER('Quantification_Results'!AX479),IF(('Quantification_Results'!AX479&lt;'Quantification_Config'!$S$19),"",IF(('Quantification_Results'!AX479&gt;'Quantification_Config'!$T$19),"",'Quantification_Results'!AX479)),""),IF(ISNUMBER('Quantification_Results'!AY479),IF(('Quantification_Results'!AY479&lt;'Quantification_Config'!$S$19),"",IF(('Quantification_Results'!AY479&gt;'Quantification_Config'!$T$19),"",'Quantification_Results'!AY479)),"")))</x:f>
      </x:c>
      <x:c r="BA479">
        <x:f>IF(ISNUMBER('Quantification_Results'!AZ479),IFERROR(ROUND(((('Quantification_Results'!AZ479-'Quantification_Config'!$S$19)/('Quantification_Config'!$T$19-'Quantification_Config'!$S$19))*100),'Quantification_Config'!$U$2),""),"")</x:f>
      </x:c>
      <x:c r="BB479" t="inlineStr">
        <x:is>
          <x:t xml:space="preserve"/>
        </x:is>
      </x:c>
      <x:c r="BC479" t="inlineStr">
        <x:is>
          <x:t xml:space="preserve"/>
        </x:is>
      </x:c>
      <x:c r="BD479" t="inlineStr">
        <x:is>
          <x:t xml:space="preserve"/>
        </x:is>
      </x:c>
      <x:c r="BE479" t="inlineStr">
        <x:is>
          <x:t xml:space="preserve"/>
        </x:is>
      </x:c>
      <x:c r="BF479" t="inlineStr">
        <x:is>
          <x:t xml:space="preserve">EMPTY</x:t>
        </x:is>
      </x:c>
      <x:c r="BG479">
        <x:f>IF((COUNT('Quantification_Results'!BA479)=1),IFERROR(ROUND((SUM(('Quantification_Results'!BA479*'Quantification_Config'!$R$19))/SUM('Quantification_Config'!$R$19)),'Quantification_Config'!$U$2),""),"")</x:f>
      </x:c>
      <x:c r="BH479">
        <x:f>IF((COUNT('Quantification_Results'!BG479)=1),IFERROR(ROUND((SUM(('Quantification_Results'!BG479*'Quantification_Config'!$R$18))/SUM('Quantification_Config'!$R$18)),'Quantification_Config'!$U$2),""),"")</x:f>
      </x:c>
      <x:c r="BI479">
        <x:f>IF((COUNT('Quantification_Results'!L479,'Quantification_Results'!X479,'Quantification_Results'!AJ479,'Quantification_Results'!AV479,'Quantification_Results'!BH479)=5),IFERROR(ROUND((SUM(('Quantification_Results'!L479*'Quantification_Config'!$R$4),('Quantification_Results'!X479*'Quantification_Config'!$R$7),('Quantification_Results'!AJ479*'Quantification_Config'!$R$10),('Quantification_Results'!AV479*'Quantification_Config'!$R$13),('Quantification_Results'!BH479*'Quantification_Config'!$R$16))/SUM('Quantification_Config'!$R$4,'Quantification_Config'!$R$7,'Quantification_Config'!$R$10,'Quantification_Config'!$R$13,'Quantification_Config'!$R$16)),'Quantification_Config'!$U$2),""),"")</x:f>
      </x:c>
    </x:row>
    <x:row r="480">
      <x:c r="A480" t="n">
        <x:v>1</x:v>
      </x:c>
      <x:c r="B480" t="n">
        <x:v>5</x:v>
      </x:c>
      <x:c r="C480"/>
      <x:c r="D480" t="n">
        <x:f>IF(('Quantification_Results'!A480&lt;&gt;1),"",IF(('Quantification_Results'!C480=""),IF(ISNUMBER('Quantification_Results'!B480),IF(('Quantification_Results'!B480&lt;'Quantification_Config'!$S$6),"",IF(('Quantification_Results'!B480&gt;'Quantification_Config'!$T$6),"",'Quantification_Results'!B480)),""),IF(ISNUMBER('Quantification_Results'!C480),IF(('Quantification_Results'!C480&lt;'Quantification_Config'!$S$6),"",IF(('Quantification_Results'!C480&gt;'Quantification_Config'!$T$6),"",'Quantification_Results'!C480)),"")))</x:f>
        <x:v>5</x:v>
      </x:c>
      <x:c r="E480" t="n">
        <x:f>IF(ISNUMBER('Quantification_Results'!D480),IFERROR(ROUND(((('Quantification_Results'!D480-'Quantification_Config'!$S$6)/('Quantification_Config'!$T$6-'Quantification_Config'!$S$6))*100),'Quantification_Config'!$U$2),""),"")</x:f>
        <x:v>50</x:v>
      </x:c>
      <x:c r="F480" t="inlineStr">
        <x:is>
          <x:t xml:space="preserve">SYSTEM-TEST-ONLY-NO-NETWORK-NOT-AN-EDUCATIONAL-EVALUATION</x:t>
        </x:is>
      </x:c>
      <x:c r="G480" t="inlineStr">
        <x:is>
          <x:t xml:space="preserve"/>
        </x:is>
      </x:c>
      <x:c r="H480" t="inlineStr">
        <x:is>
          <x:t xml:space="preserve">NONE</x:t>
        </x:is>
      </x:c>
      <x:c r="I480" t="inlineStr">
        <x:is>
          <x:t xml:space="preserve"/>
        </x:is>
      </x:c>
      <x:c r="J480" t="inlineStr">
        <x:is>
          <x:t xml:space="preserve">SUCCESS</x:t>
        </x:is>
      </x:c>
      <x:c r="K480" t="n">
        <x:f>IF((COUNT('Quantification_Results'!E480)=1),IFERROR(ROUND((SUM(('Quantification_Results'!E480*'Quantification_Config'!$R$6))/SUM('Quantification_Config'!$R$6)),'Quantification_Config'!$U$2),""),"")</x:f>
        <x:v>50</x:v>
      </x:c>
      <x:c r="L480" t="n">
        <x:f>IF((COUNT('Quantification_Results'!K480)=1),IFERROR(ROUND((SUM(('Quantification_Results'!K480*'Quantification_Config'!$R$5))/SUM('Quantification_Config'!$R$5)),'Quantification_Config'!$U$2),""),"")</x:f>
        <x:v>50</x:v>
      </x:c>
      <x:c r="M480" t="n">
        <x:v>0</x:v>
      </x:c>
      <x:c r="N480"/>
      <x:c r="O480"/>
      <x:c r="P480">
        <x:f>IF(('Quantification_Results'!M480&lt;&gt;1),"",IF(('Quantification_Results'!O480=""),IF(ISNUMBER('Quantification_Results'!N480),IF(('Quantification_Results'!N480&lt;'Quantification_Config'!$S$9),"",IF(('Quantification_Results'!N480&gt;'Quantification_Config'!$T$9),"",'Quantification_Results'!N480)),""),IF(ISNUMBER('Quantification_Results'!O480),IF(('Quantification_Results'!O480&lt;'Quantification_Config'!$S$9),"",IF(('Quantification_Results'!O480&gt;'Quantification_Config'!$T$9),"",'Quantification_Results'!O480)),"")))</x:f>
      </x:c>
      <x:c r="Q480">
        <x:f>IF(ISNUMBER('Quantification_Results'!P480),IFERROR(ROUND(((('Quantification_Results'!P480-'Quantification_Config'!$S$9)/('Quantification_Config'!$T$9-'Quantification_Config'!$S$9))*100),'Quantification_Config'!$U$2),""),"")</x:f>
      </x:c>
      <x:c r="R480" t="inlineStr">
        <x:is>
          <x:t xml:space="preserve"/>
        </x:is>
      </x:c>
      <x:c r="S480" t="inlineStr">
        <x:is>
          <x:t xml:space="preserve"/>
        </x:is>
      </x:c>
      <x:c r="T480" t="inlineStr">
        <x:is>
          <x:t xml:space="preserve"/>
        </x:is>
      </x:c>
      <x:c r="U480" t="inlineStr">
        <x:is>
          <x:t xml:space="preserve"/>
        </x:is>
      </x:c>
      <x:c r="V480" t="inlineStr">
        <x:is>
          <x:t xml:space="preserve">EMPTY</x:t>
        </x:is>
      </x:c>
      <x:c r="W480">
        <x:f>IF((COUNT('Quantification_Results'!Q480)=1),IFERROR(ROUND((SUM(('Quantification_Results'!Q480*'Quantification_Config'!$R$9))/SUM('Quantification_Config'!$R$9)),'Quantification_Config'!$U$2),""),"")</x:f>
      </x:c>
      <x:c r="X480">
        <x:f>IF((COUNT('Quantification_Results'!W480)=1),IFERROR(ROUND((SUM(('Quantification_Results'!W480*'Quantification_Config'!$R$8))/SUM('Quantification_Config'!$R$8)),'Quantification_Config'!$U$2),""),"")</x:f>
      </x:c>
      <x:c r="Y480" t="n">
        <x:v>0</x:v>
      </x:c>
      <x:c r="Z480"/>
      <x:c r="AA480"/>
      <x:c r="AB480">
        <x:f>IF(('Quantification_Results'!Y480&lt;&gt;1),"",IF(('Quantification_Results'!AA480=""),IF(ISNUMBER('Quantification_Results'!Z480),IF(('Quantification_Results'!Z480&lt;'Quantification_Config'!$S$12),"",IF(('Quantification_Results'!Z480&gt;'Quantification_Config'!$T$12),"",'Quantification_Results'!Z480)),""),IF(ISNUMBER('Quantification_Results'!AA480),IF(('Quantification_Results'!AA480&lt;'Quantification_Config'!$S$12),"",IF(('Quantification_Results'!AA480&gt;'Quantification_Config'!$T$12),"",'Quantification_Results'!AA480)),"")))</x:f>
      </x:c>
      <x:c r="AC480">
        <x:f>IF(ISNUMBER('Quantification_Results'!AB480),IFERROR(ROUND(((('Quantification_Results'!AB480-'Quantification_Config'!$S$12)/('Quantification_Config'!$T$12-'Quantification_Config'!$S$12))*100),'Quantification_Config'!$U$2),""),"")</x:f>
      </x:c>
      <x:c r="AD480" t="inlineStr">
        <x:is>
          <x:t xml:space="preserve"/>
        </x:is>
      </x:c>
      <x:c r="AE480" t="inlineStr">
        <x:is>
          <x:t xml:space="preserve"/>
        </x:is>
      </x:c>
      <x:c r="AF480" t="inlineStr">
        <x:is>
          <x:t xml:space="preserve"/>
        </x:is>
      </x:c>
      <x:c r="AG480" t="inlineStr">
        <x:is>
          <x:t xml:space="preserve"/>
        </x:is>
      </x:c>
      <x:c r="AH480" t="inlineStr">
        <x:is>
          <x:t xml:space="preserve">EMPTY</x:t>
        </x:is>
      </x:c>
      <x:c r="AI480">
        <x:f>IF((COUNT('Quantification_Results'!AC480)=1),IFERROR(ROUND((SUM(('Quantification_Results'!AC480*'Quantification_Config'!$R$12))/SUM('Quantification_Config'!$R$12)),'Quantification_Config'!$U$2),""),"")</x:f>
      </x:c>
      <x:c r="AJ480">
        <x:f>IF((COUNT('Quantification_Results'!AI480)=1),IFERROR(ROUND((SUM(('Quantification_Results'!AI480*'Quantification_Config'!$R$11))/SUM('Quantification_Config'!$R$11)),'Quantification_Config'!$U$2),""),"")</x:f>
      </x:c>
      <x:c r="AK480" t="n">
        <x:v>1</x:v>
      </x:c>
      <x:c r="AL480" t="n">
        <x:v>5</x:v>
      </x:c>
      <x:c r="AM480"/>
      <x:c r="AN480" t="n">
        <x:f>IF(('Quantification_Results'!AK480&lt;&gt;1),"",IF(('Quantification_Results'!AM480=""),IF(ISNUMBER('Quantification_Results'!AL480),IF(('Quantification_Results'!AL480&lt;'Quantification_Config'!$S$15),"",IF(('Quantification_Results'!AL480&gt;'Quantification_Config'!$T$15),"",'Quantification_Results'!AL480)),""),IF(ISNUMBER('Quantification_Results'!AM480),IF(('Quantification_Results'!AM480&lt;'Quantification_Config'!$S$15),"",IF(('Quantification_Results'!AM480&gt;'Quantification_Config'!$T$15),"",'Quantification_Results'!AM480)),"")))</x:f>
        <x:v>5</x:v>
      </x:c>
      <x:c r="AO480" t="n">
        <x:f>IF(ISNUMBER('Quantification_Results'!AN480),IFERROR(ROUND(((('Quantification_Results'!AN480-'Quantification_Config'!$S$15)/('Quantification_Config'!$T$15-'Quantification_Config'!$S$15))*100),'Quantification_Config'!$U$2),""),"")</x:f>
        <x:v>50</x:v>
      </x:c>
      <x:c r="AP480" t="inlineStr">
        <x:is>
          <x:t xml:space="preserve">SYSTEM-TEST-ONLY-NO-NETWORK-NOT-AN-EDUCATIONAL-EVALUATION</x:t>
        </x:is>
      </x:c>
      <x:c r="AQ480" t="inlineStr">
        <x:is>
          <x:t xml:space="preserve"/>
        </x:is>
      </x:c>
      <x:c r="AR480" t="inlineStr">
        <x:is>
          <x:t xml:space="preserve">NONE</x:t>
        </x:is>
      </x:c>
      <x:c r="AS480" t="inlineStr">
        <x:is>
          <x:t xml:space="preserve"/>
        </x:is>
      </x:c>
      <x:c r="AT480" t="inlineStr">
        <x:is>
          <x:t xml:space="preserve">SUCCESS</x:t>
        </x:is>
      </x:c>
      <x:c r="AU480" t="n">
        <x:f>IF((COUNT('Quantification_Results'!AO480)=1),IFERROR(ROUND((SUM(('Quantification_Results'!AO480*'Quantification_Config'!$R$15))/SUM('Quantification_Config'!$R$15)),'Quantification_Config'!$U$2),""),"")</x:f>
        <x:v>50</x:v>
      </x:c>
      <x:c r="AV480" t="n">
        <x:f>IF((COUNT('Quantification_Results'!AU480)=1),IFERROR(ROUND((SUM(('Quantification_Results'!AU480*'Quantification_Config'!$R$14))/SUM('Quantification_Config'!$R$14)),'Quantification_Config'!$U$2),""),"")</x:f>
        <x:v>50</x:v>
      </x:c>
      <x:c r="AW480" t="n">
        <x:v>0</x:v>
      </x:c>
      <x:c r="AX480"/>
      <x:c r="AY480"/>
      <x:c r="AZ480">
        <x:f>IF(('Quantification_Results'!AW480&lt;&gt;1),"",IF(('Quantification_Results'!AY480=""),IF(ISNUMBER('Quantification_Results'!AX480),IF(('Quantification_Results'!AX480&lt;'Quantification_Config'!$S$19),"",IF(('Quantification_Results'!AX480&gt;'Quantification_Config'!$T$19),"",'Quantification_Results'!AX480)),""),IF(ISNUMBER('Quantification_Results'!AY480),IF(('Quantification_Results'!AY480&lt;'Quantification_Config'!$S$19),"",IF(('Quantification_Results'!AY480&gt;'Quantification_Config'!$T$19),"",'Quantification_Results'!AY480)),"")))</x:f>
      </x:c>
      <x:c r="BA480">
        <x:f>IF(ISNUMBER('Quantification_Results'!AZ480),IFERROR(ROUND(((('Quantification_Results'!AZ480-'Quantification_Config'!$S$19)/('Quantification_Config'!$T$19-'Quantification_Config'!$S$19))*100),'Quantification_Config'!$U$2),""),"")</x:f>
      </x:c>
      <x:c r="BB480" t="inlineStr">
        <x:is>
          <x:t xml:space="preserve"/>
        </x:is>
      </x:c>
      <x:c r="BC480" t="inlineStr">
        <x:is>
          <x:t xml:space="preserve"/>
        </x:is>
      </x:c>
      <x:c r="BD480" t="inlineStr">
        <x:is>
          <x:t xml:space="preserve"/>
        </x:is>
      </x:c>
      <x:c r="BE480" t="inlineStr">
        <x:is>
          <x:t xml:space="preserve"/>
        </x:is>
      </x:c>
      <x:c r="BF480" t="inlineStr">
        <x:is>
          <x:t xml:space="preserve">EMPTY</x:t>
        </x:is>
      </x:c>
      <x:c r="BG480">
        <x:f>IF((COUNT('Quantification_Results'!BA480)=1),IFERROR(ROUND((SUM(('Quantification_Results'!BA480*'Quantification_Config'!$R$19))/SUM('Quantification_Config'!$R$19)),'Quantification_Config'!$U$2),""),"")</x:f>
      </x:c>
      <x:c r="BH480">
        <x:f>IF((COUNT('Quantification_Results'!BG480)=1),IFERROR(ROUND((SUM(('Quantification_Results'!BG480*'Quantification_Config'!$R$18))/SUM('Quantification_Config'!$R$18)),'Quantification_Config'!$U$2),""),"")</x:f>
      </x:c>
      <x:c r="BI480">
        <x:f>IF((COUNT('Quantification_Results'!L480,'Quantification_Results'!X480,'Quantification_Results'!AJ480,'Quantification_Results'!AV480,'Quantification_Results'!BH480)=5),IFERROR(ROUND((SUM(('Quantification_Results'!L480*'Quantification_Config'!$R$4),('Quantification_Results'!X480*'Quantification_Config'!$R$7),('Quantification_Results'!AJ480*'Quantification_Config'!$R$10),('Quantification_Results'!AV480*'Quantification_Config'!$R$13),('Quantification_Results'!BH480*'Quantification_Config'!$R$16))/SUM('Quantification_Config'!$R$4,'Quantification_Config'!$R$7,'Quantification_Config'!$R$10,'Quantification_Config'!$R$13,'Quantification_Config'!$R$16)),'Quantification_Config'!$U$2),""),"")</x:f>
      </x:c>
    </x:row>
    <x:row r="481">
      <x:c r="A481" t="n">
        <x:v>1</x:v>
      </x:c>
      <x:c r="B481" t="n">
        <x:v>5</x:v>
      </x:c>
      <x:c r="C481"/>
      <x:c r="D481" t="n">
        <x:f>IF(('Quantification_Results'!A481&lt;&gt;1),"",IF(('Quantification_Results'!C481=""),IF(ISNUMBER('Quantification_Results'!B481),IF(('Quantification_Results'!B481&lt;'Quantification_Config'!$S$6),"",IF(('Quantification_Results'!B481&gt;'Quantification_Config'!$T$6),"",'Quantification_Results'!B481)),""),IF(ISNUMBER('Quantification_Results'!C481),IF(('Quantification_Results'!C481&lt;'Quantification_Config'!$S$6),"",IF(('Quantification_Results'!C481&gt;'Quantification_Config'!$T$6),"",'Quantification_Results'!C481)),"")))</x:f>
        <x:v>5</x:v>
      </x:c>
      <x:c r="E481" t="n">
        <x:f>IF(ISNUMBER('Quantification_Results'!D481),IFERROR(ROUND(((('Quantification_Results'!D481-'Quantification_Config'!$S$6)/('Quantification_Config'!$T$6-'Quantification_Config'!$S$6))*100),'Quantification_Config'!$U$2),""),"")</x:f>
        <x:v>50</x:v>
      </x:c>
      <x:c r="F481" t="inlineStr">
        <x:is>
          <x:t xml:space="preserve">SYSTEM-TEST-ONLY-NO-NETWORK-NOT-AN-EDUCATIONAL-EVALUATION</x:t>
        </x:is>
      </x:c>
      <x:c r="G481" t="inlineStr">
        <x:is>
          <x:t xml:space="preserve"/>
        </x:is>
      </x:c>
      <x:c r="H481" t="inlineStr">
        <x:is>
          <x:t xml:space="preserve">NONE</x:t>
        </x:is>
      </x:c>
      <x:c r="I481" t="inlineStr">
        <x:is>
          <x:t xml:space="preserve"/>
        </x:is>
      </x:c>
      <x:c r="J481" t="inlineStr">
        <x:is>
          <x:t xml:space="preserve">SUCCESS</x:t>
        </x:is>
      </x:c>
      <x:c r="K481" t="n">
        <x:f>IF((COUNT('Quantification_Results'!E481)=1),IFERROR(ROUND((SUM(('Quantification_Results'!E481*'Quantification_Config'!$R$6))/SUM('Quantification_Config'!$R$6)),'Quantification_Config'!$U$2),""),"")</x:f>
        <x:v>50</x:v>
      </x:c>
      <x:c r="L481" t="n">
        <x:f>IF((COUNT('Quantification_Results'!K481)=1),IFERROR(ROUND((SUM(('Quantification_Results'!K481*'Quantification_Config'!$R$5))/SUM('Quantification_Config'!$R$5)),'Quantification_Config'!$U$2),""),"")</x:f>
        <x:v>50</x:v>
      </x:c>
      <x:c r="M481" t="n">
        <x:v>1</x:v>
      </x:c>
      <x:c r="N481" t="n">
        <x:v>5</x:v>
      </x:c>
      <x:c r="O481"/>
      <x:c r="P481" t="n">
        <x:f>IF(('Quantification_Results'!M481&lt;&gt;1),"",IF(('Quantification_Results'!O481=""),IF(ISNUMBER('Quantification_Results'!N481),IF(('Quantification_Results'!N481&lt;'Quantification_Config'!$S$9),"",IF(('Quantification_Results'!N481&gt;'Quantification_Config'!$T$9),"",'Quantification_Results'!N481)),""),IF(ISNUMBER('Quantification_Results'!O481),IF(('Quantification_Results'!O481&lt;'Quantification_Config'!$S$9),"",IF(('Quantification_Results'!O481&gt;'Quantification_Config'!$T$9),"",'Quantification_Results'!O481)),"")))</x:f>
        <x:v>5</x:v>
      </x:c>
      <x:c r="Q481" t="n">
        <x:f>IF(ISNUMBER('Quantification_Results'!P481),IFERROR(ROUND(((('Quantification_Results'!P481-'Quantification_Config'!$S$9)/('Quantification_Config'!$T$9-'Quantification_Config'!$S$9))*100),'Quantification_Config'!$U$2),""),"")</x:f>
        <x:v>50</x:v>
      </x:c>
      <x:c r="R481" t="inlineStr">
        <x:is>
          <x:t xml:space="preserve">SYSTEM-TEST-ONLY-NO-NETWORK-NOT-AN-EDUCATIONAL-EVALUATION</x:t>
        </x:is>
      </x:c>
      <x:c r="S481" t="inlineStr">
        <x:is>
          <x:t xml:space="preserve"/>
        </x:is>
      </x:c>
      <x:c r="T481" t="inlineStr">
        <x:is>
          <x:t xml:space="preserve">NONE</x:t>
        </x:is>
      </x:c>
      <x:c r="U481" t="inlineStr">
        <x:is>
          <x:t xml:space="preserve"/>
        </x:is>
      </x:c>
      <x:c r="V481" t="inlineStr">
        <x:is>
          <x:t xml:space="preserve">SUCCESS</x:t>
        </x:is>
      </x:c>
      <x:c r="W481" t="n">
        <x:f>IF((COUNT('Quantification_Results'!Q481)=1),IFERROR(ROUND((SUM(('Quantification_Results'!Q481*'Quantification_Config'!$R$9))/SUM('Quantification_Config'!$R$9)),'Quantification_Config'!$U$2),""),"")</x:f>
        <x:v>50</x:v>
      </x:c>
      <x:c r="X481" t="n">
        <x:f>IF((COUNT('Quantification_Results'!W481)=1),IFERROR(ROUND((SUM(('Quantification_Results'!W481*'Quantification_Config'!$R$8))/SUM('Quantification_Config'!$R$8)),'Quantification_Config'!$U$2),""),"")</x:f>
        <x:v>50</x:v>
      </x:c>
      <x:c r="Y481" t="n">
        <x:v>0</x:v>
      </x:c>
      <x:c r="Z481"/>
      <x:c r="AA481"/>
      <x:c r="AB481">
        <x:f>IF(('Quantification_Results'!Y481&lt;&gt;1),"",IF(('Quantification_Results'!AA481=""),IF(ISNUMBER('Quantification_Results'!Z481),IF(('Quantification_Results'!Z481&lt;'Quantification_Config'!$S$12),"",IF(('Quantification_Results'!Z481&gt;'Quantification_Config'!$T$12),"",'Quantification_Results'!Z481)),""),IF(ISNUMBER('Quantification_Results'!AA481),IF(('Quantification_Results'!AA481&lt;'Quantification_Config'!$S$12),"",IF(('Quantification_Results'!AA481&gt;'Quantification_Config'!$T$12),"",'Quantification_Results'!AA481)),"")))</x:f>
      </x:c>
      <x:c r="AC481">
        <x:f>IF(ISNUMBER('Quantification_Results'!AB481),IFERROR(ROUND(((('Quantification_Results'!AB481-'Quantification_Config'!$S$12)/('Quantification_Config'!$T$12-'Quantification_Config'!$S$12))*100),'Quantification_Config'!$U$2),""),"")</x:f>
      </x:c>
      <x:c r="AD481" t="inlineStr">
        <x:is>
          <x:t xml:space="preserve"/>
        </x:is>
      </x:c>
      <x:c r="AE481" t="inlineStr">
        <x:is>
          <x:t xml:space="preserve"/>
        </x:is>
      </x:c>
      <x:c r="AF481" t="inlineStr">
        <x:is>
          <x:t xml:space="preserve"/>
        </x:is>
      </x:c>
      <x:c r="AG481" t="inlineStr">
        <x:is>
          <x:t xml:space="preserve"/>
        </x:is>
      </x:c>
      <x:c r="AH481" t="inlineStr">
        <x:is>
          <x:t xml:space="preserve">EMPTY</x:t>
        </x:is>
      </x:c>
      <x:c r="AI481">
        <x:f>IF((COUNT('Quantification_Results'!AC481)=1),IFERROR(ROUND((SUM(('Quantification_Results'!AC481*'Quantification_Config'!$R$12))/SUM('Quantification_Config'!$R$12)),'Quantification_Config'!$U$2),""),"")</x:f>
      </x:c>
      <x:c r="AJ481">
        <x:f>IF((COUNT('Quantification_Results'!AI481)=1),IFERROR(ROUND((SUM(('Quantification_Results'!AI481*'Quantification_Config'!$R$11))/SUM('Quantification_Config'!$R$11)),'Quantification_Config'!$U$2),""),"")</x:f>
      </x:c>
      <x:c r="AK481" t="n">
        <x:v>1</x:v>
      </x:c>
      <x:c r="AL481" t="n">
        <x:v>5</x:v>
      </x:c>
      <x:c r="AM481"/>
      <x:c r="AN481" t="n">
        <x:f>IF(('Quantification_Results'!AK481&lt;&gt;1),"",IF(('Quantification_Results'!AM481=""),IF(ISNUMBER('Quantification_Results'!AL481),IF(('Quantification_Results'!AL481&lt;'Quantification_Config'!$S$15),"",IF(('Quantification_Results'!AL481&gt;'Quantification_Config'!$T$15),"",'Quantification_Results'!AL481)),""),IF(ISNUMBER('Quantification_Results'!AM481),IF(('Quantification_Results'!AM481&lt;'Quantification_Config'!$S$15),"",IF(('Quantification_Results'!AM481&gt;'Quantification_Config'!$T$15),"",'Quantification_Results'!AM481)),"")))</x:f>
        <x:v>5</x:v>
      </x:c>
      <x:c r="AO481" t="n">
        <x:f>IF(ISNUMBER('Quantification_Results'!AN481),IFERROR(ROUND(((('Quantification_Results'!AN481-'Quantification_Config'!$S$15)/('Quantification_Config'!$T$15-'Quantification_Config'!$S$15))*100),'Quantification_Config'!$U$2),""),"")</x:f>
        <x:v>50</x:v>
      </x:c>
      <x:c r="AP481" t="inlineStr">
        <x:is>
          <x:t xml:space="preserve">SYSTEM-TEST-ONLY-NO-NETWORK-NOT-AN-EDUCATIONAL-EVALUATION</x:t>
        </x:is>
      </x:c>
      <x:c r="AQ481" t="inlineStr">
        <x:is>
          <x:t xml:space="preserve"/>
        </x:is>
      </x:c>
      <x:c r="AR481" t="inlineStr">
        <x:is>
          <x:t xml:space="preserve">NONE</x:t>
        </x:is>
      </x:c>
      <x:c r="AS481" t="inlineStr">
        <x:is>
          <x:t xml:space="preserve"/>
        </x:is>
      </x:c>
      <x:c r="AT481" t="inlineStr">
        <x:is>
          <x:t xml:space="preserve">SUCCESS</x:t>
        </x:is>
      </x:c>
      <x:c r="AU481" t="n">
        <x:f>IF((COUNT('Quantification_Results'!AO481)=1),IFERROR(ROUND((SUM(('Quantification_Results'!AO481*'Quantification_Config'!$R$15))/SUM('Quantification_Config'!$R$15)),'Quantification_Config'!$U$2),""),"")</x:f>
        <x:v>50</x:v>
      </x:c>
      <x:c r="AV481" t="n">
        <x:f>IF((COUNT('Quantification_Results'!AU481)=1),IFERROR(ROUND((SUM(('Quantification_Results'!AU481*'Quantification_Config'!$R$14))/SUM('Quantification_Config'!$R$14)),'Quantification_Config'!$U$2),""),"")</x:f>
        <x:v>50</x:v>
      </x:c>
      <x:c r="AW481" t="n">
        <x:v>0</x:v>
      </x:c>
      <x:c r="AX481"/>
      <x:c r="AY481"/>
      <x:c r="AZ481">
        <x:f>IF(('Quantification_Results'!AW481&lt;&gt;1),"",IF(('Quantification_Results'!AY481=""),IF(ISNUMBER('Quantification_Results'!AX481),IF(('Quantification_Results'!AX481&lt;'Quantification_Config'!$S$19),"",IF(('Quantification_Results'!AX481&gt;'Quantification_Config'!$T$19),"",'Quantification_Results'!AX481)),""),IF(ISNUMBER('Quantification_Results'!AY481),IF(('Quantification_Results'!AY481&lt;'Quantification_Config'!$S$19),"",IF(('Quantification_Results'!AY481&gt;'Quantification_Config'!$T$19),"",'Quantification_Results'!AY481)),"")))</x:f>
      </x:c>
      <x:c r="BA481">
        <x:f>IF(ISNUMBER('Quantification_Results'!AZ481),IFERROR(ROUND(((('Quantification_Results'!AZ481-'Quantification_Config'!$S$19)/('Quantification_Config'!$T$19-'Quantification_Config'!$S$19))*100),'Quantification_Config'!$U$2),""),"")</x:f>
      </x:c>
      <x:c r="BB481" t="inlineStr">
        <x:is>
          <x:t xml:space="preserve"/>
        </x:is>
      </x:c>
      <x:c r="BC481" t="inlineStr">
        <x:is>
          <x:t xml:space="preserve"/>
        </x:is>
      </x:c>
      <x:c r="BD481" t="inlineStr">
        <x:is>
          <x:t xml:space="preserve"/>
        </x:is>
      </x:c>
      <x:c r="BE481" t="inlineStr">
        <x:is>
          <x:t xml:space="preserve"/>
        </x:is>
      </x:c>
      <x:c r="BF481" t="inlineStr">
        <x:is>
          <x:t xml:space="preserve">EMPTY</x:t>
        </x:is>
      </x:c>
      <x:c r="BG481">
        <x:f>IF((COUNT('Quantification_Results'!BA481)=1),IFERROR(ROUND((SUM(('Quantification_Results'!BA481*'Quantification_Config'!$R$19))/SUM('Quantification_Config'!$R$19)),'Quantification_Config'!$U$2),""),"")</x:f>
      </x:c>
      <x:c r="BH481">
        <x:f>IF((COUNT('Quantification_Results'!BG481)=1),IFERROR(ROUND((SUM(('Quantification_Results'!BG481*'Quantification_Config'!$R$18))/SUM('Quantification_Config'!$R$18)),'Quantification_Config'!$U$2),""),"")</x:f>
      </x:c>
      <x:c r="BI481">
        <x:f>IF((COUNT('Quantification_Results'!L481,'Quantification_Results'!X481,'Quantification_Results'!AJ481,'Quantification_Results'!AV481,'Quantification_Results'!BH481)=5),IFERROR(ROUND((SUM(('Quantification_Results'!L481*'Quantification_Config'!$R$4),('Quantification_Results'!X481*'Quantification_Config'!$R$7),('Quantification_Results'!AJ481*'Quantification_Config'!$R$10),('Quantification_Results'!AV481*'Quantification_Config'!$R$13),('Quantification_Results'!BH481*'Quantification_Config'!$R$16))/SUM('Quantification_Config'!$R$4,'Quantification_Config'!$R$7,'Quantification_Config'!$R$10,'Quantification_Config'!$R$13,'Quantification_Config'!$R$16)),'Quantification_Config'!$U$2),""),"")</x:f>
      </x:c>
    </x:row>
    <x:row r="482">
      <x:c r="A482" t="n">
        <x:v>1</x:v>
      </x:c>
      <x:c r="B482" t="n">
        <x:v>5</x:v>
      </x:c>
      <x:c r="C482"/>
      <x:c r="D482" t="n">
        <x:f>IF(('Quantification_Results'!A482&lt;&gt;1),"",IF(('Quantification_Results'!C482=""),IF(ISNUMBER('Quantification_Results'!B482),IF(('Quantification_Results'!B482&lt;'Quantification_Config'!$S$6),"",IF(('Quantification_Results'!B482&gt;'Quantification_Config'!$T$6),"",'Quantification_Results'!B482)),""),IF(ISNUMBER('Quantification_Results'!C482),IF(('Quantification_Results'!C482&lt;'Quantification_Config'!$S$6),"",IF(('Quantification_Results'!C482&gt;'Quantification_Config'!$T$6),"",'Quantification_Results'!C482)),"")))</x:f>
        <x:v>5</x:v>
      </x:c>
      <x:c r="E482" t="n">
        <x:f>IF(ISNUMBER('Quantification_Results'!D482),IFERROR(ROUND(((('Quantification_Results'!D482-'Quantification_Config'!$S$6)/('Quantification_Config'!$T$6-'Quantification_Config'!$S$6))*100),'Quantification_Config'!$U$2),""),"")</x:f>
        <x:v>50</x:v>
      </x:c>
      <x:c r="F482" t="inlineStr">
        <x:is>
          <x:t xml:space="preserve">SYSTEM-TEST-ONLY-NO-NETWORK-NOT-AN-EDUCATIONAL-EVALUATION</x:t>
        </x:is>
      </x:c>
      <x:c r="G482" t="inlineStr">
        <x:is>
          <x:t xml:space="preserve"/>
        </x:is>
      </x:c>
      <x:c r="H482" t="inlineStr">
        <x:is>
          <x:t xml:space="preserve">NONE</x:t>
        </x:is>
      </x:c>
      <x:c r="I482" t="inlineStr">
        <x:is>
          <x:t xml:space="preserve"/>
        </x:is>
      </x:c>
      <x:c r="J482" t="inlineStr">
        <x:is>
          <x:t xml:space="preserve">SUCCESS</x:t>
        </x:is>
      </x:c>
      <x:c r="K482" t="n">
        <x:f>IF((COUNT('Quantification_Results'!E482)=1),IFERROR(ROUND((SUM(('Quantification_Results'!E482*'Quantification_Config'!$R$6))/SUM('Quantification_Config'!$R$6)),'Quantification_Config'!$U$2),""),"")</x:f>
        <x:v>50</x:v>
      </x:c>
      <x:c r="L482" t="n">
        <x:f>IF((COUNT('Quantification_Results'!K482)=1),IFERROR(ROUND((SUM(('Quantification_Results'!K482*'Quantification_Config'!$R$5))/SUM('Quantification_Config'!$R$5)),'Quantification_Config'!$U$2),""),"")</x:f>
        <x:v>50</x:v>
      </x:c>
      <x:c r="M482" t="n">
        <x:v>1</x:v>
      </x:c>
      <x:c r="N482" t="n">
        <x:v>5</x:v>
      </x:c>
      <x:c r="O482"/>
      <x:c r="P482" t="n">
        <x:f>IF(('Quantification_Results'!M482&lt;&gt;1),"",IF(('Quantification_Results'!O482=""),IF(ISNUMBER('Quantification_Results'!N482),IF(('Quantification_Results'!N482&lt;'Quantification_Config'!$S$9),"",IF(('Quantification_Results'!N482&gt;'Quantification_Config'!$T$9),"",'Quantification_Results'!N482)),""),IF(ISNUMBER('Quantification_Results'!O482),IF(('Quantification_Results'!O482&lt;'Quantification_Config'!$S$9),"",IF(('Quantification_Results'!O482&gt;'Quantification_Config'!$T$9),"",'Quantification_Results'!O482)),"")))</x:f>
        <x:v>5</x:v>
      </x:c>
      <x:c r="Q482" t="n">
        <x:f>IF(ISNUMBER('Quantification_Results'!P482),IFERROR(ROUND(((('Quantification_Results'!P482-'Quantification_Config'!$S$9)/('Quantification_Config'!$T$9-'Quantification_Config'!$S$9))*100),'Quantification_Config'!$U$2),""),"")</x:f>
        <x:v>50</x:v>
      </x:c>
      <x:c r="R482" t="inlineStr">
        <x:is>
          <x:t xml:space="preserve">SYSTEM-TEST-ONLY-NO-NETWORK-NOT-AN-EDUCATIONAL-EVALUATION</x:t>
        </x:is>
      </x:c>
      <x:c r="S482" t="inlineStr">
        <x:is>
          <x:t xml:space="preserve"/>
        </x:is>
      </x:c>
      <x:c r="T482" t="inlineStr">
        <x:is>
          <x:t xml:space="preserve">NONE</x:t>
        </x:is>
      </x:c>
      <x:c r="U482" t="inlineStr">
        <x:is>
          <x:t xml:space="preserve"/>
        </x:is>
      </x:c>
      <x:c r="V482" t="inlineStr">
        <x:is>
          <x:t xml:space="preserve">SUCCESS</x:t>
        </x:is>
      </x:c>
      <x:c r="W482" t="n">
        <x:f>IF((COUNT('Quantification_Results'!Q482)=1),IFERROR(ROUND((SUM(('Quantification_Results'!Q482*'Quantification_Config'!$R$9))/SUM('Quantification_Config'!$R$9)),'Quantification_Config'!$U$2),""),"")</x:f>
        <x:v>50</x:v>
      </x:c>
      <x:c r="X482" t="n">
        <x:f>IF((COUNT('Quantification_Results'!W482)=1),IFERROR(ROUND((SUM(('Quantification_Results'!W482*'Quantification_Config'!$R$8))/SUM('Quantification_Config'!$R$8)),'Quantification_Config'!$U$2),""),"")</x:f>
        <x:v>50</x:v>
      </x:c>
      <x:c r="Y482" t="n">
        <x:v>0</x:v>
      </x:c>
      <x:c r="Z482"/>
      <x:c r="AA482"/>
      <x:c r="AB482">
        <x:f>IF(('Quantification_Results'!Y482&lt;&gt;1),"",IF(('Quantification_Results'!AA482=""),IF(ISNUMBER('Quantification_Results'!Z482),IF(('Quantification_Results'!Z482&lt;'Quantification_Config'!$S$12),"",IF(('Quantification_Results'!Z482&gt;'Quantification_Config'!$T$12),"",'Quantification_Results'!Z482)),""),IF(ISNUMBER('Quantification_Results'!AA482),IF(('Quantification_Results'!AA482&lt;'Quantification_Config'!$S$12),"",IF(('Quantification_Results'!AA482&gt;'Quantification_Config'!$T$12),"",'Quantification_Results'!AA482)),"")))</x:f>
      </x:c>
      <x:c r="AC482">
        <x:f>IF(ISNUMBER('Quantification_Results'!AB482),IFERROR(ROUND(((('Quantification_Results'!AB482-'Quantification_Config'!$S$12)/('Quantification_Config'!$T$12-'Quantification_Config'!$S$12))*100),'Quantification_Config'!$U$2),""),"")</x:f>
      </x:c>
      <x:c r="AD482" t="inlineStr">
        <x:is>
          <x:t xml:space="preserve"/>
        </x:is>
      </x:c>
      <x:c r="AE482" t="inlineStr">
        <x:is>
          <x:t xml:space="preserve"/>
        </x:is>
      </x:c>
      <x:c r="AF482" t="inlineStr">
        <x:is>
          <x:t xml:space="preserve"/>
        </x:is>
      </x:c>
      <x:c r="AG482" t="inlineStr">
        <x:is>
          <x:t xml:space="preserve"/>
        </x:is>
      </x:c>
      <x:c r="AH482" t="inlineStr">
        <x:is>
          <x:t xml:space="preserve">EMPTY</x:t>
        </x:is>
      </x:c>
      <x:c r="AI482">
        <x:f>IF((COUNT('Quantification_Results'!AC482)=1),IFERROR(ROUND((SUM(('Quantification_Results'!AC482*'Quantification_Config'!$R$12))/SUM('Quantification_Config'!$R$12)),'Quantification_Config'!$U$2),""),"")</x:f>
      </x:c>
      <x:c r="AJ482">
        <x:f>IF((COUNT('Quantification_Results'!AI482)=1),IFERROR(ROUND((SUM(('Quantification_Results'!AI482*'Quantification_Config'!$R$11))/SUM('Quantification_Config'!$R$11)),'Quantification_Config'!$U$2),""),"")</x:f>
      </x:c>
      <x:c r="AK482" t="n">
        <x:v>1</x:v>
      </x:c>
      <x:c r="AL482" t="n">
        <x:v>5</x:v>
      </x:c>
      <x:c r="AM482"/>
      <x:c r="AN482" t="n">
        <x:f>IF(('Quantification_Results'!AK482&lt;&gt;1),"",IF(('Quantification_Results'!AM482=""),IF(ISNUMBER('Quantification_Results'!AL482),IF(('Quantification_Results'!AL482&lt;'Quantification_Config'!$S$15),"",IF(('Quantification_Results'!AL482&gt;'Quantification_Config'!$T$15),"",'Quantification_Results'!AL482)),""),IF(ISNUMBER('Quantification_Results'!AM482),IF(('Quantification_Results'!AM482&lt;'Quantification_Config'!$S$15),"",IF(('Quantification_Results'!AM482&gt;'Quantification_Config'!$T$15),"",'Quantification_Results'!AM482)),"")))</x:f>
        <x:v>5</x:v>
      </x:c>
      <x:c r="AO482" t="n">
        <x:f>IF(ISNUMBER('Quantification_Results'!AN482),IFERROR(ROUND(((('Quantification_Results'!AN482-'Quantification_Config'!$S$15)/('Quantification_Config'!$T$15-'Quantification_Config'!$S$15))*100),'Quantification_Config'!$U$2),""),"")</x:f>
        <x:v>50</x:v>
      </x:c>
      <x:c r="AP482" t="inlineStr">
        <x:is>
          <x:t xml:space="preserve">SYSTEM-TEST-ONLY-NO-NETWORK-NOT-AN-EDUCATIONAL-EVALUATION</x:t>
        </x:is>
      </x:c>
      <x:c r="AQ482" t="inlineStr">
        <x:is>
          <x:t xml:space="preserve"/>
        </x:is>
      </x:c>
      <x:c r="AR482" t="inlineStr">
        <x:is>
          <x:t xml:space="preserve">NONE</x:t>
        </x:is>
      </x:c>
      <x:c r="AS482" t="inlineStr">
        <x:is>
          <x:t xml:space="preserve"/>
        </x:is>
      </x:c>
      <x:c r="AT482" t="inlineStr">
        <x:is>
          <x:t xml:space="preserve">SUCCESS</x:t>
        </x:is>
      </x:c>
      <x:c r="AU482" t="n">
        <x:f>IF((COUNT('Quantification_Results'!AO482)=1),IFERROR(ROUND((SUM(('Quantification_Results'!AO482*'Quantification_Config'!$R$15))/SUM('Quantification_Config'!$R$15)),'Quantification_Config'!$U$2),""),"")</x:f>
        <x:v>50</x:v>
      </x:c>
      <x:c r="AV482" t="n">
        <x:f>IF((COUNT('Quantification_Results'!AU482)=1),IFERROR(ROUND((SUM(('Quantification_Results'!AU482*'Quantification_Config'!$R$14))/SUM('Quantification_Config'!$R$14)),'Quantification_Config'!$U$2),""),"")</x:f>
        <x:v>50</x:v>
      </x:c>
      <x:c r="AW482" t="n">
        <x:v>1</x:v>
      </x:c>
      <x:c r="AX482" t="n">
        <x:v>5</x:v>
      </x:c>
      <x:c r="AY482"/>
      <x:c r="AZ482" t="n">
        <x:f>IF(('Quantification_Results'!AW482&lt;&gt;1),"",IF(('Quantification_Results'!AY482=""),IF(ISNUMBER('Quantification_Results'!AX482),IF(('Quantification_Results'!AX482&lt;'Quantification_Config'!$S$19),"",IF(('Quantification_Results'!AX482&gt;'Quantification_Config'!$T$19),"",'Quantification_Results'!AX482)),""),IF(ISNUMBER('Quantification_Results'!AY482),IF(('Quantification_Results'!AY482&lt;'Quantification_Config'!$S$19),"",IF(('Quantification_Results'!AY482&gt;'Quantification_Config'!$T$19),"",'Quantification_Results'!AY482)),"")))</x:f>
        <x:v>5</x:v>
      </x:c>
      <x:c r="BA482" t="n">
        <x:f>IF(ISNUMBER('Quantification_Results'!AZ482),IFERROR(ROUND(((('Quantification_Results'!AZ482-'Quantification_Config'!$S$19)/('Quantification_Config'!$T$19-'Quantification_Config'!$S$19))*100),'Quantification_Config'!$U$2),""),"")</x:f>
        <x:v>50</x:v>
      </x:c>
      <x:c r="BB482" t="inlineStr">
        <x:is>
          <x:t xml:space="preserve">SYSTEM-TEST-ONLY-NO-NETWORK-NOT-AN-EDUCATIONAL-EVALUATION</x:t>
        </x:is>
      </x:c>
      <x:c r="BC482" t="inlineStr">
        <x:is>
          <x:t xml:space="preserve"/>
        </x:is>
      </x:c>
      <x:c r="BD482" t="inlineStr">
        <x:is>
          <x:t xml:space="preserve">NONE</x:t>
        </x:is>
      </x:c>
      <x:c r="BE482" t="inlineStr">
        <x:is>
          <x:t xml:space="preserve"/>
        </x:is>
      </x:c>
      <x:c r="BF482" t="inlineStr">
        <x:is>
          <x:t xml:space="preserve">SUCCESS</x:t>
        </x:is>
      </x:c>
      <x:c r="BG482" t="n">
        <x:f>IF((COUNT('Quantification_Results'!BA482)=1),IFERROR(ROUND((SUM(('Quantification_Results'!BA482*'Quantification_Config'!$R$19))/SUM('Quantification_Config'!$R$19)),'Quantification_Config'!$U$2),""),"")</x:f>
        <x:v>50</x:v>
      </x:c>
      <x:c r="BH482" t="n">
        <x:f>IF((COUNT('Quantification_Results'!BG482)=1),IFERROR(ROUND((SUM(('Quantification_Results'!BG482*'Quantification_Config'!$R$18))/SUM('Quantification_Config'!$R$18)),'Quantification_Config'!$U$2),""),"")</x:f>
        <x:v>50</x:v>
      </x:c>
      <x:c r="BI482">
        <x:f>IF((COUNT('Quantification_Results'!L482,'Quantification_Results'!X482,'Quantification_Results'!AJ482,'Quantification_Results'!AV482,'Quantification_Results'!BH482)=5),IFERROR(ROUND((SUM(('Quantification_Results'!L482*'Quantification_Config'!$R$4),('Quantification_Results'!X482*'Quantification_Config'!$R$7),('Quantification_Results'!AJ482*'Quantification_Config'!$R$10),('Quantification_Results'!AV482*'Quantification_Config'!$R$13),('Quantification_Results'!BH482*'Quantification_Config'!$R$16))/SUM('Quantification_Config'!$R$4,'Quantification_Config'!$R$7,'Quantification_Config'!$R$10,'Quantification_Config'!$R$13,'Quantification_Config'!$R$16)),'Quantification_Config'!$U$2),""),"")</x:f>
      </x:c>
    </x:row>
    <x:row r="483">
      <x:c r="A483" t="n">
        <x:v>1</x:v>
      </x:c>
      <x:c r="B483" t="n">
        <x:v>5</x:v>
      </x:c>
      <x:c r="C483"/>
      <x:c r="D483" t="n">
        <x:f>IF(('Quantification_Results'!A483&lt;&gt;1),"",IF(('Quantification_Results'!C483=""),IF(ISNUMBER('Quantification_Results'!B483),IF(('Quantification_Results'!B483&lt;'Quantification_Config'!$S$6),"",IF(('Quantification_Results'!B483&gt;'Quantification_Config'!$T$6),"",'Quantification_Results'!B483)),""),IF(ISNUMBER('Quantification_Results'!C483),IF(('Quantification_Results'!C483&lt;'Quantification_Config'!$S$6),"",IF(('Quantification_Results'!C483&gt;'Quantification_Config'!$T$6),"",'Quantification_Results'!C483)),"")))</x:f>
        <x:v>5</x:v>
      </x:c>
      <x:c r="E483" t="n">
        <x:f>IF(ISNUMBER('Quantification_Results'!D483),IFERROR(ROUND(((('Quantification_Results'!D483-'Quantification_Config'!$S$6)/('Quantification_Config'!$T$6-'Quantification_Config'!$S$6))*100),'Quantification_Config'!$U$2),""),"")</x:f>
        <x:v>50</x:v>
      </x:c>
      <x:c r="F483" t="inlineStr">
        <x:is>
          <x:t xml:space="preserve">SYSTEM-TEST-ONLY-NO-NETWORK-NOT-AN-EDUCATIONAL-EVALUATION</x:t>
        </x:is>
      </x:c>
      <x:c r="G483" t="inlineStr">
        <x:is>
          <x:t xml:space="preserve"/>
        </x:is>
      </x:c>
      <x:c r="H483" t="inlineStr">
        <x:is>
          <x:t xml:space="preserve">NONE</x:t>
        </x:is>
      </x:c>
      <x:c r="I483" t="inlineStr">
        <x:is>
          <x:t xml:space="preserve"/>
        </x:is>
      </x:c>
      <x:c r="J483" t="inlineStr">
        <x:is>
          <x:t xml:space="preserve">SUCCESS</x:t>
        </x:is>
      </x:c>
      <x:c r="K483" t="n">
        <x:f>IF((COUNT('Quantification_Results'!E483)=1),IFERROR(ROUND((SUM(('Quantification_Results'!E483*'Quantification_Config'!$R$6))/SUM('Quantification_Config'!$R$6)),'Quantification_Config'!$U$2),""),"")</x:f>
        <x:v>50</x:v>
      </x:c>
      <x:c r="L483" t="n">
        <x:f>IF((COUNT('Quantification_Results'!K483)=1),IFERROR(ROUND((SUM(('Quantification_Results'!K483*'Quantification_Config'!$R$5))/SUM('Quantification_Config'!$R$5)),'Quantification_Config'!$U$2),""),"")</x:f>
        <x:v>50</x:v>
      </x:c>
      <x:c r="M483" t="n">
        <x:v>1</x:v>
      </x:c>
      <x:c r="N483" t="n">
        <x:v>5</x:v>
      </x:c>
      <x:c r="O483"/>
      <x:c r="P483" t="n">
        <x:f>IF(('Quantification_Results'!M483&lt;&gt;1),"",IF(('Quantification_Results'!O483=""),IF(ISNUMBER('Quantification_Results'!N483),IF(('Quantification_Results'!N483&lt;'Quantification_Config'!$S$9),"",IF(('Quantification_Results'!N483&gt;'Quantification_Config'!$T$9),"",'Quantification_Results'!N483)),""),IF(ISNUMBER('Quantification_Results'!O483),IF(('Quantification_Results'!O483&lt;'Quantification_Config'!$S$9),"",IF(('Quantification_Results'!O483&gt;'Quantification_Config'!$T$9),"",'Quantification_Results'!O483)),"")))</x:f>
        <x:v>5</x:v>
      </x:c>
      <x:c r="Q483" t="n">
        <x:f>IF(ISNUMBER('Quantification_Results'!P483),IFERROR(ROUND(((('Quantification_Results'!P483-'Quantification_Config'!$S$9)/('Quantification_Config'!$T$9-'Quantification_Config'!$S$9))*100),'Quantification_Config'!$U$2),""),"")</x:f>
        <x:v>50</x:v>
      </x:c>
      <x:c r="R483" t="inlineStr">
        <x:is>
          <x:t xml:space="preserve">SYSTEM-TEST-ONLY-NO-NETWORK-NOT-AN-EDUCATIONAL-EVALUATION</x:t>
        </x:is>
      </x:c>
      <x:c r="S483" t="inlineStr">
        <x:is>
          <x:t xml:space="preserve"/>
        </x:is>
      </x:c>
      <x:c r="T483" t="inlineStr">
        <x:is>
          <x:t xml:space="preserve">NONE</x:t>
        </x:is>
      </x:c>
      <x:c r="U483" t="inlineStr">
        <x:is>
          <x:t xml:space="preserve"/>
        </x:is>
      </x:c>
      <x:c r="V483" t="inlineStr">
        <x:is>
          <x:t xml:space="preserve">SUCCESS</x:t>
        </x:is>
      </x:c>
      <x:c r="W483" t="n">
        <x:f>IF((COUNT('Quantification_Results'!Q483)=1),IFERROR(ROUND((SUM(('Quantification_Results'!Q483*'Quantification_Config'!$R$9))/SUM('Quantification_Config'!$R$9)),'Quantification_Config'!$U$2),""),"")</x:f>
        <x:v>50</x:v>
      </x:c>
      <x:c r="X483" t="n">
        <x:f>IF((COUNT('Quantification_Results'!W483)=1),IFERROR(ROUND((SUM(('Quantification_Results'!W483*'Quantification_Config'!$R$8))/SUM('Quantification_Config'!$R$8)),'Quantification_Config'!$U$2),""),"")</x:f>
        <x:v>50</x:v>
      </x:c>
      <x:c r="Y483" t="n">
        <x:v>0</x:v>
      </x:c>
      <x:c r="Z483"/>
      <x:c r="AA483"/>
      <x:c r="AB483">
        <x:f>IF(('Quantification_Results'!Y483&lt;&gt;1),"",IF(('Quantification_Results'!AA483=""),IF(ISNUMBER('Quantification_Results'!Z483),IF(('Quantification_Results'!Z483&lt;'Quantification_Config'!$S$12),"",IF(('Quantification_Results'!Z483&gt;'Quantification_Config'!$T$12),"",'Quantification_Results'!Z483)),""),IF(ISNUMBER('Quantification_Results'!AA483),IF(('Quantification_Results'!AA483&lt;'Quantification_Config'!$S$12),"",IF(('Quantification_Results'!AA483&gt;'Quantification_Config'!$T$12),"",'Quantification_Results'!AA483)),"")))</x:f>
      </x:c>
      <x:c r="AC483">
        <x:f>IF(ISNUMBER('Quantification_Results'!AB483),IFERROR(ROUND(((('Quantification_Results'!AB483-'Quantification_Config'!$S$12)/('Quantification_Config'!$T$12-'Quantification_Config'!$S$12))*100),'Quantification_Config'!$U$2),""),"")</x:f>
      </x:c>
      <x:c r="AD483" t="inlineStr">
        <x:is>
          <x:t xml:space="preserve"/>
        </x:is>
      </x:c>
      <x:c r="AE483" t="inlineStr">
        <x:is>
          <x:t xml:space="preserve"/>
        </x:is>
      </x:c>
      <x:c r="AF483" t="inlineStr">
        <x:is>
          <x:t xml:space="preserve"/>
        </x:is>
      </x:c>
      <x:c r="AG483" t="inlineStr">
        <x:is>
          <x:t xml:space="preserve"/>
        </x:is>
      </x:c>
      <x:c r="AH483" t="inlineStr">
        <x:is>
          <x:t xml:space="preserve">EMPTY</x:t>
        </x:is>
      </x:c>
      <x:c r="AI483">
        <x:f>IF((COUNT('Quantification_Results'!AC483)=1),IFERROR(ROUND((SUM(('Quantification_Results'!AC483*'Quantification_Config'!$R$12))/SUM('Quantification_Config'!$R$12)),'Quantification_Config'!$U$2),""),"")</x:f>
      </x:c>
      <x:c r="AJ483">
        <x:f>IF((COUNT('Quantification_Results'!AI483)=1),IFERROR(ROUND((SUM(('Quantification_Results'!AI483*'Quantification_Config'!$R$11))/SUM('Quantification_Config'!$R$11)),'Quantification_Config'!$U$2),""),"")</x:f>
      </x:c>
      <x:c r="AK483" t="n">
        <x:v>1</x:v>
      </x:c>
      <x:c r="AL483" t="n">
        <x:v>5</x:v>
      </x:c>
      <x:c r="AM483"/>
      <x:c r="AN483" t="n">
        <x:f>IF(('Quantification_Results'!AK483&lt;&gt;1),"",IF(('Quantification_Results'!AM483=""),IF(ISNUMBER('Quantification_Results'!AL483),IF(('Quantification_Results'!AL483&lt;'Quantification_Config'!$S$15),"",IF(('Quantification_Results'!AL483&gt;'Quantification_Config'!$T$15),"",'Quantification_Results'!AL483)),""),IF(ISNUMBER('Quantification_Results'!AM483),IF(('Quantification_Results'!AM483&lt;'Quantification_Config'!$S$15),"",IF(('Quantification_Results'!AM483&gt;'Quantification_Config'!$T$15),"",'Quantification_Results'!AM483)),"")))</x:f>
        <x:v>5</x:v>
      </x:c>
      <x:c r="AO483" t="n">
        <x:f>IF(ISNUMBER('Quantification_Results'!AN483),IFERROR(ROUND(((('Quantification_Results'!AN483-'Quantification_Config'!$S$15)/('Quantification_Config'!$T$15-'Quantification_Config'!$S$15))*100),'Quantification_Config'!$U$2),""),"")</x:f>
        <x:v>50</x:v>
      </x:c>
      <x:c r="AP483" t="inlineStr">
        <x:is>
          <x:t xml:space="preserve">SYSTEM-TEST-ONLY-NO-NETWORK-NOT-AN-EDUCATIONAL-EVALUATION</x:t>
        </x:is>
      </x:c>
      <x:c r="AQ483" t="inlineStr">
        <x:is>
          <x:t xml:space="preserve"/>
        </x:is>
      </x:c>
      <x:c r="AR483" t="inlineStr">
        <x:is>
          <x:t xml:space="preserve">NONE</x:t>
        </x:is>
      </x:c>
      <x:c r="AS483" t="inlineStr">
        <x:is>
          <x:t xml:space="preserve"/>
        </x:is>
      </x:c>
      <x:c r="AT483" t="inlineStr">
        <x:is>
          <x:t xml:space="preserve">SUCCESS</x:t>
        </x:is>
      </x:c>
      <x:c r="AU483" t="n">
        <x:f>IF((COUNT('Quantification_Results'!AO483)=1),IFERROR(ROUND((SUM(('Quantification_Results'!AO483*'Quantification_Config'!$R$15))/SUM('Quantification_Config'!$R$15)),'Quantification_Config'!$U$2),""),"")</x:f>
        <x:v>50</x:v>
      </x:c>
      <x:c r="AV483" t="n">
        <x:f>IF((COUNT('Quantification_Results'!AU483)=1),IFERROR(ROUND((SUM(('Quantification_Results'!AU483*'Quantification_Config'!$R$14))/SUM('Quantification_Config'!$R$14)),'Quantification_Config'!$U$2),""),"")</x:f>
        <x:v>50</x:v>
      </x:c>
      <x:c r="AW483" t="n">
        <x:v>1</x:v>
      </x:c>
      <x:c r="AX483" t="n">
        <x:v>5</x:v>
      </x:c>
      <x:c r="AY483"/>
      <x:c r="AZ483" t="n">
        <x:f>IF(('Quantification_Results'!AW483&lt;&gt;1),"",IF(('Quantification_Results'!AY483=""),IF(ISNUMBER('Quantification_Results'!AX483),IF(('Quantification_Results'!AX483&lt;'Quantification_Config'!$S$19),"",IF(('Quantification_Results'!AX483&gt;'Quantification_Config'!$T$19),"",'Quantification_Results'!AX483)),""),IF(ISNUMBER('Quantification_Results'!AY483),IF(('Quantification_Results'!AY483&lt;'Quantification_Config'!$S$19),"",IF(('Quantification_Results'!AY483&gt;'Quantification_Config'!$T$19),"",'Quantification_Results'!AY483)),"")))</x:f>
        <x:v>5</x:v>
      </x:c>
      <x:c r="BA483" t="n">
        <x:f>IF(ISNUMBER('Quantification_Results'!AZ483),IFERROR(ROUND(((('Quantification_Results'!AZ483-'Quantification_Config'!$S$19)/('Quantification_Config'!$T$19-'Quantification_Config'!$S$19))*100),'Quantification_Config'!$U$2),""),"")</x:f>
        <x:v>50</x:v>
      </x:c>
      <x:c r="BB483" t="inlineStr">
        <x:is>
          <x:t xml:space="preserve">SYSTEM-TEST-ONLY-NO-NETWORK-NOT-AN-EDUCATIONAL-EVALUATION</x:t>
        </x:is>
      </x:c>
      <x:c r="BC483" t="inlineStr">
        <x:is>
          <x:t xml:space="preserve"/>
        </x:is>
      </x:c>
      <x:c r="BD483" t="inlineStr">
        <x:is>
          <x:t xml:space="preserve">NONE</x:t>
        </x:is>
      </x:c>
      <x:c r="BE483" t="inlineStr">
        <x:is>
          <x:t xml:space="preserve"/>
        </x:is>
      </x:c>
      <x:c r="BF483" t="inlineStr">
        <x:is>
          <x:t xml:space="preserve">SUCCESS</x:t>
        </x:is>
      </x:c>
      <x:c r="BG483" t="n">
        <x:f>IF((COUNT('Quantification_Results'!BA483)=1),IFERROR(ROUND((SUM(('Quantification_Results'!BA483*'Quantification_Config'!$R$19))/SUM('Quantification_Config'!$R$19)),'Quantification_Config'!$U$2),""),"")</x:f>
        <x:v>50</x:v>
      </x:c>
      <x:c r="BH483" t="n">
        <x:f>IF((COUNT('Quantification_Results'!BG483)=1),IFERROR(ROUND((SUM(('Quantification_Results'!BG483*'Quantification_Config'!$R$18))/SUM('Quantification_Config'!$R$18)),'Quantification_Config'!$U$2),""),"")</x:f>
        <x:v>50</x:v>
      </x:c>
      <x:c r="BI483">
        <x:f>IF((COUNT('Quantification_Results'!L483,'Quantification_Results'!X483,'Quantification_Results'!AJ483,'Quantification_Results'!AV483,'Quantification_Results'!BH483)=5),IFERROR(ROUND((SUM(('Quantification_Results'!L483*'Quantification_Config'!$R$4),('Quantification_Results'!X483*'Quantification_Config'!$R$7),('Quantification_Results'!AJ483*'Quantification_Config'!$R$10),('Quantification_Results'!AV483*'Quantification_Config'!$R$13),('Quantification_Results'!BH483*'Quantification_Config'!$R$16))/SUM('Quantification_Config'!$R$4,'Quantification_Config'!$R$7,'Quantification_Config'!$R$10,'Quantification_Config'!$R$13,'Quantification_Config'!$R$16)),'Quantification_Config'!$U$2),""),"")</x:f>
      </x:c>
    </x:row>
    <x:row r="484">
      <x:c r="A484" t="n">
        <x:v>1</x:v>
      </x:c>
      <x:c r="B484" t="n">
        <x:v>5</x:v>
      </x:c>
      <x:c r="C484"/>
      <x:c r="D484" t="n">
        <x:f>IF(('Quantification_Results'!A484&lt;&gt;1),"",IF(('Quantification_Results'!C484=""),IF(ISNUMBER('Quantification_Results'!B484),IF(('Quantification_Results'!B484&lt;'Quantification_Config'!$S$6),"",IF(('Quantification_Results'!B484&gt;'Quantification_Config'!$T$6),"",'Quantification_Results'!B484)),""),IF(ISNUMBER('Quantification_Results'!C484),IF(('Quantification_Results'!C484&lt;'Quantification_Config'!$S$6),"",IF(('Quantification_Results'!C484&gt;'Quantification_Config'!$T$6),"",'Quantification_Results'!C484)),"")))</x:f>
        <x:v>5</x:v>
      </x:c>
      <x:c r="E484" t="n">
        <x:f>IF(ISNUMBER('Quantification_Results'!D484),IFERROR(ROUND(((('Quantification_Results'!D484-'Quantification_Config'!$S$6)/('Quantification_Config'!$T$6-'Quantification_Config'!$S$6))*100),'Quantification_Config'!$U$2),""),"")</x:f>
        <x:v>50</x:v>
      </x:c>
      <x:c r="F484" t="inlineStr">
        <x:is>
          <x:t xml:space="preserve">SYSTEM-TEST-ONLY-NO-NETWORK-NOT-AN-EDUCATIONAL-EVALUATION</x:t>
        </x:is>
      </x:c>
      <x:c r="G484" t="inlineStr">
        <x:is>
          <x:t xml:space="preserve"/>
        </x:is>
      </x:c>
      <x:c r="H484" t="inlineStr">
        <x:is>
          <x:t xml:space="preserve">NONE</x:t>
        </x:is>
      </x:c>
      <x:c r="I484" t="inlineStr">
        <x:is>
          <x:t xml:space="preserve"/>
        </x:is>
      </x:c>
      <x:c r="J484" t="inlineStr">
        <x:is>
          <x:t xml:space="preserve">SUCCESS</x:t>
        </x:is>
      </x:c>
      <x:c r="K484" t="n">
        <x:f>IF((COUNT('Quantification_Results'!E484)=1),IFERROR(ROUND((SUM(('Quantification_Results'!E484*'Quantification_Config'!$R$6))/SUM('Quantification_Config'!$R$6)),'Quantification_Config'!$U$2),""),"")</x:f>
        <x:v>50</x:v>
      </x:c>
      <x:c r="L484" t="n">
        <x:f>IF((COUNT('Quantification_Results'!K484)=1),IFERROR(ROUND((SUM(('Quantification_Results'!K484*'Quantification_Config'!$R$5))/SUM('Quantification_Config'!$R$5)),'Quantification_Config'!$U$2),""),"")</x:f>
        <x:v>50</x:v>
      </x:c>
      <x:c r="M484" t="n">
        <x:v>1</x:v>
      </x:c>
      <x:c r="N484" t="n">
        <x:v>5</x:v>
      </x:c>
      <x:c r="O484"/>
      <x:c r="P484" t="n">
        <x:f>IF(('Quantification_Results'!M484&lt;&gt;1),"",IF(('Quantification_Results'!O484=""),IF(ISNUMBER('Quantification_Results'!N484),IF(('Quantification_Results'!N484&lt;'Quantification_Config'!$S$9),"",IF(('Quantification_Results'!N484&gt;'Quantification_Config'!$T$9),"",'Quantification_Results'!N484)),""),IF(ISNUMBER('Quantification_Results'!O484),IF(('Quantification_Results'!O484&lt;'Quantification_Config'!$S$9),"",IF(('Quantification_Results'!O484&gt;'Quantification_Config'!$T$9),"",'Quantification_Results'!O484)),"")))</x:f>
        <x:v>5</x:v>
      </x:c>
      <x:c r="Q484" t="n">
        <x:f>IF(ISNUMBER('Quantification_Results'!P484),IFERROR(ROUND(((('Quantification_Results'!P484-'Quantification_Config'!$S$9)/('Quantification_Config'!$T$9-'Quantification_Config'!$S$9))*100),'Quantification_Config'!$U$2),""),"")</x:f>
        <x:v>50</x:v>
      </x:c>
      <x:c r="R484" t="inlineStr">
        <x:is>
          <x:t xml:space="preserve">SYSTEM-TEST-ONLY-NO-NETWORK-NOT-AN-EDUCATIONAL-EVALUATION</x:t>
        </x:is>
      </x:c>
      <x:c r="S484" t="inlineStr">
        <x:is>
          <x:t xml:space="preserve"/>
        </x:is>
      </x:c>
      <x:c r="T484" t="inlineStr">
        <x:is>
          <x:t xml:space="preserve">NONE</x:t>
        </x:is>
      </x:c>
      <x:c r="U484" t="inlineStr">
        <x:is>
          <x:t xml:space="preserve"/>
        </x:is>
      </x:c>
      <x:c r="V484" t="inlineStr">
        <x:is>
          <x:t xml:space="preserve">SUCCESS</x:t>
        </x:is>
      </x:c>
      <x:c r="W484" t="n">
        <x:f>IF((COUNT('Quantification_Results'!Q484)=1),IFERROR(ROUND((SUM(('Quantification_Results'!Q484*'Quantification_Config'!$R$9))/SUM('Quantification_Config'!$R$9)),'Quantification_Config'!$U$2),""),"")</x:f>
        <x:v>50</x:v>
      </x:c>
      <x:c r="X484" t="n">
        <x:f>IF((COUNT('Quantification_Results'!W484)=1),IFERROR(ROUND((SUM(('Quantification_Results'!W484*'Quantification_Config'!$R$8))/SUM('Quantification_Config'!$R$8)),'Quantification_Config'!$U$2),""),"")</x:f>
        <x:v>50</x:v>
      </x:c>
      <x:c r="Y484" t="n">
        <x:v>0</x:v>
      </x:c>
      <x:c r="Z484"/>
      <x:c r="AA484"/>
      <x:c r="AB484">
        <x:f>IF(('Quantification_Results'!Y484&lt;&gt;1),"",IF(('Quantification_Results'!AA484=""),IF(ISNUMBER('Quantification_Results'!Z484),IF(('Quantification_Results'!Z484&lt;'Quantification_Config'!$S$12),"",IF(('Quantification_Results'!Z484&gt;'Quantification_Config'!$T$12),"",'Quantification_Results'!Z484)),""),IF(ISNUMBER('Quantification_Results'!AA484),IF(('Quantification_Results'!AA484&lt;'Quantification_Config'!$S$12),"",IF(('Quantification_Results'!AA484&gt;'Quantification_Config'!$T$12),"",'Quantification_Results'!AA484)),"")))</x:f>
      </x:c>
      <x:c r="AC484">
        <x:f>IF(ISNUMBER('Quantification_Results'!AB484),IFERROR(ROUND(((('Quantification_Results'!AB484-'Quantification_Config'!$S$12)/('Quantification_Config'!$T$12-'Quantification_Config'!$S$12))*100),'Quantification_Config'!$U$2),""),"")</x:f>
      </x:c>
      <x:c r="AD484" t="inlineStr">
        <x:is>
          <x:t xml:space="preserve"/>
        </x:is>
      </x:c>
      <x:c r="AE484" t="inlineStr">
        <x:is>
          <x:t xml:space="preserve"/>
        </x:is>
      </x:c>
      <x:c r="AF484" t="inlineStr">
        <x:is>
          <x:t xml:space="preserve"/>
        </x:is>
      </x:c>
      <x:c r="AG484" t="inlineStr">
        <x:is>
          <x:t xml:space="preserve"/>
        </x:is>
      </x:c>
      <x:c r="AH484" t="inlineStr">
        <x:is>
          <x:t xml:space="preserve">EMPTY</x:t>
        </x:is>
      </x:c>
      <x:c r="AI484">
        <x:f>IF((COUNT('Quantification_Results'!AC484)=1),IFERROR(ROUND((SUM(('Quantification_Results'!AC484*'Quantification_Config'!$R$12))/SUM('Quantification_Config'!$R$12)),'Quantification_Config'!$U$2),""),"")</x:f>
      </x:c>
      <x:c r="AJ484">
        <x:f>IF((COUNT('Quantification_Results'!AI484)=1),IFERROR(ROUND((SUM(('Quantification_Results'!AI484*'Quantification_Config'!$R$11))/SUM('Quantification_Config'!$R$11)),'Quantification_Config'!$U$2),""),"")</x:f>
      </x:c>
      <x:c r="AK484" t="n">
        <x:v>1</x:v>
      </x:c>
      <x:c r="AL484" t="n">
        <x:v>5</x:v>
      </x:c>
      <x:c r="AM484"/>
      <x:c r="AN484" t="n">
        <x:f>IF(('Quantification_Results'!AK484&lt;&gt;1),"",IF(('Quantification_Results'!AM484=""),IF(ISNUMBER('Quantification_Results'!AL484),IF(('Quantification_Results'!AL484&lt;'Quantification_Config'!$S$15),"",IF(('Quantification_Results'!AL484&gt;'Quantification_Config'!$T$15),"",'Quantification_Results'!AL484)),""),IF(ISNUMBER('Quantification_Results'!AM484),IF(('Quantification_Results'!AM484&lt;'Quantification_Config'!$S$15),"",IF(('Quantification_Results'!AM484&gt;'Quantification_Config'!$T$15),"",'Quantification_Results'!AM484)),"")))</x:f>
        <x:v>5</x:v>
      </x:c>
      <x:c r="AO484" t="n">
        <x:f>IF(ISNUMBER('Quantification_Results'!AN484),IFERROR(ROUND(((('Quantification_Results'!AN484-'Quantification_Config'!$S$15)/('Quantification_Config'!$T$15-'Quantification_Config'!$S$15))*100),'Quantification_Config'!$U$2),""),"")</x:f>
        <x:v>50</x:v>
      </x:c>
      <x:c r="AP484" t="inlineStr">
        <x:is>
          <x:t xml:space="preserve">SYSTEM-TEST-ONLY-NO-NETWORK-NOT-AN-EDUCATIONAL-EVALUATION</x:t>
        </x:is>
      </x:c>
      <x:c r="AQ484" t="inlineStr">
        <x:is>
          <x:t xml:space="preserve"/>
        </x:is>
      </x:c>
      <x:c r="AR484" t="inlineStr">
        <x:is>
          <x:t xml:space="preserve">NONE</x:t>
        </x:is>
      </x:c>
      <x:c r="AS484" t="inlineStr">
        <x:is>
          <x:t xml:space="preserve"/>
        </x:is>
      </x:c>
      <x:c r="AT484" t="inlineStr">
        <x:is>
          <x:t xml:space="preserve">SUCCESS</x:t>
        </x:is>
      </x:c>
      <x:c r="AU484" t="n">
        <x:f>IF((COUNT('Quantification_Results'!AO484)=1),IFERROR(ROUND((SUM(('Quantification_Results'!AO484*'Quantification_Config'!$R$15))/SUM('Quantification_Config'!$R$15)),'Quantification_Config'!$U$2),""),"")</x:f>
        <x:v>50</x:v>
      </x:c>
      <x:c r="AV484" t="n">
        <x:f>IF((COUNT('Quantification_Results'!AU484)=1),IFERROR(ROUND((SUM(('Quantification_Results'!AU484*'Quantification_Config'!$R$14))/SUM('Quantification_Config'!$R$14)),'Quantification_Config'!$U$2),""),"")</x:f>
        <x:v>50</x:v>
      </x:c>
      <x:c r="AW484" t="n">
        <x:v>1</x:v>
      </x:c>
      <x:c r="AX484" t="n">
        <x:v>5</x:v>
      </x:c>
      <x:c r="AY484"/>
      <x:c r="AZ484" t="n">
        <x:f>IF(('Quantification_Results'!AW484&lt;&gt;1),"",IF(('Quantification_Results'!AY484=""),IF(ISNUMBER('Quantification_Results'!AX484),IF(('Quantification_Results'!AX484&lt;'Quantification_Config'!$S$19),"",IF(('Quantification_Results'!AX484&gt;'Quantification_Config'!$T$19),"",'Quantification_Results'!AX484)),""),IF(ISNUMBER('Quantification_Results'!AY484),IF(('Quantification_Results'!AY484&lt;'Quantification_Config'!$S$19),"",IF(('Quantification_Results'!AY484&gt;'Quantification_Config'!$T$19),"",'Quantification_Results'!AY484)),"")))</x:f>
        <x:v>5</x:v>
      </x:c>
      <x:c r="BA484" t="n">
        <x:f>IF(ISNUMBER('Quantification_Results'!AZ484),IFERROR(ROUND(((('Quantification_Results'!AZ484-'Quantification_Config'!$S$19)/('Quantification_Config'!$T$19-'Quantification_Config'!$S$19))*100),'Quantification_Config'!$U$2),""),"")</x:f>
        <x:v>50</x:v>
      </x:c>
      <x:c r="BB484" t="inlineStr">
        <x:is>
          <x:t xml:space="preserve">SYSTEM-TEST-ONLY-NO-NETWORK-NOT-AN-EDUCATIONAL-EVALUATION</x:t>
        </x:is>
      </x:c>
      <x:c r="BC484" t="inlineStr">
        <x:is>
          <x:t xml:space="preserve"/>
        </x:is>
      </x:c>
      <x:c r="BD484" t="inlineStr">
        <x:is>
          <x:t xml:space="preserve">NONE</x:t>
        </x:is>
      </x:c>
      <x:c r="BE484" t="inlineStr">
        <x:is>
          <x:t xml:space="preserve"/>
        </x:is>
      </x:c>
      <x:c r="BF484" t="inlineStr">
        <x:is>
          <x:t xml:space="preserve">SUCCESS</x:t>
        </x:is>
      </x:c>
      <x:c r="BG484" t="n">
        <x:f>IF((COUNT('Quantification_Results'!BA484)=1),IFERROR(ROUND((SUM(('Quantification_Results'!BA484*'Quantification_Config'!$R$19))/SUM('Quantification_Config'!$R$19)),'Quantification_Config'!$U$2),""),"")</x:f>
        <x:v>50</x:v>
      </x:c>
      <x:c r="BH484" t="n">
        <x:f>IF((COUNT('Quantification_Results'!BG484)=1),IFERROR(ROUND((SUM(('Quantification_Results'!BG484*'Quantification_Config'!$R$18))/SUM('Quantification_Config'!$R$18)),'Quantification_Config'!$U$2),""),"")</x:f>
        <x:v>50</x:v>
      </x:c>
      <x:c r="BI484">
        <x:f>IF((COUNT('Quantification_Results'!L484,'Quantification_Results'!X484,'Quantification_Results'!AJ484,'Quantification_Results'!AV484,'Quantification_Results'!BH484)=5),IFERROR(ROUND((SUM(('Quantification_Results'!L484*'Quantification_Config'!$R$4),('Quantification_Results'!X484*'Quantification_Config'!$R$7),('Quantification_Results'!AJ484*'Quantification_Config'!$R$10),('Quantification_Results'!AV484*'Quantification_Config'!$R$13),('Quantification_Results'!BH484*'Quantification_Config'!$R$16))/SUM('Quantification_Config'!$R$4,'Quantification_Config'!$R$7,'Quantification_Config'!$R$10,'Quantification_Config'!$R$13,'Quantification_Config'!$R$16)),'Quantification_Config'!$U$2),""),"")</x:f>
      </x:c>
    </x:row>
    <x:row r="485">
      <x:c r="A485" t="n">
        <x:v>1</x:v>
      </x:c>
      <x:c r="B485" t="n">
        <x:v>5</x:v>
      </x:c>
      <x:c r="C485"/>
      <x:c r="D485" t="n">
        <x:f>IF(('Quantification_Results'!A485&lt;&gt;1),"",IF(('Quantification_Results'!C485=""),IF(ISNUMBER('Quantification_Results'!B485),IF(('Quantification_Results'!B485&lt;'Quantification_Config'!$S$6),"",IF(('Quantification_Results'!B485&gt;'Quantification_Config'!$T$6),"",'Quantification_Results'!B485)),""),IF(ISNUMBER('Quantification_Results'!C485),IF(('Quantification_Results'!C485&lt;'Quantification_Config'!$S$6),"",IF(('Quantification_Results'!C485&gt;'Quantification_Config'!$T$6),"",'Quantification_Results'!C485)),"")))</x:f>
        <x:v>5</x:v>
      </x:c>
      <x:c r="E485" t="n">
        <x:f>IF(ISNUMBER('Quantification_Results'!D485),IFERROR(ROUND(((('Quantification_Results'!D485-'Quantification_Config'!$S$6)/('Quantification_Config'!$T$6-'Quantification_Config'!$S$6))*100),'Quantification_Config'!$U$2),""),"")</x:f>
        <x:v>50</x:v>
      </x:c>
      <x:c r="F485" t="inlineStr">
        <x:is>
          <x:t xml:space="preserve">SYSTEM-TEST-ONLY-NO-NETWORK-NOT-AN-EDUCATIONAL-EVALUATION</x:t>
        </x:is>
      </x:c>
      <x:c r="G485" t="inlineStr">
        <x:is>
          <x:t xml:space="preserve"/>
        </x:is>
      </x:c>
      <x:c r="H485" t="inlineStr">
        <x:is>
          <x:t xml:space="preserve">NONE</x:t>
        </x:is>
      </x:c>
      <x:c r="I485" t="inlineStr">
        <x:is>
          <x:t xml:space="preserve"/>
        </x:is>
      </x:c>
      <x:c r="J485" t="inlineStr">
        <x:is>
          <x:t xml:space="preserve">SUCCESS</x:t>
        </x:is>
      </x:c>
      <x:c r="K485" t="n">
        <x:f>IF((COUNT('Quantification_Results'!E485)=1),IFERROR(ROUND((SUM(('Quantification_Results'!E485*'Quantification_Config'!$R$6))/SUM('Quantification_Config'!$R$6)),'Quantification_Config'!$U$2),""),"")</x:f>
        <x:v>50</x:v>
      </x:c>
      <x:c r="L485" t="n">
        <x:f>IF((COUNT('Quantification_Results'!K485)=1),IFERROR(ROUND((SUM(('Quantification_Results'!K485*'Quantification_Config'!$R$5))/SUM('Quantification_Config'!$R$5)),'Quantification_Config'!$U$2),""),"")</x:f>
        <x:v>50</x:v>
      </x:c>
      <x:c r="M485" t="n">
        <x:v>1</x:v>
      </x:c>
      <x:c r="N485" t="n">
        <x:v>5</x:v>
      </x:c>
      <x:c r="O485"/>
      <x:c r="P485" t="n">
        <x:f>IF(('Quantification_Results'!M485&lt;&gt;1),"",IF(('Quantification_Results'!O485=""),IF(ISNUMBER('Quantification_Results'!N485),IF(('Quantification_Results'!N485&lt;'Quantification_Config'!$S$9),"",IF(('Quantification_Results'!N485&gt;'Quantification_Config'!$T$9),"",'Quantification_Results'!N485)),""),IF(ISNUMBER('Quantification_Results'!O485),IF(('Quantification_Results'!O485&lt;'Quantification_Config'!$S$9),"",IF(('Quantification_Results'!O485&gt;'Quantification_Config'!$T$9),"",'Quantification_Results'!O485)),"")))</x:f>
        <x:v>5</x:v>
      </x:c>
      <x:c r="Q485" t="n">
        <x:f>IF(ISNUMBER('Quantification_Results'!P485),IFERROR(ROUND(((('Quantification_Results'!P485-'Quantification_Config'!$S$9)/('Quantification_Config'!$T$9-'Quantification_Config'!$S$9))*100),'Quantification_Config'!$U$2),""),"")</x:f>
        <x:v>50</x:v>
      </x:c>
      <x:c r="R485" t="inlineStr">
        <x:is>
          <x:t xml:space="preserve">SYSTEM-TEST-ONLY-NO-NETWORK-NOT-AN-EDUCATIONAL-EVALUATION</x:t>
        </x:is>
      </x:c>
      <x:c r="S485" t="inlineStr">
        <x:is>
          <x:t xml:space="preserve"/>
        </x:is>
      </x:c>
      <x:c r="T485" t="inlineStr">
        <x:is>
          <x:t xml:space="preserve">NONE</x:t>
        </x:is>
      </x:c>
      <x:c r="U485" t="inlineStr">
        <x:is>
          <x:t xml:space="preserve"/>
        </x:is>
      </x:c>
      <x:c r="V485" t="inlineStr">
        <x:is>
          <x:t xml:space="preserve">SUCCESS</x:t>
        </x:is>
      </x:c>
      <x:c r="W485" t="n">
        <x:f>IF((COUNT('Quantification_Results'!Q485)=1),IFERROR(ROUND((SUM(('Quantification_Results'!Q485*'Quantification_Config'!$R$9))/SUM('Quantification_Config'!$R$9)),'Quantification_Config'!$U$2),""),"")</x:f>
        <x:v>50</x:v>
      </x:c>
      <x:c r="X485" t="n">
        <x:f>IF((COUNT('Quantification_Results'!W485)=1),IFERROR(ROUND((SUM(('Quantification_Results'!W485*'Quantification_Config'!$R$8))/SUM('Quantification_Config'!$R$8)),'Quantification_Config'!$U$2),""),"")</x:f>
        <x:v>50</x:v>
      </x:c>
      <x:c r="Y485" t="n">
        <x:v>1</x:v>
      </x:c>
      <x:c r="Z485" t="n">
        <x:v>5</x:v>
      </x:c>
      <x:c r="AA485"/>
      <x:c r="AB485" t="n">
        <x:f>IF(('Quantification_Results'!Y485&lt;&gt;1),"",IF(('Quantification_Results'!AA485=""),IF(ISNUMBER('Quantification_Results'!Z485),IF(('Quantification_Results'!Z485&lt;'Quantification_Config'!$S$12),"",IF(('Quantification_Results'!Z485&gt;'Quantification_Config'!$T$12),"",'Quantification_Results'!Z485)),""),IF(ISNUMBER('Quantification_Results'!AA485),IF(('Quantification_Results'!AA485&lt;'Quantification_Config'!$S$12),"",IF(('Quantification_Results'!AA485&gt;'Quantification_Config'!$T$12),"",'Quantification_Results'!AA485)),"")))</x:f>
        <x:v>5</x:v>
      </x:c>
      <x:c r="AC485" t="n">
        <x:f>IF(ISNUMBER('Quantification_Results'!AB485),IFERROR(ROUND(((('Quantification_Results'!AB485-'Quantification_Config'!$S$12)/('Quantification_Config'!$T$12-'Quantification_Config'!$S$12))*100),'Quantification_Config'!$U$2),""),"")</x:f>
        <x:v>50</x:v>
      </x:c>
      <x:c r="AD485" t="inlineStr">
        <x:is>
          <x:t xml:space="preserve">SYSTEM-TEST-ONLY-NO-NETWORK-NOT-AN-EDUCATIONAL-EVALUATION</x:t>
        </x:is>
      </x:c>
      <x:c r="AE485" t="inlineStr">
        <x:is>
          <x:t xml:space="preserve"/>
        </x:is>
      </x:c>
      <x:c r="AF485" t="inlineStr">
        <x:is>
          <x:t xml:space="preserve">NONE</x:t>
        </x:is>
      </x:c>
      <x:c r="AG485" t="inlineStr">
        <x:is>
          <x:t xml:space="preserve"/>
        </x:is>
      </x:c>
      <x:c r="AH485" t="inlineStr">
        <x:is>
          <x:t xml:space="preserve">SUCCESS</x:t>
        </x:is>
      </x:c>
      <x:c r="AI485" t="n">
        <x:f>IF((COUNT('Quantification_Results'!AC485)=1),IFERROR(ROUND((SUM(('Quantification_Results'!AC485*'Quantification_Config'!$R$12))/SUM('Quantification_Config'!$R$12)),'Quantification_Config'!$U$2),""),"")</x:f>
        <x:v>50</x:v>
      </x:c>
      <x:c r="AJ485" t="n">
        <x:f>IF((COUNT('Quantification_Results'!AI485)=1),IFERROR(ROUND((SUM(('Quantification_Results'!AI485*'Quantification_Config'!$R$11))/SUM('Quantification_Config'!$R$11)),'Quantification_Config'!$U$2),""),"")</x:f>
        <x:v>50</x:v>
      </x:c>
      <x:c r="AK485" t="n">
        <x:v>1</x:v>
      </x:c>
      <x:c r="AL485" t="n">
        <x:v>5</x:v>
      </x:c>
      <x:c r="AM485"/>
      <x:c r="AN485" t="n">
        <x:f>IF(('Quantification_Results'!AK485&lt;&gt;1),"",IF(('Quantification_Results'!AM485=""),IF(ISNUMBER('Quantification_Results'!AL485),IF(('Quantification_Results'!AL485&lt;'Quantification_Config'!$S$15),"",IF(('Quantification_Results'!AL485&gt;'Quantification_Config'!$T$15),"",'Quantification_Results'!AL485)),""),IF(ISNUMBER('Quantification_Results'!AM485),IF(('Quantification_Results'!AM485&lt;'Quantification_Config'!$S$15),"",IF(('Quantification_Results'!AM485&gt;'Quantification_Config'!$T$15),"",'Quantification_Results'!AM485)),"")))</x:f>
        <x:v>5</x:v>
      </x:c>
      <x:c r="AO485" t="n">
        <x:f>IF(ISNUMBER('Quantification_Results'!AN485),IFERROR(ROUND(((('Quantification_Results'!AN485-'Quantification_Config'!$S$15)/('Quantification_Config'!$T$15-'Quantification_Config'!$S$15))*100),'Quantification_Config'!$U$2),""),"")</x:f>
        <x:v>50</x:v>
      </x:c>
      <x:c r="AP485" t="inlineStr">
        <x:is>
          <x:t xml:space="preserve">SYSTEM-TEST-ONLY-NO-NETWORK-NOT-AN-EDUCATIONAL-EVALUATION</x:t>
        </x:is>
      </x:c>
      <x:c r="AQ485" t="inlineStr">
        <x:is>
          <x:t xml:space="preserve"/>
        </x:is>
      </x:c>
      <x:c r="AR485" t="inlineStr">
        <x:is>
          <x:t xml:space="preserve">NONE</x:t>
        </x:is>
      </x:c>
      <x:c r="AS485" t="inlineStr">
        <x:is>
          <x:t xml:space="preserve"/>
        </x:is>
      </x:c>
      <x:c r="AT485" t="inlineStr">
        <x:is>
          <x:t xml:space="preserve">SUCCESS</x:t>
        </x:is>
      </x:c>
      <x:c r="AU485" t="n">
        <x:f>IF((COUNT('Quantification_Results'!AO485)=1),IFERROR(ROUND((SUM(('Quantification_Results'!AO485*'Quantification_Config'!$R$15))/SUM('Quantification_Config'!$R$15)),'Quantification_Config'!$U$2),""),"")</x:f>
        <x:v>50</x:v>
      </x:c>
      <x:c r="AV485" t="n">
        <x:f>IF((COUNT('Quantification_Results'!AU485)=1),IFERROR(ROUND((SUM(('Quantification_Results'!AU485*'Quantification_Config'!$R$14))/SUM('Quantification_Config'!$R$14)),'Quantification_Config'!$U$2),""),"")</x:f>
        <x:v>50</x:v>
      </x:c>
      <x:c r="AW485" t="n">
        <x:v>1</x:v>
      </x:c>
      <x:c r="AX485" t="n">
        <x:v>5</x:v>
      </x:c>
      <x:c r="AY485"/>
      <x:c r="AZ485" t="n">
        <x:f>IF(('Quantification_Results'!AW485&lt;&gt;1),"",IF(('Quantification_Results'!AY485=""),IF(ISNUMBER('Quantification_Results'!AX485),IF(('Quantification_Results'!AX485&lt;'Quantification_Config'!$S$19),"",IF(('Quantification_Results'!AX485&gt;'Quantification_Config'!$T$19),"",'Quantification_Results'!AX485)),""),IF(ISNUMBER('Quantification_Results'!AY485),IF(('Quantification_Results'!AY485&lt;'Quantification_Config'!$S$19),"",IF(('Quantification_Results'!AY485&gt;'Quantification_Config'!$T$19),"",'Quantification_Results'!AY485)),"")))</x:f>
        <x:v>5</x:v>
      </x:c>
      <x:c r="BA485" t="n">
        <x:f>IF(ISNUMBER('Quantification_Results'!AZ485),IFERROR(ROUND(((('Quantification_Results'!AZ485-'Quantification_Config'!$S$19)/('Quantification_Config'!$T$19-'Quantification_Config'!$S$19))*100),'Quantification_Config'!$U$2),""),"")</x:f>
        <x:v>50</x:v>
      </x:c>
      <x:c r="BB485" t="inlineStr">
        <x:is>
          <x:t xml:space="preserve">SYSTEM-TEST-ONLY-NO-NETWORK-NOT-AN-EDUCATIONAL-EVALUATION</x:t>
        </x:is>
      </x:c>
      <x:c r="BC485" t="inlineStr">
        <x:is>
          <x:t xml:space="preserve"/>
        </x:is>
      </x:c>
      <x:c r="BD485" t="inlineStr">
        <x:is>
          <x:t xml:space="preserve">NONE</x:t>
        </x:is>
      </x:c>
      <x:c r="BE485" t="inlineStr">
        <x:is>
          <x:t xml:space="preserve"/>
        </x:is>
      </x:c>
      <x:c r="BF485" t="inlineStr">
        <x:is>
          <x:t xml:space="preserve">SUCCESS</x:t>
        </x:is>
      </x:c>
      <x:c r="BG485" t="n">
        <x:f>IF((COUNT('Quantification_Results'!BA485)=1),IFERROR(ROUND((SUM(('Quantification_Results'!BA485*'Quantification_Config'!$R$19))/SUM('Quantification_Config'!$R$19)),'Quantification_Config'!$U$2),""),"")</x:f>
        <x:v>50</x:v>
      </x:c>
      <x:c r="BH485" t="n">
        <x:f>IF((COUNT('Quantification_Results'!BG485)=1),IFERROR(ROUND((SUM(('Quantification_Results'!BG485*'Quantification_Config'!$R$18))/SUM('Quantification_Config'!$R$18)),'Quantification_Config'!$U$2),""),"")</x:f>
        <x:v>50</x:v>
      </x:c>
      <x:c r="BI485" t="n">
        <x:f>IF((COUNT('Quantification_Results'!L485,'Quantification_Results'!X485,'Quantification_Results'!AJ485,'Quantification_Results'!AV485,'Quantification_Results'!BH485)=5),IFERROR(ROUND((SUM(('Quantification_Results'!L485*'Quantification_Config'!$R$4),('Quantification_Results'!X485*'Quantification_Config'!$R$7),('Quantification_Results'!AJ485*'Quantification_Config'!$R$10),('Quantification_Results'!AV485*'Quantification_Config'!$R$13),('Quantification_Results'!BH485*'Quantification_Config'!$R$16))/SUM('Quantification_Config'!$R$4,'Quantification_Config'!$R$7,'Quantification_Config'!$R$10,'Quantification_Config'!$R$13,'Quantification_Config'!$R$16)),'Quantification_Config'!$U$2),""),"")</x:f>
        <x:v>50</x:v>
      </x:c>
    </x:row>
    <x:row r="486">
      <x:c r="A486" t="n">
        <x:v>1</x:v>
      </x:c>
      <x:c r="B486" t="n">
        <x:v>5</x:v>
      </x:c>
      <x:c r="C486"/>
      <x:c r="D486" t="n">
        <x:f>IF(('Quantification_Results'!A486&lt;&gt;1),"",IF(('Quantification_Results'!C486=""),IF(ISNUMBER('Quantification_Results'!B486),IF(('Quantification_Results'!B486&lt;'Quantification_Config'!$S$6),"",IF(('Quantification_Results'!B486&gt;'Quantification_Config'!$T$6),"",'Quantification_Results'!B486)),""),IF(ISNUMBER('Quantification_Results'!C486),IF(('Quantification_Results'!C486&lt;'Quantification_Config'!$S$6),"",IF(('Quantification_Results'!C486&gt;'Quantification_Config'!$T$6),"",'Quantification_Results'!C486)),"")))</x:f>
        <x:v>5</x:v>
      </x:c>
      <x:c r="E486" t="n">
        <x:f>IF(ISNUMBER('Quantification_Results'!D486),IFERROR(ROUND(((('Quantification_Results'!D486-'Quantification_Config'!$S$6)/('Quantification_Config'!$T$6-'Quantification_Config'!$S$6))*100),'Quantification_Config'!$U$2),""),"")</x:f>
        <x:v>50</x:v>
      </x:c>
      <x:c r="F486" t="inlineStr">
        <x:is>
          <x:t xml:space="preserve">SYSTEM-TEST-ONLY-NO-NETWORK-NOT-AN-EDUCATIONAL-EVALUATION</x:t>
        </x:is>
      </x:c>
      <x:c r="G486" t="inlineStr">
        <x:is>
          <x:t xml:space="preserve"/>
        </x:is>
      </x:c>
      <x:c r="H486" t="inlineStr">
        <x:is>
          <x:t xml:space="preserve">NONE</x:t>
        </x:is>
      </x:c>
      <x:c r="I486" t="inlineStr">
        <x:is>
          <x:t xml:space="preserve"/>
        </x:is>
      </x:c>
      <x:c r="J486" t="inlineStr">
        <x:is>
          <x:t xml:space="preserve">SUCCESS</x:t>
        </x:is>
      </x:c>
      <x:c r="K486" t="n">
        <x:f>IF((COUNT('Quantification_Results'!E486)=1),IFERROR(ROUND((SUM(('Quantification_Results'!E486*'Quantification_Config'!$R$6))/SUM('Quantification_Config'!$R$6)),'Quantification_Config'!$U$2),""),"")</x:f>
        <x:v>50</x:v>
      </x:c>
      <x:c r="L486" t="n">
        <x:f>IF((COUNT('Quantification_Results'!K486)=1),IFERROR(ROUND((SUM(('Quantification_Results'!K486*'Quantification_Config'!$R$5))/SUM('Quantification_Config'!$R$5)),'Quantification_Config'!$U$2),""),"")</x:f>
        <x:v>50</x:v>
      </x:c>
      <x:c r="M486" t="n">
        <x:v>1</x:v>
      </x:c>
      <x:c r="N486" t="n">
        <x:v>5</x:v>
      </x:c>
      <x:c r="O486"/>
      <x:c r="P486" t="n">
        <x:f>IF(('Quantification_Results'!M486&lt;&gt;1),"",IF(('Quantification_Results'!O486=""),IF(ISNUMBER('Quantification_Results'!N486),IF(('Quantification_Results'!N486&lt;'Quantification_Config'!$S$9),"",IF(('Quantification_Results'!N486&gt;'Quantification_Config'!$T$9),"",'Quantification_Results'!N486)),""),IF(ISNUMBER('Quantification_Results'!O486),IF(('Quantification_Results'!O486&lt;'Quantification_Config'!$S$9),"",IF(('Quantification_Results'!O486&gt;'Quantification_Config'!$T$9),"",'Quantification_Results'!O486)),"")))</x:f>
        <x:v>5</x:v>
      </x:c>
      <x:c r="Q486" t="n">
        <x:f>IF(ISNUMBER('Quantification_Results'!P486),IFERROR(ROUND(((('Quantification_Results'!P486-'Quantification_Config'!$S$9)/('Quantification_Config'!$T$9-'Quantification_Config'!$S$9))*100),'Quantification_Config'!$U$2),""),"")</x:f>
        <x:v>50</x:v>
      </x:c>
      <x:c r="R486" t="inlineStr">
        <x:is>
          <x:t xml:space="preserve">SYSTEM-TEST-ONLY-NO-NETWORK-NOT-AN-EDUCATIONAL-EVALUATION</x:t>
        </x:is>
      </x:c>
      <x:c r="S486" t="inlineStr">
        <x:is>
          <x:t xml:space="preserve"/>
        </x:is>
      </x:c>
      <x:c r="T486" t="inlineStr">
        <x:is>
          <x:t xml:space="preserve">NONE</x:t>
        </x:is>
      </x:c>
      <x:c r="U486" t="inlineStr">
        <x:is>
          <x:t xml:space="preserve"/>
        </x:is>
      </x:c>
      <x:c r="V486" t="inlineStr">
        <x:is>
          <x:t xml:space="preserve">SUCCESS</x:t>
        </x:is>
      </x:c>
      <x:c r="W486" t="n">
        <x:f>IF((COUNT('Quantification_Results'!Q486)=1),IFERROR(ROUND((SUM(('Quantification_Results'!Q486*'Quantification_Config'!$R$9))/SUM('Quantification_Config'!$R$9)),'Quantification_Config'!$U$2),""),"")</x:f>
        <x:v>50</x:v>
      </x:c>
      <x:c r="X486" t="n">
        <x:f>IF((COUNT('Quantification_Results'!W486)=1),IFERROR(ROUND((SUM(('Quantification_Results'!W486*'Quantification_Config'!$R$8))/SUM('Quantification_Config'!$R$8)),'Quantification_Config'!$U$2),""),"")</x:f>
        <x:v>50</x:v>
      </x:c>
      <x:c r="Y486" t="n">
        <x:v>1</x:v>
      </x:c>
      <x:c r="Z486" t="n">
        <x:v>5</x:v>
      </x:c>
      <x:c r="AA486"/>
      <x:c r="AB486" t="n">
        <x:f>IF(('Quantification_Results'!Y486&lt;&gt;1),"",IF(('Quantification_Results'!AA486=""),IF(ISNUMBER('Quantification_Results'!Z486),IF(('Quantification_Results'!Z486&lt;'Quantification_Config'!$S$12),"",IF(('Quantification_Results'!Z486&gt;'Quantification_Config'!$T$12),"",'Quantification_Results'!Z486)),""),IF(ISNUMBER('Quantification_Results'!AA486),IF(('Quantification_Results'!AA486&lt;'Quantification_Config'!$S$12),"",IF(('Quantification_Results'!AA486&gt;'Quantification_Config'!$T$12),"",'Quantification_Results'!AA486)),"")))</x:f>
        <x:v>5</x:v>
      </x:c>
      <x:c r="AC486" t="n">
        <x:f>IF(ISNUMBER('Quantification_Results'!AB486),IFERROR(ROUND(((('Quantification_Results'!AB486-'Quantification_Config'!$S$12)/('Quantification_Config'!$T$12-'Quantification_Config'!$S$12))*100),'Quantification_Config'!$U$2),""),"")</x:f>
        <x:v>50</x:v>
      </x:c>
      <x:c r="AD486" t="inlineStr">
        <x:is>
          <x:t xml:space="preserve">SYSTEM-TEST-ONLY-NO-NETWORK-NOT-AN-EDUCATIONAL-EVALUATION</x:t>
        </x:is>
      </x:c>
      <x:c r="AE486" t="inlineStr">
        <x:is>
          <x:t xml:space="preserve"/>
        </x:is>
      </x:c>
      <x:c r="AF486" t="inlineStr">
        <x:is>
          <x:t xml:space="preserve">NONE</x:t>
        </x:is>
      </x:c>
      <x:c r="AG486" t="inlineStr">
        <x:is>
          <x:t xml:space="preserve"/>
        </x:is>
      </x:c>
      <x:c r="AH486" t="inlineStr">
        <x:is>
          <x:t xml:space="preserve">SUCCESS</x:t>
        </x:is>
      </x:c>
      <x:c r="AI486" t="n">
        <x:f>IF((COUNT('Quantification_Results'!AC486)=1),IFERROR(ROUND((SUM(('Quantification_Results'!AC486*'Quantification_Config'!$R$12))/SUM('Quantification_Config'!$R$12)),'Quantification_Config'!$U$2),""),"")</x:f>
        <x:v>50</x:v>
      </x:c>
      <x:c r="AJ486" t="n">
        <x:f>IF((COUNT('Quantification_Results'!AI486)=1),IFERROR(ROUND((SUM(('Quantification_Results'!AI486*'Quantification_Config'!$R$11))/SUM('Quantification_Config'!$R$11)),'Quantification_Config'!$U$2),""),"")</x:f>
        <x:v>50</x:v>
      </x:c>
      <x:c r="AK486" t="n">
        <x:v>1</x:v>
      </x:c>
      <x:c r="AL486" t="n">
        <x:v>5</x:v>
      </x:c>
      <x:c r="AM486"/>
      <x:c r="AN486" t="n">
        <x:f>IF(('Quantification_Results'!AK486&lt;&gt;1),"",IF(('Quantification_Results'!AM486=""),IF(ISNUMBER('Quantification_Results'!AL486),IF(('Quantification_Results'!AL486&lt;'Quantification_Config'!$S$15),"",IF(('Quantification_Results'!AL486&gt;'Quantification_Config'!$T$15),"",'Quantification_Results'!AL486)),""),IF(ISNUMBER('Quantification_Results'!AM486),IF(('Quantification_Results'!AM486&lt;'Quantification_Config'!$S$15),"",IF(('Quantification_Results'!AM486&gt;'Quantification_Config'!$T$15),"",'Quantification_Results'!AM486)),"")))</x:f>
        <x:v>5</x:v>
      </x:c>
      <x:c r="AO486" t="n">
        <x:f>IF(ISNUMBER('Quantification_Results'!AN486),IFERROR(ROUND(((('Quantification_Results'!AN486-'Quantification_Config'!$S$15)/('Quantification_Config'!$T$15-'Quantification_Config'!$S$15))*100),'Quantification_Config'!$U$2),""),"")</x:f>
        <x:v>50</x:v>
      </x:c>
      <x:c r="AP486" t="inlineStr">
        <x:is>
          <x:t xml:space="preserve">SYSTEM-TEST-ONLY-NO-NETWORK-NOT-AN-EDUCATIONAL-EVALUATION</x:t>
        </x:is>
      </x:c>
      <x:c r="AQ486" t="inlineStr">
        <x:is>
          <x:t xml:space="preserve"/>
        </x:is>
      </x:c>
      <x:c r="AR486" t="inlineStr">
        <x:is>
          <x:t xml:space="preserve">NONE</x:t>
        </x:is>
      </x:c>
      <x:c r="AS486" t="inlineStr">
        <x:is>
          <x:t xml:space="preserve"/>
        </x:is>
      </x:c>
      <x:c r="AT486" t="inlineStr">
        <x:is>
          <x:t xml:space="preserve">SUCCESS</x:t>
        </x:is>
      </x:c>
      <x:c r="AU486" t="n">
        <x:f>IF((COUNT('Quantification_Results'!AO486)=1),IFERROR(ROUND((SUM(('Quantification_Results'!AO486*'Quantification_Config'!$R$15))/SUM('Quantification_Config'!$R$15)),'Quantification_Config'!$U$2),""),"")</x:f>
        <x:v>50</x:v>
      </x:c>
      <x:c r="AV486" t="n">
        <x:f>IF((COUNT('Quantification_Results'!AU486)=1),IFERROR(ROUND((SUM(('Quantification_Results'!AU486*'Quantification_Config'!$R$14))/SUM('Quantification_Config'!$R$14)),'Quantification_Config'!$U$2),""),"")</x:f>
        <x:v>50</x:v>
      </x:c>
      <x:c r="AW486" t="n">
        <x:v>1</x:v>
      </x:c>
      <x:c r="AX486" t="n">
        <x:v>5</x:v>
      </x:c>
      <x:c r="AY486"/>
      <x:c r="AZ486" t="n">
        <x:f>IF(('Quantification_Results'!AW486&lt;&gt;1),"",IF(('Quantification_Results'!AY486=""),IF(ISNUMBER('Quantification_Results'!AX486),IF(('Quantification_Results'!AX486&lt;'Quantification_Config'!$S$19),"",IF(('Quantification_Results'!AX486&gt;'Quantification_Config'!$T$19),"",'Quantification_Results'!AX486)),""),IF(ISNUMBER('Quantification_Results'!AY486),IF(('Quantification_Results'!AY486&lt;'Quantification_Config'!$S$19),"",IF(('Quantification_Results'!AY486&gt;'Quantification_Config'!$T$19),"",'Quantification_Results'!AY486)),"")))</x:f>
        <x:v>5</x:v>
      </x:c>
      <x:c r="BA486" t="n">
        <x:f>IF(ISNUMBER('Quantification_Results'!AZ486),IFERROR(ROUND(((('Quantification_Results'!AZ486-'Quantification_Config'!$S$19)/('Quantification_Config'!$T$19-'Quantification_Config'!$S$19))*100),'Quantification_Config'!$U$2),""),"")</x:f>
        <x:v>50</x:v>
      </x:c>
      <x:c r="BB486" t="inlineStr">
        <x:is>
          <x:t xml:space="preserve">SYSTEM-TEST-ONLY-NO-NETWORK-NOT-AN-EDUCATIONAL-EVALUATION</x:t>
        </x:is>
      </x:c>
      <x:c r="BC486" t="inlineStr">
        <x:is>
          <x:t xml:space="preserve"/>
        </x:is>
      </x:c>
      <x:c r="BD486" t="inlineStr">
        <x:is>
          <x:t xml:space="preserve">NONE</x:t>
        </x:is>
      </x:c>
      <x:c r="BE486" t="inlineStr">
        <x:is>
          <x:t xml:space="preserve"/>
        </x:is>
      </x:c>
      <x:c r="BF486" t="inlineStr">
        <x:is>
          <x:t xml:space="preserve">SUCCESS</x:t>
        </x:is>
      </x:c>
      <x:c r="BG486" t="n">
        <x:f>IF((COUNT('Quantification_Results'!BA486)=1),IFERROR(ROUND((SUM(('Quantification_Results'!BA486*'Quantification_Config'!$R$19))/SUM('Quantification_Config'!$R$19)),'Quantification_Config'!$U$2),""),"")</x:f>
        <x:v>50</x:v>
      </x:c>
      <x:c r="BH486" t="n">
        <x:f>IF((COUNT('Quantification_Results'!BG486)=1),IFERROR(ROUND((SUM(('Quantification_Results'!BG486*'Quantification_Config'!$R$18))/SUM('Quantification_Config'!$R$18)),'Quantification_Config'!$U$2),""),"")</x:f>
        <x:v>50</x:v>
      </x:c>
      <x:c r="BI486" t="n">
        <x:f>IF((COUNT('Quantification_Results'!L486,'Quantification_Results'!X486,'Quantification_Results'!AJ486,'Quantification_Results'!AV486,'Quantification_Results'!BH486)=5),IFERROR(ROUND((SUM(('Quantification_Results'!L486*'Quantification_Config'!$R$4),('Quantification_Results'!X486*'Quantification_Config'!$R$7),('Quantification_Results'!AJ486*'Quantification_Config'!$R$10),('Quantification_Results'!AV486*'Quantification_Config'!$R$13),('Quantification_Results'!BH486*'Quantification_Config'!$R$16))/SUM('Quantification_Config'!$R$4,'Quantification_Config'!$R$7,'Quantification_Config'!$R$10,'Quantification_Config'!$R$13,'Quantification_Config'!$R$16)),'Quantification_Config'!$U$2),""),"")</x:f>
        <x:v>50</x:v>
      </x:c>
    </x:row>
    <x:row r="487">
      <x:c r="A487" t="n">
        <x:v>1</x:v>
      </x:c>
      <x:c r="B487" t="n">
        <x:v>5</x:v>
      </x:c>
      <x:c r="C487"/>
      <x:c r="D487" t="n">
        <x:f>IF(('Quantification_Results'!A487&lt;&gt;1),"",IF(('Quantification_Results'!C487=""),IF(ISNUMBER('Quantification_Results'!B487),IF(('Quantification_Results'!B487&lt;'Quantification_Config'!$S$6),"",IF(('Quantification_Results'!B487&gt;'Quantification_Config'!$T$6),"",'Quantification_Results'!B487)),""),IF(ISNUMBER('Quantification_Results'!C487),IF(('Quantification_Results'!C487&lt;'Quantification_Config'!$S$6),"",IF(('Quantification_Results'!C487&gt;'Quantification_Config'!$T$6),"",'Quantification_Results'!C487)),"")))</x:f>
        <x:v>5</x:v>
      </x:c>
      <x:c r="E487" t="n">
        <x:f>IF(ISNUMBER('Quantification_Results'!D487),IFERROR(ROUND(((('Quantification_Results'!D487-'Quantification_Config'!$S$6)/('Quantification_Config'!$T$6-'Quantification_Config'!$S$6))*100),'Quantification_Config'!$U$2),""),"")</x:f>
        <x:v>50</x:v>
      </x:c>
      <x:c r="F487" t="inlineStr">
        <x:is>
          <x:t xml:space="preserve">SYSTEM-TEST-ONLY-NO-NETWORK-NOT-AN-EDUCATIONAL-EVALUATION</x:t>
        </x:is>
      </x:c>
      <x:c r="G487" t="inlineStr">
        <x:is>
          <x:t xml:space="preserve"/>
        </x:is>
      </x:c>
      <x:c r="H487" t="inlineStr">
        <x:is>
          <x:t xml:space="preserve">NONE</x:t>
        </x:is>
      </x:c>
      <x:c r="I487" t="inlineStr">
        <x:is>
          <x:t xml:space="preserve"/>
        </x:is>
      </x:c>
      <x:c r="J487" t="inlineStr">
        <x:is>
          <x:t xml:space="preserve">SUCCESS</x:t>
        </x:is>
      </x:c>
      <x:c r="K487" t="n">
        <x:f>IF((COUNT('Quantification_Results'!E487)=1),IFERROR(ROUND((SUM(('Quantification_Results'!E487*'Quantification_Config'!$R$6))/SUM('Quantification_Config'!$R$6)),'Quantification_Config'!$U$2),""),"")</x:f>
        <x:v>50</x:v>
      </x:c>
      <x:c r="L487" t="n">
        <x:f>IF((COUNT('Quantification_Results'!K487)=1),IFERROR(ROUND((SUM(('Quantification_Results'!K487*'Quantification_Config'!$R$5))/SUM('Quantification_Config'!$R$5)),'Quantification_Config'!$U$2),""),"")</x:f>
        <x:v>50</x:v>
      </x:c>
      <x:c r="M487" t="n">
        <x:v>1</x:v>
      </x:c>
      <x:c r="N487" t="n">
        <x:v>5</x:v>
      </x:c>
      <x:c r="O487"/>
      <x:c r="P487" t="n">
        <x:f>IF(('Quantification_Results'!M487&lt;&gt;1),"",IF(('Quantification_Results'!O487=""),IF(ISNUMBER('Quantification_Results'!N487),IF(('Quantification_Results'!N487&lt;'Quantification_Config'!$S$9),"",IF(('Quantification_Results'!N487&gt;'Quantification_Config'!$T$9),"",'Quantification_Results'!N487)),""),IF(ISNUMBER('Quantification_Results'!O487),IF(('Quantification_Results'!O487&lt;'Quantification_Config'!$S$9),"",IF(('Quantification_Results'!O487&gt;'Quantification_Config'!$T$9),"",'Quantification_Results'!O487)),"")))</x:f>
        <x:v>5</x:v>
      </x:c>
      <x:c r="Q487" t="n">
        <x:f>IF(ISNUMBER('Quantification_Results'!P487),IFERROR(ROUND(((('Quantification_Results'!P487-'Quantification_Config'!$S$9)/('Quantification_Config'!$T$9-'Quantification_Config'!$S$9))*100),'Quantification_Config'!$U$2),""),"")</x:f>
        <x:v>50</x:v>
      </x:c>
      <x:c r="R487" t="inlineStr">
        <x:is>
          <x:t xml:space="preserve">SYSTEM-TEST-ONLY-NO-NETWORK-NOT-AN-EDUCATIONAL-EVALUATION</x:t>
        </x:is>
      </x:c>
      <x:c r="S487" t="inlineStr">
        <x:is>
          <x:t xml:space="preserve"/>
        </x:is>
      </x:c>
      <x:c r="T487" t="inlineStr">
        <x:is>
          <x:t xml:space="preserve">NONE</x:t>
        </x:is>
      </x:c>
      <x:c r="U487" t="inlineStr">
        <x:is>
          <x:t xml:space="preserve"/>
        </x:is>
      </x:c>
      <x:c r="V487" t="inlineStr">
        <x:is>
          <x:t xml:space="preserve">SUCCESS</x:t>
        </x:is>
      </x:c>
      <x:c r="W487" t="n">
        <x:f>IF((COUNT('Quantification_Results'!Q487)=1),IFERROR(ROUND((SUM(('Quantification_Results'!Q487*'Quantification_Config'!$R$9))/SUM('Quantification_Config'!$R$9)),'Quantification_Config'!$U$2),""),"")</x:f>
        <x:v>50</x:v>
      </x:c>
      <x:c r="X487" t="n">
        <x:f>IF((COUNT('Quantification_Results'!W487)=1),IFERROR(ROUND((SUM(('Quantification_Results'!W487*'Quantification_Config'!$R$8))/SUM('Quantification_Config'!$R$8)),'Quantification_Config'!$U$2),""),"")</x:f>
        <x:v>50</x:v>
      </x:c>
      <x:c r="Y487" t="n">
        <x:v>0</x:v>
      </x:c>
      <x:c r="Z487"/>
      <x:c r="AA487"/>
      <x:c r="AB487">
        <x:f>IF(('Quantification_Results'!Y487&lt;&gt;1),"",IF(('Quantification_Results'!AA487=""),IF(ISNUMBER('Quantification_Results'!Z487),IF(('Quantification_Results'!Z487&lt;'Quantification_Config'!$S$12),"",IF(('Quantification_Results'!Z487&gt;'Quantification_Config'!$T$12),"",'Quantification_Results'!Z487)),""),IF(ISNUMBER('Quantification_Results'!AA487),IF(('Quantification_Results'!AA487&lt;'Quantification_Config'!$S$12),"",IF(('Quantification_Results'!AA487&gt;'Quantification_Config'!$T$12),"",'Quantification_Results'!AA487)),"")))</x:f>
      </x:c>
      <x:c r="AC487">
        <x:f>IF(ISNUMBER('Quantification_Results'!AB487),IFERROR(ROUND(((('Quantification_Results'!AB487-'Quantification_Config'!$S$12)/('Quantification_Config'!$T$12-'Quantification_Config'!$S$12))*100),'Quantification_Config'!$U$2),""),"")</x:f>
      </x:c>
      <x:c r="AD487" t="inlineStr">
        <x:is>
          <x:t xml:space="preserve"/>
        </x:is>
      </x:c>
      <x:c r="AE487" t="inlineStr">
        <x:is>
          <x:t xml:space="preserve"/>
        </x:is>
      </x:c>
      <x:c r="AF487" t="inlineStr">
        <x:is>
          <x:t xml:space="preserve"/>
        </x:is>
      </x:c>
      <x:c r="AG487" t="inlineStr">
        <x:is>
          <x:t xml:space="preserve"/>
        </x:is>
      </x:c>
      <x:c r="AH487" t="inlineStr">
        <x:is>
          <x:t xml:space="preserve">EMPTY</x:t>
        </x:is>
      </x:c>
      <x:c r="AI487">
        <x:f>IF((COUNT('Quantification_Results'!AC487)=1),IFERROR(ROUND((SUM(('Quantification_Results'!AC487*'Quantification_Config'!$R$12))/SUM('Quantification_Config'!$R$12)),'Quantification_Config'!$U$2),""),"")</x:f>
      </x:c>
      <x:c r="AJ487">
        <x:f>IF((COUNT('Quantification_Results'!AI487)=1),IFERROR(ROUND((SUM(('Quantification_Results'!AI487*'Quantification_Config'!$R$11))/SUM('Quantification_Config'!$R$11)),'Quantification_Config'!$U$2),""),"")</x:f>
      </x:c>
      <x:c r="AK487" t="n">
        <x:v>1</x:v>
      </x:c>
      <x:c r="AL487" t="n">
        <x:v>5</x:v>
      </x:c>
      <x:c r="AM487"/>
      <x:c r="AN487" t="n">
        <x:f>IF(('Quantification_Results'!AK487&lt;&gt;1),"",IF(('Quantification_Results'!AM487=""),IF(ISNUMBER('Quantification_Results'!AL487),IF(('Quantification_Results'!AL487&lt;'Quantification_Config'!$S$15),"",IF(('Quantification_Results'!AL487&gt;'Quantification_Config'!$T$15),"",'Quantification_Results'!AL487)),""),IF(ISNUMBER('Quantification_Results'!AM487),IF(('Quantification_Results'!AM487&lt;'Quantification_Config'!$S$15),"",IF(('Quantification_Results'!AM487&gt;'Quantification_Config'!$T$15),"",'Quantification_Results'!AM487)),"")))</x:f>
        <x:v>5</x:v>
      </x:c>
      <x:c r="AO487" t="n">
        <x:f>IF(ISNUMBER('Quantification_Results'!AN487),IFERROR(ROUND(((('Quantification_Results'!AN487-'Quantification_Config'!$S$15)/('Quantification_Config'!$T$15-'Quantification_Config'!$S$15))*100),'Quantification_Config'!$U$2),""),"")</x:f>
        <x:v>50</x:v>
      </x:c>
      <x:c r="AP487" t="inlineStr">
        <x:is>
          <x:t xml:space="preserve">SYSTEM-TEST-ONLY-NO-NETWORK-NOT-AN-EDUCATIONAL-EVALUATION</x:t>
        </x:is>
      </x:c>
      <x:c r="AQ487" t="inlineStr">
        <x:is>
          <x:t xml:space="preserve"/>
        </x:is>
      </x:c>
      <x:c r="AR487" t="inlineStr">
        <x:is>
          <x:t xml:space="preserve">NONE</x:t>
        </x:is>
      </x:c>
      <x:c r="AS487" t="inlineStr">
        <x:is>
          <x:t xml:space="preserve"/>
        </x:is>
      </x:c>
      <x:c r="AT487" t="inlineStr">
        <x:is>
          <x:t xml:space="preserve">SUCCESS</x:t>
        </x:is>
      </x:c>
      <x:c r="AU487" t="n">
        <x:f>IF((COUNT('Quantification_Results'!AO487)=1),IFERROR(ROUND((SUM(('Quantification_Results'!AO487*'Quantification_Config'!$R$15))/SUM('Quantification_Config'!$R$15)),'Quantification_Config'!$U$2),""),"")</x:f>
        <x:v>50</x:v>
      </x:c>
      <x:c r="AV487" t="n">
        <x:f>IF((COUNT('Quantification_Results'!AU487)=1),IFERROR(ROUND((SUM(('Quantification_Results'!AU487*'Quantification_Config'!$R$14))/SUM('Quantification_Config'!$R$14)),'Quantification_Config'!$U$2),""),"")</x:f>
        <x:v>50</x:v>
      </x:c>
      <x:c r="AW487" t="n">
        <x:v>1</x:v>
      </x:c>
      <x:c r="AX487" t="n">
        <x:v>5</x:v>
      </x:c>
      <x:c r="AY487"/>
      <x:c r="AZ487" t="n">
        <x:f>IF(('Quantification_Results'!AW487&lt;&gt;1),"",IF(('Quantification_Results'!AY487=""),IF(ISNUMBER('Quantification_Results'!AX487),IF(('Quantification_Results'!AX487&lt;'Quantification_Config'!$S$19),"",IF(('Quantification_Results'!AX487&gt;'Quantification_Config'!$T$19),"",'Quantification_Results'!AX487)),""),IF(ISNUMBER('Quantification_Results'!AY487),IF(('Quantification_Results'!AY487&lt;'Quantification_Config'!$S$19),"",IF(('Quantification_Results'!AY487&gt;'Quantification_Config'!$T$19),"",'Quantification_Results'!AY487)),"")))</x:f>
        <x:v>5</x:v>
      </x:c>
      <x:c r="BA487" t="n">
        <x:f>IF(ISNUMBER('Quantification_Results'!AZ487),IFERROR(ROUND(((('Quantification_Results'!AZ487-'Quantification_Config'!$S$19)/('Quantification_Config'!$T$19-'Quantification_Config'!$S$19))*100),'Quantification_Config'!$U$2),""),"")</x:f>
        <x:v>50</x:v>
      </x:c>
      <x:c r="BB487" t="inlineStr">
        <x:is>
          <x:t xml:space="preserve">SYSTEM-TEST-ONLY-NO-NETWORK-NOT-AN-EDUCATIONAL-EVALUATION</x:t>
        </x:is>
      </x:c>
      <x:c r="BC487" t="inlineStr">
        <x:is>
          <x:t xml:space="preserve"/>
        </x:is>
      </x:c>
      <x:c r="BD487" t="inlineStr">
        <x:is>
          <x:t xml:space="preserve">NONE</x:t>
        </x:is>
      </x:c>
      <x:c r="BE487" t="inlineStr">
        <x:is>
          <x:t xml:space="preserve"/>
        </x:is>
      </x:c>
      <x:c r="BF487" t="inlineStr">
        <x:is>
          <x:t xml:space="preserve">SUCCESS</x:t>
        </x:is>
      </x:c>
      <x:c r="BG487" t="n">
        <x:f>IF((COUNT('Quantification_Results'!BA487)=1),IFERROR(ROUND((SUM(('Quantification_Results'!BA487*'Quantification_Config'!$R$19))/SUM('Quantification_Config'!$R$19)),'Quantification_Config'!$U$2),""),"")</x:f>
        <x:v>50</x:v>
      </x:c>
      <x:c r="BH487" t="n">
        <x:f>IF((COUNT('Quantification_Results'!BG487)=1),IFERROR(ROUND((SUM(('Quantification_Results'!BG487*'Quantification_Config'!$R$18))/SUM('Quantification_Config'!$R$18)),'Quantification_Config'!$U$2),""),"")</x:f>
        <x:v>50</x:v>
      </x:c>
      <x:c r="BI487">
        <x:f>IF((COUNT('Quantification_Results'!L487,'Quantification_Results'!X487,'Quantification_Results'!AJ487,'Quantification_Results'!AV487,'Quantification_Results'!BH487)=5),IFERROR(ROUND((SUM(('Quantification_Results'!L487*'Quantification_Config'!$R$4),('Quantification_Results'!X487*'Quantification_Config'!$R$7),('Quantification_Results'!AJ487*'Quantification_Config'!$R$10),('Quantification_Results'!AV487*'Quantification_Config'!$R$13),('Quantification_Results'!BH487*'Quantification_Config'!$R$16))/SUM('Quantification_Config'!$R$4,'Quantification_Config'!$R$7,'Quantification_Config'!$R$10,'Quantification_Config'!$R$13,'Quantification_Config'!$R$16)),'Quantification_Config'!$U$2),""),"")</x:f>
      </x:c>
    </x:row>
    <x:row r="488">
      <x:c r="A488" t="n">
        <x:v>1</x:v>
      </x:c>
      <x:c r="B488" t="n">
        <x:v>5</x:v>
      </x:c>
      <x:c r="C488"/>
      <x:c r="D488" t="n">
        <x:f>IF(('Quantification_Results'!A488&lt;&gt;1),"",IF(('Quantification_Results'!C488=""),IF(ISNUMBER('Quantification_Results'!B488),IF(('Quantification_Results'!B488&lt;'Quantification_Config'!$S$6),"",IF(('Quantification_Results'!B488&gt;'Quantification_Config'!$T$6),"",'Quantification_Results'!B488)),""),IF(ISNUMBER('Quantification_Results'!C488),IF(('Quantification_Results'!C488&lt;'Quantification_Config'!$S$6),"",IF(('Quantification_Results'!C488&gt;'Quantification_Config'!$T$6),"",'Quantification_Results'!C488)),"")))</x:f>
        <x:v>5</x:v>
      </x:c>
      <x:c r="E488" t="n">
        <x:f>IF(ISNUMBER('Quantification_Results'!D488),IFERROR(ROUND(((('Quantification_Results'!D488-'Quantification_Config'!$S$6)/('Quantification_Config'!$T$6-'Quantification_Config'!$S$6))*100),'Quantification_Config'!$U$2),""),"")</x:f>
        <x:v>50</x:v>
      </x:c>
      <x:c r="F488" t="inlineStr">
        <x:is>
          <x:t xml:space="preserve">SYSTEM-TEST-ONLY-NO-NETWORK-NOT-AN-EDUCATIONAL-EVALUATION</x:t>
        </x:is>
      </x:c>
      <x:c r="G488" t="inlineStr">
        <x:is>
          <x:t xml:space="preserve"/>
        </x:is>
      </x:c>
      <x:c r="H488" t="inlineStr">
        <x:is>
          <x:t xml:space="preserve">NONE</x:t>
        </x:is>
      </x:c>
      <x:c r="I488" t="inlineStr">
        <x:is>
          <x:t xml:space="preserve"/>
        </x:is>
      </x:c>
      <x:c r="J488" t="inlineStr">
        <x:is>
          <x:t xml:space="preserve">SUCCESS</x:t>
        </x:is>
      </x:c>
      <x:c r="K488" t="n">
        <x:f>IF((COUNT('Quantification_Results'!E488)=1),IFERROR(ROUND((SUM(('Quantification_Results'!E488*'Quantification_Config'!$R$6))/SUM('Quantification_Config'!$R$6)),'Quantification_Config'!$U$2),""),"")</x:f>
        <x:v>50</x:v>
      </x:c>
      <x:c r="L488" t="n">
        <x:f>IF((COUNT('Quantification_Results'!K488)=1),IFERROR(ROUND((SUM(('Quantification_Results'!K488*'Quantification_Config'!$R$5))/SUM('Quantification_Config'!$R$5)),'Quantification_Config'!$U$2),""),"")</x:f>
        <x:v>50</x:v>
      </x:c>
      <x:c r="M488" t="n">
        <x:v>1</x:v>
      </x:c>
      <x:c r="N488" t="n">
        <x:v>5</x:v>
      </x:c>
      <x:c r="O488"/>
      <x:c r="P488" t="n">
        <x:f>IF(('Quantification_Results'!M488&lt;&gt;1),"",IF(('Quantification_Results'!O488=""),IF(ISNUMBER('Quantification_Results'!N488),IF(('Quantification_Results'!N488&lt;'Quantification_Config'!$S$9),"",IF(('Quantification_Results'!N488&gt;'Quantification_Config'!$T$9),"",'Quantification_Results'!N488)),""),IF(ISNUMBER('Quantification_Results'!O488),IF(('Quantification_Results'!O488&lt;'Quantification_Config'!$S$9),"",IF(('Quantification_Results'!O488&gt;'Quantification_Config'!$T$9),"",'Quantification_Results'!O488)),"")))</x:f>
        <x:v>5</x:v>
      </x:c>
      <x:c r="Q488" t="n">
        <x:f>IF(ISNUMBER('Quantification_Results'!P488),IFERROR(ROUND(((('Quantification_Results'!P488-'Quantification_Config'!$S$9)/('Quantification_Config'!$T$9-'Quantification_Config'!$S$9))*100),'Quantification_Config'!$U$2),""),"")</x:f>
        <x:v>50</x:v>
      </x:c>
      <x:c r="R488" t="inlineStr">
        <x:is>
          <x:t xml:space="preserve">SYSTEM-TEST-ONLY-NO-NETWORK-NOT-AN-EDUCATIONAL-EVALUATION</x:t>
        </x:is>
      </x:c>
      <x:c r="S488" t="inlineStr">
        <x:is>
          <x:t xml:space="preserve"/>
        </x:is>
      </x:c>
      <x:c r="T488" t="inlineStr">
        <x:is>
          <x:t xml:space="preserve">NONE</x:t>
        </x:is>
      </x:c>
      <x:c r="U488" t="inlineStr">
        <x:is>
          <x:t xml:space="preserve"/>
        </x:is>
      </x:c>
      <x:c r="V488" t="inlineStr">
        <x:is>
          <x:t xml:space="preserve">SUCCESS</x:t>
        </x:is>
      </x:c>
      <x:c r="W488" t="n">
        <x:f>IF((COUNT('Quantification_Results'!Q488)=1),IFERROR(ROUND((SUM(('Quantification_Results'!Q488*'Quantification_Config'!$R$9))/SUM('Quantification_Config'!$R$9)),'Quantification_Config'!$U$2),""),"")</x:f>
        <x:v>50</x:v>
      </x:c>
      <x:c r="X488" t="n">
        <x:f>IF((COUNT('Quantification_Results'!W488)=1),IFERROR(ROUND((SUM(('Quantification_Results'!W488*'Quantification_Config'!$R$8))/SUM('Quantification_Config'!$R$8)),'Quantification_Config'!$U$2),""),"")</x:f>
        <x:v>50</x:v>
      </x:c>
      <x:c r="Y488" t="n">
        <x:v>0</x:v>
      </x:c>
      <x:c r="Z488"/>
      <x:c r="AA488"/>
      <x:c r="AB488">
        <x:f>IF(('Quantification_Results'!Y488&lt;&gt;1),"",IF(('Quantification_Results'!AA488=""),IF(ISNUMBER('Quantification_Results'!Z488),IF(('Quantification_Results'!Z488&lt;'Quantification_Config'!$S$12),"",IF(('Quantification_Results'!Z488&gt;'Quantification_Config'!$T$12),"",'Quantification_Results'!Z488)),""),IF(ISNUMBER('Quantification_Results'!AA488),IF(('Quantification_Results'!AA488&lt;'Quantification_Config'!$S$12),"",IF(('Quantification_Results'!AA488&gt;'Quantification_Config'!$T$12),"",'Quantification_Results'!AA488)),"")))</x:f>
      </x:c>
      <x:c r="AC488">
        <x:f>IF(ISNUMBER('Quantification_Results'!AB488),IFERROR(ROUND(((('Quantification_Results'!AB488-'Quantification_Config'!$S$12)/('Quantification_Config'!$T$12-'Quantification_Config'!$S$12))*100),'Quantification_Config'!$U$2),""),"")</x:f>
      </x:c>
      <x:c r="AD488" t="inlineStr">
        <x:is>
          <x:t xml:space="preserve"/>
        </x:is>
      </x:c>
      <x:c r="AE488" t="inlineStr">
        <x:is>
          <x:t xml:space="preserve"/>
        </x:is>
      </x:c>
      <x:c r="AF488" t="inlineStr">
        <x:is>
          <x:t xml:space="preserve"/>
        </x:is>
      </x:c>
      <x:c r="AG488" t="inlineStr">
        <x:is>
          <x:t xml:space="preserve"/>
        </x:is>
      </x:c>
      <x:c r="AH488" t="inlineStr">
        <x:is>
          <x:t xml:space="preserve">EMPTY</x:t>
        </x:is>
      </x:c>
      <x:c r="AI488">
        <x:f>IF((COUNT('Quantification_Results'!AC488)=1),IFERROR(ROUND((SUM(('Quantification_Results'!AC488*'Quantification_Config'!$R$12))/SUM('Quantification_Config'!$R$12)),'Quantification_Config'!$U$2),""),"")</x:f>
      </x:c>
      <x:c r="AJ488">
        <x:f>IF((COUNT('Quantification_Results'!AI488)=1),IFERROR(ROUND((SUM(('Quantification_Results'!AI488*'Quantification_Config'!$R$11))/SUM('Quantification_Config'!$R$11)),'Quantification_Config'!$U$2),""),"")</x:f>
      </x:c>
      <x:c r="AK488" t="n">
        <x:v>1</x:v>
      </x:c>
      <x:c r="AL488" t="n">
        <x:v>5</x:v>
      </x:c>
      <x:c r="AM488"/>
      <x:c r="AN488" t="n">
        <x:f>IF(('Quantification_Results'!AK488&lt;&gt;1),"",IF(('Quantification_Results'!AM488=""),IF(ISNUMBER('Quantification_Results'!AL488),IF(('Quantification_Results'!AL488&lt;'Quantification_Config'!$S$15),"",IF(('Quantification_Results'!AL488&gt;'Quantification_Config'!$T$15),"",'Quantification_Results'!AL488)),""),IF(ISNUMBER('Quantification_Results'!AM488),IF(('Quantification_Results'!AM488&lt;'Quantification_Config'!$S$15),"",IF(('Quantification_Results'!AM488&gt;'Quantification_Config'!$T$15),"",'Quantification_Results'!AM488)),"")))</x:f>
        <x:v>5</x:v>
      </x:c>
      <x:c r="AO488" t="n">
        <x:f>IF(ISNUMBER('Quantification_Results'!AN488),IFERROR(ROUND(((('Quantification_Results'!AN488-'Quantification_Config'!$S$15)/('Quantification_Config'!$T$15-'Quantification_Config'!$S$15))*100),'Quantification_Config'!$U$2),""),"")</x:f>
        <x:v>50</x:v>
      </x:c>
      <x:c r="AP488" t="inlineStr">
        <x:is>
          <x:t xml:space="preserve">SYSTEM-TEST-ONLY-NO-NETWORK-NOT-AN-EDUCATIONAL-EVALUATION</x:t>
        </x:is>
      </x:c>
      <x:c r="AQ488" t="inlineStr">
        <x:is>
          <x:t xml:space="preserve"/>
        </x:is>
      </x:c>
      <x:c r="AR488" t="inlineStr">
        <x:is>
          <x:t xml:space="preserve">NONE</x:t>
        </x:is>
      </x:c>
      <x:c r="AS488" t="inlineStr">
        <x:is>
          <x:t xml:space="preserve"/>
        </x:is>
      </x:c>
      <x:c r="AT488" t="inlineStr">
        <x:is>
          <x:t xml:space="preserve">SUCCESS</x:t>
        </x:is>
      </x:c>
      <x:c r="AU488" t="n">
        <x:f>IF((COUNT('Quantification_Results'!AO488)=1),IFERROR(ROUND((SUM(('Quantification_Results'!AO488*'Quantification_Config'!$R$15))/SUM('Quantification_Config'!$R$15)),'Quantification_Config'!$U$2),""),"")</x:f>
        <x:v>50</x:v>
      </x:c>
      <x:c r="AV488" t="n">
        <x:f>IF((COUNT('Quantification_Results'!AU488)=1),IFERROR(ROUND((SUM(('Quantification_Results'!AU488*'Quantification_Config'!$R$14))/SUM('Quantification_Config'!$R$14)),'Quantification_Config'!$U$2),""),"")</x:f>
        <x:v>50</x:v>
      </x:c>
      <x:c r="AW488" t="n">
        <x:v>1</x:v>
      </x:c>
      <x:c r="AX488" t="n">
        <x:v>5</x:v>
      </x:c>
      <x:c r="AY488"/>
      <x:c r="AZ488" t="n">
        <x:f>IF(('Quantification_Results'!AW488&lt;&gt;1),"",IF(('Quantification_Results'!AY488=""),IF(ISNUMBER('Quantification_Results'!AX488),IF(('Quantification_Results'!AX488&lt;'Quantification_Config'!$S$19),"",IF(('Quantification_Results'!AX488&gt;'Quantification_Config'!$T$19),"",'Quantification_Results'!AX488)),""),IF(ISNUMBER('Quantification_Results'!AY488),IF(('Quantification_Results'!AY488&lt;'Quantification_Config'!$S$19),"",IF(('Quantification_Results'!AY488&gt;'Quantification_Config'!$T$19),"",'Quantification_Results'!AY488)),"")))</x:f>
        <x:v>5</x:v>
      </x:c>
      <x:c r="BA488" t="n">
        <x:f>IF(ISNUMBER('Quantification_Results'!AZ488),IFERROR(ROUND(((('Quantification_Results'!AZ488-'Quantification_Config'!$S$19)/('Quantification_Config'!$T$19-'Quantification_Config'!$S$19))*100),'Quantification_Config'!$U$2),""),"")</x:f>
        <x:v>50</x:v>
      </x:c>
      <x:c r="BB488" t="inlineStr">
        <x:is>
          <x:t xml:space="preserve">SYSTEM-TEST-ONLY-NO-NETWORK-NOT-AN-EDUCATIONAL-EVALUATION</x:t>
        </x:is>
      </x:c>
      <x:c r="BC488" t="inlineStr">
        <x:is>
          <x:t xml:space="preserve"/>
        </x:is>
      </x:c>
      <x:c r="BD488" t="inlineStr">
        <x:is>
          <x:t xml:space="preserve">NONE</x:t>
        </x:is>
      </x:c>
      <x:c r="BE488" t="inlineStr">
        <x:is>
          <x:t xml:space="preserve"/>
        </x:is>
      </x:c>
      <x:c r="BF488" t="inlineStr">
        <x:is>
          <x:t xml:space="preserve">SUCCESS</x:t>
        </x:is>
      </x:c>
      <x:c r="BG488" t="n">
        <x:f>IF((COUNT('Quantification_Results'!BA488)=1),IFERROR(ROUND((SUM(('Quantification_Results'!BA488*'Quantification_Config'!$R$19))/SUM('Quantification_Config'!$R$19)),'Quantification_Config'!$U$2),""),"")</x:f>
        <x:v>50</x:v>
      </x:c>
      <x:c r="BH488" t="n">
        <x:f>IF((COUNT('Quantification_Results'!BG488)=1),IFERROR(ROUND((SUM(('Quantification_Results'!BG488*'Quantification_Config'!$R$18))/SUM('Quantification_Config'!$R$18)),'Quantification_Config'!$U$2),""),"")</x:f>
        <x:v>50</x:v>
      </x:c>
      <x:c r="BI488">
        <x:f>IF((COUNT('Quantification_Results'!L488,'Quantification_Results'!X488,'Quantification_Results'!AJ488,'Quantification_Results'!AV488,'Quantification_Results'!BH488)=5),IFERROR(ROUND((SUM(('Quantification_Results'!L488*'Quantification_Config'!$R$4),('Quantification_Results'!X488*'Quantification_Config'!$R$7),('Quantification_Results'!AJ488*'Quantification_Config'!$R$10),('Quantification_Results'!AV488*'Quantification_Config'!$R$13),('Quantification_Results'!BH488*'Quantification_Config'!$R$16))/SUM('Quantification_Config'!$R$4,'Quantification_Config'!$R$7,'Quantification_Config'!$R$10,'Quantification_Config'!$R$13,'Quantification_Config'!$R$16)),'Quantification_Config'!$U$2),""),"")</x:f>
      </x:c>
    </x:row>
    <x:row r="489">
      <x:c r="A489" t="n">
        <x:v>1</x:v>
      </x:c>
      <x:c r="B489" t="n">
        <x:v>5</x:v>
      </x:c>
      <x:c r="C489"/>
      <x:c r="D489" t="n">
        <x:f>IF(('Quantification_Results'!A489&lt;&gt;1),"",IF(('Quantification_Results'!C489=""),IF(ISNUMBER('Quantification_Results'!B489),IF(('Quantification_Results'!B489&lt;'Quantification_Config'!$S$6),"",IF(('Quantification_Results'!B489&gt;'Quantification_Config'!$T$6),"",'Quantification_Results'!B489)),""),IF(ISNUMBER('Quantification_Results'!C489),IF(('Quantification_Results'!C489&lt;'Quantification_Config'!$S$6),"",IF(('Quantification_Results'!C489&gt;'Quantification_Config'!$T$6),"",'Quantification_Results'!C489)),"")))</x:f>
        <x:v>5</x:v>
      </x:c>
      <x:c r="E489" t="n">
        <x:f>IF(ISNUMBER('Quantification_Results'!D489),IFERROR(ROUND(((('Quantification_Results'!D489-'Quantification_Config'!$S$6)/('Quantification_Config'!$T$6-'Quantification_Config'!$S$6))*100),'Quantification_Config'!$U$2),""),"")</x:f>
        <x:v>50</x:v>
      </x:c>
      <x:c r="F489" t="inlineStr">
        <x:is>
          <x:t xml:space="preserve">SYSTEM-TEST-ONLY-NO-NETWORK-NOT-AN-EDUCATIONAL-EVALUATION</x:t>
        </x:is>
      </x:c>
      <x:c r="G489" t="inlineStr">
        <x:is>
          <x:t xml:space="preserve"/>
        </x:is>
      </x:c>
      <x:c r="H489" t="inlineStr">
        <x:is>
          <x:t xml:space="preserve">NONE</x:t>
        </x:is>
      </x:c>
      <x:c r="I489" t="inlineStr">
        <x:is>
          <x:t xml:space="preserve"/>
        </x:is>
      </x:c>
      <x:c r="J489" t="inlineStr">
        <x:is>
          <x:t xml:space="preserve">SUCCESS</x:t>
        </x:is>
      </x:c>
      <x:c r="K489" t="n">
        <x:f>IF((COUNT('Quantification_Results'!E489)=1),IFERROR(ROUND((SUM(('Quantification_Results'!E489*'Quantification_Config'!$R$6))/SUM('Quantification_Config'!$R$6)),'Quantification_Config'!$U$2),""),"")</x:f>
        <x:v>50</x:v>
      </x:c>
      <x:c r="L489" t="n">
        <x:f>IF((COUNT('Quantification_Results'!K489)=1),IFERROR(ROUND((SUM(('Quantification_Results'!K489*'Quantification_Config'!$R$5))/SUM('Quantification_Config'!$R$5)),'Quantification_Config'!$U$2),""),"")</x:f>
        <x:v>50</x:v>
      </x:c>
      <x:c r="M489" t="n">
        <x:v>0</x:v>
      </x:c>
      <x:c r="N489"/>
      <x:c r="O489"/>
      <x:c r="P489">
        <x:f>IF(('Quantification_Results'!M489&lt;&gt;1),"",IF(('Quantification_Results'!O489=""),IF(ISNUMBER('Quantification_Results'!N489),IF(('Quantification_Results'!N489&lt;'Quantification_Config'!$S$9),"",IF(('Quantification_Results'!N489&gt;'Quantification_Config'!$T$9),"",'Quantification_Results'!N489)),""),IF(ISNUMBER('Quantification_Results'!O489),IF(('Quantification_Results'!O489&lt;'Quantification_Config'!$S$9),"",IF(('Quantification_Results'!O489&gt;'Quantification_Config'!$T$9),"",'Quantification_Results'!O489)),"")))</x:f>
      </x:c>
      <x:c r="Q489">
        <x:f>IF(ISNUMBER('Quantification_Results'!P489),IFERROR(ROUND(((('Quantification_Results'!P489-'Quantification_Config'!$S$9)/('Quantification_Config'!$T$9-'Quantification_Config'!$S$9))*100),'Quantification_Config'!$U$2),""),"")</x:f>
      </x:c>
      <x:c r="R489" t="inlineStr">
        <x:is>
          <x:t xml:space="preserve"/>
        </x:is>
      </x:c>
      <x:c r="S489" t="inlineStr">
        <x:is>
          <x:t xml:space="preserve"/>
        </x:is>
      </x:c>
      <x:c r="T489" t="inlineStr">
        <x:is>
          <x:t xml:space="preserve"/>
        </x:is>
      </x:c>
      <x:c r="U489" t="inlineStr">
        <x:is>
          <x:t xml:space="preserve"/>
        </x:is>
      </x:c>
      <x:c r="V489" t="inlineStr">
        <x:is>
          <x:t xml:space="preserve">EMPTY</x:t>
        </x:is>
      </x:c>
      <x:c r="W489">
        <x:f>IF((COUNT('Quantification_Results'!Q489)=1),IFERROR(ROUND((SUM(('Quantification_Results'!Q489*'Quantification_Config'!$R$9))/SUM('Quantification_Config'!$R$9)),'Quantification_Config'!$U$2),""),"")</x:f>
      </x:c>
      <x:c r="X489">
        <x:f>IF((COUNT('Quantification_Results'!W489)=1),IFERROR(ROUND((SUM(('Quantification_Results'!W489*'Quantification_Config'!$R$8))/SUM('Quantification_Config'!$R$8)),'Quantification_Config'!$U$2),""),"")</x:f>
      </x:c>
      <x:c r="Y489" t="n">
        <x:v>0</x:v>
      </x:c>
      <x:c r="Z489"/>
      <x:c r="AA489"/>
      <x:c r="AB489">
        <x:f>IF(('Quantification_Results'!Y489&lt;&gt;1),"",IF(('Quantification_Results'!AA489=""),IF(ISNUMBER('Quantification_Results'!Z489),IF(('Quantification_Results'!Z489&lt;'Quantification_Config'!$S$12),"",IF(('Quantification_Results'!Z489&gt;'Quantification_Config'!$T$12),"",'Quantification_Results'!Z489)),""),IF(ISNUMBER('Quantification_Results'!AA489),IF(('Quantification_Results'!AA489&lt;'Quantification_Config'!$S$12),"",IF(('Quantification_Results'!AA489&gt;'Quantification_Config'!$T$12),"",'Quantification_Results'!AA489)),"")))</x:f>
      </x:c>
      <x:c r="AC489">
        <x:f>IF(ISNUMBER('Quantification_Results'!AB489),IFERROR(ROUND(((('Quantification_Results'!AB489-'Quantification_Config'!$S$12)/('Quantification_Config'!$T$12-'Quantification_Config'!$S$12))*100),'Quantification_Config'!$U$2),""),"")</x:f>
      </x:c>
      <x:c r="AD489" t="inlineStr">
        <x:is>
          <x:t xml:space="preserve"/>
        </x:is>
      </x:c>
      <x:c r="AE489" t="inlineStr">
        <x:is>
          <x:t xml:space="preserve"/>
        </x:is>
      </x:c>
      <x:c r="AF489" t="inlineStr">
        <x:is>
          <x:t xml:space="preserve"/>
        </x:is>
      </x:c>
      <x:c r="AG489" t="inlineStr">
        <x:is>
          <x:t xml:space="preserve"/>
        </x:is>
      </x:c>
      <x:c r="AH489" t="inlineStr">
        <x:is>
          <x:t xml:space="preserve">EMPTY</x:t>
        </x:is>
      </x:c>
      <x:c r="AI489">
        <x:f>IF((COUNT('Quantification_Results'!AC489)=1),IFERROR(ROUND((SUM(('Quantification_Results'!AC489*'Quantification_Config'!$R$12))/SUM('Quantification_Config'!$R$12)),'Quantification_Config'!$U$2),""),"")</x:f>
      </x:c>
      <x:c r="AJ489">
        <x:f>IF((COUNT('Quantification_Results'!AI489)=1),IFERROR(ROUND((SUM(('Quantification_Results'!AI489*'Quantification_Config'!$R$11))/SUM('Quantification_Config'!$R$11)),'Quantification_Config'!$U$2),""),"")</x:f>
      </x:c>
      <x:c r="AK489" t="n">
        <x:v>1</x:v>
      </x:c>
      <x:c r="AL489" t="n">
        <x:v>5</x:v>
      </x:c>
      <x:c r="AM489"/>
      <x:c r="AN489" t="n">
        <x:f>IF(('Quantification_Results'!AK489&lt;&gt;1),"",IF(('Quantification_Results'!AM489=""),IF(ISNUMBER('Quantification_Results'!AL489),IF(('Quantification_Results'!AL489&lt;'Quantification_Config'!$S$15),"",IF(('Quantification_Results'!AL489&gt;'Quantification_Config'!$T$15),"",'Quantification_Results'!AL489)),""),IF(ISNUMBER('Quantification_Results'!AM489),IF(('Quantification_Results'!AM489&lt;'Quantification_Config'!$S$15),"",IF(('Quantification_Results'!AM489&gt;'Quantification_Config'!$T$15),"",'Quantification_Results'!AM489)),"")))</x:f>
        <x:v>5</x:v>
      </x:c>
      <x:c r="AO489" t="n">
        <x:f>IF(ISNUMBER('Quantification_Results'!AN489),IFERROR(ROUND(((('Quantification_Results'!AN489-'Quantification_Config'!$S$15)/('Quantification_Config'!$T$15-'Quantification_Config'!$S$15))*100),'Quantification_Config'!$U$2),""),"")</x:f>
        <x:v>50</x:v>
      </x:c>
      <x:c r="AP489" t="inlineStr">
        <x:is>
          <x:t xml:space="preserve">SYSTEM-TEST-ONLY-NO-NETWORK-NOT-AN-EDUCATIONAL-EVALUATION</x:t>
        </x:is>
      </x:c>
      <x:c r="AQ489" t="inlineStr">
        <x:is>
          <x:t xml:space="preserve"/>
        </x:is>
      </x:c>
      <x:c r="AR489" t="inlineStr">
        <x:is>
          <x:t xml:space="preserve">NONE</x:t>
        </x:is>
      </x:c>
      <x:c r="AS489" t="inlineStr">
        <x:is>
          <x:t xml:space="preserve"/>
        </x:is>
      </x:c>
      <x:c r="AT489" t="inlineStr">
        <x:is>
          <x:t xml:space="preserve">SUCCESS</x:t>
        </x:is>
      </x:c>
      <x:c r="AU489" t="n">
        <x:f>IF((COUNT('Quantification_Results'!AO489)=1),IFERROR(ROUND((SUM(('Quantification_Results'!AO489*'Quantification_Config'!$R$15))/SUM('Quantification_Config'!$R$15)),'Quantification_Config'!$U$2),""),"")</x:f>
        <x:v>50</x:v>
      </x:c>
      <x:c r="AV489" t="n">
        <x:f>IF((COUNT('Quantification_Results'!AU489)=1),IFERROR(ROUND((SUM(('Quantification_Results'!AU489*'Quantification_Config'!$R$14))/SUM('Quantification_Config'!$R$14)),'Quantification_Config'!$U$2),""),"")</x:f>
        <x:v>50</x:v>
      </x:c>
      <x:c r="AW489" t="n">
        <x:v>0</x:v>
      </x:c>
      <x:c r="AX489"/>
      <x:c r="AY489"/>
      <x:c r="AZ489">
        <x:f>IF(('Quantification_Results'!AW489&lt;&gt;1),"",IF(('Quantification_Results'!AY489=""),IF(ISNUMBER('Quantification_Results'!AX489),IF(('Quantification_Results'!AX489&lt;'Quantification_Config'!$S$19),"",IF(('Quantification_Results'!AX489&gt;'Quantification_Config'!$T$19),"",'Quantification_Results'!AX489)),""),IF(ISNUMBER('Quantification_Results'!AY489),IF(('Quantification_Results'!AY489&lt;'Quantification_Config'!$S$19),"",IF(('Quantification_Results'!AY489&gt;'Quantification_Config'!$T$19),"",'Quantification_Results'!AY489)),"")))</x:f>
      </x:c>
      <x:c r="BA489">
        <x:f>IF(ISNUMBER('Quantification_Results'!AZ489),IFERROR(ROUND(((('Quantification_Results'!AZ489-'Quantification_Config'!$S$19)/('Quantification_Config'!$T$19-'Quantification_Config'!$S$19))*100),'Quantification_Config'!$U$2),""),"")</x:f>
      </x:c>
      <x:c r="BB489" t="inlineStr">
        <x:is>
          <x:t xml:space="preserve"/>
        </x:is>
      </x:c>
      <x:c r="BC489" t="inlineStr">
        <x:is>
          <x:t xml:space="preserve"/>
        </x:is>
      </x:c>
      <x:c r="BD489" t="inlineStr">
        <x:is>
          <x:t xml:space="preserve"/>
        </x:is>
      </x:c>
      <x:c r="BE489" t="inlineStr">
        <x:is>
          <x:t xml:space="preserve"/>
        </x:is>
      </x:c>
      <x:c r="BF489" t="inlineStr">
        <x:is>
          <x:t xml:space="preserve">EMPTY</x:t>
        </x:is>
      </x:c>
      <x:c r="BG489">
        <x:f>IF((COUNT('Quantification_Results'!BA489)=1),IFERROR(ROUND((SUM(('Quantification_Results'!BA489*'Quantification_Config'!$R$19))/SUM('Quantification_Config'!$R$19)),'Quantification_Config'!$U$2),""),"")</x:f>
      </x:c>
      <x:c r="BH489">
        <x:f>IF((COUNT('Quantification_Results'!BG489)=1),IFERROR(ROUND((SUM(('Quantification_Results'!BG489*'Quantification_Config'!$R$18))/SUM('Quantification_Config'!$R$18)),'Quantification_Config'!$U$2),""),"")</x:f>
      </x:c>
      <x:c r="BI489">
        <x:f>IF((COUNT('Quantification_Results'!L489,'Quantification_Results'!X489,'Quantification_Results'!AJ489,'Quantification_Results'!AV489,'Quantification_Results'!BH489)=5),IFERROR(ROUND((SUM(('Quantification_Results'!L489*'Quantification_Config'!$R$4),('Quantification_Results'!X489*'Quantification_Config'!$R$7),('Quantification_Results'!AJ489*'Quantification_Config'!$R$10),('Quantification_Results'!AV489*'Quantification_Config'!$R$13),('Quantification_Results'!BH489*'Quantification_Config'!$R$16))/SUM('Quantification_Config'!$R$4,'Quantification_Config'!$R$7,'Quantification_Config'!$R$10,'Quantification_Config'!$R$13,'Quantification_Config'!$R$16)),'Quantification_Config'!$U$2),""),"")</x:f>
      </x:c>
    </x:row>
    <x:row r="490">
      <x:c r="A490" t="n">
        <x:v>1</x:v>
      </x:c>
      <x:c r="B490" t="n">
        <x:v>5</x:v>
      </x:c>
      <x:c r="C490"/>
      <x:c r="D490" t="n">
        <x:f>IF(('Quantification_Results'!A490&lt;&gt;1),"",IF(('Quantification_Results'!C490=""),IF(ISNUMBER('Quantification_Results'!B490),IF(('Quantification_Results'!B490&lt;'Quantification_Config'!$S$6),"",IF(('Quantification_Results'!B490&gt;'Quantification_Config'!$T$6),"",'Quantification_Results'!B490)),""),IF(ISNUMBER('Quantification_Results'!C490),IF(('Quantification_Results'!C490&lt;'Quantification_Config'!$S$6),"",IF(('Quantification_Results'!C490&gt;'Quantification_Config'!$T$6),"",'Quantification_Results'!C490)),"")))</x:f>
        <x:v>5</x:v>
      </x:c>
      <x:c r="E490" t="n">
        <x:f>IF(ISNUMBER('Quantification_Results'!D490),IFERROR(ROUND(((('Quantification_Results'!D490-'Quantification_Config'!$S$6)/('Quantification_Config'!$T$6-'Quantification_Config'!$S$6))*100),'Quantification_Config'!$U$2),""),"")</x:f>
        <x:v>50</x:v>
      </x:c>
      <x:c r="F490" t="inlineStr">
        <x:is>
          <x:t xml:space="preserve">SYSTEM-TEST-ONLY-NO-NETWORK-NOT-AN-EDUCATIONAL-EVALUATION</x:t>
        </x:is>
      </x:c>
      <x:c r="G490" t="inlineStr">
        <x:is>
          <x:t xml:space="preserve"/>
        </x:is>
      </x:c>
      <x:c r="H490" t="inlineStr">
        <x:is>
          <x:t xml:space="preserve">NONE</x:t>
        </x:is>
      </x:c>
      <x:c r="I490" t="inlineStr">
        <x:is>
          <x:t xml:space="preserve"/>
        </x:is>
      </x:c>
      <x:c r="J490" t="inlineStr">
        <x:is>
          <x:t xml:space="preserve">SUCCESS</x:t>
        </x:is>
      </x:c>
      <x:c r="K490" t="n">
        <x:f>IF((COUNT('Quantification_Results'!E490)=1),IFERROR(ROUND((SUM(('Quantification_Results'!E490*'Quantification_Config'!$R$6))/SUM('Quantification_Config'!$R$6)),'Quantification_Config'!$U$2),""),"")</x:f>
        <x:v>50</x:v>
      </x:c>
      <x:c r="L490" t="n">
        <x:f>IF((COUNT('Quantification_Results'!K490)=1),IFERROR(ROUND((SUM(('Quantification_Results'!K490*'Quantification_Config'!$R$5))/SUM('Quantification_Config'!$R$5)),'Quantification_Config'!$U$2),""),"")</x:f>
        <x:v>50</x:v>
      </x:c>
      <x:c r="M490" t="n">
        <x:v>0</x:v>
      </x:c>
      <x:c r="N490"/>
      <x:c r="O490"/>
      <x:c r="P490">
        <x:f>IF(('Quantification_Results'!M490&lt;&gt;1),"",IF(('Quantification_Results'!O490=""),IF(ISNUMBER('Quantification_Results'!N490),IF(('Quantification_Results'!N490&lt;'Quantification_Config'!$S$9),"",IF(('Quantification_Results'!N490&gt;'Quantification_Config'!$T$9),"",'Quantification_Results'!N490)),""),IF(ISNUMBER('Quantification_Results'!O490),IF(('Quantification_Results'!O490&lt;'Quantification_Config'!$S$9),"",IF(('Quantification_Results'!O490&gt;'Quantification_Config'!$T$9),"",'Quantification_Results'!O490)),"")))</x:f>
      </x:c>
      <x:c r="Q490">
        <x:f>IF(ISNUMBER('Quantification_Results'!P490),IFERROR(ROUND(((('Quantification_Results'!P490-'Quantification_Config'!$S$9)/('Quantification_Config'!$T$9-'Quantification_Config'!$S$9))*100),'Quantification_Config'!$U$2),""),"")</x:f>
      </x:c>
      <x:c r="R490" t="inlineStr">
        <x:is>
          <x:t xml:space="preserve"/>
        </x:is>
      </x:c>
      <x:c r="S490" t="inlineStr">
        <x:is>
          <x:t xml:space="preserve"/>
        </x:is>
      </x:c>
      <x:c r="T490" t="inlineStr">
        <x:is>
          <x:t xml:space="preserve"/>
        </x:is>
      </x:c>
      <x:c r="U490" t="inlineStr">
        <x:is>
          <x:t xml:space="preserve"/>
        </x:is>
      </x:c>
      <x:c r="V490" t="inlineStr">
        <x:is>
          <x:t xml:space="preserve">EMPTY</x:t>
        </x:is>
      </x:c>
      <x:c r="W490">
        <x:f>IF((COUNT('Quantification_Results'!Q490)=1),IFERROR(ROUND((SUM(('Quantification_Results'!Q490*'Quantification_Config'!$R$9))/SUM('Quantification_Config'!$R$9)),'Quantification_Config'!$U$2),""),"")</x:f>
      </x:c>
      <x:c r="X490">
        <x:f>IF((COUNT('Quantification_Results'!W490)=1),IFERROR(ROUND((SUM(('Quantification_Results'!W490*'Quantification_Config'!$R$8))/SUM('Quantification_Config'!$R$8)),'Quantification_Config'!$U$2),""),"")</x:f>
      </x:c>
      <x:c r="Y490" t="n">
        <x:v>0</x:v>
      </x:c>
      <x:c r="Z490"/>
      <x:c r="AA490"/>
      <x:c r="AB490">
        <x:f>IF(('Quantification_Results'!Y490&lt;&gt;1),"",IF(('Quantification_Results'!AA490=""),IF(ISNUMBER('Quantification_Results'!Z490),IF(('Quantification_Results'!Z490&lt;'Quantification_Config'!$S$12),"",IF(('Quantification_Results'!Z490&gt;'Quantification_Config'!$T$12),"",'Quantification_Results'!Z490)),""),IF(ISNUMBER('Quantification_Results'!AA490),IF(('Quantification_Results'!AA490&lt;'Quantification_Config'!$S$12),"",IF(('Quantification_Results'!AA490&gt;'Quantification_Config'!$T$12),"",'Quantification_Results'!AA490)),"")))</x:f>
      </x:c>
      <x:c r="AC490">
        <x:f>IF(ISNUMBER('Quantification_Results'!AB490),IFERROR(ROUND(((('Quantification_Results'!AB490-'Quantification_Config'!$S$12)/('Quantification_Config'!$T$12-'Quantification_Config'!$S$12))*100),'Quantification_Config'!$U$2),""),"")</x:f>
      </x:c>
      <x:c r="AD490" t="inlineStr">
        <x:is>
          <x:t xml:space="preserve"/>
        </x:is>
      </x:c>
      <x:c r="AE490" t="inlineStr">
        <x:is>
          <x:t xml:space="preserve"/>
        </x:is>
      </x:c>
      <x:c r="AF490" t="inlineStr">
        <x:is>
          <x:t xml:space="preserve"/>
        </x:is>
      </x:c>
      <x:c r="AG490" t="inlineStr">
        <x:is>
          <x:t xml:space="preserve"/>
        </x:is>
      </x:c>
      <x:c r="AH490" t="inlineStr">
        <x:is>
          <x:t xml:space="preserve">EMPTY</x:t>
        </x:is>
      </x:c>
      <x:c r="AI490">
        <x:f>IF((COUNT('Quantification_Results'!AC490)=1),IFERROR(ROUND((SUM(('Quantification_Results'!AC490*'Quantification_Config'!$R$12))/SUM('Quantification_Config'!$R$12)),'Quantification_Config'!$U$2),""),"")</x:f>
      </x:c>
      <x:c r="AJ490">
        <x:f>IF((COUNT('Quantification_Results'!AI490)=1),IFERROR(ROUND((SUM(('Quantification_Results'!AI490*'Quantification_Config'!$R$11))/SUM('Quantification_Config'!$R$11)),'Quantification_Config'!$U$2),""),"")</x:f>
      </x:c>
      <x:c r="AK490" t="n">
        <x:v>1</x:v>
      </x:c>
      <x:c r="AL490" t="n">
        <x:v>5</x:v>
      </x:c>
      <x:c r="AM490"/>
      <x:c r="AN490" t="n">
        <x:f>IF(('Quantification_Results'!AK490&lt;&gt;1),"",IF(('Quantification_Results'!AM490=""),IF(ISNUMBER('Quantification_Results'!AL490),IF(('Quantification_Results'!AL490&lt;'Quantification_Config'!$S$15),"",IF(('Quantification_Results'!AL490&gt;'Quantification_Config'!$T$15),"",'Quantification_Results'!AL490)),""),IF(ISNUMBER('Quantification_Results'!AM490),IF(('Quantification_Results'!AM490&lt;'Quantification_Config'!$S$15),"",IF(('Quantification_Results'!AM490&gt;'Quantification_Config'!$T$15),"",'Quantification_Results'!AM490)),"")))</x:f>
        <x:v>5</x:v>
      </x:c>
      <x:c r="AO490" t="n">
        <x:f>IF(ISNUMBER('Quantification_Results'!AN490),IFERROR(ROUND(((('Quantification_Results'!AN490-'Quantification_Config'!$S$15)/('Quantification_Config'!$T$15-'Quantification_Config'!$S$15))*100),'Quantification_Config'!$U$2),""),"")</x:f>
        <x:v>50</x:v>
      </x:c>
      <x:c r="AP490" t="inlineStr">
        <x:is>
          <x:t xml:space="preserve">SYSTEM-TEST-ONLY-NO-NETWORK-NOT-AN-EDUCATIONAL-EVALUATION</x:t>
        </x:is>
      </x:c>
      <x:c r="AQ490" t="inlineStr">
        <x:is>
          <x:t xml:space="preserve"/>
        </x:is>
      </x:c>
      <x:c r="AR490" t="inlineStr">
        <x:is>
          <x:t xml:space="preserve">NONE</x:t>
        </x:is>
      </x:c>
      <x:c r="AS490" t="inlineStr">
        <x:is>
          <x:t xml:space="preserve"/>
        </x:is>
      </x:c>
      <x:c r="AT490" t="inlineStr">
        <x:is>
          <x:t xml:space="preserve">SUCCESS</x:t>
        </x:is>
      </x:c>
      <x:c r="AU490" t="n">
        <x:f>IF((COUNT('Quantification_Results'!AO490)=1),IFERROR(ROUND((SUM(('Quantification_Results'!AO490*'Quantification_Config'!$R$15))/SUM('Quantification_Config'!$R$15)),'Quantification_Config'!$U$2),""),"")</x:f>
        <x:v>50</x:v>
      </x:c>
      <x:c r="AV490" t="n">
        <x:f>IF((COUNT('Quantification_Results'!AU490)=1),IFERROR(ROUND((SUM(('Quantification_Results'!AU490*'Quantification_Config'!$R$14))/SUM('Quantification_Config'!$R$14)),'Quantification_Config'!$U$2),""),"")</x:f>
        <x:v>50</x:v>
      </x:c>
      <x:c r="AW490" t="n">
        <x:v>0</x:v>
      </x:c>
      <x:c r="AX490"/>
      <x:c r="AY490"/>
      <x:c r="AZ490">
        <x:f>IF(('Quantification_Results'!AW490&lt;&gt;1),"",IF(('Quantification_Results'!AY490=""),IF(ISNUMBER('Quantification_Results'!AX490),IF(('Quantification_Results'!AX490&lt;'Quantification_Config'!$S$19),"",IF(('Quantification_Results'!AX490&gt;'Quantification_Config'!$T$19),"",'Quantification_Results'!AX490)),""),IF(ISNUMBER('Quantification_Results'!AY490),IF(('Quantification_Results'!AY490&lt;'Quantification_Config'!$S$19),"",IF(('Quantification_Results'!AY490&gt;'Quantification_Config'!$T$19),"",'Quantification_Results'!AY490)),"")))</x:f>
      </x:c>
      <x:c r="BA490">
        <x:f>IF(ISNUMBER('Quantification_Results'!AZ490),IFERROR(ROUND(((('Quantification_Results'!AZ490-'Quantification_Config'!$S$19)/('Quantification_Config'!$T$19-'Quantification_Config'!$S$19))*100),'Quantification_Config'!$U$2),""),"")</x:f>
      </x:c>
      <x:c r="BB490" t="inlineStr">
        <x:is>
          <x:t xml:space="preserve"/>
        </x:is>
      </x:c>
      <x:c r="BC490" t="inlineStr">
        <x:is>
          <x:t xml:space="preserve"/>
        </x:is>
      </x:c>
      <x:c r="BD490" t="inlineStr">
        <x:is>
          <x:t xml:space="preserve"/>
        </x:is>
      </x:c>
      <x:c r="BE490" t="inlineStr">
        <x:is>
          <x:t xml:space="preserve"/>
        </x:is>
      </x:c>
      <x:c r="BF490" t="inlineStr">
        <x:is>
          <x:t xml:space="preserve">EMPTY</x:t>
        </x:is>
      </x:c>
      <x:c r="BG490">
        <x:f>IF((COUNT('Quantification_Results'!BA490)=1),IFERROR(ROUND((SUM(('Quantification_Results'!BA490*'Quantification_Config'!$R$19))/SUM('Quantification_Config'!$R$19)),'Quantification_Config'!$U$2),""),"")</x:f>
      </x:c>
      <x:c r="BH490">
        <x:f>IF((COUNT('Quantification_Results'!BG490)=1),IFERROR(ROUND((SUM(('Quantification_Results'!BG490*'Quantification_Config'!$R$18))/SUM('Quantification_Config'!$R$18)),'Quantification_Config'!$U$2),""),"")</x:f>
      </x:c>
      <x:c r="BI490">
        <x:f>IF((COUNT('Quantification_Results'!L490,'Quantification_Results'!X490,'Quantification_Results'!AJ490,'Quantification_Results'!AV490,'Quantification_Results'!BH490)=5),IFERROR(ROUND((SUM(('Quantification_Results'!L490*'Quantification_Config'!$R$4),('Quantification_Results'!X490*'Quantification_Config'!$R$7),('Quantification_Results'!AJ490*'Quantification_Config'!$R$10),('Quantification_Results'!AV490*'Quantification_Config'!$R$13),('Quantification_Results'!BH490*'Quantification_Config'!$R$16))/SUM('Quantification_Config'!$R$4,'Quantification_Config'!$R$7,'Quantification_Config'!$R$10,'Quantification_Config'!$R$13,'Quantification_Config'!$R$16)),'Quantification_Config'!$U$2),""),"")</x:f>
      </x:c>
    </x:row>
    <x:row r="491">
      <x:c r="A491" t="n">
        <x:v>1</x:v>
      </x:c>
      <x:c r="B491" t="n">
        <x:v>5</x:v>
      </x:c>
      <x:c r="C491"/>
      <x:c r="D491" t="n">
        <x:f>IF(('Quantification_Results'!A491&lt;&gt;1),"",IF(('Quantification_Results'!C491=""),IF(ISNUMBER('Quantification_Results'!B491),IF(('Quantification_Results'!B491&lt;'Quantification_Config'!$S$6),"",IF(('Quantification_Results'!B491&gt;'Quantification_Config'!$T$6),"",'Quantification_Results'!B491)),""),IF(ISNUMBER('Quantification_Results'!C491),IF(('Quantification_Results'!C491&lt;'Quantification_Config'!$S$6),"",IF(('Quantification_Results'!C491&gt;'Quantification_Config'!$T$6),"",'Quantification_Results'!C491)),"")))</x:f>
        <x:v>5</x:v>
      </x:c>
      <x:c r="E491" t="n">
        <x:f>IF(ISNUMBER('Quantification_Results'!D491),IFERROR(ROUND(((('Quantification_Results'!D491-'Quantification_Config'!$S$6)/('Quantification_Config'!$T$6-'Quantification_Config'!$S$6))*100),'Quantification_Config'!$U$2),""),"")</x:f>
        <x:v>50</x:v>
      </x:c>
      <x:c r="F491" t="inlineStr">
        <x:is>
          <x:t xml:space="preserve">SYSTEM-TEST-ONLY-NO-NETWORK-NOT-AN-EDUCATIONAL-EVALUATION</x:t>
        </x:is>
      </x:c>
      <x:c r="G491" t="inlineStr">
        <x:is>
          <x:t xml:space="preserve"/>
        </x:is>
      </x:c>
      <x:c r="H491" t="inlineStr">
        <x:is>
          <x:t xml:space="preserve">NONE</x:t>
        </x:is>
      </x:c>
      <x:c r="I491" t="inlineStr">
        <x:is>
          <x:t xml:space="preserve"/>
        </x:is>
      </x:c>
      <x:c r="J491" t="inlineStr">
        <x:is>
          <x:t xml:space="preserve">SUCCESS</x:t>
        </x:is>
      </x:c>
      <x:c r="K491" t="n">
        <x:f>IF((COUNT('Quantification_Results'!E491)=1),IFERROR(ROUND((SUM(('Quantification_Results'!E491*'Quantification_Config'!$R$6))/SUM('Quantification_Config'!$R$6)),'Quantification_Config'!$U$2),""),"")</x:f>
        <x:v>50</x:v>
      </x:c>
      <x:c r="L491" t="n">
        <x:f>IF((COUNT('Quantification_Results'!K491)=1),IFERROR(ROUND((SUM(('Quantification_Results'!K491*'Quantification_Config'!$R$5))/SUM('Quantification_Config'!$R$5)),'Quantification_Config'!$U$2),""),"")</x:f>
        <x:v>50</x:v>
      </x:c>
      <x:c r="M491" t="n">
        <x:v>1</x:v>
      </x:c>
      <x:c r="N491" t="n">
        <x:v>5</x:v>
      </x:c>
      <x:c r="O491"/>
      <x:c r="P491" t="n">
        <x:f>IF(('Quantification_Results'!M491&lt;&gt;1),"",IF(('Quantification_Results'!O491=""),IF(ISNUMBER('Quantification_Results'!N491),IF(('Quantification_Results'!N491&lt;'Quantification_Config'!$S$9),"",IF(('Quantification_Results'!N491&gt;'Quantification_Config'!$T$9),"",'Quantification_Results'!N491)),""),IF(ISNUMBER('Quantification_Results'!O491),IF(('Quantification_Results'!O491&lt;'Quantification_Config'!$S$9),"",IF(('Quantification_Results'!O491&gt;'Quantification_Config'!$T$9),"",'Quantification_Results'!O491)),"")))</x:f>
        <x:v>5</x:v>
      </x:c>
      <x:c r="Q491" t="n">
        <x:f>IF(ISNUMBER('Quantification_Results'!P491),IFERROR(ROUND(((('Quantification_Results'!P491-'Quantification_Config'!$S$9)/('Quantification_Config'!$T$9-'Quantification_Config'!$S$9))*100),'Quantification_Config'!$U$2),""),"")</x:f>
        <x:v>50</x:v>
      </x:c>
      <x:c r="R491" t="inlineStr">
        <x:is>
          <x:t xml:space="preserve">SYSTEM-TEST-ONLY-NO-NETWORK-NOT-AN-EDUCATIONAL-EVALUATION</x:t>
        </x:is>
      </x:c>
      <x:c r="S491" t="inlineStr">
        <x:is>
          <x:t xml:space="preserve"/>
        </x:is>
      </x:c>
      <x:c r="T491" t="inlineStr">
        <x:is>
          <x:t xml:space="preserve">NONE</x:t>
        </x:is>
      </x:c>
      <x:c r="U491" t="inlineStr">
        <x:is>
          <x:t xml:space="preserve"/>
        </x:is>
      </x:c>
      <x:c r="V491" t="inlineStr">
        <x:is>
          <x:t xml:space="preserve">SUCCESS</x:t>
        </x:is>
      </x:c>
      <x:c r="W491" t="n">
        <x:f>IF((COUNT('Quantification_Results'!Q491)=1),IFERROR(ROUND((SUM(('Quantification_Results'!Q491*'Quantification_Config'!$R$9))/SUM('Quantification_Config'!$R$9)),'Quantification_Config'!$U$2),""),"")</x:f>
        <x:v>50</x:v>
      </x:c>
      <x:c r="X491" t="n">
        <x:f>IF((COUNT('Quantification_Results'!W491)=1),IFERROR(ROUND((SUM(('Quantification_Results'!W491*'Quantification_Config'!$R$8))/SUM('Quantification_Config'!$R$8)),'Quantification_Config'!$U$2),""),"")</x:f>
        <x:v>50</x:v>
      </x:c>
      <x:c r="Y491" t="n">
        <x:v>0</x:v>
      </x:c>
      <x:c r="Z491"/>
      <x:c r="AA491"/>
      <x:c r="AB491">
        <x:f>IF(('Quantification_Results'!Y491&lt;&gt;1),"",IF(('Quantification_Results'!AA491=""),IF(ISNUMBER('Quantification_Results'!Z491),IF(('Quantification_Results'!Z491&lt;'Quantification_Config'!$S$12),"",IF(('Quantification_Results'!Z491&gt;'Quantification_Config'!$T$12),"",'Quantification_Results'!Z491)),""),IF(ISNUMBER('Quantification_Results'!AA491),IF(('Quantification_Results'!AA491&lt;'Quantification_Config'!$S$12),"",IF(('Quantification_Results'!AA491&gt;'Quantification_Config'!$T$12),"",'Quantification_Results'!AA491)),"")))</x:f>
      </x:c>
      <x:c r="AC491">
        <x:f>IF(ISNUMBER('Quantification_Results'!AB491),IFERROR(ROUND(((('Quantification_Results'!AB491-'Quantification_Config'!$S$12)/('Quantification_Config'!$T$12-'Quantification_Config'!$S$12))*100),'Quantification_Config'!$U$2),""),"")</x:f>
      </x:c>
      <x:c r="AD491" t="inlineStr">
        <x:is>
          <x:t xml:space="preserve"/>
        </x:is>
      </x:c>
      <x:c r="AE491" t="inlineStr">
        <x:is>
          <x:t xml:space="preserve"/>
        </x:is>
      </x:c>
      <x:c r="AF491" t="inlineStr">
        <x:is>
          <x:t xml:space="preserve"/>
        </x:is>
      </x:c>
      <x:c r="AG491" t="inlineStr">
        <x:is>
          <x:t xml:space="preserve"/>
        </x:is>
      </x:c>
      <x:c r="AH491" t="inlineStr">
        <x:is>
          <x:t xml:space="preserve">EMPTY</x:t>
        </x:is>
      </x:c>
      <x:c r="AI491">
        <x:f>IF((COUNT('Quantification_Results'!AC491)=1),IFERROR(ROUND((SUM(('Quantification_Results'!AC491*'Quantification_Config'!$R$12))/SUM('Quantification_Config'!$R$12)),'Quantification_Config'!$U$2),""),"")</x:f>
      </x:c>
      <x:c r="AJ491">
        <x:f>IF((COUNT('Quantification_Results'!AI491)=1),IFERROR(ROUND((SUM(('Quantification_Results'!AI491*'Quantification_Config'!$R$11))/SUM('Quantification_Config'!$R$11)),'Quantification_Config'!$U$2),""),"")</x:f>
      </x:c>
      <x:c r="AK491" t="n">
        <x:v>1</x:v>
      </x:c>
      <x:c r="AL491" t="n">
        <x:v>5</x:v>
      </x:c>
      <x:c r="AM491"/>
      <x:c r="AN491" t="n">
        <x:f>IF(('Quantification_Results'!AK491&lt;&gt;1),"",IF(('Quantification_Results'!AM491=""),IF(ISNUMBER('Quantification_Results'!AL491),IF(('Quantification_Results'!AL491&lt;'Quantification_Config'!$S$15),"",IF(('Quantification_Results'!AL491&gt;'Quantification_Config'!$T$15),"",'Quantification_Results'!AL491)),""),IF(ISNUMBER('Quantification_Results'!AM491),IF(('Quantification_Results'!AM491&lt;'Quantification_Config'!$S$15),"",IF(('Quantification_Results'!AM491&gt;'Quantification_Config'!$T$15),"",'Quantification_Results'!AM491)),"")))</x:f>
        <x:v>5</x:v>
      </x:c>
      <x:c r="AO491" t="n">
        <x:f>IF(ISNUMBER('Quantification_Results'!AN491),IFERROR(ROUND(((('Quantification_Results'!AN491-'Quantification_Config'!$S$15)/('Quantification_Config'!$T$15-'Quantification_Config'!$S$15))*100),'Quantification_Config'!$U$2),""),"")</x:f>
        <x:v>50</x:v>
      </x:c>
      <x:c r="AP491" t="inlineStr">
        <x:is>
          <x:t xml:space="preserve">SYSTEM-TEST-ONLY-NO-NETWORK-NOT-AN-EDUCATIONAL-EVALUATION</x:t>
        </x:is>
      </x:c>
      <x:c r="AQ491" t="inlineStr">
        <x:is>
          <x:t xml:space="preserve"/>
        </x:is>
      </x:c>
      <x:c r="AR491" t="inlineStr">
        <x:is>
          <x:t xml:space="preserve">NONE</x:t>
        </x:is>
      </x:c>
      <x:c r="AS491" t="inlineStr">
        <x:is>
          <x:t xml:space="preserve"/>
        </x:is>
      </x:c>
      <x:c r="AT491" t="inlineStr">
        <x:is>
          <x:t xml:space="preserve">SUCCESS</x:t>
        </x:is>
      </x:c>
      <x:c r="AU491" t="n">
        <x:f>IF((COUNT('Quantification_Results'!AO491)=1),IFERROR(ROUND((SUM(('Quantification_Results'!AO491*'Quantification_Config'!$R$15))/SUM('Quantification_Config'!$R$15)),'Quantification_Config'!$U$2),""),"")</x:f>
        <x:v>50</x:v>
      </x:c>
      <x:c r="AV491" t="n">
        <x:f>IF((COUNT('Quantification_Results'!AU491)=1),IFERROR(ROUND((SUM(('Quantification_Results'!AU491*'Quantification_Config'!$R$14))/SUM('Quantification_Config'!$R$14)),'Quantification_Config'!$U$2),""),"")</x:f>
        <x:v>50</x:v>
      </x:c>
      <x:c r="AW491" t="n">
        <x:v>1</x:v>
      </x:c>
      <x:c r="AX491" t="n">
        <x:v>5</x:v>
      </x:c>
      <x:c r="AY491"/>
      <x:c r="AZ491" t="n">
        <x:f>IF(('Quantification_Results'!AW491&lt;&gt;1),"",IF(('Quantification_Results'!AY491=""),IF(ISNUMBER('Quantification_Results'!AX491),IF(('Quantification_Results'!AX491&lt;'Quantification_Config'!$S$19),"",IF(('Quantification_Results'!AX491&gt;'Quantification_Config'!$T$19),"",'Quantification_Results'!AX491)),""),IF(ISNUMBER('Quantification_Results'!AY491),IF(('Quantification_Results'!AY491&lt;'Quantification_Config'!$S$19),"",IF(('Quantification_Results'!AY491&gt;'Quantification_Config'!$T$19),"",'Quantification_Results'!AY491)),"")))</x:f>
        <x:v>5</x:v>
      </x:c>
      <x:c r="BA491" t="n">
        <x:f>IF(ISNUMBER('Quantification_Results'!AZ491),IFERROR(ROUND(((('Quantification_Results'!AZ491-'Quantification_Config'!$S$19)/('Quantification_Config'!$T$19-'Quantification_Config'!$S$19))*100),'Quantification_Config'!$U$2),""),"")</x:f>
        <x:v>50</x:v>
      </x:c>
      <x:c r="BB491" t="inlineStr">
        <x:is>
          <x:t xml:space="preserve">SYSTEM-TEST-ONLY-NO-NETWORK-NOT-AN-EDUCATIONAL-EVALUATION</x:t>
        </x:is>
      </x:c>
      <x:c r="BC491" t="inlineStr">
        <x:is>
          <x:t xml:space="preserve"/>
        </x:is>
      </x:c>
      <x:c r="BD491" t="inlineStr">
        <x:is>
          <x:t xml:space="preserve">NONE</x:t>
        </x:is>
      </x:c>
      <x:c r="BE491" t="inlineStr">
        <x:is>
          <x:t xml:space="preserve"/>
        </x:is>
      </x:c>
      <x:c r="BF491" t="inlineStr">
        <x:is>
          <x:t xml:space="preserve">SUCCESS</x:t>
        </x:is>
      </x:c>
      <x:c r="BG491" t="n">
        <x:f>IF((COUNT('Quantification_Results'!BA491)=1),IFERROR(ROUND((SUM(('Quantification_Results'!BA491*'Quantification_Config'!$R$19))/SUM('Quantification_Config'!$R$19)),'Quantification_Config'!$U$2),""),"")</x:f>
        <x:v>50</x:v>
      </x:c>
      <x:c r="BH491" t="n">
        <x:f>IF((COUNT('Quantification_Results'!BG491)=1),IFERROR(ROUND((SUM(('Quantification_Results'!BG491*'Quantification_Config'!$R$18))/SUM('Quantification_Config'!$R$18)),'Quantification_Config'!$U$2),""),"")</x:f>
        <x:v>50</x:v>
      </x:c>
      <x:c r="BI491">
        <x:f>IF((COUNT('Quantification_Results'!L491,'Quantification_Results'!X491,'Quantification_Results'!AJ491,'Quantification_Results'!AV491,'Quantification_Results'!BH491)=5),IFERROR(ROUND((SUM(('Quantification_Results'!L491*'Quantification_Config'!$R$4),('Quantification_Results'!X491*'Quantification_Config'!$R$7),('Quantification_Results'!AJ491*'Quantification_Config'!$R$10),('Quantification_Results'!AV491*'Quantification_Config'!$R$13),('Quantification_Results'!BH491*'Quantification_Config'!$R$16))/SUM('Quantification_Config'!$R$4,'Quantification_Config'!$R$7,'Quantification_Config'!$R$10,'Quantification_Config'!$R$13,'Quantification_Config'!$R$16)),'Quantification_Config'!$U$2),""),"")</x:f>
      </x:c>
    </x:row>
    <x:row r="492">
      <x:c r="A492" t="n">
        <x:v>1</x:v>
      </x:c>
      <x:c r="B492" t="n">
        <x:v>5</x:v>
      </x:c>
      <x:c r="C492"/>
      <x:c r="D492" t="n">
        <x:f>IF(('Quantification_Results'!A492&lt;&gt;1),"",IF(('Quantification_Results'!C492=""),IF(ISNUMBER('Quantification_Results'!B492),IF(('Quantification_Results'!B492&lt;'Quantification_Config'!$S$6),"",IF(('Quantification_Results'!B492&gt;'Quantification_Config'!$T$6),"",'Quantification_Results'!B492)),""),IF(ISNUMBER('Quantification_Results'!C492),IF(('Quantification_Results'!C492&lt;'Quantification_Config'!$S$6),"",IF(('Quantification_Results'!C492&gt;'Quantification_Config'!$T$6),"",'Quantification_Results'!C492)),"")))</x:f>
        <x:v>5</x:v>
      </x:c>
      <x:c r="E492" t="n">
        <x:f>IF(ISNUMBER('Quantification_Results'!D492),IFERROR(ROUND(((('Quantification_Results'!D492-'Quantification_Config'!$S$6)/('Quantification_Config'!$T$6-'Quantification_Config'!$S$6))*100),'Quantification_Config'!$U$2),""),"")</x:f>
        <x:v>50</x:v>
      </x:c>
      <x:c r="F492" t="inlineStr">
        <x:is>
          <x:t xml:space="preserve">SYSTEM-TEST-ONLY-NO-NETWORK-NOT-AN-EDUCATIONAL-EVALUATION</x:t>
        </x:is>
      </x:c>
      <x:c r="G492" t="inlineStr">
        <x:is>
          <x:t xml:space="preserve"/>
        </x:is>
      </x:c>
      <x:c r="H492" t="inlineStr">
        <x:is>
          <x:t xml:space="preserve">NONE</x:t>
        </x:is>
      </x:c>
      <x:c r="I492" t="inlineStr">
        <x:is>
          <x:t xml:space="preserve"/>
        </x:is>
      </x:c>
      <x:c r="J492" t="inlineStr">
        <x:is>
          <x:t xml:space="preserve">SUCCESS</x:t>
        </x:is>
      </x:c>
      <x:c r="K492" t="n">
        <x:f>IF((COUNT('Quantification_Results'!E492)=1),IFERROR(ROUND((SUM(('Quantification_Results'!E492*'Quantification_Config'!$R$6))/SUM('Quantification_Config'!$R$6)),'Quantification_Config'!$U$2),""),"")</x:f>
        <x:v>50</x:v>
      </x:c>
      <x:c r="L492" t="n">
        <x:f>IF((COUNT('Quantification_Results'!K492)=1),IFERROR(ROUND((SUM(('Quantification_Results'!K492*'Quantification_Config'!$R$5))/SUM('Quantification_Config'!$R$5)),'Quantification_Config'!$U$2),""),"")</x:f>
        <x:v>50</x:v>
      </x:c>
      <x:c r="M492" t="n">
        <x:v>1</x:v>
      </x:c>
      <x:c r="N492" t="n">
        <x:v>5</x:v>
      </x:c>
      <x:c r="O492"/>
      <x:c r="P492" t="n">
        <x:f>IF(('Quantification_Results'!M492&lt;&gt;1),"",IF(('Quantification_Results'!O492=""),IF(ISNUMBER('Quantification_Results'!N492),IF(('Quantification_Results'!N492&lt;'Quantification_Config'!$S$9),"",IF(('Quantification_Results'!N492&gt;'Quantification_Config'!$T$9),"",'Quantification_Results'!N492)),""),IF(ISNUMBER('Quantification_Results'!O492),IF(('Quantification_Results'!O492&lt;'Quantification_Config'!$S$9),"",IF(('Quantification_Results'!O492&gt;'Quantification_Config'!$T$9),"",'Quantification_Results'!O492)),"")))</x:f>
        <x:v>5</x:v>
      </x:c>
      <x:c r="Q492" t="n">
        <x:f>IF(ISNUMBER('Quantification_Results'!P492),IFERROR(ROUND(((('Quantification_Results'!P492-'Quantification_Config'!$S$9)/('Quantification_Config'!$T$9-'Quantification_Config'!$S$9))*100),'Quantification_Config'!$U$2),""),"")</x:f>
        <x:v>50</x:v>
      </x:c>
      <x:c r="R492" t="inlineStr">
        <x:is>
          <x:t xml:space="preserve">SYSTEM-TEST-ONLY-NO-NETWORK-NOT-AN-EDUCATIONAL-EVALUATION</x:t>
        </x:is>
      </x:c>
      <x:c r="S492" t="inlineStr">
        <x:is>
          <x:t xml:space="preserve"/>
        </x:is>
      </x:c>
      <x:c r="T492" t="inlineStr">
        <x:is>
          <x:t xml:space="preserve">NONE</x:t>
        </x:is>
      </x:c>
      <x:c r="U492" t="inlineStr">
        <x:is>
          <x:t xml:space="preserve"/>
        </x:is>
      </x:c>
      <x:c r="V492" t="inlineStr">
        <x:is>
          <x:t xml:space="preserve">SUCCESS</x:t>
        </x:is>
      </x:c>
      <x:c r="W492" t="n">
        <x:f>IF((COUNT('Quantification_Results'!Q492)=1),IFERROR(ROUND((SUM(('Quantification_Results'!Q492*'Quantification_Config'!$R$9))/SUM('Quantification_Config'!$R$9)),'Quantification_Config'!$U$2),""),"")</x:f>
        <x:v>50</x:v>
      </x:c>
      <x:c r="X492" t="n">
        <x:f>IF((COUNT('Quantification_Results'!W492)=1),IFERROR(ROUND((SUM(('Quantification_Results'!W492*'Quantification_Config'!$R$8))/SUM('Quantification_Config'!$R$8)),'Quantification_Config'!$U$2),""),"")</x:f>
        <x:v>50</x:v>
      </x:c>
      <x:c r="Y492" t="n">
        <x:v>0</x:v>
      </x:c>
      <x:c r="Z492"/>
      <x:c r="AA492"/>
      <x:c r="AB492">
        <x:f>IF(('Quantification_Results'!Y492&lt;&gt;1),"",IF(('Quantification_Results'!AA492=""),IF(ISNUMBER('Quantification_Results'!Z492),IF(('Quantification_Results'!Z492&lt;'Quantification_Config'!$S$12),"",IF(('Quantification_Results'!Z492&gt;'Quantification_Config'!$T$12),"",'Quantification_Results'!Z492)),""),IF(ISNUMBER('Quantification_Results'!AA492),IF(('Quantification_Results'!AA492&lt;'Quantification_Config'!$S$12),"",IF(('Quantification_Results'!AA492&gt;'Quantification_Config'!$T$12),"",'Quantification_Results'!AA492)),"")))</x:f>
      </x:c>
      <x:c r="AC492">
        <x:f>IF(ISNUMBER('Quantification_Results'!AB492),IFERROR(ROUND(((('Quantification_Results'!AB492-'Quantification_Config'!$S$12)/('Quantification_Config'!$T$12-'Quantification_Config'!$S$12))*100),'Quantification_Config'!$U$2),""),"")</x:f>
      </x:c>
      <x:c r="AD492" t="inlineStr">
        <x:is>
          <x:t xml:space="preserve"/>
        </x:is>
      </x:c>
      <x:c r="AE492" t="inlineStr">
        <x:is>
          <x:t xml:space="preserve"/>
        </x:is>
      </x:c>
      <x:c r="AF492" t="inlineStr">
        <x:is>
          <x:t xml:space="preserve"/>
        </x:is>
      </x:c>
      <x:c r="AG492" t="inlineStr">
        <x:is>
          <x:t xml:space="preserve"/>
        </x:is>
      </x:c>
      <x:c r="AH492" t="inlineStr">
        <x:is>
          <x:t xml:space="preserve">EMPTY</x:t>
        </x:is>
      </x:c>
      <x:c r="AI492">
        <x:f>IF((COUNT('Quantification_Results'!AC492)=1),IFERROR(ROUND((SUM(('Quantification_Results'!AC492*'Quantification_Config'!$R$12))/SUM('Quantification_Config'!$R$12)),'Quantification_Config'!$U$2),""),"")</x:f>
      </x:c>
      <x:c r="AJ492">
        <x:f>IF((COUNT('Quantification_Results'!AI492)=1),IFERROR(ROUND((SUM(('Quantification_Results'!AI492*'Quantification_Config'!$R$11))/SUM('Quantification_Config'!$R$11)),'Quantification_Config'!$U$2),""),"")</x:f>
      </x:c>
      <x:c r="AK492" t="n">
        <x:v>1</x:v>
      </x:c>
      <x:c r="AL492" t="n">
        <x:v>5</x:v>
      </x:c>
      <x:c r="AM492"/>
      <x:c r="AN492" t="n">
        <x:f>IF(('Quantification_Results'!AK492&lt;&gt;1),"",IF(('Quantification_Results'!AM492=""),IF(ISNUMBER('Quantification_Results'!AL492),IF(('Quantification_Results'!AL492&lt;'Quantification_Config'!$S$15),"",IF(('Quantification_Results'!AL492&gt;'Quantification_Config'!$T$15),"",'Quantification_Results'!AL492)),""),IF(ISNUMBER('Quantification_Results'!AM492),IF(('Quantification_Results'!AM492&lt;'Quantification_Config'!$S$15),"",IF(('Quantification_Results'!AM492&gt;'Quantification_Config'!$T$15),"",'Quantification_Results'!AM492)),"")))</x:f>
        <x:v>5</x:v>
      </x:c>
      <x:c r="AO492" t="n">
        <x:f>IF(ISNUMBER('Quantification_Results'!AN492),IFERROR(ROUND(((('Quantification_Results'!AN492-'Quantification_Config'!$S$15)/('Quantification_Config'!$T$15-'Quantification_Config'!$S$15))*100),'Quantification_Config'!$U$2),""),"")</x:f>
        <x:v>50</x:v>
      </x:c>
      <x:c r="AP492" t="inlineStr">
        <x:is>
          <x:t xml:space="preserve">SYSTEM-TEST-ONLY-NO-NETWORK-NOT-AN-EDUCATIONAL-EVALUATION</x:t>
        </x:is>
      </x:c>
      <x:c r="AQ492" t="inlineStr">
        <x:is>
          <x:t xml:space="preserve"/>
        </x:is>
      </x:c>
      <x:c r="AR492" t="inlineStr">
        <x:is>
          <x:t xml:space="preserve">NONE</x:t>
        </x:is>
      </x:c>
      <x:c r="AS492" t="inlineStr">
        <x:is>
          <x:t xml:space="preserve"/>
        </x:is>
      </x:c>
      <x:c r="AT492" t="inlineStr">
        <x:is>
          <x:t xml:space="preserve">SUCCESS</x:t>
        </x:is>
      </x:c>
      <x:c r="AU492" t="n">
        <x:f>IF((COUNT('Quantification_Results'!AO492)=1),IFERROR(ROUND((SUM(('Quantification_Results'!AO492*'Quantification_Config'!$R$15))/SUM('Quantification_Config'!$R$15)),'Quantification_Config'!$U$2),""),"")</x:f>
        <x:v>50</x:v>
      </x:c>
      <x:c r="AV492" t="n">
        <x:f>IF((COUNT('Quantification_Results'!AU492)=1),IFERROR(ROUND((SUM(('Quantification_Results'!AU492*'Quantification_Config'!$R$14))/SUM('Quantification_Config'!$R$14)),'Quantification_Config'!$U$2),""),"")</x:f>
        <x:v>50</x:v>
      </x:c>
      <x:c r="AW492" t="n">
        <x:v>0</x:v>
      </x:c>
      <x:c r="AX492"/>
      <x:c r="AY492"/>
      <x:c r="AZ492">
        <x:f>IF(('Quantification_Results'!AW492&lt;&gt;1),"",IF(('Quantification_Results'!AY492=""),IF(ISNUMBER('Quantification_Results'!AX492),IF(('Quantification_Results'!AX492&lt;'Quantification_Config'!$S$19),"",IF(('Quantification_Results'!AX492&gt;'Quantification_Config'!$T$19),"",'Quantification_Results'!AX492)),""),IF(ISNUMBER('Quantification_Results'!AY492),IF(('Quantification_Results'!AY492&lt;'Quantification_Config'!$S$19),"",IF(('Quantification_Results'!AY492&gt;'Quantification_Config'!$T$19),"",'Quantification_Results'!AY492)),"")))</x:f>
      </x:c>
      <x:c r="BA492">
        <x:f>IF(ISNUMBER('Quantification_Results'!AZ492),IFERROR(ROUND(((('Quantification_Results'!AZ492-'Quantification_Config'!$S$19)/('Quantification_Config'!$T$19-'Quantification_Config'!$S$19))*100),'Quantification_Config'!$U$2),""),"")</x:f>
      </x:c>
      <x:c r="BB492" t="inlineStr">
        <x:is>
          <x:t xml:space="preserve"/>
        </x:is>
      </x:c>
      <x:c r="BC492" t="inlineStr">
        <x:is>
          <x:t xml:space="preserve"/>
        </x:is>
      </x:c>
      <x:c r="BD492" t="inlineStr">
        <x:is>
          <x:t xml:space="preserve"/>
        </x:is>
      </x:c>
      <x:c r="BE492" t="inlineStr">
        <x:is>
          <x:t xml:space="preserve"/>
        </x:is>
      </x:c>
      <x:c r="BF492" t="inlineStr">
        <x:is>
          <x:t xml:space="preserve">EMPTY</x:t>
        </x:is>
      </x:c>
      <x:c r="BG492">
        <x:f>IF((COUNT('Quantification_Results'!BA492)=1),IFERROR(ROUND((SUM(('Quantification_Results'!BA492*'Quantification_Config'!$R$19))/SUM('Quantification_Config'!$R$19)),'Quantification_Config'!$U$2),""),"")</x:f>
      </x:c>
      <x:c r="BH492">
        <x:f>IF((COUNT('Quantification_Results'!BG492)=1),IFERROR(ROUND((SUM(('Quantification_Results'!BG492*'Quantification_Config'!$R$18))/SUM('Quantification_Config'!$R$18)),'Quantification_Config'!$U$2),""),"")</x:f>
      </x:c>
      <x:c r="BI492">
        <x:f>IF((COUNT('Quantification_Results'!L492,'Quantification_Results'!X492,'Quantification_Results'!AJ492,'Quantification_Results'!AV492,'Quantification_Results'!BH492)=5),IFERROR(ROUND((SUM(('Quantification_Results'!L492*'Quantification_Config'!$R$4),('Quantification_Results'!X492*'Quantification_Config'!$R$7),('Quantification_Results'!AJ492*'Quantification_Config'!$R$10),('Quantification_Results'!AV492*'Quantification_Config'!$R$13),('Quantification_Results'!BH492*'Quantification_Config'!$R$16))/SUM('Quantification_Config'!$R$4,'Quantification_Config'!$R$7,'Quantification_Config'!$R$10,'Quantification_Config'!$R$13,'Quantification_Config'!$R$16)),'Quantification_Config'!$U$2),""),"")</x:f>
      </x:c>
    </x:row>
    <x:row r="493">
      <x:c r="A493" t="n">
        <x:v>1</x:v>
      </x:c>
      <x:c r="B493" t="n">
        <x:v>5</x:v>
      </x:c>
      <x:c r="C493"/>
      <x:c r="D493" t="n">
        <x:f>IF(('Quantification_Results'!A493&lt;&gt;1),"",IF(('Quantification_Results'!C493=""),IF(ISNUMBER('Quantification_Results'!B493),IF(('Quantification_Results'!B493&lt;'Quantification_Config'!$S$6),"",IF(('Quantification_Results'!B493&gt;'Quantification_Config'!$T$6),"",'Quantification_Results'!B493)),""),IF(ISNUMBER('Quantification_Results'!C493),IF(('Quantification_Results'!C493&lt;'Quantification_Config'!$S$6),"",IF(('Quantification_Results'!C493&gt;'Quantification_Config'!$T$6),"",'Quantification_Results'!C493)),"")))</x:f>
        <x:v>5</x:v>
      </x:c>
      <x:c r="E493" t="n">
        <x:f>IF(ISNUMBER('Quantification_Results'!D493),IFERROR(ROUND(((('Quantification_Results'!D493-'Quantification_Config'!$S$6)/('Quantification_Config'!$T$6-'Quantification_Config'!$S$6))*100),'Quantification_Config'!$U$2),""),"")</x:f>
        <x:v>50</x:v>
      </x:c>
      <x:c r="F493" t="inlineStr">
        <x:is>
          <x:t xml:space="preserve">SYSTEM-TEST-ONLY-NO-NETWORK-NOT-AN-EDUCATIONAL-EVALUATION</x:t>
        </x:is>
      </x:c>
      <x:c r="G493" t="inlineStr">
        <x:is>
          <x:t xml:space="preserve"/>
        </x:is>
      </x:c>
      <x:c r="H493" t="inlineStr">
        <x:is>
          <x:t xml:space="preserve">NONE</x:t>
        </x:is>
      </x:c>
      <x:c r="I493" t="inlineStr">
        <x:is>
          <x:t xml:space="preserve"/>
        </x:is>
      </x:c>
      <x:c r="J493" t="inlineStr">
        <x:is>
          <x:t xml:space="preserve">SUCCESS</x:t>
        </x:is>
      </x:c>
      <x:c r="K493" t="n">
        <x:f>IF((COUNT('Quantification_Results'!E493)=1),IFERROR(ROUND((SUM(('Quantification_Results'!E493*'Quantification_Config'!$R$6))/SUM('Quantification_Config'!$R$6)),'Quantification_Config'!$U$2),""),"")</x:f>
        <x:v>50</x:v>
      </x:c>
      <x:c r="L493" t="n">
        <x:f>IF((COUNT('Quantification_Results'!K493)=1),IFERROR(ROUND((SUM(('Quantification_Results'!K493*'Quantification_Config'!$R$5))/SUM('Quantification_Config'!$R$5)),'Quantification_Config'!$U$2),""),"")</x:f>
        <x:v>50</x:v>
      </x:c>
      <x:c r="M493" t="n">
        <x:v>0</x:v>
      </x:c>
      <x:c r="N493"/>
      <x:c r="O493"/>
      <x:c r="P493">
        <x:f>IF(('Quantification_Results'!M493&lt;&gt;1),"",IF(('Quantification_Results'!O493=""),IF(ISNUMBER('Quantification_Results'!N493),IF(('Quantification_Results'!N493&lt;'Quantification_Config'!$S$9),"",IF(('Quantification_Results'!N493&gt;'Quantification_Config'!$T$9),"",'Quantification_Results'!N493)),""),IF(ISNUMBER('Quantification_Results'!O493),IF(('Quantification_Results'!O493&lt;'Quantification_Config'!$S$9),"",IF(('Quantification_Results'!O493&gt;'Quantification_Config'!$T$9),"",'Quantification_Results'!O493)),"")))</x:f>
      </x:c>
      <x:c r="Q493">
        <x:f>IF(ISNUMBER('Quantification_Results'!P493),IFERROR(ROUND(((('Quantification_Results'!P493-'Quantification_Config'!$S$9)/('Quantification_Config'!$T$9-'Quantification_Config'!$S$9))*100),'Quantification_Config'!$U$2),""),"")</x:f>
      </x:c>
      <x:c r="R493" t="inlineStr">
        <x:is>
          <x:t xml:space="preserve"/>
        </x:is>
      </x:c>
      <x:c r="S493" t="inlineStr">
        <x:is>
          <x:t xml:space="preserve"/>
        </x:is>
      </x:c>
      <x:c r="T493" t="inlineStr">
        <x:is>
          <x:t xml:space="preserve"/>
        </x:is>
      </x:c>
      <x:c r="U493" t="inlineStr">
        <x:is>
          <x:t xml:space="preserve"/>
        </x:is>
      </x:c>
      <x:c r="V493" t="inlineStr">
        <x:is>
          <x:t xml:space="preserve">EMPTY</x:t>
        </x:is>
      </x:c>
      <x:c r="W493">
        <x:f>IF((COUNT('Quantification_Results'!Q493)=1),IFERROR(ROUND((SUM(('Quantification_Results'!Q493*'Quantification_Config'!$R$9))/SUM('Quantification_Config'!$R$9)),'Quantification_Config'!$U$2),""),"")</x:f>
      </x:c>
      <x:c r="X493">
        <x:f>IF((COUNT('Quantification_Results'!W493)=1),IFERROR(ROUND((SUM(('Quantification_Results'!W493*'Quantification_Config'!$R$8))/SUM('Quantification_Config'!$R$8)),'Quantification_Config'!$U$2),""),"")</x:f>
      </x:c>
      <x:c r="Y493" t="n">
        <x:v>0</x:v>
      </x:c>
      <x:c r="Z493"/>
      <x:c r="AA493"/>
      <x:c r="AB493">
        <x:f>IF(('Quantification_Results'!Y493&lt;&gt;1),"",IF(('Quantification_Results'!AA493=""),IF(ISNUMBER('Quantification_Results'!Z493),IF(('Quantification_Results'!Z493&lt;'Quantification_Config'!$S$12),"",IF(('Quantification_Results'!Z493&gt;'Quantification_Config'!$T$12),"",'Quantification_Results'!Z493)),""),IF(ISNUMBER('Quantification_Results'!AA493),IF(('Quantification_Results'!AA493&lt;'Quantification_Config'!$S$12),"",IF(('Quantification_Results'!AA493&gt;'Quantification_Config'!$T$12),"",'Quantification_Results'!AA493)),"")))</x:f>
      </x:c>
      <x:c r="AC493">
        <x:f>IF(ISNUMBER('Quantification_Results'!AB493),IFERROR(ROUND(((('Quantification_Results'!AB493-'Quantification_Config'!$S$12)/('Quantification_Config'!$T$12-'Quantification_Config'!$S$12))*100),'Quantification_Config'!$U$2),""),"")</x:f>
      </x:c>
      <x:c r="AD493" t="inlineStr">
        <x:is>
          <x:t xml:space="preserve"/>
        </x:is>
      </x:c>
      <x:c r="AE493" t="inlineStr">
        <x:is>
          <x:t xml:space="preserve"/>
        </x:is>
      </x:c>
      <x:c r="AF493" t="inlineStr">
        <x:is>
          <x:t xml:space="preserve"/>
        </x:is>
      </x:c>
      <x:c r="AG493" t="inlineStr">
        <x:is>
          <x:t xml:space="preserve"/>
        </x:is>
      </x:c>
      <x:c r="AH493" t="inlineStr">
        <x:is>
          <x:t xml:space="preserve">EMPTY</x:t>
        </x:is>
      </x:c>
      <x:c r="AI493">
        <x:f>IF((COUNT('Quantification_Results'!AC493)=1),IFERROR(ROUND((SUM(('Quantification_Results'!AC493*'Quantification_Config'!$R$12))/SUM('Quantification_Config'!$R$12)),'Quantification_Config'!$U$2),""),"")</x:f>
      </x:c>
      <x:c r="AJ493">
        <x:f>IF((COUNT('Quantification_Results'!AI493)=1),IFERROR(ROUND((SUM(('Quantification_Results'!AI493*'Quantification_Config'!$R$11))/SUM('Quantification_Config'!$R$11)),'Quantification_Config'!$U$2),""),"")</x:f>
      </x:c>
      <x:c r="AK493" t="n">
        <x:v>1</x:v>
      </x:c>
      <x:c r="AL493" t="n">
        <x:v>5</x:v>
      </x:c>
      <x:c r="AM493"/>
      <x:c r="AN493" t="n">
        <x:f>IF(('Quantification_Results'!AK493&lt;&gt;1),"",IF(('Quantification_Results'!AM493=""),IF(ISNUMBER('Quantification_Results'!AL493),IF(('Quantification_Results'!AL493&lt;'Quantification_Config'!$S$15),"",IF(('Quantification_Results'!AL493&gt;'Quantification_Config'!$T$15),"",'Quantification_Results'!AL493)),""),IF(ISNUMBER('Quantification_Results'!AM493),IF(('Quantification_Results'!AM493&lt;'Quantification_Config'!$S$15),"",IF(('Quantification_Results'!AM493&gt;'Quantification_Config'!$T$15),"",'Quantification_Results'!AM493)),"")))</x:f>
        <x:v>5</x:v>
      </x:c>
      <x:c r="AO493" t="n">
        <x:f>IF(ISNUMBER('Quantification_Results'!AN493),IFERROR(ROUND(((('Quantification_Results'!AN493-'Quantification_Config'!$S$15)/('Quantification_Config'!$T$15-'Quantification_Config'!$S$15))*100),'Quantification_Config'!$U$2),""),"")</x:f>
        <x:v>50</x:v>
      </x:c>
      <x:c r="AP493" t="inlineStr">
        <x:is>
          <x:t xml:space="preserve">SYSTEM-TEST-ONLY-NO-NETWORK-NOT-AN-EDUCATIONAL-EVALUATION</x:t>
        </x:is>
      </x:c>
      <x:c r="AQ493" t="inlineStr">
        <x:is>
          <x:t xml:space="preserve"/>
        </x:is>
      </x:c>
      <x:c r="AR493" t="inlineStr">
        <x:is>
          <x:t xml:space="preserve">NONE</x:t>
        </x:is>
      </x:c>
      <x:c r="AS493" t="inlineStr">
        <x:is>
          <x:t xml:space="preserve"/>
        </x:is>
      </x:c>
      <x:c r="AT493" t="inlineStr">
        <x:is>
          <x:t xml:space="preserve">SUCCESS</x:t>
        </x:is>
      </x:c>
      <x:c r="AU493" t="n">
        <x:f>IF((COUNT('Quantification_Results'!AO493)=1),IFERROR(ROUND((SUM(('Quantification_Results'!AO493*'Quantification_Config'!$R$15))/SUM('Quantification_Config'!$R$15)),'Quantification_Config'!$U$2),""),"")</x:f>
        <x:v>50</x:v>
      </x:c>
      <x:c r="AV493" t="n">
        <x:f>IF((COUNT('Quantification_Results'!AU493)=1),IFERROR(ROUND((SUM(('Quantification_Results'!AU493*'Quantification_Config'!$R$14))/SUM('Quantification_Config'!$R$14)),'Quantification_Config'!$U$2),""),"")</x:f>
        <x:v>50</x:v>
      </x:c>
      <x:c r="AW493" t="n">
        <x:v>0</x:v>
      </x:c>
      <x:c r="AX493"/>
      <x:c r="AY493"/>
      <x:c r="AZ493">
        <x:f>IF(('Quantification_Results'!AW493&lt;&gt;1),"",IF(('Quantification_Results'!AY493=""),IF(ISNUMBER('Quantification_Results'!AX493),IF(('Quantification_Results'!AX493&lt;'Quantification_Config'!$S$19),"",IF(('Quantification_Results'!AX493&gt;'Quantification_Config'!$T$19),"",'Quantification_Results'!AX493)),""),IF(ISNUMBER('Quantification_Results'!AY493),IF(('Quantification_Results'!AY493&lt;'Quantification_Config'!$S$19),"",IF(('Quantification_Results'!AY493&gt;'Quantification_Config'!$T$19),"",'Quantification_Results'!AY493)),"")))</x:f>
      </x:c>
      <x:c r="BA493">
        <x:f>IF(ISNUMBER('Quantification_Results'!AZ493),IFERROR(ROUND(((('Quantification_Results'!AZ493-'Quantification_Config'!$S$19)/('Quantification_Config'!$T$19-'Quantification_Config'!$S$19))*100),'Quantification_Config'!$U$2),""),"")</x:f>
      </x:c>
      <x:c r="BB493" t="inlineStr">
        <x:is>
          <x:t xml:space="preserve"/>
        </x:is>
      </x:c>
      <x:c r="BC493" t="inlineStr">
        <x:is>
          <x:t xml:space="preserve"/>
        </x:is>
      </x:c>
      <x:c r="BD493" t="inlineStr">
        <x:is>
          <x:t xml:space="preserve"/>
        </x:is>
      </x:c>
      <x:c r="BE493" t="inlineStr">
        <x:is>
          <x:t xml:space="preserve"/>
        </x:is>
      </x:c>
      <x:c r="BF493" t="inlineStr">
        <x:is>
          <x:t xml:space="preserve">EMPTY</x:t>
        </x:is>
      </x:c>
      <x:c r="BG493">
        <x:f>IF((COUNT('Quantification_Results'!BA493)=1),IFERROR(ROUND((SUM(('Quantification_Results'!BA493*'Quantification_Config'!$R$19))/SUM('Quantification_Config'!$R$19)),'Quantification_Config'!$U$2),""),"")</x:f>
      </x:c>
      <x:c r="BH493">
        <x:f>IF((COUNT('Quantification_Results'!BG493)=1),IFERROR(ROUND((SUM(('Quantification_Results'!BG493*'Quantification_Config'!$R$18))/SUM('Quantification_Config'!$R$18)),'Quantification_Config'!$U$2),""),"")</x:f>
      </x:c>
      <x:c r="BI493">
        <x:f>IF((COUNT('Quantification_Results'!L493,'Quantification_Results'!X493,'Quantification_Results'!AJ493,'Quantification_Results'!AV493,'Quantification_Results'!BH493)=5),IFERROR(ROUND((SUM(('Quantification_Results'!L493*'Quantification_Config'!$R$4),('Quantification_Results'!X493*'Quantification_Config'!$R$7),('Quantification_Results'!AJ493*'Quantification_Config'!$R$10),('Quantification_Results'!AV493*'Quantification_Config'!$R$13),('Quantification_Results'!BH493*'Quantification_Config'!$R$16))/SUM('Quantification_Config'!$R$4,'Quantification_Config'!$R$7,'Quantification_Config'!$R$10,'Quantification_Config'!$R$13,'Quantification_Config'!$R$16)),'Quantification_Config'!$U$2),""),"")</x:f>
      </x:c>
    </x:row>
    <x:row r="494">
      <x:c r="A494" t="n">
        <x:v>1</x:v>
      </x:c>
      <x:c r="B494" t="n">
        <x:v>5</x:v>
      </x:c>
      <x:c r="C494"/>
      <x:c r="D494" t="n">
        <x:f>IF(('Quantification_Results'!A494&lt;&gt;1),"",IF(('Quantification_Results'!C494=""),IF(ISNUMBER('Quantification_Results'!B494),IF(('Quantification_Results'!B494&lt;'Quantification_Config'!$S$6),"",IF(('Quantification_Results'!B494&gt;'Quantification_Config'!$T$6),"",'Quantification_Results'!B494)),""),IF(ISNUMBER('Quantification_Results'!C494),IF(('Quantification_Results'!C494&lt;'Quantification_Config'!$S$6),"",IF(('Quantification_Results'!C494&gt;'Quantification_Config'!$T$6),"",'Quantification_Results'!C494)),"")))</x:f>
        <x:v>5</x:v>
      </x:c>
      <x:c r="E494" t="n">
        <x:f>IF(ISNUMBER('Quantification_Results'!D494),IFERROR(ROUND(((('Quantification_Results'!D494-'Quantification_Config'!$S$6)/('Quantification_Config'!$T$6-'Quantification_Config'!$S$6))*100),'Quantification_Config'!$U$2),""),"")</x:f>
        <x:v>50</x:v>
      </x:c>
      <x:c r="F494" t="inlineStr">
        <x:is>
          <x:t xml:space="preserve">SYSTEM-TEST-ONLY-NO-NETWORK-NOT-AN-EDUCATIONAL-EVALUATION</x:t>
        </x:is>
      </x:c>
      <x:c r="G494" t="inlineStr">
        <x:is>
          <x:t xml:space="preserve"/>
        </x:is>
      </x:c>
      <x:c r="H494" t="inlineStr">
        <x:is>
          <x:t xml:space="preserve">NONE</x:t>
        </x:is>
      </x:c>
      <x:c r="I494" t="inlineStr">
        <x:is>
          <x:t xml:space="preserve"/>
        </x:is>
      </x:c>
      <x:c r="J494" t="inlineStr">
        <x:is>
          <x:t xml:space="preserve">SUCCESS</x:t>
        </x:is>
      </x:c>
      <x:c r="K494" t="n">
        <x:f>IF((COUNT('Quantification_Results'!E494)=1),IFERROR(ROUND((SUM(('Quantification_Results'!E494*'Quantification_Config'!$R$6))/SUM('Quantification_Config'!$R$6)),'Quantification_Config'!$U$2),""),"")</x:f>
        <x:v>50</x:v>
      </x:c>
      <x:c r="L494" t="n">
        <x:f>IF((COUNT('Quantification_Results'!K494)=1),IFERROR(ROUND((SUM(('Quantification_Results'!K494*'Quantification_Config'!$R$5))/SUM('Quantification_Config'!$R$5)),'Quantification_Config'!$U$2),""),"")</x:f>
        <x:v>50</x:v>
      </x:c>
      <x:c r="M494" t="n">
        <x:v>1</x:v>
      </x:c>
      <x:c r="N494" t="n">
        <x:v>5</x:v>
      </x:c>
      <x:c r="O494"/>
      <x:c r="P494" t="n">
        <x:f>IF(('Quantification_Results'!M494&lt;&gt;1),"",IF(('Quantification_Results'!O494=""),IF(ISNUMBER('Quantification_Results'!N494),IF(('Quantification_Results'!N494&lt;'Quantification_Config'!$S$9),"",IF(('Quantification_Results'!N494&gt;'Quantification_Config'!$T$9),"",'Quantification_Results'!N494)),""),IF(ISNUMBER('Quantification_Results'!O494),IF(('Quantification_Results'!O494&lt;'Quantification_Config'!$S$9),"",IF(('Quantification_Results'!O494&gt;'Quantification_Config'!$T$9),"",'Quantification_Results'!O494)),"")))</x:f>
        <x:v>5</x:v>
      </x:c>
      <x:c r="Q494" t="n">
        <x:f>IF(ISNUMBER('Quantification_Results'!P494),IFERROR(ROUND(((('Quantification_Results'!P494-'Quantification_Config'!$S$9)/('Quantification_Config'!$T$9-'Quantification_Config'!$S$9))*100),'Quantification_Config'!$U$2),""),"")</x:f>
        <x:v>50</x:v>
      </x:c>
      <x:c r="R494" t="inlineStr">
        <x:is>
          <x:t xml:space="preserve">SYSTEM-TEST-ONLY-NO-NETWORK-NOT-AN-EDUCATIONAL-EVALUATION</x:t>
        </x:is>
      </x:c>
      <x:c r="S494" t="inlineStr">
        <x:is>
          <x:t xml:space="preserve"/>
        </x:is>
      </x:c>
      <x:c r="T494" t="inlineStr">
        <x:is>
          <x:t xml:space="preserve">NONE</x:t>
        </x:is>
      </x:c>
      <x:c r="U494" t="inlineStr">
        <x:is>
          <x:t xml:space="preserve"/>
        </x:is>
      </x:c>
      <x:c r="V494" t="inlineStr">
        <x:is>
          <x:t xml:space="preserve">SUCCESS</x:t>
        </x:is>
      </x:c>
      <x:c r="W494" t="n">
        <x:f>IF((COUNT('Quantification_Results'!Q494)=1),IFERROR(ROUND((SUM(('Quantification_Results'!Q494*'Quantification_Config'!$R$9))/SUM('Quantification_Config'!$R$9)),'Quantification_Config'!$U$2),""),"")</x:f>
        <x:v>50</x:v>
      </x:c>
      <x:c r="X494" t="n">
        <x:f>IF((COUNT('Quantification_Results'!W494)=1),IFERROR(ROUND((SUM(('Quantification_Results'!W494*'Quantification_Config'!$R$8))/SUM('Quantification_Config'!$R$8)),'Quantification_Config'!$U$2),""),"")</x:f>
        <x:v>50</x:v>
      </x:c>
      <x:c r="Y494" t="n">
        <x:v>0</x:v>
      </x:c>
      <x:c r="Z494"/>
      <x:c r="AA494"/>
      <x:c r="AB494">
        <x:f>IF(('Quantification_Results'!Y494&lt;&gt;1),"",IF(('Quantification_Results'!AA494=""),IF(ISNUMBER('Quantification_Results'!Z494),IF(('Quantification_Results'!Z494&lt;'Quantification_Config'!$S$12),"",IF(('Quantification_Results'!Z494&gt;'Quantification_Config'!$T$12),"",'Quantification_Results'!Z494)),""),IF(ISNUMBER('Quantification_Results'!AA494),IF(('Quantification_Results'!AA494&lt;'Quantification_Config'!$S$12),"",IF(('Quantification_Results'!AA494&gt;'Quantification_Config'!$T$12),"",'Quantification_Results'!AA494)),"")))</x:f>
      </x:c>
      <x:c r="AC494">
        <x:f>IF(ISNUMBER('Quantification_Results'!AB494),IFERROR(ROUND(((('Quantification_Results'!AB494-'Quantification_Config'!$S$12)/('Quantification_Config'!$T$12-'Quantification_Config'!$S$12))*100),'Quantification_Config'!$U$2),""),"")</x:f>
      </x:c>
      <x:c r="AD494" t="inlineStr">
        <x:is>
          <x:t xml:space="preserve"/>
        </x:is>
      </x:c>
      <x:c r="AE494" t="inlineStr">
        <x:is>
          <x:t xml:space="preserve"/>
        </x:is>
      </x:c>
      <x:c r="AF494" t="inlineStr">
        <x:is>
          <x:t xml:space="preserve"/>
        </x:is>
      </x:c>
      <x:c r="AG494" t="inlineStr">
        <x:is>
          <x:t xml:space="preserve"/>
        </x:is>
      </x:c>
      <x:c r="AH494" t="inlineStr">
        <x:is>
          <x:t xml:space="preserve">EMPTY</x:t>
        </x:is>
      </x:c>
      <x:c r="AI494">
        <x:f>IF((COUNT('Quantification_Results'!AC494)=1),IFERROR(ROUND((SUM(('Quantification_Results'!AC494*'Quantification_Config'!$R$12))/SUM('Quantification_Config'!$R$12)),'Quantification_Config'!$U$2),""),"")</x:f>
      </x:c>
      <x:c r="AJ494">
        <x:f>IF((COUNT('Quantification_Results'!AI494)=1),IFERROR(ROUND((SUM(('Quantification_Results'!AI494*'Quantification_Config'!$R$11))/SUM('Quantification_Config'!$R$11)),'Quantification_Config'!$U$2),""),"")</x:f>
      </x:c>
      <x:c r="AK494" t="n">
        <x:v>1</x:v>
      </x:c>
      <x:c r="AL494" t="n">
        <x:v>5</x:v>
      </x:c>
      <x:c r="AM494"/>
      <x:c r="AN494" t="n">
        <x:f>IF(('Quantification_Results'!AK494&lt;&gt;1),"",IF(('Quantification_Results'!AM494=""),IF(ISNUMBER('Quantification_Results'!AL494),IF(('Quantification_Results'!AL494&lt;'Quantification_Config'!$S$15),"",IF(('Quantification_Results'!AL494&gt;'Quantification_Config'!$T$15),"",'Quantification_Results'!AL494)),""),IF(ISNUMBER('Quantification_Results'!AM494),IF(('Quantification_Results'!AM494&lt;'Quantification_Config'!$S$15),"",IF(('Quantification_Results'!AM494&gt;'Quantification_Config'!$T$15),"",'Quantification_Results'!AM494)),"")))</x:f>
        <x:v>5</x:v>
      </x:c>
      <x:c r="AO494" t="n">
        <x:f>IF(ISNUMBER('Quantification_Results'!AN494),IFERROR(ROUND(((('Quantification_Results'!AN494-'Quantification_Config'!$S$15)/('Quantification_Config'!$T$15-'Quantification_Config'!$S$15))*100),'Quantification_Config'!$U$2),""),"")</x:f>
        <x:v>50</x:v>
      </x:c>
      <x:c r="AP494" t="inlineStr">
        <x:is>
          <x:t xml:space="preserve">SYSTEM-TEST-ONLY-NO-NETWORK-NOT-AN-EDUCATIONAL-EVALUATION</x:t>
        </x:is>
      </x:c>
      <x:c r="AQ494" t="inlineStr">
        <x:is>
          <x:t xml:space="preserve"/>
        </x:is>
      </x:c>
      <x:c r="AR494" t="inlineStr">
        <x:is>
          <x:t xml:space="preserve">NONE</x:t>
        </x:is>
      </x:c>
      <x:c r="AS494" t="inlineStr">
        <x:is>
          <x:t xml:space="preserve"/>
        </x:is>
      </x:c>
      <x:c r="AT494" t="inlineStr">
        <x:is>
          <x:t xml:space="preserve">SUCCESS</x:t>
        </x:is>
      </x:c>
      <x:c r="AU494" t="n">
        <x:f>IF((COUNT('Quantification_Results'!AO494)=1),IFERROR(ROUND((SUM(('Quantification_Results'!AO494*'Quantification_Config'!$R$15))/SUM('Quantification_Config'!$R$15)),'Quantification_Config'!$U$2),""),"")</x:f>
        <x:v>50</x:v>
      </x:c>
      <x:c r="AV494" t="n">
        <x:f>IF((COUNT('Quantification_Results'!AU494)=1),IFERROR(ROUND((SUM(('Quantification_Results'!AU494*'Quantification_Config'!$R$14))/SUM('Quantification_Config'!$R$14)),'Quantification_Config'!$U$2),""),"")</x:f>
        <x:v>50</x:v>
      </x:c>
      <x:c r="AW494" t="n">
        <x:v>1</x:v>
      </x:c>
      <x:c r="AX494" t="n">
        <x:v>5</x:v>
      </x:c>
      <x:c r="AY494"/>
      <x:c r="AZ494" t="n">
        <x:f>IF(('Quantification_Results'!AW494&lt;&gt;1),"",IF(('Quantification_Results'!AY494=""),IF(ISNUMBER('Quantification_Results'!AX494),IF(('Quantification_Results'!AX494&lt;'Quantification_Config'!$S$19),"",IF(('Quantification_Results'!AX494&gt;'Quantification_Config'!$T$19),"",'Quantification_Results'!AX494)),""),IF(ISNUMBER('Quantification_Results'!AY494),IF(('Quantification_Results'!AY494&lt;'Quantification_Config'!$S$19),"",IF(('Quantification_Results'!AY494&gt;'Quantification_Config'!$T$19),"",'Quantification_Results'!AY494)),"")))</x:f>
        <x:v>5</x:v>
      </x:c>
      <x:c r="BA494" t="n">
        <x:f>IF(ISNUMBER('Quantification_Results'!AZ494),IFERROR(ROUND(((('Quantification_Results'!AZ494-'Quantification_Config'!$S$19)/('Quantification_Config'!$T$19-'Quantification_Config'!$S$19))*100),'Quantification_Config'!$U$2),""),"")</x:f>
        <x:v>50</x:v>
      </x:c>
      <x:c r="BB494" t="inlineStr">
        <x:is>
          <x:t xml:space="preserve">SYSTEM-TEST-ONLY-NO-NETWORK-NOT-AN-EDUCATIONAL-EVALUATION</x:t>
        </x:is>
      </x:c>
      <x:c r="BC494" t="inlineStr">
        <x:is>
          <x:t xml:space="preserve"/>
        </x:is>
      </x:c>
      <x:c r="BD494" t="inlineStr">
        <x:is>
          <x:t xml:space="preserve">NONE</x:t>
        </x:is>
      </x:c>
      <x:c r="BE494" t="inlineStr">
        <x:is>
          <x:t xml:space="preserve"/>
        </x:is>
      </x:c>
      <x:c r="BF494" t="inlineStr">
        <x:is>
          <x:t xml:space="preserve">SUCCESS</x:t>
        </x:is>
      </x:c>
      <x:c r="BG494" t="n">
        <x:f>IF((COUNT('Quantification_Results'!BA494)=1),IFERROR(ROUND((SUM(('Quantification_Results'!BA494*'Quantification_Config'!$R$19))/SUM('Quantification_Config'!$R$19)),'Quantification_Config'!$U$2),""),"")</x:f>
        <x:v>50</x:v>
      </x:c>
      <x:c r="BH494" t="n">
        <x:f>IF((COUNT('Quantification_Results'!BG494)=1),IFERROR(ROUND((SUM(('Quantification_Results'!BG494*'Quantification_Config'!$R$18))/SUM('Quantification_Config'!$R$18)),'Quantification_Config'!$U$2),""),"")</x:f>
        <x:v>50</x:v>
      </x:c>
      <x:c r="BI494">
        <x:f>IF((COUNT('Quantification_Results'!L494,'Quantification_Results'!X494,'Quantification_Results'!AJ494,'Quantification_Results'!AV494,'Quantification_Results'!BH494)=5),IFERROR(ROUND((SUM(('Quantification_Results'!L494*'Quantification_Config'!$R$4),('Quantification_Results'!X494*'Quantification_Config'!$R$7),('Quantification_Results'!AJ494*'Quantification_Config'!$R$10),('Quantification_Results'!AV494*'Quantification_Config'!$R$13),('Quantification_Results'!BH494*'Quantification_Config'!$R$16))/SUM('Quantification_Config'!$R$4,'Quantification_Config'!$R$7,'Quantification_Config'!$R$10,'Quantification_Config'!$R$13,'Quantification_Config'!$R$16)),'Quantification_Config'!$U$2),""),"")</x:f>
      </x:c>
    </x:row>
    <x:row r="495">
      <x:c r="A495" t="n">
        <x:v>1</x:v>
      </x:c>
      <x:c r="B495" t="n">
        <x:v>5</x:v>
      </x:c>
      <x:c r="C495"/>
      <x:c r="D495" t="n">
        <x:f>IF(('Quantification_Results'!A495&lt;&gt;1),"",IF(('Quantification_Results'!C495=""),IF(ISNUMBER('Quantification_Results'!B495),IF(('Quantification_Results'!B495&lt;'Quantification_Config'!$S$6),"",IF(('Quantification_Results'!B495&gt;'Quantification_Config'!$T$6),"",'Quantification_Results'!B495)),""),IF(ISNUMBER('Quantification_Results'!C495),IF(('Quantification_Results'!C495&lt;'Quantification_Config'!$S$6),"",IF(('Quantification_Results'!C495&gt;'Quantification_Config'!$T$6),"",'Quantification_Results'!C495)),"")))</x:f>
        <x:v>5</x:v>
      </x:c>
      <x:c r="E495" t="n">
        <x:f>IF(ISNUMBER('Quantification_Results'!D495),IFERROR(ROUND(((('Quantification_Results'!D495-'Quantification_Config'!$S$6)/('Quantification_Config'!$T$6-'Quantification_Config'!$S$6))*100),'Quantification_Config'!$U$2),""),"")</x:f>
        <x:v>50</x:v>
      </x:c>
      <x:c r="F495" t="inlineStr">
        <x:is>
          <x:t xml:space="preserve">SYSTEM-TEST-ONLY-NO-NETWORK-NOT-AN-EDUCATIONAL-EVALUATION</x:t>
        </x:is>
      </x:c>
      <x:c r="G495" t="inlineStr">
        <x:is>
          <x:t xml:space="preserve"/>
        </x:is>
      </x:c>
      <x:c r="H495" t="inlineStr">
        <x:is>
          <x:t xml:space="preserve">NONE</x:t>
        </x:is>
      </x:c>
      <x:c r="I495" t="inlineStr">
        <x:is>
          <x:t xml:space="preserve"/>
        </x:is>
      </x:c>
      <x:c r="J495" t="inlineStr">
        <x:is>
          <x:t xml:space="preserve">SUCCESS</x:t>
        </x:is>
      </x:c>
      <x:c r="K495" t="n">
        <x:f>IF((COUNT('Quantification_Results'!E495)=1),IFERROR(ROUND((SUM(('Quantification_Results'!E495*'Quantification_Config'!$R$6))/SUM('Quantification_Config'!$R$6)),'Quantification_Config'!$U$2),""),"")</x:f>
        <x:v>50</x:v>
      </x:c>
      <x:c r="L495" t="n">
        <x:f>IF((COUNT('Quantification_Results'!K495)=1),IFERROR(ROUND((SUM(('Quantification_Results'!K495*'Quantification_Config'!$R$5))/SUM('Quantification_Config'!$R$5)),'Quantification_Config'!$U$2),""),"")</x:f>
        <x:v>50</x:v>
      </x:c>
      <x:c r="M495" t="n">
        <x:v>1</x:v>
      </x:c>
      <x:c r="N495" t="n">
        <x:v>5</x:v>
      </x:c>
      <x:c r="O495"/>
      <x:c r="P495" t="n">
        <x:f>IF(('Quantification_Results'!M495&lt;&gt;1),"",IF(('Quantification_Results'!O495=""),IF(ISNUMBER('Quantification_Results'!N495),IF(('Quantification_Results'!N495&lt;'Quantification_Config'!$S$9),"",IF(('Quantification_Results'!N495&gt;'Quantification_Config'!$T$9),"",'Quantification_Results'!N495)),""),IF(ISNUMBER('Quantification_Results'!O495),IF(('Quantification_Results'!O495&lt;'Quantification_Config'!$S$9),"",IF(('Quantification_Results'!O495&gt;'Quantification_Config'!$T$9),"",'Quantification_Results'!O495)),"")))</x:f>
        <x:v>5</x:v>
      </x:c>
      <x:c r="Q495" t="n">
        <x:f>IF(ISNUMBER('Quantification_Results'!P495),IFERROR(ROUND(((('Quantification_Results'!P495-'Quantification_Config'!$S$9)/('Quantification_Config'!$T$9-'Quantification_Config'!$S$9))*100),'Quantification_Config'!$U$2),""),"")</x:f>
        <x:v>50</x:v>
      </x:c>
      <x:c r="R495" t="inlineStr">
        <x:is>
          <x:t xml:space="preserve">SYSTEM-TEST-ONLY-NO-NETWORK-NOT-AN-EDUCATIONAL-EVALUATION</x:t>
        </x:is>
      </x:c>
      <x:c r="S495" t="inlineStr">
        <x:is>
          <x:t xml:space="preserve"/>
        </x:is>
      </x:c>
      <x:c r="T495" t="inlineStr">
        <x:is>
          <x:t xml:space="preserve">NONE</x:t>
        </x:is>
      </x:c>
      <x:c r="U495" t="inlineStr">
        <x:is>
          <x:t xml:space="preserve"/>
        </x:is>
      </x:c>
      <x:c r="V495" t="inlineStr">
        <x:is>
          <x:t xml:space="preserve">SUCCESS</x:t>
        </x:is>
      </x:c>
      <x:c r="W495" t="n">
        <x:f>IF((COUNT('Quantification_Results'!Q495)=1),IFERROR(ROUND((SUM(('Quantification_Results'!Q495*'Quantification_Config'!$R$9))/SUM('Quantification_Config'!$R$9)),'Quantification_Config'!$U$2),""),"")</x:f>
        <x:v>50</x:v>
      </x:c>
      <x:c r="X495" t="n">
        <x:f>IF((COUNT('Quantification_Results'!W495)=1),IFERROR(ROUND((SUM(('Quantification_Results'!W495*'Quantification_Config'!$R$8))/SUM('Quantification_Config'!$R$8)),'Quantification_Config'!$U$2),""),"")</x:f>
        <x:v>50</x:v>
      </x:c>
      <x:c r="Y495" t="n">
        <x:v>0</x:v>
      </x:c>
      <x:c r="Z495"/>
      <x:c r="AA495"/>
      <x:c r="AB495">
        <x:f>IF(('Quantification_Results'!Y495&lt;&gt;1),"",IF(('Quantification_Results'!AA495=""),IF(ISNUMBER('Quantification_Results'!Z495),IF(('Quantification_Results'!Z495&lt;'Quantification_Config'!$S$12),"",IF(('Quantification_Results'!Z495&gt;'Quantification_Config'!$T$12),"",'Quantification_Results'!Z495)),""),IF(ISNUMBER('Quantification_Results'!AA495),IF(('Quantification_Results'!AA495&lt;'Quantification_Config'!$S$12),"",IF(('Quantification_Results'!AA495&gt;'Quantification_Config'!$T$12),"",'Quantification_Results'!AA495)),"")))</x:f>
      </x:c>
      <x:c r="AC495">
        <x:f>IF(ISNUMBER('Quantification_Results'!AB495),IFERROR(ROUND(((('Quantification_Results'!AB495-'Quantification_Config'!$S$12)/('Quantification_Config'!$T$12-'Quantification_Config'!$S$12))*100),'Quantification_Config'!$U$2),""),"")</x:f>
      </x:c>
      <x:c r="AD495" t="inlineStr">
        <x:is>
          <x:t xml:space="preserve"/>
        </x:is>
      </x:c>
      <x:c r="AE495" t="inlineStr">
        <x:is>
          <x:t xml:space="preserve"/>
        </x:is>
      </x:c>
      <x:c r="AF495" t="inlineStr">
        <x:is>
          <x:t xml:space="preserve"/>
        </x:is>
      </x:c>
      <x:c r="AG495" t="inlineStr">
        <x:is>
          <x:t xml:space="preserve"/>
        </x:is>
      </x:c>
      <x:c r="AH495" t="inlineStr">
        <x:is>
          <x:t xml:space="preserve">EMPTY</x:t>
        </x:is>
      </x:c>
      <x:c r="AI495">
        <x:f>IF((COUNT('Quantification_Results'!AC495)=1),IFERROR(ROUND((SUM(('Quantification_Results'!AC495*'Quantification_Config'!$R$12))/SUM('Quantification_Config'!$R$12)),'Quantification_Config'!$U$2),""),"")</x:f>
      </x:c>
      <x:c r="AJ495">
        <x:f>IF((COUNT('Quantification_Results'!AI495)=1),IFERROR(ROUND((SUM(('Quantification_Results'!AI495*'Quantification_Config'!$R$11))/SUM('Quantification_Config'!$R$11)),'Quantification_Config'!$U$2),""),"")</x:f>
      </x:c>
      <x:c r="AK495" t="n">
        <x:v>1</x:v>
      </x:c>
      <x:c r="AL495" t="n">
        <x:v>5</x:v>
      </x:c>
      <x:c r="AM495"/>
      <x:c r="AN495" t="n">
        <x:f>IF(('Quantification_Results'!AK495&lt;&gt;1),"",IF(('Quantification_Results'!AM495=""),IF(ISNUMBER('Quantification_Results'!AL495),IF(('Quantification_Results'!AL495&lt;'Quantification_Config'!$S$15),"",IF(('Quantification_Results'!AL495&gt;'Quantification_Config'!$T$15),"",'Quantification_Results'!AL495)),""),IF(ISNUMBER('Quantification_Results'!AM495),IF(('Quantification_Results'!AM495&lt;'Quantification_Config'!$S$15),"",IF(('Quantification_Results'!AM495&gt;'Quantification_Config'!$T$15),"",'Quantification_Results'!AM495)),"")))</x:f>
        <x:v>5</x:v>
      </x:c>
      <x:c r="AO495" t="n">
        <x:f>IF(ISNUMBER('Quantification_Results'!AN495),IFERROR(ROUND(((('Quantification_Results'!AN495-'Quantification_Config'!$S$15)/('Quantification_Config'!$T$15-'Quantification_Config'!$S$15))*100),'Quantification_Config'!$U$2),""),"")</x:f>
        <x:v>50</x:v>
      </x:c>
      <x:c r="AP495" t="inlineStr">
        <x:is>
          <x:t xml:space="preserve">SYSTEM-TEST-ONLY-NO-NETWORK-NOT-AN-EDUCATIONAL-EVALUATION</x:t>
        </x:is>
      </x:c>
      <x:c r="AQ495" t="inlineStr">
        <x:is>
          <x:t xml:space="preserve"/>
        </x:is>
      </x:c>
      <x:c r="AR495" t="inlineStr">
        <x:is>
          <x:t xml:space="preserve">NONE</x:t>
        </x:is>
      </x:c>
      <x:c r="AS495" t="inlineStr">
        <x:is>
          <x:t xml:space="preserve"/>
        </x:is>
      </x:c>
      <x:c r="AT495" t="inlineStr">
        <x:is>
          <x:t xml:space="preserve">SUCCESS</x:t>
        </x:is>
      </x:c>
      <x:c r="AU495" t="n">
        <x:f>IF((COUNT('Quantification_Results'!AO495)=1),IFERROR(ROUND((SUM(('Quantification_Results'!AO495*'Quantification_Config'!$R$15))/SUM('Quantification_Config'!$R$15)),'Quantification_Config'!$U$2),""),"")</x:f>
        <x:v>50</x:v>
      </x:c>
      <x:c r="AV495" t="n">
        <x:f>IF((COUNT('Quantification_Results'!AU495)=1),IFERROR(ROUND((SUM(('Quantification_Results'!AU495*'Quantification_Config'!$R$14))/SUM('Quantification_Config'!$R$14)),'Quantification_Config'!$U$2),""),"")</x:f>
        <x:v>50</x:v>
      </x:c>
      <x:c r="AW495" t="n">
        <x:v>1</x:v>
      </x:c>
      <x:c r="AX495" t="n">
        <x:v>5</x:v>
      </x:c>
      <x:c r="AY495"/>
      <x:c r="AZ495" t="n">
        <x:f>IF(('Quantification_Results'!AW495&lt;&gt;1),"",IF(('Quantification_Results'!AY495=""),IF(ISNUMBER('Quantification_Results'!AX495),IF(('Quantification_Results'!AX495&lt;'Quantification_Config'!$S$19),"",IF(('Quantification_Results'!AX495&gt;'Quantification_Config'!$T$19),"",'Quantification_Results'!AX495)),""),IF(ISNUMBER('Quantification_Results'!AY495),IF(('Quantification_Results'!AY495&lt;'Quantification_Config'!$S$19),"",IF(('Quantification_Results'!AY495&gt;'Quantification_Config'!$T$19),"",'Quantification_Results'!AY495)),"")))</x:f>
        <x:v>5</x:v>
      </x:c>
      <x:c r="BA495" t="n">
        <x:f>IF(ISNUMBER('Quantification_Results'!AZ495),IFERROR(ROUND(((('Quantification_Results'!AZ495-'Quantification_Config'!$S$19)/('Quantification_Config'!$T$19-'Quantification_Config'!$S$19))*100),'Quantification_Config'!$U$2),""),"")</x:f>
        <x:v>50</x:v>
      </x:c>
      <x:c r="BB495" t="inlineStr">
        <x:is>
          <x:t xml:space="preserve">SYSTEM-TEST-ONLY-NO-NETWORK-NOT-AN-EDUCATIONAL-EVALUATION</x:t>
        </x:is>
      </x:c>
      <x:c r="BC495" t="inlineStr">
        <x:is>
          <x:t xml:space="preserve"/>
        </x:is>
      </x:c>
      <x:c r="BD495" t="inlineStr">
        <x:is>
          <x:t xml:space="preserve">NONE</x:t>
        </x:is>
      </x:c>
      <x:c r="BE495" t="inlineStr">
        <x:is>
          <x:t xml:space="preserve"/>
        </x:is>
      </x:c>
      <x:c r="BF495" t="inlineStr">
        <x:is>
          <x:t xml:space="preserve">SUCCESS</x:t>
        </x:is>
      </x:c>
      <x:c r="BG495" t="n">
        <x:f>IF((COUNT('Quantification_Results'!BA495)=1),IFERROR(ROUND((SUM(('Quantification_Results'!BA495*'Quantification_Config'!$R$19))/SUM('Quantification_Config'!$R$19)),'Quantification_Config'!$U$2),""),"")</x:f>
        <x:v>50</x:v>
      </x:c>
      <x:c r="BH495" t="n">
        <x:f>IF((COUNT('Quantification_Results'!BG495)=1),IFERROR(ROUND((SUM(('Quantification_Results'!BG495*'Quantification_Config'!$R$18))/SUM('Quantification_Config'!$R$18)),'Quantification_Config'!$U$2),""),"")</x:f>
        <x:v>50</x:v>
      </x:c>
      <x:c r="BI495">
        <x:f>IF((COUNT('Quantification_Results'!L495,'Quantification_Results'!X495,'Quantification_Results'!AJ495,'Quantification_Results'!AV495,'Quantification_Results'!BH495)=5),IFERROR(ROUND((SUM(('Quantification_Results'!L495*'Quantification_Config'!$R$4),('Quantification_Results'!X495*'Quantification_Config'!$R$7),('Quantification_Results'!AJ495*'Quantification_Config'!$R$10),('Quantification_Results'!AV495*'Quantification_Config'!$R$13),('Quantification_Results'!BH495*'Quantification_Config'!$R$16))/SUM('Quantification_Config'!$R$4,'Quantification_Config'!$R$7,'Quantification_Config'!$R$10,'Quantification_Config'!$R$13,'Quantification_Config'!$R$16)),'Quantification_Config'!$U$2),""),"")</x:f>
      </x:c>
    </x:row>
    <x:row r="496">
      <x:c r="A496" t="n">
        <x:v>1</x:v>
      </x:c>
      <x:c r="B496" t="n">
        <x:v>5</x:v>
      </x:c>
      <x:c r="C496"/>
      <x:c r="D496" t="n">
        <x:f>IF(('Quantification_Results'!A496&lt;&gt;1),"",IF(('Quantification_Results'!C496=""),IF(ISNUMBER('Quantification_Results'!B496),IF(('Quantification_Results'!B496&lt;'Quantification_Config'!$S$6),"",IF(('Quantification_Results'!B496&gt;'Quantification_Config'!$T$6),"",'Quantification_Results'!B496)),""),IF(ISNUMBER('Quantification_Results'!C496),IF(('Quantification_Results'!C496&lt;'Quantification_Config'!$S$6),"",IF(('Quantification_Results'!C496&gt;'Quantification_Config'!$T$6),"",'Quantification_Results'!C496)),"")))</x:f>
        <x:v>5</x:v>
      </x:c>
      <x:c r="E496" t="n">
        <x:f>IF(ISNUMBER('Quantification_Results'!D496),IFERROR(ROUND(((('Quantification_Results'!D496-'Quantification_Config'!$S$6)/('Quantification_Config'!$T$6-'Quantification_Config'!$S$6))*100),'Quantification_Config'!$U$2),""),"")</x:f>
        <x:v>50</x:v>
      </x:c>
      <x:c r="F496" t="inlineStr">
        <x:is>
          <x:t xml:space="preserve">SYSTEM-TEST-ONLY-NO-NETWORK-NOT-AN-EDUCATIONAL-EVALUATION</x:t>
        </x:is>
      </x:c>
      <x:c r="G496" t="inlineStr">
        <x:is>
          <x:t xml:space="preserve"/>
        </x:is>
      </x:c>
      <x:c r="H496" t="inlineStr">
        <x:is>
          <x:t xml:space="preserve">NONE</x:t>
        </x:is>
      </x:c>
      <x:c r="I496" t="inlineStr">
        <x:is>
          <x:t xml:space="preserve"/>
        </x:is>
      </x:c>
      <x:c r="J496" t="inlineStr">
        <x:is>
          <x:t xml:space="preserve">SUCCESS</x:t>
        </x:is>
      </x:c>
      <x:c r="K496" t="n">
        <x:f>IF((COUNT('Quantification_Results'!E496)=1),IFERROR(ROUND((SUM(('Quantification_Results'!E496*'Quantification_Config'!$R$6))/SUM('Quantification_Config'!$R$6)),'Quantification_Config'!$U$2),""),"")</x:f>
        <x:v>50</x:v>
      </x:c>
      <x:c r="L496" t="n">
        <x:f>IF((COUNT('Quantification_Results'!K496)=1),IFERROR(ROUND((SUM(('Quantification_Results'!K496*'Quantification_Config'!$R$5))/SUM('Quantification_Config'!$R$5)),'Quantification_Config'!$U$2),""),"")</x:f>
        <x:v>50</x:v>
      </x:c>
      <x:c r="M496" t="n">
        <x:v>0</x:v>
      </x:c>
      <x:c r="N496"/>
      <x:c r="O496"/>
      <x:c r="P496">
        <x:f>IF(('Quantification_Results'!M496&lt;&gt;1),"",IF(('Quantification_Results'!O496=""),IF(ISNUMBER('Quantification_Results'!N496),IF(('Quantification_Results'!N496&lt;'Quantification_Config'!$S$9),"",IF(('Quantification_Results'!N496&gt;'Quantification_Config'!$T$9),"",'Quantification_Results'!N496)),""),IF(ISNUMBER('Quantification_Results'!O496),IF(('Quantification_Results'!O496&lt;'Quantification_Config'!$S$9),"",IF(('Quantification_Results'!O496&gt;'Quantification_Config'!$T$9),"",'Quantification_Results'!O496)),"")))</x:f>
      </x:c>
      <x:c r="Q496">
        <x:f>IF(ISNUMBER('Quantification_Results'!P496),IFERROR(ROUND(((('Quantification_Results'!P496-'Quantification_Config'!$S$9)/('Quantification_Config'!$T$9-'Quantification_Config'!$S$9))*100),'Quantification_Config'!$U$2),""),"")</x:f>
      </x:c>
      <x:c r="R496" t="inlineStr">
        <x:is>
          <x:t xml:space="preserve"/>
        </x:is>
      </x:c>
      <x:c r="S496" t="inlineStr">
        <x:is>
          <x:t xml:space="preserve"/>
        </x:is>
      </x:c>
      <x:c r="T496" t="inlineStr">
        <x:is>
          <x:t xml:space="preserve"/>
        </x:is>
      </x:c>
      <x:c r="U496" t="inlineStr">
        <x:is>
          <x:t xml:space="preserve"/>
        </x:is>
      </x:c>
      <x:c r="V496" t="inlineStr">
        <x:is>
          <x:t xml:space="preserve">EMPTY</x:t>
        </x:is>
      </x:c>
      <x:c r="W496">
        <x:f>IF((COUNT('Quantification_Results'!Q496)=1),IFERROR(ROUND((SUM(('Quantification_Results'!Q496*'Quantification_Config'!$R$9))/SUM('Quantification_Config'!$R$9)),'Quantification_Config'!$U$2),""),"")</x:f>
      </x:c>
      <x:c r="X496">
        <x:f>IF((COUNT('Quantification_Results'!W496)=1),IFERROR(ROUND((SUM(('Quantification_Results'!W496*'Quantification_Config'!$R$8))/SUM('Quantification_Config'!$R$8)),'Quantification_Config'!$U$2),""),"")</x:f>
      </x:c>
      <x:c r="Y496" t="n">
        <x:v>0</x:v>
      </x:c>
      <x:c r="Z496"/>
      <x:c r="AA496"/>
      <x:c r="AB496">
        <x:f>IF(('Quantification_Results'!Y496&lt;&gt;1),"",IF(('Quantification_Results'!AA496=""),IF(ISNUMBER('Quantification_Results'!Z496),IF(('Quantification_Results'!Z496&lt;'Quantification_Config'!$S$12),"",IF(('Quantification_Results'!Z496&gt;'Quantification_Config'!$T$12),"",'Quantification_Results'!Z496)),""),IF(ISNUMBER('Quantification_Results'!AA496),IF(('Quantification_Results'!AA496&lt;'Quantification_Config'!$S$12),"",IF(('Quantification_Results'!AA496&gt;'Quantification_Config'!$T$12),"",'Quantification_Results'!AA496)),"")))</x:f>
      </x:c>
      <x:c r="AC496">
        <x:f>IF(ISNUMBER('Quantification_Results'!AB496),IFERROR(ROUND(((('Quantification_Results'!AB496-'Quantification_Config'!$S$12)/('Quantification_Config'!$T$12-'Quantification_Config'!$S$12))*100),'Quantification_Config'!$U$2),""),"")</x:f>
      </x:c>
      <x:c r="AD496" t="inlineStr">
        <x:is>
          <x:t xml:space="preserve"/>
        </x:is>
      </x:c>
      <x:c r="AE496" t="inlineStr">
        <x:is>
          <x:t xml:space="preserve"/>
        </x:is>
      </x:c>
      <x:c r="AF496" t="inlineStr">
        <x:is>
          <x:t xml:space="preserve"/>
        </x:is>
      </x:c>
      <x:c r="AG496" t="inlineStr">
        <x:is>
          <x:t xml:space="preserve"/>
        </x:is>
      </x:c>
      <x:c r="AH496" t="inlineStr">
        <x:is>
          <x:t xml:space="preserve">EMPTY</x:t>
        </x:is>
      </x:c>
      <x:c r="AI496">
        <x:f>IF((COUNT('Quantification_Results'!AC496)=1),IFERROR(ROUND((SUM(('Quantification_Results'!AC496*'Quantification_Config'!$R$12))/SUM('Quantification_Config'!$R$12)),'Quantification_Config'!$U$2),""),"")</x:f>
      </x:c>
      <x:c r="AJ496">
        <x:f>IF((COUNT('Quantification_Results'!AI496)=1),IFERROR(ROUND((SUM(('Quantification_Results'!AI496*'Quantification_Config'!$R$11))/SUM('Quantification_Config'!$R$11)),'Quantification_Config'!$U$2),""),"")</x:f>
      </x:c>
      <x:c r="AK496" t="n">
        <x:v>1</x:v>
      </x:c>
      <x:c r="AL496" t="n">
        <x:v>5</x:v>
      </x:c>
      <x:c r="AM496"/>
      <x:c r="AN496" t="n">
        <x:f>IF(('Quantification_Results'!AK496&lt;&gt;1),"",IF(('Quantification_Results'!AM496=""),IF(ISNUMBER('Quantification_Results'!AL496),IF(('Quantification_Results'!AL496&lt;'Quantification_Config'!$S$15),"",IF(('Quantification_Results'!AL496&gt;'Quantification_Config'!$T$15),"",'Quantification_Results'!AL496)),""),IF(ISNUMBER('Quantification_Results'!AM496),IF(('Quantification_Results'!AM496&lt;'Quantification_Config'!$S$15),"",IF(('Quantification_Results'!AM496&gt;'Quantification_Config'!$T$15),"",'Quantification_Results'!AM496)),"")))</x:f>
        <x:v>5</x:v>
      </x:c>
      <x:c r="AO496" t="n">
        <x:f>IF(ISNUMBER('Quantification_Results'!AN496),IFERROR(ROUND(((('Quantification_Results'!AN496-'Quantification_Config'!$S$15)/('Quantification_Config'!$T$15-'Quantification_Config'!$S$15))*100),'Quantification_Config'!$U$2),""),"")</x:f>
        <x:v>50</x:v>
      </x:c>
      <x:c r="AP496" t="inlineStr">
        <x:is>
          <x:t xml:space="preserve">SYSTEM-TEST-ONLY-NO-NETWORK-NOT-AN-EDUCATIONAL-EVALUATION</x:t>
        </x:is>
      </x:c>
      <x:c r="AQ496" t="inlineStr">
        <x:is>
          <x:t xml:space="preserve"/>
        </x:is>
      </x:c>
      <x:c r="AR496" t="inlineStr">
        <x:is>
          <x:t xml:space="preserve">NONE</x:t>
        </x:is>
      </x:c>
      <x:c r="AS496" t="inlineStr">
        <x:is>
          <x:t xml:space="preserve"/>
        </x:is>
      </x:c>
      <x:c r="AT496" t="inlineStr">
        <x:is>
          <x:t xml:space="preserve">SUCCESS</x:t>
        </x:is>
      </x:c>
      <x:c r="AU496" t="n">
        <x:f>IF((COUNT('Quantification_Results'!AO496)=1),IFERROR(ROUND((SUM(('Quantification_Results'!AO496*'Quantification_Config'!$R$15))/SUM('Quantification_Config'!$R$15)),'Quantification_Config'!$U$2),""),"")</x:f>
        <x:v>50</x:v>
      </x:c>
      <x:c r="AV496" t="n">
        <x:f>IF((COUNT('Quantification_Results'!AU496)=1),IFERROR(ROUND((SUM(('Quantification_Results'!AU496*'Quantification_Config'!$R$14))/SUM('Quantification_Config'!$R$14)),'Quantification_Config'!$U$2),""),"")</x:f>
        <x:v>50</x:v>
      </x:c>
      <x:c r="AW496" t="n">
        <x:v>0</x:v>
      </x:c>
      <x:c r="AX496"/>
      <x:c r="AY496"/>
      <x:c r="AZ496">
        <x:f>IF(('Quantification_Results'!AW496&lt;&gt;1),"",IF(('Quantification_Results'!AY496=""),IF(ISNUMBER('Quantification_Results'!AX496),IF(('Quantification_Results'!AX496&lt;'Quantification_Config'!$S$19),"",IF(('Quantification_Results'!AX496&gt;'Quantification_Config'!$T$19),"",'Quantification_Results'!AX496)),""),IF(ISNUMBER('Quantification_Results'!AY496),IF(('Quantification_Results'!AY496&lt;'Quantification_Config'!$S$19),"",IF(('Quantification_Results'!AY496&gt;'Quantification_Config'!$T$19),"",'Quantification_Results'!AY496)),"")))</x:f>
      </x:c>
      <x:c r="BA496">
        <x:f>IF(ISNUMBER('Quantification_Results'!AZ496),IFERROR(ROUND(((('Quantification_Results'!AZ496-'Quantification_Config'!$S$19)/('Quantification_Config'!$T$19-'Quantification_Config'!$S$19))*100),'Quantification_Config'!$U$2),""),"")</x:f>
      </x:c>
      <x:c r="BB496" t="inlineStr">
        <x:is>
          <x:t xml:space="preserve"/>
        </x:is>
      </x:c>
      <x:c r="BC496" t="inlineStr">
        <x:is>
          <x:t xml:space="preserve"/>
        </x:is>
      </x:c>
      <x:c r="BD496" t="inlineStr">
        <x:is>
          <x:t xml:space="preserve"/>
        </x:is>
      </x:c>
      <x:c r="BE496" t="inlineStr">
        <x:is>
          <x:t xml:space="preserve"/>
        </x:is>
      </x:c>
      <x:c r="BF496" t="inlineStr">
        <x:is>
          <x:t xml:space="preserve">EMPTY</x:t>
        </x:is>
      </x:c>
      <x:c r="BG496">
        <x:f>IF((COUNT('Quantification_Results'!BA496)=1),IFERROR(ROUND((SUM(('Quantification_Results'!BA496*'Quantification_Config'!$R$19))/SUM('Quantification_Config'!$R$19)),'Quantification_Config'!$U$2),""),"")</x:f>
      </x:c>
      <x:c r="BH496">
        <x:f>IF((COUNT('Quantification_Results'!BG496)=1),IFERROR(ROUND((SUM(('Quantification_Results'!BG496*'Quantification_Config'!$R$18))/SUM('Quantification_Config'!$R$18)),'Quantification_Config'!$U$2),""),"")</x:f>
      </x:c>
      <x:c r="BI496">
        <x:f>IF((COUNT('Quantification_Results'!L496,'Quantification_Results'!X496,'Quantification_Results'!AJ496,'Quantification_Results'!AV496,'Quantification_Results'!BH496)=5),IFERROR(ROUND((SUM(('Quantification_Results'!L496*'Quantification_Config'!$R$4),('Quantification_Results'!X496*'Quantification_Config'!$R$7),('Quantification_Results'!AJ496*'Quantification_Config'!$R$10),('Quantification_Results'!AV496*'Quantification_Config'!$R$13),('Quantification_Results'!BH496*'Quantification_Config'!$R$16))/SUM('Quantification_Config'!$R$4,'Quantification_Config'!$R$7,'Quantification_Config'!$R$10,'Quantification_Config'!$R$13,'Quantification_Config'!$R$16)),'Quantification_Config'!$U$2),""),"")</x:f>
      </x:c>
    </x:row>
    <x:row r="497">
      <x:c r="A497" t="n">
        <x:v>1</x:v>
      </x:c>
      <x:c r="B497" t="n">
        <x:v>5</x:v>
      </x:c>
      <x:c r="C497"/>
      <x:c r="D497" t="n">
        <x:f>IF(('Quantification_Results'!A497&lt;&gt;1),"",IF(('Quantification_Results'!C497=""),IF(ISNUMBER('Quantification_Results'!B497),IF(('Quantification_Results'!B497&lt;'Quantification_Config'!$S$6),"",IF(('Quantification_Results'!B497&gt;'Quantification_Config'!$T$6),"",'Quantification_Results'!B497)),""),IF(ISNUMBER('Quantification_Results'!C497),IF(('Quantification_Results'!C497&lt;'Quantification_Config'!$S$6),"",IF(('Quantification_Results'!C497&gt;'Quantification_Config'!$T$6),"",'Quantification_Results'!C497)),"")))</x:f>
        <x:v>5</x:v>
      </x:c>
      <x:c r="E497" t="n">
        <x:f>IF(ISNUMBER('Quantification_Results'!D497),IFERROR(ROUND(((('Quantification_Results'!D497-'Quantification_Config'!$S$6)/('Quantification_Config'!$T$6-'Quantification_Config'!$S$6))*100),'Quantification_Config'!$U$2),""),"")</x:f>
        <x:v>50</x:v>
      </x:c>
      <x:c r="F497" t="inlineStr">
        <x:is>
          <x:t xml:space="preserve">SYSTEM-TEST-ONLY-NO-NETWORK-NOT-AN-EDUCATIONAL-EVALUATION</x:t>
        </x:is>
      </x:c>
      <x:c r="G497" t="inlineStr">
        <x:is>
          <x:t xml:space="preserve"/>
        </x:is>
      </x:c>
      <x:c r="H497" t="inlineStr">
        <x:is>
          <x:t xml:space="preserve">NONE</x:t>
        </x:is>
      </x:c>
      <x:c r="I497" t="inlineStr">
        <x:is>
          <x:t xml:space="preserve"/>
        </x:is>
      </x:c>
      <x:c r="J497" t="inlineStr">
        <x:is>
          <x:t xml:space="preserve">SUCCESS</x:t>
        </x:is>
      </x:c>
      <x:c r="K497" t="n">
        <x:f>IF((COUNT('Quantification_Results'!E497)=1),IFERROR(ROUND((SUM(('Quantification_Results'!E497*'Quantification_Config'!$R$6))/SUM('Quantification_Config'!$R$6)),'Quantification_Config'!$U$2),""),"")</x:f>
        <x:v>50</x:v>
      </x:c>
      <x:c r="L497" t="n">
        <x:f>IF((COUNT('Quantification_Results'!K497)=1),IFERROR(ROUND((SUM(('Quantification_Results'!K497*'Quantification_Config'!$R$5))/SUM('Quantification_Config'!$R$5)),'Quantification_Config'!$U$2),""),"")</x:f>
        <x:v>50</x:v>
      </x:c>
      <x:c r="M497" t="n">
        <x:v>1</x:v>
      </x:c>
      <x:c r="N497" t="n">
        <x:v>5</x:v>
      </x:c>
      <x:c r="O497"/>
      <x:c r="P497" t="n">
        <x:f>IF(('Quantification_Results'!M497&lt;&gt;1),"",IF(('Quantification_Results'!O497=""),IF(ISNUMBER('Quantification_Results'!N497),IF(('Quantification_Results'!N497&lt;'Quantification_Config'!$S$9),"",IF(('Quantification_Results'!N497&gt;'Quantification_Config'!$T$9),"",'Quantification_Results'!N497)),""),IF(ISNUMBER('Quantification_Results'!O497),IF(('Quantification_Results'!O497&lt;'Quantification_Config'!$S$9),"",IF(('Quantification_Results'!O497&gt;'Quantification_Config'!$T$9),"",'Quantification_Results'!O497)),"")))</x:f>
        <x:v>5</x:v>
      </x:c>
      <x:c r="Q497" t="n">
        <x:f>IF(ISNUMBER('Quantification_Results'!P497),IFERROR(ROUND(((('Quantification_Results'!P497-'Quantification_Config'!$S$9)/('Quantification_Config'!$T$9-'Quantification_Config'!$S$9))*100),'Quantification_Config'!$U$2),""),"")</x:f>
        <x:v>50</x:v>
      </x:c>
      <x:c r="R497" t="inlineStr">
        <x:is>
          <x:t xml:space="preserve">SYSTEM-TEST-ONLY-NO-NETWORK-NOT-AN-EDUCATIONAL-EVALUATION</x:t>
        </x:is>
      </x:c>
      <x:c r="S497" t="inlineStr">
        <x:is>
          <x:t xml:space="preserve"/>
        </x:is>
      </x:c>
      <x:c r="T497" t="inlineStr">
        <x:is>
          <x:t xml:space="preserve">NONE</x:t>
        </x:is>
      </x:c>
      <x:c r="U497" t="inlineStr">
        <x:is>
          <x:t xml:space="preserve"/>
        </x:is>
      </x:c>
      <x:c r="V497" t="inlineStr">
        <x:is>
          <x:t xml:space="preserve">SUCCESS</x:t>
        </x:is>
      </x:c>
      <x:c r="W497" t="n">
        <x:f>IF((COUNT('Quantification_Results'!Q497)=1),IFERROR(ROUND((SUM(('Quantification_Results'!Q497*'Quantification_Config'!$R$9))/SUM('Quantification_Config'!$R$9)),'Quantification_Config'!$U$2),""),"")</x:f>
        <x:v>50</x:v>
      </x:c>
      <x:c r="X497" t="n">
        <x:f>IF((COUNT('Quantification_Results'!W497)=1),IFERROR(ROUND((SUM(('Quantification_Results'!W497*'Quantification_Config'!$R$8))/SUM('Quantification_Config'!$R$8)),'Quantification_Config'!$U$2),""),"")</x:f>
        <x:v>50</x:v>
      </x:c>
      <x:c r="Y497" t="n">
        <x:v>0</x:v>
      </x:c>
      <x:c r="Z497"/>
      <x:c r="AA497"/>
      <x:c r="AB497">
        <x:f>IF(('Quantification_Results'!Y497&lt;&gt;1),"",IF(('Quantification_Results'!AA497=""),IF(ISNUMBER('Quantification_Results'!Z497),IF(('Quantification_Results'!Z497&lt;'Quantification_Config'!$S$12),"",IF(('Quantification_Results'!Z497&gt;'Quantification_Config'!$T$12),"",'Quantification_Results'!Z497)),""),IF(ISNUMBER('Quantification_Results'!AA497),IF(('Quantification_Results'!AA497&lt;'Quantification_Config'!$S$12),"",IF(('Quantification_Results'!AA497&gt;'Quantification_Config'!$T$12),"",'Quantification_Results'!AA497)),"")))</x:f>
      </x:c>
      <x:c r="AC497">
        <x:f>IF(ISNUMBER('Quantification_Results'!AB497),IFERROR(ROUND(((('Quantification_Results'!AB497-'Quantification_Config'!$S$12)/('Quantification_Config'!$T$12-'Quantification_Config'!$S$12))*100),'Quantification_Config'!$U$2),""),"")</x:f>
      </x:c>
      <x:c r="AD497" t="inlineStr">
        <x:is>
          <x:t xml:space="preserve"/>
        </x:is>
      </x:c>
      <x:c r="AE497" t="inlineStr">
        <x:is>
          <x:t xml:space="preserve"/>
        </x:is>
      </x:c>
      <x:c r="AF497" t="inlineStr">
        <x:is>
          <x:t xml:space="preserve"/>
        </x:is>
      </x:c>
      <x:c r="AG497" t="inlineStr">
        <x:is>
          <x:t xml:space="preserve"/>
        </x:is>
      </x:c>
      <x:c r="AH497" t="inlineStr">
        <x:is>
          <x:t xml:space="preserve">EMPTY</x:t>
        </x:is>
      </x:c>
      <x:c r="AI497">
        <x:f>IF((COUNT('Quantification_Results'!AC497)=1),IFERROR(ROUND((SUM(('Quantification_Results'!AC497*'Quantification_Config'!$R$12))/SUM('Quantification_Config'!$R$12)),'Quantification_Config'!$U$2),""),"")</x:f>
      </x:c>
      <x:c r="AJ497">
        <x:f>IF((COUNT('Quantification_Results'!AI497)=1),IFERROR(ROUND((SUM(('Quantification_Results'!AI497*'Quantification_Config'!$R$11))/SUM('Quantification_Config'!$R$11)),'Quantification_Config'!$U$2),""),"")</x:f>
      </x:c>
      <x:c r="AK497" t="n">
        <x:v>1</x:v>
      </x:c>
      <x:c r="AL497" t="n">
        <x:v>5</x:v>
      </x:c>
      <x:c r="AM497"/>
      <x:c r="AN497" t="n">
        <x:f>IF(('Quantification_Results'!AK497&lt;&gt;1),"",IF(('Quantification_Results'!AM497=""),IF(ISNUMBER('Quantification_Results'!AL497),IF(('Quantification_Results'!AL497&lt;'Quantification_Config'!$S$15),"",IF(('Quantification_Results'!AL497&gt;'Quantification_Config'!$T$15),"",'Quantification_Results'!AL497)),""),IF(ISNUMBER('Quantification_Results'!AM497),IF(('Quantification_Results'!AM497&lt;'Quantification_Config'!$S$15),"",IF(('Quantification_Results'!AM497&gt;'Quantification_Config'!$T$15),"",'Quantification_Results'!AM497)),"")))</x:f>
        <x:v>5</x:v>
      </x:c>
      <x:c r="AO497" t="n">
        <x:f>IF(ISNUMBER('Quantification_Results'!AN497),IFERROR(ROUND(((('Quantification_Results'!AN497-'Quantification_Config'!$S$15)/('Quantification_Config'!$T$15-'Quantification_Config'!$S$15))*100),'Quantification_Config'!$U$2),""),"")</x:f>
        <x:v>50</x:v>
      </x:c>
      <x:c r="AP497" t="inlineStr">
        <x:is>
          <x:t xml:space="preserve">SYSTEM-TEST-ONLY-NO-NETWORK-NOT-AN-EDUCATIONAL-EVALUATION</x:t>
        </x:is>
      </x:c>
      <x:c r="AQ497" t="inlineStr">
        <x:is>
          <x:t xml:space="preserve"/>
        </x:is>
      </x:c>
      <x:c r="AR497" t="inlineStr">
        <x:is>
          <x:t xml:space="preserve">NONE</x:t>
        </x:is>
      </x:c>
      <x:c r="AS497" t="inlineStr">
        <x:is>
          <x:t xml:space="preserve"/>
        </x:is>
      </x:c>
      <x:c r="AT497" t="inlineStr">
        <x:is>
          <x:t xml:space="preserve">SUCCESS</x:t>
        </x:is>
      </x:c>
      <x:c r="AU497" t="n">
        <x:f>IF((COUNT('Quantification_Results'!AO497)=1),IFERROR(ROUND((SUM(('Quantification_Results'!AO497*'Quantification_Config'!$R$15))/SUM('Quantification_Config'!$R$15)),'Quantification_Config'!$U$2),""),"")</x:f>
        <x:v>50</x:v>
      </x:c>
      <x:c r="AV497" t="n">
        <x:f>IF((COUNT('Quantification_Results'!AU497)=1),IFERROR(ROUND((SUM(('Quantification_Results'!AU497*'Quantification_Config'!$R$14))/SUM('Quantification_Config'!$R$14)),'Quantification_Config'!$U$2),""),"")</x:f>
        <x:v>50</x:v>
      </x:c>
      <x:c r="AW497" t="n">
        <x:v>1</x:v>
      </x:c>
      <x:c r="AX497" t="n">
        <x:v>5</x:v>
      </x:c>
      <x:c r="AY497"/>
      <x:c r="AZ497" t="n">
        <x:f>IF(('Quantification_Results'!AW497&lt;&gt;1),"",IF(('Quantification_Results'!AY497=""),IF(ISNUMBER('Quantification_Results'!AX497),IF(('Quantification_Results'!AX497&lt;'Quantification_Config'!$S$19),"",IF(('Quantification_Results'!AX497&gt;'Quantification_Config'!$T$19),"",'Quantification_Results'!AX497)),""),IF(ISNUMBER('Quantification_Results'!AY497),IF(('Quantification_Results'!AY497&lt;'Quantification_Config'!$S$19),"",IF(('Quantification_Results'!AY497&gt;'Quantification_Config'!$T$19),"",'Quantification_Results'!AY497)),"")))</x:f>
        <x:v>5</x:v>
      </x:c>
      <x:c r="BA497" t="n">
        <x:f>IF(ISNUMBER('Quantification_Results'!AZ497),IFERROR(ROUND(((('Quantification_Results'!AZ497-'Quantification_Config'!$S$19)/('Quantification_Config'!$T$19-'Quantification_Config'!$S$19))*100),'Quantification_Config'!$U$2),""),"")</x:f>
        <x:v>50</x:v>
      </x:c>
      <x:c r="BB497" t="inlineStr">
        <x:is>
          <x:t xml:space="preserve">SYSTEM-TEST-ONLY-NO-NETWORK-NOT-AN-EDUCATIONAL-EVALUATION</x:t>
        </x:is>
      </x:c>
      <x:c r="BC497" t="inlineStr">
        <x:is>
          <x:t xml:space="preserve"/>
        </x:is>
      </x:c>
      <x:c r="BD497" t="inlineStr">
        <x:is>
          <x:t xml:space="preserve">NONE</x:t>
        </x:is>
      </x:c>
      <x:c r="BE497" t="inlineStr">
        <x:is>
          <x:t xml:space="preserve"/>
        </x:is>
      </x:c>
      <x:c r="BF497" t="inlineStr">
        <x:is>
          <x:t xml:space="preserve">SUCCESS</x:t>
        </x:is>
      </x:c>
      <x:c r="BG497" t="n">
        <x:f>IF((COUNT('Quantification_Results'!BA497)=1),IFERROR(ROUND((SUM(('Quantification_Results'!BA497*'Quantification_Config'!$R$19))/SUM('Quantification_Config'!$R$19)),'Quantification_Config'!$U$2),""),"")</x:f>
        <x:v>50</x:v>
      </x:c>
      <x:c r="BH497" t="n">
        <x:f>IF((COUNT('Quantification_Results'!BG497)=1),IFERROR(ROUND((SUM(('Quantification_Results'!BG497*'Quantification_Config'!$R$18))/SUM('Quantification_Config'!$R$18)),'Quantification_Config'!$U$2),""),"")</x:f>
        <x:v>50</x:v>
      </x:c>
      <x:c r="BI497">
        <x:f>IF((COUNT('Quantification_Results'!L497,'Quantification_Results'!X497,'Quantification_Results'!AJ497,'Quantification_Results'!AV497,'Quantification_Results'!BH497)=5),IFERROR(ROUND((SUM(('Quantification_Results'!L497*'Quantification_Config'!$R$4),('Quantification_Results'!X497*'Quantification_Config'!$R$7),('Quantification_Results'!AJ497*'Quantification_Config'!$R$10),('Quantification_Results'!AV497*'Quantification_Config'!$R$13),('Quantification_Results'!BH497*'Quantification_Config'!$R$16))/SUM('Quantification_Config'!$R$4,'Quantification_Config'!$R$7,'Quantification_Config'!$R$10,'Quantification_Config'!$R$13,'Quantification_Config'!$R$16)),'Quantification_Config'!$U$2),""),"")</x:f>
      </x:c>
    </x:row>
    <x:row r="498">
      <x:c r="A498" t="n">
        <x:v>1</x:v>
      </x:c>
      <x:c r="B498" t="n">
        <x:v>5</x:v>
      </x:c>
      <x:c r="C498"/>
      <x:c r="D498" t="n">
        <x:f>IF(('Quantification_Results'!A498&lt;&gt;1),"",IF(('Quantification_Results'!C498=""),IF(ISNUMBER('Quantification_Results'!B498),IF(('Quantification_Results'!B498&lt;'Quantification_Config'!$S$6),"",IF(('Quantification_Results'!B498&gt;'Quantification_Config'!$T$6),"",'Quantification_Results'!B498)),""),IF(ISNUMBER('Quantification_Results'!C498),IF(('Quantification_Results'!C498&lt;'Quantification_Config'!$S$6),"",IF(('Quantification_Results'!C498&gt;'Quantification_Config'!$T$6),"",'Quantification_Results'!C498)),"")))</x:f>
        <x:v>5</x:v>
      </x:c>
      <x:c r="E498" t="n">
        <x:f>IF(ISNUMBER('Quantification_Results'!D498),IFERROR(ROUND(((('Quantification_Results'!D498-'Quantification_Config'!$S$6)/('Quantification_Config'!$T$6-'Quantification_Config'!$S$6))*100),'Quantification_Config'!$U$2),""),"")</x:f>
        <x:v>50</x:v>
      </x:c>
      <x:c r="F498" t="inlineStr">
        <x:is>
          <x:t xml:space="preserve">SYSTEM-TEST-ONLY-NO-NETWORK-NOT-AN-EDUCATIONAL-EVALUATION</x:t>
        </x:is>
      </x:c>
      <x:c r="G498" t="inlineStr">
        <x:is>
          <x:t xml:space="preserve"/>
        </x:is>
      </x:c>
      <x:c r="H498" t="inlineStr">
        <x:is>
          <x:t xml:space="preserve">NONE</x:t>
        </x:is>
      </x:c>
      <x:c r="I498" t="inlineStr">
        <x:is>
          <x:t xml:space="preserve"/>
        </x:is>
      </x:c>
      <x:c r="J498" t="inlineStr">
        <x:is>
          <x:t xml:space="preserve">SUCCESS</x:t>
        </x:is>
      </x:c>
      <x:c r="K498" t="n">
        <x:f>IF((COUNT('Quantification_Results'!E498)=1),IFERROR(ROUND((SUM(('Quantification_Results'!E498*'Quantification_Config'!$R$6))/SUM('Quantification_Config'!$R$6)),'Quantification_Config'!$U$2),""),"")</x:f>
        <x:v>50</x:v>
      </x:c>
      <x:c r="L498" t="n">
        <x:f>IF((COUNT('Quantification_Results'!K498)=1),IFERROR(ROUND((SUM(('Quantification_Results'!K498*'Quantification_Config'!$R$5))/SUM('Quantification_Config'!$R$5)),'Quantification_Config'!$U$2),""),"")</x:f>
        <x:v>50</x:v>
      </x:c>
      <x:c r="M498" t="n">
        <x:v>0</x:v>
      </x:c>
      <x:c r="N498"/>
      <x:c r="O498"/>
      <x:c r="P498">
        <x:f>IF(('Quantification_Results'!M498&lt;&gt;1),"",IF(('Quantification_Results'!O498=""),IF(ISNUMBER('Quantification_Results'!N498),IF(('Quantification_Results'!N498&lt;'Quantification_Config'!$S$9),"",IF(('Quantification_Results'!N498&gt;'Quantification_Config'!$T$9),"",'Quantification_Results'!N498)),""),IF(ISNUMBER('Quantification_Results'!O498),IF(('Quantification_Results'!O498&lt;'Quantification_Config'!$S$9),"",IF(('Quantification_Results'!O498&gt;'Quantification_Config'!$T$9),"",'Quantification_Results'!O498)),"")))</x:f>
      </x:c>
      <x:c r="Q498">
        <x:f>IF(ISNUMBER('Quantification_Results'!P498),IFERROR(ROUND(((('Quantification_Results'!P498-'Quantification_Config'!$S$9)/('Quantification_Config'!$T$9-'Quantification_Config'!$S$9))*100),'Quantification_Config'!$U$2),""),"")</x:f>
      </x:c>
      <x:c r="R498" t="inlineStr">
        <x:is>
          <x:t xml:space="preserve"/>
        </x:is>
      </x:c>
      <x:c r="S498" t="inlineStr">
        <x:is>
          <x:t xml:space="preserve"/>
        </x:is>
      </x:c>
      <x:c r="T498" t="inlineStr">
        <x:is>
          <x:t xml:space="preserve"/>
        </x:is>
      </x:c>
      <x:c r="U498" t="inlineStr">
        <x:is>
          <x:t xml:space="preserve"/>
        </x:is>
      </x:c>
      <x:c r="V498" t="inlineStr">
        <x:is>
          <x:t xml:space="preserve">EMPTY</x:t>
        </x:is>
      </x:c>
      <x:c r="W498">
        <x:f>IF((COUNT('Quantification_Results'!Q498)=1),IFERROR(ROUND((SUM(('Quantification_Results'!Q498*'Quantification_Config'!$R$9))/SUM('Quantification_Config'!$R$9)),'Quantification_Config'!$U$2),""),"")</x:f>
      </x:c>
      <x:c r="X498">
        <x:f>IF((COUNT('Quantification_Results'!W498)=1),IFERROR(ROUND((SUM(('Quantification_Results'!W498*'Quantification_Config'!$R$8))/SUM('Quantification_Config'!$R$8)),'Quantification_Config'!$U$2),""),"")</x:f>
      </x:c>
      <x:c r="Y498" t="n">
        <x:v>0</x:v>
      </x:c>
      <x:c r="Z498"/>
      <x:c r="AA498"/>
      <x:c r="AB498">
        <x:f>IF(('Quantification_Results'!Y498&lt;&gt;1),"",IF(('Quantification_Results'!AA498=""),IF(ISNUMBER('Quantification_Results'!Z498),IF(('Quantification_Results'!Z498&lt;'Quantification_Config'!$S$12),"",IF(('Quantification_Results'!Z498&gt;'Quantification_Config'!$T$12),"",'Quantification_Results'!Z498)),""),IF(ISNUMBER('Quantification_Results'!AA498),IF(('Quantification_Results'!AA498&lt;'Quantification_Config'!$S$12),"",IF(('Quantification_Results'!AA498&gt;'Quantification_Config'!$T$12),"",'Quantification_Results'!AA498)),"")))</x:f>
      </x:c>
      <x:c r="AC498">
        <x:f>IF(ISNUMBER('Quantification_Results'!AB498),IFERROR(ROUND(((('Quantification_Results'!AB498-'Quantification_Config'!$S$12)/('Quantification_Config'!$T$12-'Quantification_Config'!$S$12))*100),'Quantification_Config'!$U$2),""),"")</x:f>
      </x:c>
      <x:c r="AD498" t="inlineStr">
        <x:is>
          <x:t xml:space="preserve"/>
        </x:is>
      </x:c>
      <x:c r="AE498" t="inlineStr">
        <x:is>
          <x:t xml:space="preserve"/>
        </x:is>
      </x:c>
      <x:c r="AF498" t="inlineStr">
        <x:is>
          <x:t xml:space="preserve"/>
        </x:is>
      </x:c>
      <x:c r="AG498" t="inlineStr">
        <x:is>
          <x:t xml:space="preserve"/>
        </x:is>
      </x:c>
      <x:c r="AH498" t="inlineStr">
        <x:is>
          <x:t xml:space="preserve">EMPTY</x:t>
        </x:is>
      </x:c>
      <x:c r="AI498">
        <x:f>IF((COUNT('Quantification_Results'!AC498)=1),IFERROR(ROUND((SUM(('Quantification_Results'!AC498*'Quantification_Config'!$R$12))/SUM('Quantification_Config'!$R$12)),'Quantification_Config'!$U$2),""),"")</x:f>
      </x:c>
      <x:c r="AJ498">
        <x:f>IF((COUNT('Quantification_Results'!AI498)=1),IFERROR(ROUND((SUM(('Quantification_Results'!AI498*'Quantification_Config'!$R$11))/SUM('Quantification_Config'!$R$11)),'Quantification_Config'!$U$2),""),"")</x:f>
      </x:c>
      <x:c r="AK498" t="n">
        <x:v>1</x:v>
      </x:c>
      <x:c r="AL498" t="n">
        <x:v>5</x:v>
      </x:c>
      <x:c r="AM498"/>
      <x:c r="AN498" t="n">
        <x:f>IF(('Quantification_Results'!AK498&lt;&gt;1),"",IF(('Quantification_Results'!AM498=""),IF(ISNUMBER('Quantification_Results'!AL498),IF(('Quantification_Results'!AL498&lt;'Quantification_Config'!$S$15),"",IF(('Quantification_Results'!AL498&gt;'Quantification_Config'!$T$15),"",'Quantification_Results'!AL498)),""),IF(ISNUMBER('Quantification_Results'!AM498),IF(('Quantification_Results'!AM498&lt;'Quantification_Config'!$S$15),"",IF(('Quantification_Results'!AM498&gt;'Quantification_Config'!$T$15),"",'Quantification_Results'!AM498)),"")))</x:f>
        <x:v>5</x:v>
      </x:c>
      <x:c r="AO498" t="n">
        <x:f>IF(ISNUMBER('Quantification_Results'!AN498),IFERROR(ROUND(((('Quantification_Results'!AN498-'Quantification_Config'!$S$15)/('Quantification_Config'!$T$15-'Quantification_Config'!$S$15))*100),'Quantification_Config'!$U$2),""),"")</x:f>
        <x:v>50</x:v>
      </x:c>
      <x:c r="AP498" t="inlineStr">
        <x:is>
          <x:t xml:space="preserve">SYSTEM-TEST-ONLY-NO-NETWORK-NOT-AN-EDUCATIONAL-EVALUATION</x:t>
        </x:is>
      </x:c>
      <x:c r="AQ498" t="inlineStr">
        <x:is>
          <x:t xml:space="preserve"/>
        </x:is>
      </x:c>
      <x:c r="AR498" t="inlineStr">
        <x:is>
          <x:t xml:space="preserve">NONE</x:t>
        </x:is>
      </x:c>
      <x:c r="AS498" t="inlineStr">
        <x:is>
          <x:t xml:space="preserve"/>
        </x:is>
      </x:c>
      <x:c r="AT498" t="inlineStr">
        <x:is>
          <x:t xml:space="preserve">SUCCESS</x:t>
        </x:is>
      </x:c>
      <x:c r="AU498" t="n">
        <x:f>IF((COUNT('Quantification_Results'!AO498)=1),IFERROR(ROUND((SUM(('Quantification_Results'!AO498*'Quantification_Config'!$R$15))/SUM('Quantification_Config'!$R$15)),'Quantification_Config'!$U$2),""),"")</x:f>
        <x:v>50</x:v>
      </x:c>
      <x:c r="AV498" t="n">
        <x:f>IF((COUNT('Quantification_Results'!AU498)=1),IFERROR(ROUND((SUM(('Quantification_Results'!AU498*'Quantification_Config'!$R$14))/SUM('Quantification_Config'!$R$14)),'Quantification_Config'!$U$2),""),"")</x:f>
        <x:v>50</x:v>
      </x:c>
      <x:c r="AW498" t="n">
        <x:v>0</x:v>
      </x:c>
      <x:c r="AX498"/>
      <x:c r="AY498"/>
      <x:c r="AZ498">
        <x:f>IF(('Quantification_Results'!AW498&lt;&gt;1),"",IF(('Quantification_Results'!AY498=""),IF(ISNUMBER('Quantification_Results'!AX498),IF(('Quantification_Results'!AX498&lt;'Quantification_Config'!$S$19),"",IF(('Quantification_Results'!AX498&gt;'Quantification_Config'!$T$19),"",'Quantification_Results'!AX498)),""),IF(ISNUMBER('Quantification_Results'!AY498),IF(('Quantification_Results'!AY498&lt;'Quantification_Config'!$S$19),"",IF(('Quantification_Results'!AY498&gt;'Quantification_Config'!$T$19),"",'Quantification_Results'!AY498)),"")))</x:f>
      </x:c>
      <x:c r="BA498">
        <x:f>IF(ISNUMBER('Quantification_Results'!AZ498),IFERROR(ROUND(((('Quantification_Results'!AZ498-'Quantification_Config'!$S$19)/('Quantification_Config'!$T$19-'Quantification_Config'!$S$19))*100),'Quantification_Config'!$U$2),""),"")</x:f>
      </x:c>
      <x:c r="BB498" t="inlineStr">
        <x:is>
          <x:t xml:space="preserve"/>
        </x:is>
      </x:c>
      <x:c r="BC498" t="inlineStr">
        <x:is>
          <x:t xml:space="preserve"/>
        </x:is>
      </x:c>
      <x:c r="BD498" t="inlineStr">
        <x:is>
          <x:t xml:space="preserve"/>
        </x:is>
      </x:c>
      <x:c r="BE498" t="inlineStr">
        <x:is>
          <x:t xml:space="preserve"/>
        </x:is>
      </x:c>
      <x:c r="BF498" t="inlineStr">
        <x:is>
          <x:t xml:space="preserve">EMPTY</x:t>
        </x:is>
      </x:c>
      <x:c r="BG498">
        <x:f>IF((COUNT('Quantification_Results'!BA498)=1),IFERROR(ROUND((SUM(('Quantification_Results'!BA498*'Quantification_Config'!$R$19))/SUM('Quantification_Config'!$R$19)),'Quantification_Config'!$U$2),""),"")</x:f>
      </x:c>
      <x:c r="BH498">
        <x:f>IF((COUNT('Quantification_Results'!BG498)=1),IFERROR(ROUND((SUM(('Quantification_Results'!BG498*'Quantification_Config'!$R$18))/SUM('Quantification_Config'!$R$18)),'Quantification_Config'!$U$2),""),"")</x:f>
      </x:c>
      <x:c r="BI498">
        <x:f>IF((COUNT('Quantification_Results'!L498,'Quantification_Results'!X498,'Quantification_Results'!AJ498,'Quantification_Results'!AV498,'Quantification_Results'!BH498)=5),IFERROR(ROUND((SUM(('Quantification_Results'!L498*'Quantification_Config'!$R$4),('Quantification_Results'!X498*'Quantification_Config'!$R$7),('Quantification_Results'!AJ498*'Quantification_Config'!$R$10),('Quantification_Results'!AV498*'Quantification_Config'!$R$13),('Quantification_Results'!BH498*'Quantification_Config'!$R$16))/SUM('Quantification_Config'!$R$4,'Quantification_Config'!$R$7,'Quantification_Config'!$R$10,'Quantification_Config'!$R$13,'Quantification_Config'!$R$16)),'Quantification_Config'!$U$2),""),"")</x:f>
      </x:c>
    </x:row>
    <x:row r="499">
      <x:c r="A499" t="n">
        <x:v>1</x:v>
      </x:c>
      <x:c r="B499" t="n">
        <x:v>5</x:v>
      </x:c>
      <x:c r="C499"/>
      <x:c r="D499" t="n">
        <x:f>IF(('Quantification_Results'!A499&lt;&gt;1),"",IF(('Quantification_Results'!C499=""),IF(ISNUMBER('Quantification_Results'!B499),IF(('Quantification_Results'!B499&lt;'Quantification_Config'!$S$6),"",IF(('Quantification_Results'!B499&gt;'Quantification_Config'!$T$6),"",'Quantification_Results'!B499)),""),IF(ISNUMBER('Quantification_Results'!C499),IF(('Quantification_Results'!C499&lt;'Quantification_Config'!$S$6),"",IF(('Quantification_Results'!C499&gt;'Quantification_Config'!$T$6),"",'Quantification_Results'!C499)),"")))</x:f>
        <x:v>5</x:v>
      </x:c>
      <x:c r="E499" t="n">
        <x:f>IF(ISNUMBER('Quantification_Results'!D499),IFERROR(ROUND(((('Quantification_Results'!D499-'Quantification_Config'!$S$6)/('Quantification_Config'!$T$6-'Quantification_Config'!$S$6))*100),'Quantification_Config'!$U$2),""),"")</x:f>
        <x:v>50</x:v>
      </x:c>
      <x:c r="F499" t="inlineStr">
        <x:is>
          <x:t xml:space="preserve">SYSTEM-TEST-ONLY-NO-NETWORK-NOT-AN-EDUCATIONAL-EVALUATION</x:t>
        </x:is>
      </x:c>
      <x:c r="G499" t="inlineStr">
        <x:is>
          <x:t xml:space="preserve"/>
        </x:is>
      </x:c>
      <x:c r="H499" t="inlineStr">
        <x:is>
          <x:t xml:space="preserve">NONE</x:t>
        </x:is>
      </x:c>
      <x:c r="I499" t="inlineStr">
        <x:is>
          <x:t xml:space="preserve"/>
        </x:is>
      </x:c>
      <x:c r="J499" t="inlineStr">
        <x:is>
          <x:t xml:space="preserve">SUCCESS</x:t>
        </x:is>
      </x:c>
      <x:c r="K499" t="n">
        <x:f>IF((COUNT('Quantification_Results'!E499)=1),IFERROR(ROUND((SUM(('Quantification_Results'!E499*'Quantification_Config'!$R$6))/SUM('Quantification_Config'!$R$6)),'Quantification_Config'!$U$2),""),"")</x:f>
        <x:v>50</x:v>
      </x:c>
      <x:c r="L499" t="n">
        <x:f>IF((COUNT('Quantification_Results'!K499)=1),IFERROR(ROUND((SUM(('Quantification_Results'!K499*'Quantification_Config'!$R$5))/SUM('Quantification_Config'!$R$5)),'Quantification_Config'!$U$2),""),"")</x:f>
        <x:v>50</x:v>
      </x:c>
      <x:c r="M499" t="n">
        <x:v>1</x:v>
      </x:c>
      <x:c r="N499" t="n">
        <x:v>5</x:v>
      </x:c>
      <x:c r="O499"/>
      <x:c r="P499" t="n">
        <x:f>IF(('Quantification_Results'!M499&lt;&gt;1),"",IF(('Quantification_Results'!O499=""),IF(ISNUMBER('Quantification_Results'!N499),IF(('Quantification_Results'!N499&lt;'Quantification_Config'!$S$9),"",IF(('Quantification_Results'!N499&gt;'Quantification_Config'!$T$9),"",'Quantification_Results'!N499)),""),IF(ISNUMBER('Quantification_Results'!O499),IF(('Quantification_Results'!O499&lt;'Quantification_Config'!$S$9),"",IF(('Quantification_Results'!O499&gt;'Quantification_Config'!$T$9),"",'Quantification_Results'!O499)),"")))</x:f>
        <x:v>5</x:v>
      </x:c>
      <x:c r="Q499" t="n">
        <x:f>IF(ISNUMBER('Quantification_Results'!P499),IFERROR(ROUND(((('Quantification_Results'!P499-'Quantification_Config'!$S$9)/('Quantification_Config'!$T$9-'Quantification_Config'!$S$9))*100),'Quantification_Config'!$U$2),""),"")</x:f>
        <x:v>50</x:v>
      </x:c>
      <x:c r="R499" t="inlineStr">
        <x:is>
          <x:t xml:space="preserve">SYSTEM-TEST-ONLY-NO-NETWORK-NOT-AN-EDUCATIONAL-EVALUATION</x:t>
        </x:is>
      </x:c>
      <x:c r="S499" t="inlineStr">
        <x:is>
          <x:t xml:space="preserve"/>
        </x:is>
      </x:c>
      <x:c r="T499" t="inlineStr">
        <x:is>
          <x:t xml:space="preserve">NONE</x:t>
        </x:is>
      </x:c>
      <x:c r="U499" t="inlineStr">
        <x:is>
          <x:t xml:space="preserve"/>
        </x:is>
      </x:c>
      <x:c r="V499" t="inlineStr">
        <x:is>
          <x:t xml:space="preserve">SUCCESS</x:t>
        </x:is>
      </x:c>
      <x:c r="W499" t="n">
        <x:f>IF((COUNT('Quantification_Results'!Q499)=1),IFERROR(ROUND((SUM(('Quantification_Results'!Q499*'Quantification_Config'!$R$9))/SUM('Quantification_Config'!$R$9)),'Quantification_Config'!$U$2),""),"")</x:f>
        <x:v>50</x:v>
      </x:c>
      <x:c r="X499" t="n">
        <x:f>IF((COUNT('Quantification_Results'!W499)=1),IFERROR(ROUND((SUM(('Quantification_Results'!W499*'Quantification_Config'!$R$8))/SUM('Quantification_Config'!$R$8)),'Quantification_Config'!$U$2),""),"")</x:f>
        <x:v>50</x:v>
      </x:c>
      <x:c r="Y499" t="n">
        <x:v>0</x:v>
      </x:c>
      <x:c r="Z499"/>
      <x:c r="AA499"/>
      <x:c r="AB499">
        <x:f>IF(('Quantification_Results'!Y499&lt;&gt;1),"",IF(('Quantification_Results'!AA499=""),IF(ISNUMBER('Quantification_Results'!Z499),IF(('Quantification_Results'!Z499&lt;'Quantification_Config'!$S$12),"",IF(('Quantification_Results'!Z499&gt;'Quantification_Config'!$T$12),"",'Quantification_Results'!Z499)),""),IF(ISNUMBER('Quantification_Results'!AA499),IF(('Quantification_Results'!AA499&lt;'Quantification_Config'!$S$12),"",IF(('Quantification_Results'!AA499&gt;'Quantification_Config'!$T$12),"",'Quantification_Results'!AA499)),"")))</x:f>
      </x:c>
      <x:c r="AC499">
        <x:f>IF(ISNUMBER('Quantification_Results'!AB499),IFERROR(ROUND(((('Quantification_Results'!AB499-'Quantification_Config'!$S$12)/('Quantification_Config'!$T$12-'Quantification_Config'!$S$12))*100),'Quantification_Config'!$U$2),""),"")</x:f>
      </x:c>
      <x:c r="AD499" t="inlineStr">
        <x:is>
          <x:t xml:space="preserve"/>
        </x:is>
      </x:c>
      <x:c r="AE499" t="inlineStr">
        <x:is>
          <x:t xml:space="preserve"/>
        </x:is>
      </x:c>
      <x:c r="AF499" t="inlineStr">
        <x:is>
          <x:t xml:space="preserve"/>
        </x:is>
      </x:c>
      <x:c r="AG499" t="inlineStr">
        <x:is>
          <x:t xml:space="preserve"/>
        </x:is>
      </x:c>
      <x:c r="AH499" t="inlineStr">
        <x:is>
          <x:t xml:space="preserve">EMPTY</x:t>
        </x:is>
      </x:c>
      <x:c r="AI499">
        <x:f>IF((COUNT('Quantification_Results'!AC499)=1),IFERROR(ROUND((SUM(('Quantification_Results'!AC499*'Quantification_Config'!$R$12))/SUM('Quantification_Config'!$R$12)),'Quantification_Config'!$U$2),""),"")</x:f>
      </x:c>
      <x:c r="AJ499">
        <x:f>IF((COUNT('Quantification_Results'!AI499)=1),IFERROR(ROUND((SUM(('Quantification_Results'!AI499*'Quantification_Config'!$R$11))/SUM('Quantification_Config'!$R$11)),'Quantification_Config'!$U$2),""),"")</x:f>
      </x:c>
      <x:c r="AK499" t="n">
        <x:v>1</x:v>
      </x:c>
      <x:c r="AL499" t="n">
        <x:v>5</x:v>
      </x:c>
      <x:c r="AM499"/>
      <x:c r="AN499" t="n">
        <x:f>IF(('Quantification_Results'!AK499&lt;&gt;1),"",IF(('Quantification_Results'!AM499=""),IF(ISNUMBER('Quantification_Results'!AL499),IF(('Quantification_Results'!AL499&lt;'Quantification_Config'!$S$15),"",IF(('Quantification_Results'!AL499&gt;'Quantification_Config'!$T$15),"",'Quantification_Results'!AL499)),""),IF(ISNUMBER('Quantification_Results'!AM499),IF(('Quantification_Results'!AM499&lt;'Quantification_Config'!$S$15),"",IF(('Quantification_Results'!AM499&gt;'Quantification_Config'!$T$15),"",'Quantification_Results'!AM499)),"")))</x:f>
        <x:v>5</x:v>
      </x:c>
      <x:c r="AO499" t="n">
        <x:f>IF(ISNUMBER('Quantification_Results'!AN499),IFERROR(ROUND(((('Quantification_Results'!AN499-'Quantification_Config'!$S$15)/('Quantification_Config'!$T$15-'Quantification_Config'!$S$15))*100),'Quantification_Config'!$U$2),""),"")</x:f>
        <x:v>50</x:v>
      </x:c>
      <x:c r="AP499" t="inlineStr">
        <x:is>
          <x:t xml:space="preserve">SYSTEM-TEST-ONLY-NO-NETWORK-NOT-AN-EDUCATIONAL-EVALUATION</x:t>
        </x:is>
      </x:c>
      <x:c r="AQ499" t="inlineStr">
        <x:is>
          <x:t xml:space="preserve"/>
        </x:is>
      </x:c>
      <x:c r="AR499" t="inlineStr">
        <x:is>
          <x:t xml:space="preserve">NONE</x:t>
        </x:is>
      </x:c>
      <x:c r="AS499" t="inlineStr">
        <x:is>
          <x:t xml:space="preserve"/>
        </x:is>
      </x:c>
      <x:c r="AT499" t="inlineStr">
        <x:is>
          <x:t xml:space="preserve">SUCCESS</x:t>
        </x:is>
      </x:c>
      <x:c r="AU499" t="n">
        <x:f>IF((COUNT('Quantification_Results'!AO499)=1),IFERROR(ROUND((SUM(('Quantification_Results'!AO499*'Quantification_Config'!$R$15))/SUM('Quantification_Config'!$R$15)),'Quantification_Config'!$U$2),""),"")</x:f>
        <x:v>50</x:v>
      </x:c>
      <x:c r="AV499" t="n">
        <x:f>IF((COUNT('Quantification_Results'!AU499)=1),IFERROR(ROUND((SUM(('Quantification_Results'!AU499*'Quantification_Config'!$R$14))/SUM('Quantification_Config'!$R$14)),'Quantification_Config'!$U$2),""),"")</x:f>
        <x:v>50</x:v>
      </x:c>
      <x:c r="AW499" t="n">
        <x:v>1</x:v>
      </x:c>
      <x:c r="AX499" t="n">
        <x:v>5</x:v>
      </x:c>
      <x:c r="AY499"/>
      <x:c r="AZ499" t="n">
        <x:f>IF(('Quantification_Results'!AW499&lt;&gt;1),"",IF(('Quantification_Results'!AY499=""),IF(ISNUMBER('Quantification_Results'!AX499),IF(('Quantification_Results'!AX499&lt;'Quantification_Config'!$S$19),"",IF(('Quantification_Results'!AX499&gt;'Quantification_Config'!$T$19),"",'Quantification_Results'!AX499)),""),IF(ISNUMBER('Quantification_Results'!AY499),IF(('Quantification_Results'!AY499&lt;'Quantification_Config'!$S$19),"",IF(('Quantification_Results'!AY499&gt;'Quantification_Config'!$T$19),"",'Quantification_Results'!AY499)),"")))</x:f>
        <x:v>5</x:v>
      </x:c>
      <x:c r="BA499" t="n">
        <x:f>IF(ISNUMBER('Quantification_Results'!AZ499),IFERROR(ROUND(((('Quantification_Results'!AZ499-'Quantification_Config'!$S$19)/('Quantification_Config'!$T$19-'Quantification_Config'!$S$19))*100),'Quantification_Config'!$U$2),""),"")</x:f>
        <x:v>50</x:v>
      </x:c>
      <x:c r="BB499" t="inlineStr">
        <x:is>
          <x:t xml:space="preserve">SYSTEM-TEST-ONLY-NO-NETWORK-NOT-AN-EDUCATIONAL-EVALUATION</x:t>
        </x:is>
      </x:c>
      <x:c r="BC499" t="inlineStr">
        <x:is>
          <x:t xml:space="preserve"/>
        </x:is>
      </x:c>
      <x:c r="BD499" t="inlineStr">
        <x:is>
          <x:t xml:space="preserve">NONE</x:t>
        </x:is>
      </x:c>
      <x:c r="BE499" t="inlineStr">
        <x:is>
          <x:t xml:space="preserve"/>
        </x:is>
      </x:c>
      <x:c r="BF499" t="inlineStr">
        <x:is>
          <x:t xml:space="preserve">SUCCESS</x:t>
        </x:is>
      </x:c>
      <x:c r="BG499" t="n">
        <x:f>IF((COUNT('Quantification_Results'!BA499)=1),IFERROR(ROUND((SUM(('Quantification_Results'!BA499*'Quantification_Config'!$R$19))/SUM('Quantification_Config'!$R$19)),'Quantification_Config'!$U$2),""),"")</x:f>
        <x:v>50</x:v>
      </x:c>
      <x:c r="BH499" t="n">
        <x:f>IF((COUNT('Quantification_Results'!BG499)=1),IFERROR(ROUND((SUM(('Quantification_Results'!BG499*'Quantification_Config'!$R$18))/SUM('Quantification_Config'!$R$18)),'Quantification_Config'!$U$2),""),"")</x:f>
        <x:v>50</x:v>
      </x:c>
      <x:c r="BI499">
        <x:f>IF((COUNT('Quantification_Results'!L499,'Quantification_Results'!X499,'Quantification_Results'!AJ499,'Quantification_Results'!AV499,'Quantification_Results'!BH499)=5),IFERROR(ROUND((SUM(('Quantification_Results'!L499*'Quantification_Config'!$R$4),('Quantification_Results'!X499*'Quantification_Config'!$R$7),('Quantification_Results'!AJ499*'Quantification_Config'!$R$10),('Quantification_Results'!AV499*'Quantification_Config'!$R$13),('Quantification_Results'!BH499*'Quantification_Config'!$R$16))/SUM('Quantification_Config'!$R$4,'Quantification_Config'!$R$7,'Quantification_Config'!$R$10,'Quantification_Config'!$R$13,'Quantification_Config'!$R$16)),'Quantification_Config'!$U$2),""),"")</x:f>
      </x:c>
    </x:row>
    <x:row r="500">
      <x:c r="A500" t="n">
        <x:v>1</x:v>
      </x:c>
      <x:c r="B500" t="n">
        <x:v>5</x:v>
      </x:c>
      <x:c r="C500"/>
      <x:c r="D500" t="n">
        <x:f>IF(('Quantification_Results'!A500&lt;&gt;1),"",IF(('Quantification_Results'!C500=""),IF(ISNUMBER('Quantification_Results'!B500),IF(('Quantification_Results'!B500&lt;'Quantification_Config'!$S$6),"",IF(('Quantification_Results'!B500&gt;'Quantification_Config'!$T$6),"",'Quantification_Results'!B500)),""),IF(ISNUMBER('Quantification_Results'!C500),IF(('Quantification_Results'!C500&lt;'Quantification_Config'!$S$6),"",IF(('Quantification_Results'!C500&gt;'Quantification_Config'!$T$6),"",'Quantification_Results'!C500)),"")))</x:f>
        <x:v>5</x:v>
      </x:c>
      <x:c r="E500" t="n">
        <x:f>IF(ISNUMBER('Quantification_Results'!D500),IFERROR(ROUND(((('Quantification_Results'!D500-'Quantification_Config'!$S$6)/('Quantification_Config'!$T$6-'Quantification_Config'!$S$6))*100),'Quantification_Config'!$U$2),""),"")</x:f>
        <x:v>50</x:v>
      </x:c>
      <x:c r="F500" t="inlineStr">
        <x:is>
          <x:t xml:space="preserve">SYSTEM-TEST-ONLY-NO-NETWORK-NOT-AN-EDUCATIONAL-EVALUATION</x:t>
        </x:is>
      </x:c>
      <x:c r="G500" t="inlineStr">
        <x:is>
          <x:t xml:space="preserve"/>
        </x:is>
      </x:c>
      <x:c r="H500" t="inlineStr">
        <x:is>
          <x:t xml:space="preserve">NONE</x:t>
        </x:is>
      </x:c>
      <x:c r="I500" t="inlineStr">
        <x:is>
          <x:t xml:space="preserve"/>
        </x:is>
      </x:c>
      <x:c r="J500" t="inlineStr">
        <x:is>
          <x:t xml:space="preserve">SUCCESS</x:t>
        </x:is>
      </x:c>
      <x:c r="K500" t="n">
        <x:f>IF((COUNT('Quantification_Results'!E500)=1),IFERROR(ROUND((SUM(('Quantification_Results'!E500*'Quantification_Config'!$R$6))/SUM('Quantification_Config'!$R$6)),'Quantification_Config'!$U$2),""),"")</x:f>
        <x:v>50</x:v>
      </x:c>
      <x:c r="L500" t="n">
        <x:f>IF((COUNT('Quantification_Results'!K500)=1),IFERROR(ROUND((SUM(('Quantification_Results'!K500*'Quantification_Config'!$R$5))/SUM('Quantification_Config'!$R$5)),'Quantification_Config'!$U$2),""),"")</x:f>
        <x:v>50</x:v>
      </x:c>
      <x:c r="M500" t="n">
        <x:v>1</x:v>
      </x:c>
      <x:c r="N500" t="n">
        <x:v>5</x:v>
      </x:c>
      <x:c r="O500"/>
      <x:c r="P500" t="n">
        <x:f>IF(('Quantification_Results'!M500&lt;&gt;1),"",IF(('Quantification_Results'!O500=""),IF(ISNUMBER('Quantification_Results'!N500),IF(('Quantification_Results'!N500&lt;'Quantification_Config'!$S$9),"",IF(('Quantification_Results'!N500&gt;'Quantification_Config'!$T$9),"",'Quantification_Results'!N500)),""),IF(ISNUMBER('Quantification_Results'!O500),IF(('Quantification_Results'!O500&lt;'Quantification_Config'!$S$9),"",IF(('Quantification_Results'!O500&gt;'Quantification_Config'!$T$9),"",'Quantification_Results'!O500)),"")))</x:f>
        <x:v>5</x:v>
      </x:c>
      <x:c r="Q500" t="n">
        <x:f>IF(ISNUMBER('Quantification_Results'!P500),IFERROR(ROUND(((('Quantification_Results'!P500-'Quantification_Config'!$S$9)/('Quantification_Config'!$T$9-'Quantification_Config'!$S$9))*100),'Quantification_Config'!$U$2),""),"")</x:f>
        <x:v>50</x:v>
      </x:c>
      <x:c r="R500" t="inlineStr">
        <x:is>
          <x:t xml:space="preserve">SYSTEM-TEST-ONLY-NO-NETWORK-NOT-AN-EDUCATIONAL-EVALUATION</x:t>
        </x:is>
      </x:c>
      <x:c r="S500" t="inlineStr">
        <x:is>
          <x:t xml:space="preserve"/>
        </x:is>
      </x:c>
      <x:c r="T500" t="inlineStr">
        <x:is>
          <x:t xml:space="preserve">NONE</x:t>
        </x:is>
      </x:c>
      <x:c r="U500" t="inlineStr">
        <x:is>
          <x:t xml:space="preserve"/>
        </x:is>
      </x:c>
      <x:c r="V500" t="inlineStr">
        <x:is>
          <x:t xml:space="preserve">SUCCESS</x:t>
        </x:is>
      </x:c>
      <x:c r="W500" t="n">
        <x:f>IF((COUNT('Quantification_Results'!Q500)=1),IFERROR(ROUND((SUM(('Quantification_Results'!Q500*'Quantification_Config'!$R$9))/SUM('Quantification_Config'!$R$9)),'Quantification_Config'!$U$2),""),"")</x:f>
        <x:v>50</x:v>
      </x:c>
      <x:c r="X500" t="n">
        <x:f>IF((COUNT('Quantification_Results'!W500)=1),IFERROR(ROUND((SUM(('Quantification_Results'!W500*'Quantification_Config'!$R$8))/SUM('Quantification_Config'!$R$8)),'Quantification_Config'!$U$2),""),"")</x:f>
        <x:v>50</x:v>
      </x:c>
      <x:c r="Y500" t="n">
        <x:v>0</x:v>
      </x:c>
      <x:c r="Z500"/>
      <x:c r="AA500"/>
      <x:c r="AB500">
        <x:f>IF(('Quantification_Results'!Y500&lt;&gt;1),"",IF(('Quantification_Results'!AA500=""),IF(ISNUMBER('Quantification_Results'!Z500),IF(('Quantification_Results'!Z500&lt;'Quantification_Config'!$S$12),"",IF(('Quantification_Results'!Z500&gt;'Quantification_Config'!$T$12),"",'Quantification_Results'!Z500)),""),IF(ISNUMBER('Quantification_Results'!AA500),IF(('Quantification_Results'!AA500&lt;'Quantification_Config'!$S$12),"",IF(('Quantification_Results'!AA500&gt;'Quantification_Config'!$T$12),"",'Quantification_Results'!AA500)),"")))</x:f>
      </x:c>
      <x:c r="AC500">
        <x:f>IF(ISNUMBER('Quantification_Results'!AB500),IFERROR(ROUND(((('Quantification_Results'!AB500-'Quantification_Config'!$S$12)/('Quantification_Config'!$T$12-'Quantification_Config'!$S$12))*100),'Quantification_Config'!$U$2),""),"")</x:f>
      </x:c>
      <x:c r="AD500" t="inlineStr">
        <x:is>
          <x:t xml:space="preserve"/>
        </x:is>
      </x:c>
      <x:c r="AE500" t="inlineStr">
        <x:is>
          <x:t xml:space="preserve"/>
        </x:is>
      </x:c>
      <x:c r="AF500" t="inlineStr">
        <x:is>
          <x:t xml:space="preserve"/>
        </x:is>
      </x:c>
      <x:c r="AG500" t="inlineStr">
        <x:is>
          <x:t xml:space="preserve"/>
        </x:is>
      </x:c>
      <x:c r="AH500" t="inlineStr">
        <x:is>
          <x:t xml:space="preserve">EMPTY</x:t>
        </x:is>
      </x:c>
      <x:c r="AI500">
        <x:f>IF((COUNT('Quantification_Results'!AC500)=1),IFERROR(ROUND((SUM(('Quantification_Results'!AC500*'Quantification_Config'!$R$12))/SUM('Quantification_Config'!$R$12)),'Quantification_Config'!$U$2),""),"")</x:f>
      </x:c>
      <x:c r="AJ500">
        <x:f>IF((COUNT('Quantification_Results'!AI500)=1),IFERROR(ROUND((SUM(('Quantification_Results'!AI500*'Quantification_Config'!$R$11))/SUM('Quantification_Config'!$R$11)),'Quantification_Config'!$U$2),""),"")</x:f>
      </x:c>
      <x:c r="AK500" t="n">
        <x:v>1</x:v>
      </x:c>
      <x:c r="AL500" t="n">
        <x:v>5</x:v>
      </x:c>
      <x:c r="AM500"/>
      <x:c r="AN500" t="n">
        <x:f>IF(('Quantification_Results'!AK500&lt;&gt;1),"",IF(('Quantification_Results'!AM500=""),IF(ISNUMBER('Quantification_Results'!AL500),IF(('Quantification_Results'!AL500&lt;'Quantification_Config'!$S$15),"",IF(('Quantification_Results'!AL500&gt;'Quantification_Config'!$T$15),"",'Quantification_Results'!AL500)),""),IF(ISNUMBER('Quantification_Results'!AM500),IF(('Quantification_Results'!AM500&lt;'Quantification_Config'!$S$15),"",IF(('Quantification_Results'!AM500&gt;'Quantification_Config'!$T$15),"",'Quantification_Results'!AM500)),"")))</x:f>
        <x:v>5</x:v>
      </x:c>
      <x:c r="AO500" t="n">
        <x:f>IF(ISNUMBER('Quantification_Results'!AN500),IFERROR(ROUND(((('Quantification_Results'!AN500-'Quantification_Config'!$S$15)/('Quantification_Config'!$T$15-'Quantification_Config'!$S$15))*100),'Quantification_Config'!$U$2),""),"")</x:f>
        <x:v>50</x:v>
      </x:c>
      <x:c r="AP500" t="inlineStr">
        <x:is>
          <x:t xml:space="preserve">SYSTEM-TEST-ONLY-NO-NETWORK-NOT-AN-EDUCATIONAL-EVALUATION</x:t>
        </x:is>
      </x:c>
      <x:c r="AQ500" t="inlineStr">
        <x:is>
          <x:t xml:space="preserve"/>
        </x:is>
      </x:c>
      <x:c r="AR500" t="inlineStr">
        <x:is>
          <x:t xml:space="preserve">NONE</x:t>
        </x:is>
      </x:c>
      <x:c r="AS500" t="inlineStr">
        <x:is>
          <x:t xml:space="preserve"/>
        </x:is>
      </x:c>
      <x:c r="AT500" t="inlineStr">
        <x:is>
          <x:t xml:space="preserve">SUCCESS</x:t>
        </x:is>
      </x:c>
      <x:c r="AU500" t="n">
        <x:f>IF((COUNT('Quantification_Results'!AO500)=1),IFERROR(ROUND((SUM(('Quantification_Results'!AO500*'Quantification_Config'!$R$15))/SUM('Quantification_Config'!$R$15)),'Quantification_Config'!$U$2),""),"")</x:f>
        <x:v>50</x:v>
      </x:c>
      <x:c r="AV500" t="n">
        <x:f>IF((COUNT('Quantification_Results'!AU500)=1),IFERROR(ROUND((SUM(('Quantification_Results'!AU500*'Quantification_Config'!$R$14))/SUM('Quantification_Config'!$R$14)),'Quantification_Config'!$U$2),""),"")</x:f>
        <x:v>50</x:v>
      </x:c>
      <x:c r="AW500" t="n">
        <x:v>1</x:v>
      </x:c>
      <x:c r="AX500" t="n">
        <x:v>5</x:v>
      </x:c>
      <x:c r="AY500"/>
      <x:c r="AZ500" t="n">
        <x:f>IF(('Quantification_Results'!AW500&lt;&gt;1),"",IF(('Quantification_Results'!AY500=""),IF(ISNUMBER('Quantification_Results'!AX500),IF(('Quantification_Results'!AX500&lt;'Quantification_Config'!$S$19),"",IF(('Quantification_Results'!AX500&gt;'Quantification_Config'!$T$19),"",'Quantification_Results'!AX500)),""),IF(ISNUMBER('Quantification_Results'!AY500),IF(('Quantification_Results'!AY500&lt;'Quantification_Config'!$S$19),"",IF(('Quantification_Results'!AY500&gt;'Quantification_Config'!$T$19),"",'Quantification_Results'!AY500)),"")))</x:f>
        <x:v>5</x:v>
      </x:c>
      <x:c r="BA500" t="n">
        <x:f>IF(ISNUMBER('Quantification_Results'!AZ500),IFERROR(ROUND(((('Quantification_Results'!AZ500-'Quantification_Config'!$S$19)/('Quantification_Config'!$T$19-'Quantification_Config'!$S$19))*100),'Quantification_Config'!$U$2),""),"")</x:f>
        <x:v>50</x:v>
      </x:c>
      <x:c r="BB500" t="inlineStr">
        <x:is>
          <x:t xml:space="preserve">SYSTEM-TEST-ONLY-NO-NETWORK-NOT-AN-EDUCATIONAL-EVALUATION</x:t>
        </x:is>
      </x:c>
      <x:c r="BC500" t="inlineStr">
        <x:is>
          <x:t xml:space="preserve"/>
        </x:is>
      </x:c>
      <x:c r="BD500" t="inlineStr">
        <x:is>
          <x:t xml:space="preserve">NONE</x:t>
        </x:is>
      </x:c>
      <x:c r="BE500" t="inlineStr">
        <x:is>
          <x:t xml:space="preserve"/>
        </x:is>
      </x:c>
      <x:c r="BF500" t="inlineStr">
        <x:is>
          <x:t xml:space="preserve">SUCCESS</x:t>
        </x:is>
      </x:c>
      <x:c r="BG500" t="n">
        <x:f>IF((COUNT('Quantification_Results'!BA500)=1),IFERROR(ROUND((SUM(('Quantification_Results'!BA500*'Quantification_Config'!$R$19))/SUM('Quantification_Config'!$R$19)),'Quantification_Config'!$U$2),""),"")</x:f>
        <x:v>50</x:v>
      </x:c>
      <x:c r="BH500" t="n">
        <x:f>IF((COUNT('Quantification_Results'!BG500)=1),IFERROR(ROUND((SUM(('Quantification_Results'!BG500*'Quantification_Config'!$R$18))/SUM('Quantification_Config'!$R$18)),'Quantification_Config'!$U$2),""),"")</x:f>
        <x:v>50</x:v>
      </x:c>
      <x:c r="BI500">
        <x:f>IF((COUNT('Quantification_Results'!L500,'Quantification_Results'!X500,'Quantification_Results'!AJ500,'Quantification_Results'!AV500,'Quantification_Results'!BH500)=5),IFERROR(ROUND((SUM(('Quantification_Results'!L500*'Quantification_Config'!$R$4),('Quantification_Results'!X500*'Quantification_Config'!$R$7),('Quantification_Results'!AJ500*'Quantification_Config'!$R$10),('Quantification_Results'!AV500*'Quantification_Config'!$R$13),('Quantification_Results'!BH500*'Quantification_Config'!$R$16))/SUM('Quantification_Config'!$R$4,'Quantification_Config'!$R$7,'Quantification_Config'!$R$10,'Quantification_Config'!$R$13,'Quantification_Config'!$R$16)),'Quantification_Config'!$U$2),""),"")</x:f>
      </x:c>
    </x:row>
    <x:row r="501">
      <x:c r="A501" t="n">
        <x:v>1</x:v>
      </x:c>
      <x:c r="B501" t="n">
        <x:v>5</x:v>
      </x:c>
      <x:c r="C501"/>
      <x:c r="D501" t="n">
        <x:f>IF(('Quantification_Results'!A501&lt;&gt;1),"",IF(('Quantification_Results'!C501=""),IF(ISNUMBER('Quantification_Results'!B501),IF(('Quantification_Results'!B501&lt;'Quantification_Config'!$S$6),"",IF(('Quantification_Results'!B501&gt;'Quantification_Config'!$T$6),"",'Quantification_Results'!B501)),""),IF(ISNUMBER('Quantification_Results'!C501),IF(('Quantification_Results'!C501&lt;'Quantification_Config'!$S$6),"",IF(('Quantification_Results'!C501&gt;'Quantification_Config'!$T$6),"",'Quantification_Results'!C501)),"")))</x:f>
        <x:v>5</x:v>
      </x:c>
      <x:c r="E501" t="n">
        <x:f>IF(ISNUMBER('Quantification_Results'!D501),IFERROR(ROUND(((('Quantification_Results'!D501-'Quantification_Config'!$S$6)/('Quantification_Config'!$T$6-'Quantification_Config'!$S$6))*100),'Quantification_Config'!$U$2),""),"")</x:f>
        <x:v>50</x:v>
      </x:c>
      <x:c r="F501" t="inlineStr">
        <x:is>
          <x:t xml:space="preserve">SYSTEM-TEST-ONLY-NO-NETWORK-NOT-AN-EDUCATIONAL-EVALUATION</x:t>
        </x:is>
      </x:c>
      <x:c r="G501" t="inlineStr">
        <x:is>
          <x:t xml:space="preserve"/>
        </x:is>
      </x:c>
      <x:c r="H501" t="inlineStr">
        <x:is>
          <x:t xml:space="preserve">NONE</x:t>
        </x:is>
      </x:c>
      <x:c r="I501" t="inlineStr">
        <x:is>
          <x:t xml:space="preserve"/>
        </x:is>
      </x:c>
      <x:c r="J501" t="inlineStr">
        <x:is>
          <x:t xml:space="preserve">SUCCESS</x:t>
        </x:is>
      </x:c>
      <x:c r="K501" t="n">
        <x:f>IF((COUNT('Quantification_Results'!E501)=1),IFERROR(ROUND((SUM(('Quantification_Results'!E501*'Quantification_Config'!$R$6))/SUM('Quantification_Config'!$R$6)),'Quantification_Config'!$U$2),""),"")</x:f>
        <x:v>50</x:v>
      </x:c>
      <x:c r="L501" t="n">
        <x:f>IF((COUNT('Quantification_Results'!K501)=1),IFERROR(ROUND((SUM(('Quantification_Results'!K501*'Quantification_Config'!$R$5))/SUM('Quantification_Config'!$R$5)),'Quantification_Config'!$U$2),""),"")</x:f>
        <x:v>50</x:v>
      </x:c>
      <x:c r="M501" t="n">
        <x:v>0</x:v>
      </x:c>
      <x:c r="N501"/>
      <x:c r="O501"/>
      <x:c r="P501">
        <x:f>IF(('Quantification_Results'!M501&lt;&gt;1),"",IF(('Quantification_Results'!O501=""),IF(ISNUMBER('Quantification_Results'!N501),IF(('Quantification_Results'!N501&lt;'Quantification_Config'!$S$9),"",IF(('Quantification_Results'!N501&gt;'Quantification_Config'!$T$9),"",'Quantification_Results'!N501)),""),IF(ISNUMBER('Quantification_Results'!O501),IF(('Quantification_Results'!O501&lt;'Quantification_Config'!$S$9),"",IF(('Quantification_Results'!O501&gt;'Quantification_Config'!$T$9),"",'Quantification_Results'!O501)),"")))</x:f>
      </x:c>
      <x:c r="Q501">
        <x:f>IF(ISNUMBER('Quantification_Results'!P501),IFERROR(ROUND(((('Quantification_Results'!P501-'Quantification_Config'!$S$9)/('Quantification_Config'!$T$9-'Quantification_Config'!$S$9))*100),'Quantification_Config'!$U$2),""),"")</x:f>
      </x:c>
      <x:c r="R501" t="inlineStr">
        <x:is>
          <x:t xml:space="preserve"/>
        </x:is>
      </x:c>
      <x:c r="S501" t="inlineStr">
        <x:is>
          <x:t xml:space="preserve"/>
        </x:is>
      </x:c>
      <x:c r="T501" t="inlineStr">
        <x:is>
          <x:t xml:space="preserve"/>
        </x:is>
      </x:c>
      <x:c r="U501" t="inlineStr">
        <x:is>
          <x:t xml:space="preserve"/>
        </x:is>
      </x:c>
      <x:c r="V501" t="inlineStr">
        <x:is>
          <x:t xml:space="preserve">EMPTY</x:t>
        </x:is>
      </x:c>
      <x:c r="W501">
        <x:f>IF((COUNT('Quantification_Results'!Q501)=1),IFERROR(ROUND((SUM(('Quantification_Results'!Q501*'Quantification_Config'!$R$9))/SUM('Quantification_Config'!$R$9)),'Quantification_Config'!$U$2),""),"")</x:f>
      </x:c>
      <x:c r="X501">
        <x:f>IF((COUNT('Quantification_Results'!W501)=1),IFERROR(ROUND((SUM(('Quantification_Results'!W501*'Quantification_Config'!$R$8))/SUM('Quantification_Config'!$R$8)),'Quantification_Config'!$U$2),""),"")</x:f>
      </x:c>
      <x:c r="Y501" t="n">
        <x:v>0</x:v>
      </x:c>
      <x:c r="Z501"/>
      <x:c r="AA501"/>
      <x:c r="AB501">
        <x:f>IF(('Quantification_Results'!Y501&lt;&gt;1),"",IF(('Quantification_Results'!AA501=""),IF(ISNUMBER('Quantification_Results'!Z501),IF(('Quantification_Results'!Z501&lt;'Quantification_Config'!$S$12),"",IF(('Quantification_Results'!Z501&gt;'Quantification_Config'!$T$12),"",'Quantification_Results'!Z501)),""),IF(ISNUMBER('Quantification_Results'!AA501),IF(('Quantification_Results'!AA501&lt;'Quantification_Config'!$S$12),"",IF(('Quantification_Results'!AA501&gt;'Quantification_Config'!$T$12),"",'Quantification_Results'!AA501)),"")))</x:f>
      </x:c>
      <x:c r="AC501">
        <x:f>IF(ISNUMBER('Quantification_Results'!AB501),IFERROR(ROUND(((('Quantification_Results'!AB501-'Quantification_Config'!$S$12)/('Quantification_Config'!$T$12-'Quantification_Config'!$S$12))*100),'Quantification_Config'!$U$2),""),"")</x:f>
      </x:c>
      <x:c r="AD501" t="inlineStr">
        <x:is>
          <x:t xml:space="preserve"/>
        </x:is>
      </x:c>
      <x:c r="AE501" t="inlineStr">
        <x:is>
          <x:t xml:space="preserve"/>
        </x:is>
      </x:c>
      <x:c r="AF501" t="inlineStr">
        <x:is>
          <x:t xml:space="preserve"/>
        </x:is>
      </x:c>
      <x:c r="AG501" t="inlineStr">
        <x:is>
          <x:t xml:space="preserve"/>
        </x:is>
      </x:c>
      <x:c r="AH501" t="inlineStr">
        <x:is>
          <x:t xml:space="preserve">EMPTY</x:t>
        </x:is>
      </x:c>
      <x:c r="AI501">
        <x:f>IF((COUNT('Quantification_Results'!AC501)=1),IFERROR(ROUND((SUM(('Quantification_Results'!AC501*'Quantification_Config'!$R$12))/SUM('Quantification_Config'!$R$12)),'Quantification_Config'!$U$2),""),"")</x:f>
      </x:c>
      <x:c r="AJ501">
        <x:f>IF((COUNT('Quantification_Results'!AI501)=1),IFERROR(ROUND((SUM(('Quantification_Results'!AI501*'Quantification_Config'!$R$11))/SUM('Quantification_Config'!$R$11)),'Quantification_Config'!$U$2),""),"")</x:f>
      </x:c>
      <x:c r="AK501" t="n">
        <x:v>1</x:v>
      </x:c>
      <x:c r="AL501" t="n">
        <x:v>5</x:v>
      </x:c>
      <x:c r="AM501"/>
      <x:c r="AN501" t="n">
        <x:f>IF(('Quantification_Results'!AK501&lt;&gt;1),"",IF(('Quantification_Results'!AM501=""),IF(ISNUMBER('Quantification_Results'!AL501),IF(('Quantification_Results'!AL501&lt;'Quantification_Config'!$S$15),"",IF(('Quantification_Results'!AL501&gt;'Quantification_Config'!$T$15),"",'Quantification_Results'!AL501)),""),IF(ISNUMBER('Quantification_Results'!AM501),IF(('Quantification_Results'!AM501&lt;'Quantification_Config'!$S$15),"",IF(('Quantification_Results'!AM501&gt;'Quantification_Config'!$T$15),"",'Quantification_Results'!AM501)),"")))</x:f>
        <x:v>5</x:v>
      </x:c>
      <x:c r="AO501" t="n">
        <x:f>IF(ISNUMBER('Quantification_Results'!AN501),IFERROR(ROUND(((('Quantification_Results'!AN501-'Quantification_Config'!$S$15)/('Quantification_Config'!$T$15-'Quantification_Config'!$S$15))*100),'Quantification_Config'!$U$2),""),"")</x:f>
        <x:v>50</x:v>
      </x:c>
      <x:c r="AP501" t="inlineStr">
        <x:is>
          <x:t xml:space="preserve">SYSTEM-TEST-ONLY-NO-NETWORK-NOT-AN-EDUCATIONAL-EVALUATION</x:t>
        </x:is>
      </x:c>
      <x:c r="AQ501" t="inlineStr">
        <x:is>
          <x:t xml:space="preserve"/>
        </x:is>
      </x:c>
      <x:c r="AR501" t="inlineStr">
        <x:is>
          <x:t xml:space="preserve">NONE</x:t>
        </x:is>
      </x:c>
      <x:c r="AS501" t="inlineStr">
        <x:is>
          <x:t xml:space="preserve"/>
        </x:is>
      </x:c>
      <x:c r="AT501" t="inlineStr">
        <x:is>
          <x:t xml:space="preserve">SUCCESS</x:t>
        </x:is>
      </x:c>
      <x:c r="AU501" t="n">
        <x:f>IF((COUNT('Quantification_Results'!AO501)=1),IFERROR(ROUND((SUM(('Quantification_Results'!AO501*'Quantification_Config'!$R$15))/SUM('Quantification_Config'!$R$15)),'Quantification_Config'!$U$2),""),"")</x:f>
        <x:v>50</x:v>
      </x:c>
      <x:c r="AV501" t="n">
        <x:f>IF((COUNT('Quantification_Results'!AU501)=1),IFERROR(ROUND((SUM(('Quantification_Results'!AU501*'Quantification_Config'!$R$14))/SUM('Quantification_Config'!$R$14)),'Quantification_Config'!$U$2),""),"")</x:f>
        <x:v>50</x:v>
      </x:c>
      <x:c r="AW501" t="n">
        <x:v>1</x:v>
      </x:c>
      <x:c r="AX501" t="n">
        <x:v>5</x:v>
      </x:c>
      <x:c r="AY501"/>
      <x:c r="AZ501" t="n">
        <x:f>IF(('Quantification_Results'!AW501&lt;&gt;1),"",IF(('Quantification_Results'!AY501=""),IF(ISNUMBER('Quantification_Results'!AX501),IF(('Quantification_Results'!AX501&lt;'Quantification_Config'!$S$19),"",IF(('Quantification_Results'!AX501&gt;'Quantification_Config'!$T$19),"",'Quantification_Results'!AX501)),""),IF(ISNUMBER('Quantification_Results'!AY501),IF(('Quantification_Results'!AY501&lt;'Quantification_Config'!$S$19),"",IF(('Quantification_Results'!AY501&gt;'Quantification_Config'!$T$19),"",'Quantification_Results'!AY501)),"")))</x:f>
        <x:v>5</x:v>
      </x:c>
      <x:c r="BA501" t="n">
        <x:f>IF(ISNUMBER('Quantification_Results'!AZ501),IFERROR(ROUND(((('Quantification_Results'!AZ501-'Quantification_Config'!$S$19)/('Quantification_Config'!$T$19-'Quantification_Config'!$S$19))*100),'Quantification_Config'!$U$2),""),"")</x:f>
        <x:v>50</x:v>
      </x:c>
      <x:c r="BB501" t="inlineStr">
        <x:is>
          <x:t xml:space="preserve">SYSTEM-TEST-ONLY-NO-NETWORK-NOT-AN-EDUCATIONAL-EVALUATION</x:t>
        </x:is>
      </x:c>
      <x:c r="BC501" t="inlineStr">
        <x:is>
          <x:t xml:space="preserve"/>
        </x:is>
      </x:c>
      <x:c r="BD501" t="inlineStr">
        <x:is>
          <x:t xml:space="preserve">NONE</x:t>
        </x:is>
      </x:c>
      <x:c r="BE501" t="inlineStr">
        <x:is>
          <x:t xml:space="preserve"/>
        </x:is>
      </x:c>
      <x:c r="BF501" t="inlineStr">
        <x:is>
          <x:t xml:space="preserve">SUCCESS</x:t>
        </x:is>
      </x:c>
      <x:c r="BG501" t="n">
        <x:f>IF((COUNT('Quantification_Results'!BA501)=1),IFERROR(ROUND((SUM(('Quantification_Results'!BA501*'Quantification_Config'!$R$19))/SUM('Quantification_Config'!$R$19)),'Quantification_Config'!$U$2),""),"")</x:f>
        <x:v>50</x:v>
      </x:c>
      <x:c r="BH501" t="n">
        <x:f>IF((COUNT('Quantification_Results'!BG501)=1),IFERROR(ROUND((SUM(('Quantification_Results'!BG501*'Quantification_Config'!$R$18))/SUM('Quantification_Config'!$R$18)),'Quantification_Config'!$U$2),""),"")</x:f>
        <x:v>50</x:v>
      </x:c>
      <x:c r="BI501">
        <x:f>IF((COUNT('Quantification_Results'!L501,'Quantification_Results'!X501,'Quantification_Results'!AJ501,'Quantification_Results'!AV501,'Quantification_Results'!BH501)=5),IFERROR(ROUND((SUM(('Quantification_Results'!L501*'Quantification_Config'!$R$4),('Quantification_Results'!X501*'Quantification_Config'!$R$7),('Quantification_Results'!AJ501*'Quantification_Config'!$R$10),('Quantification_Results'!AV501*'Quantification_Config'!$R$13),('Quantification_Results'!BH501*'Quantification_Config'!$R$16))/SUM('Quantification_Config'!$R$4,'Quantification_Config'!$R$7,'Quantification_Config'!$R$10,'Quantification_Config'!$R$13,'Quantification_Config'!$R$16)),'Quantification_Config'!$U$2),""),"")</x:f>
      </x:c>
    </x:row>
    <x:row r="502">
      <x:c r="A502" t="n">
        <x:v>1</x:v>
      </x:c>
      <x:c r="B502" t="n">
        <x:v>5</x:v>
      </x:c>
      <x:c r="C502"/>
      <x:c r="D502" t="n">
        <x:f>IF(('Quantification_Results'!A502&lt;&gt;1),"",IF(('Quantification_Results'!C502=""),IF(ISNUMBER('Quantification_Results'!B502),IF(('Quantification_Results'!B502&lt;'Quantification_Config'!$S$6),"",IF(('Quantification_Results'!B502&gt;'Quantification_Config'!$T$6),"",'Quantification_Results'!B502)),""),IF(ISNUMBER('Quantification_Results'!C502),IF(('Quantification_Results'!C502&lt;'Quantification_Config'!$S$6),"",IF(('Quantification_Results'!C502&gt;'Quantification_Config'!$T$6),"",'Quantification_Results'!C502)),"")))</x:f>
        <x:v>5</x:v>
      </x:c>
      <x:c r="E502" t="n">
        <x:f>IF(ISNUMBER('Quantification_Results'!D502),IFERROR(ROUND(((('Quantification_Results'!D502-'Quantification_Config'!$S$6)/('Quantification_Config'!$T$6-'Quantification_Config'!$S$6))*100),'Quantification_Config'!$U$2),""),"")</x:f>
        <x:v>50</x:v>
      </x:c>
      <x:c r="F502" t="inlineStr">
        <x:is>
          <x:t xml:space="preserve">SYSTEM-TEST-ONLY-NO-NETWORK-NOT-AN-EDUCATIONAL-EVALUATION</x:t>
        </x:is>
      </x:c>
      <x:c r="G502" t="inlineStr">
        <x:is>
          <x:t xml:space="preserve"/>
        </x:is>
      </x:c>
      <x:c r="H502" t="inlineStr">
        <x:is>
          <x:t xml:space="preserve">NONE</x:t>
        </x:is>
      </x:c>
      <x:c r="I502" t="inlineStr">
        <x:is>
          <x:t xml:space="preserve"/>
        </x:is>
      </x:c>
      <x:c r="J502" t="inlineStr">
        <x:is>
          <x:t xml:space="preserve">SUCCESS</x:t>
        </x:is>
      </x:c>
      <x:c r="K502" t="n">
        <x:f>IF((COUNT('Quantification_Results'!E502)=1),IFERROR(ROUND((SUM(('Quantification_Results'!E502*'Quantification_Config'!$R$6))/SUM('Quantification_Config'!$R$6)),'Quantification_Config'!$U$2),""),"")</x:f>
        <x:v>50</x:v>
      </x:c>
      <x:c r="L502" t="n">
        <x:f>IF((COUNT('Quantification_Results'!K502)=1),IFERROR(ROUND((SUM(('Quantification_Results'!K502*'Quantification_Config'!$R$5))/SUM('Quantification_Config'!$R$5)),'Quantification_Config'!$U$2),""),"")</x:f>
        <x:v>50</x:v>
      </x:c>
      <x:c r="M502" t="n">
        <x:v>1</x:v>
      </x:c>
      <x:c r="N502" t="n">
        <x:v>5</x:v>
      </x:c>
      <x:c r="O502"/>
      <x:c r="P502" t="n">
        <x:f>IF(('Quantification_Results'!M502&lt;&gt;1),"",IF(('Quantification_Results'!O502=""),IF(ISNUMBER('Quantification_Results'!N502),IF(('Quantification_Results'!N502&lt;'Quantification_Config'!$S$9),"",IF(('Quantification_Results'!N502&gt;'Quantification_Config'!$T$9),"",'Quantification_Results'!N502)),""),IF(ISNUMBER('Quantification_Results'!O502),IF(('Quantification_Results'!O502&lt;'Quantification_Config'!$S$9),"",IF(('Quantification_Results'!O502&gt;'Quantification_Config'!$T$9),"",'Quantification_Results'!O502)),"")))</x:f>
        <x:v>5</x:v>
      </x:c>
      <x:c r="Q502" t="n">
        <x:f>IF(ISNUMBER('Quantification_Results'!P502),IFERROR(ROUND(((('Quantification_Results'!P502-'Quantification_Config'!$S$9)/('Quantification_Config'!$T$9-'Quantification_Config'!$S$9))*100),'Quantification_Config'!$U$2),""),"")</x:f>
        <x:v>50</x:v>
      </x:c>
      <x:c r="R502" t="inlineStr">
        <x:is>
          <x:t xml:space="preserve">SYSTEM-TEST-ONLY-NO-NETWORK-NOT-AN-EDUCATIONAL-EVALUATION</x:t>
        </x:is>
      </x:c>
      <x:c r="S502" t="inlineStr">
        <x:is>
          <x:t xml:space="preserve"/>
        </x:is>
      </x:c>
      <x:c r="T502" t="inlineStr">
        <x:is>
          <x:t xml:space="preserve">NONE</x:t>
        </x:is>
      </x:c>
      <x:c r="U502" t="inlineStr">
        <x:is>
          <x:t xml:space="preserve"/>
        </x:is>
      </x:c>
      <x:c r="V502" t="inlineStr">
        <x:is>
          <x:t xml:space="preserve">SUCCESS</x:t>
        </x:is>
      </x:c>
      <x:c r="W502" t="n">
        <x:f>IF((COUNT('Quantification_Results'!Q502)=1),IFERROR(ROUND((SUM(('Quantification_Results'!Q502*'Quantification_Config'!$R$9))/SUM('Quantification_Config'!$R$9)),'Quantification_Config'!$U$2),""),"")</x:f>
        <x:v>50</x:v>
      </x:c>
      <x:c r="X502" t="n">
        <x:f>IF((COUNT('Quantification_Results'!W502)=1),IFERROR(ROUND((SUM(('Quantification_Results'!W502*'Quantification_Config'!$R$8))/SUM('Quantification_Config'!$R$8)),'Quantification_Config'!$U$2),""),"")</x:f>
        <x:v>50</x:v>
      </x:c>
      <x:c r="Y502" t="n">
        <x:v>0</x:v>
      </x:c>
      <x:c r="Z502"/>
      <x:c r="AA502"/>
      <x:c r="AB502">
        <x:f>IF(('Quantification_Results'!Y502&lt;&gt;1),"",IF(('Quantification_Results'!AA502=""),IF(ISNUMBER('Quantification_Results'!Z502),IF(('Quantification_Results'!Z502&lt;'Quantification_Config'!$S$12),"",IF(('Quantification_Results'!Z502&gt;'Quantification_Config'!$T$12),"",'Quantification_Results'!Z502)),""),IF(ISNUMBER('Quantification_Results'!AA502),IF(('Quantification_Results'!AA502&lt;'Quantification_Config'!$S$12),"",IF(('Quantification_Results'!AA502&gt;'Quantification_Config'!$T$12),"",'Quantification_Results'!AA502)),"")))</x:f>
      </x:c>
      <x:c r="AC502">
        <x:f>IF(ISNUMBER('Quantification_Results'!AB502),IFERROR(ROUND(((('Quantification_Results'!AB502-'Quantification_Config'!$S$12)/('Quantification_Config'!$T$12-'Quantification_Config'!$S$12))*100),'Quantification_Config'!$U$2),""),"")</x:f>
      </x:c>
      <x:c r="AD502" t="inlineStr">
        <x:is>
          <x:t xml:space="preserve"/>
        </x:is>
      </x:c>
      <x:c r="AE502" t="inlineStr">
        <x:is>
          <x:t xml:space="preserve"/>
        </x:is>
      </x:c>
      <x:c r="AF502" t="inlineStr">
        <x:is>
          <x:t xml:space="preserve"/>
        </x:is>
      </x:c>
      <x:c r="AG502" t="inlineStr">
        <x:is>
          <x:t xml:space="preserve"/>
        </x:is>
      </x:c>
      <x:c r="AH502" t="inlineStr">
        <x:is>
          <x:t xml:space="preserve">EMPTY</x:t>
        </x:is>
      </x:c>
      <x:c r="AI502">
        <x:f>IF((COUNT('Quantification_Results'!AC502)=1),IFERROR(ROUND((SUM(('Quantification_Results'!AC502*'Quantification_Config'!$R$12))/SUM('Quantification_Config'!$R$12)),'Quantification_Config'!$U$2),""),"")</x:f>
      </x:c>
      <x:c r="AJ502">
        <x:f>IF((COUNT('Quantification_Results'!AI502)=1),IFERROR(ROUND((SUM(('Quantification_Results'!AI502*'Quantification_Config'!$R$11))/SUM('Quantification_Config'!$R$11)),'Quantification_Config'!$U$2),""),"")</x:f>
      </x:c>
      <x:c r="AK502" t="n">
        <x:v>1</x:v>
      </x:c>
      <x:c r="AL502" t="n">
        <x:v>5</x:v>
      </x:c>
      <x:c r="AM502"/>
      <x:c r="AN502" t="n">
        <x:f>IF(('Quantification_Results'!AK502&lt;&gt;1),"",IF(('Quantification_Results'!AM502=""),IF(ISNUMBER('Quantification_Results'!AL502),IF(('Quantification_Results'!AL502&lt;'Quantification_Config'!$S$15),"",IF(('Quantification_Results'!AL502&gt;'Quantification_Config'!$T$15),"",'Quantification_Results'!AL502)),""),IF(ISNUMBER('Quantification_Results'!AM502),IF(('Quantification_Results'!AM502&lt;'Quantification_Config'!$S$15),"",IF(('Quantification_Results'!AM502&gt;'Quantification_Config'!$T$15),"",'Quantification_Results'!AM502)),"")))</x:f>
        <x:v>5</x:v>
      </x:c>
      <x:c r="AO502" t="n">
        <x:f>IF(ISNUMBER('Quantification_Results'!AN502),IFERROR(ROUND(((('Quantification_Results'!AN502-'Quantification_Config'!$S$15)/('Quantification_Config'!$T$15-'Quantification_Config'!$S$15))*100),'Quantification_Config'!$U$2),""),"")</x:f>
        <x:v>50</x:v>
      </x:c>
      <x:c r="AP502" t="inlineStr">
        <x:is>
          <x:t xml:space="preserve">SYSTEM-TEST-ONLY-NO-NETWORK-NOT-AN-EDUCATIONAL-EVALUATION</x:t>
        </x:is>
      </x:c>
      <x:c r="AQ502" t="inlineStr">
        <x:is>
          <x:t xml:space="preserve"/>
        </x:is>
      </x:c>
      <x:c r="AR502" t="inlineStr">
        <x:is>
          <x:t xml:space="preserve">NONE</x:t>
        </x:is>
      </x:c>
      <x:c r="AS502" t="inlineStr">
        <x:is>
          <x:t xml:space="preserve"/>
        </x:is>
      </x:c>
      <x:c r="AT502" t="inlineStr">
        <x:is>
          <x:t xml:space="preserve">SUCCESS</x:t>
        </x:is>
      </x:c>
      <x:c r="AU502" t="n">
        <x:f>IF((COUNT('Quantification_Results'!AO502)=1),IFERROR(ROUND((SUM(('Quantification_Results'!AO502*'Quantification_Config'!$R$15))/SUM('Quantification_Config'!$R$15)),'Quantification_Config'!$U$2),""),"")</x:f>
        <x:v>50</x:v>
      </x:c>
      <x:c r="AV502" t="n">
        <x:f>IF((COUNT('Quantification_Results'!AU502)=1),IFERROR(ROUND((SUM(('Quantification_Results'!AU502*'Quantification_Config'!$R$14))/SUM('Quantification_Config'!$R$14)),'Quantification_Config'!$U$2),""),"")</x:f>
        <x:v>50</x:v>
      </x:c>
      <x:c r="AW502" t="n">
        <x:v>1</x:v>
      </x:c>
      <x:c r="AX502" t="n">
        <x:v>5</x:v>
      </x:c>
      <x:c r="AY502"/>
      <x:c r="AZ502" t="n">
        <x:f>IF(('Quantification_Results'!AW502&lt;&gt;1),"",IF(('Quantification_Results'!AY502=""),IF(ISNUMBER('Quantification_Results'!AX502),IF(('Quantification_Results'!AX502&lt;'Quantification_Config'!$S$19),"",IF(('Quantification_Results'!AX502&gt;'Quantification_Config'!$T$19),"",'Quantification_Results'!AX502)),""),IF(ISNUMBER('Quantification_Results'!AY502),IF(('Quantification_Results'!AY502&lt;'Quantification_Config'!$S$19),"",IF(('Quantification_Results'!AY502&gt;'Quantification_Config'!$T$19),"",'Quantification_Results'!AY502)),"")))</x:f>
        <x:v>5</x:v>
      </x:c>
      <x:c r="BA502" t="n">
        <x:f>IF(ISNUMBER('Quantification_Results'!AZ502),IFERROR(ROUND(((('Quantification_Results'!AZ502-'Quantification_Config'!$S$19)/('Quantification_Config'!$T$19-'Quantification_Config'!$S$19))*100),'Quantification_Config'!$U$2),""),"")</x:f>
        <x:v>50</x:v>
      </x:c>
      <x:c r="BB502" t="inlineStr">
        <x:is>
          <x:t xml:space="preserve">SYSTEM-TEST-ONLY-NO-NETWORK-NOT-AN-EDUCATIONAL-EVALUATION</x:t>
        </x:is>
      </x:c>
      <x:c r="BC502" t="inlineStr">
        <x:is>
          <x:t xml:space="preserve"/>
        </x:is>
      </x:c>
      <x:c r="BD502" t="inlineStr">
        <x:is>
          <x:t xml:space="preserve">NONE</x:t>
        </x:is>
      </x:c>
      <x:c r="BE502" t="inlineStr">
        <x:is>
          <x:t xml:space="preserve"/>
        </x:is>
      </x:c>
      <x:c r="BF502" t="inlineStr">
        <x:is>
          <x:t xml:space="preserve">SUCCESS</x:t>
        </x:is>
      </x:c>
      <x:c r="BG502" t="n">
        <x:f>IF((COUNT('Quantification_Results'!BA502)=1),IFERROR(ROUND((SUM(('Quantification_Results'!BA502*'Quantification_Config'!$R$19))/SUM('Quantification_Config'!$R$19)),'Quantification_Config'!$U$2),""),"")</x:f>
        <x:v>50</x:v>
      </x:c>
      <x:c r="BH502" t="n">
        <x:f>IF((COUNT('Quantification_Results'!BG502)=1),IFERROR(ROUND((SUM(('Quantification_Results'!BG502*'Quantification_Config'!$R$18))/SUM('Quantification_Config'!$R$18)),'Quantification_Config'!$U$2),""),"")</x:f>
        <x:v>50</x:v>
      </x:c>
      <x:c r="BI502">
        <x:f>IF((COUNT('Quantification_Results'!L502,'Quantification_Results'!X502,'Quantification_Results'!AJ502,'Quantification_Results'!AV502,'Quantification_Results'!BH502)=5),IFERROR(ROUND((SUM(('Quantification_Results'!L502*'Quantification_Config'!$R$4),('Quantification_Results'!X502*'Quantification_Config'!$R$7),('Quantification_Results'!AJ502*'Quantification_Config'!$R$10),('Quantification_Results'!AV502*'Quantification_Config'!$R$13),('Quantification_Results'!BH502*'Quantification_Config'!$R$16))/SUM('Quantification_Config'!$R$4,'Quantification_Config'!$R$7,'Quantification_Config'!$R$10,'Quantification_Config'!$R$13,'Quantification_Config'!$R$16)),'Quantification_Config'!$U$2),""),"")</x:f>
      </x:c>
    </x:row>
    <x:row r="503">
      <x:c r="A503" t="n">
        <x:v>1</x:v>
      </x:c>
      <x:c r="B503" t="n">
        <x:v>5</x:v>
      </x:c>
      <x:c r="C503"/>
      <x:c r="D503" t="n">
        <x:f>IF(('Quantification_Results'!A503&lt;&gt;1),"",IF(('Quantification_Results'!C503=""),IF(ISNUMBER('Quantification_Results'!B503),IF(('Quantification_Results'!B503&lt;'Quantification_Config'!$S$6),"",IF(('Quantification_Results'!B503&gt;'Quantification_Config'!$T$6),"",'Quantification_Results'!B503)),""),IF(ISNUMBER('Quantification_Results'!C503),IF(('Quantification_Results'!C503&lt;'Quantification_Config'!$S$6),"",IF(('Quantification_Results'!C503&gt;'Quantification_Config'!$T$6),"",'Quantification_Results'!C503)),"")))</x:f>
        <x:v>5</x:v>
      </x:c>
      <x:c r="E503" t="n">
        <x:f>IF(ISNUMBER('Quantification_Results'!D503),IFERROR(ROUND(((('Quantification_Results'!D503-'Quantification_Config'!$S$6)/('Quantification_Config'!$T$6-'Quantification_Config'!$S$6))*100),'Quantification_Config'!$U$2),""),"")</x:f>
        <x:v>50</x:v>
      </x:c>
      <x:c r="F503" t="inlineStr">
        <x:is>
          <x:t xml:space="preserve">SYSTEM-TEST-ONLY-NO-NETWORK-NOT-AN-EDUCATIONAL-EVALUATION</x:t>
        </x:is>
      </x:c>
      <x:c r="G503" t="inlineStr">
        <x:is>
          <x:t xml:space="preserve"/>
        </x:is>
      </x:c>
      <x:c r="H503" t="inlineStr">
        <x:is>
          <x:t xml:space="preserve">NONE</x:t>
        </x:is>
      </x:c>
      <x:c r="I503" t="inlineStr">
        <x:is>
          <x:t xml:space="preserve"/>
        </x:is>
      </x:c>
      <x:c r="J503" t="inlineStr">
        <x:is>
          <x:t xml:space="preserve">SUCCESS</x:t>
        </x:is>
      </x:c>
      <x:c r="K503" t="n">
        <x:f>IF((COUNT('Quantification_Results'!E503)=1),IFERROR(ROUND((SUM(('Quantification_Results'!E503*'Quantification_Config'!$R$6))/SUM('Quantification_Config'!$R$6)),'Quantification_Config'!$U$2),""),"")</x:f>
        <x:v>50</x:v>
      </x:c>
      <x:c r="L503" t="n">
        <x:f>IF((COUNT('Quantification_Results'!K503)=1),IFERROR(ROUND((SUM(('Quantification_Results'!K503*'Quantification_Config'!$R$5))/SUM('Quantification_Config'!$R$5)),'Quantification_Config'!$U$2),""),"")</x:f>
        <x:v>50</x:v>
      </x:c>
      <x:c r="M503" t="n">
        <x:v>1</x:v>
      </x:c>
      <x:c r="N503" t="n">
        <x:v>5</x:v>
      </x:c>
      <x:c r="O503"/>
      <x:c r="P503" t="n">
        <x:f>IF(('Quantification_Results'!M503&lt;&gt;1),"",IF(('Quantification_Results'!O503=""),IF(ISNUMBER('Quantification_Results'!N503),IF(('Quantification_Results'!N503&lt;'Quantification_Config'!$S$9),"",IF(('Quantification_Results'!N503&gt;'Quantification_Config'!$T$9),"",'Quantification_Results'!N503)),""),IF(ISNUMBER('Quantification_Results'!O503),IF(('Quantification_Results'!O503&lt;'Quantification_Config'!$S$9),"",IF(('Quantification_Results'!O503&gt;'Quantification_Config'!$T$9),"",'Quantification_Results'!O503)),"")))</x:f>
        <x:v>5</x:v>
      </x:c>
      <x:c r="Q503" t="n">
        <x:f>IF(ISNUMBER('Quantification_Results'!P503),IFERROR(ROUND(((('Quantification_Results'!P503-'Quantification_Config'!$S$9)/('Quantification_Config'!$T$9-'Quantification_Config'!$S$9))*100),'Quantification_Config'!$U$2),""),"")</x:f>
        <x:v>50</x:v>
      </x:c>
      <x:c r="R503" t="inlineStr">
        <x:is>
          <x:t xml:space="preserve">SYSTEM-TEST-ONLY-NO-NETWORK-NOT-AN-EDUCATIONAL-EVALUATION</x:t>
        </x:is>
      </x:c>
      <x:c r="S503" t="inlineStr">
        <x:is>
          <x:t xml:space="preserve"/>
        </x:is>
      </x:c>
      <x:c r="T503" t="inlineStr">
        <x:is>
          <x:t xml:space="preserve">NONE</x:t>
        </x:is>
      </x:c>
      <x:c r="U503" t="inlineStr">
        <x:is>
          <x:t xml:space="preserve"/>
        </x:is>
      </x:c>
      <x:c r="V503" t="inlineStr">
        <x:is>
          <x:t xml:space="preserve">SUCCESS</x:t>
        </x:is>
      </x:c>
      <x:c r="W503" t="n">
        <x:f>IF((COUNT('Quantification_Results'!Q503)=1),IFERROR(ROUND((SUM(('Quantification_Results'!Q503*'Quantification_Config'!$R$9))/SUM('Quantification_Config'!$R$9)),'Quantification_Config'!$U$2),""),"")</x:f>
        <x:v>50</x:v>
      </x:c>
      <x:c r="X503" t="n">
        <x:f>IF((COUNT('Quantification_Results'!W503)=1),IFERROR(ROUND((SUM(('Quantification_Results'!W503*'Quantification_Config'!$R$8))/SUM('Quantification_Config'!$R$8)),'Quantification_Config'!$U$2),""),"")</x:f>
        <x:v>50</x:v>
      </x:c>
      <x:c r="Y503" t="n">
        <x:v>0</x:v>
      </x:c>
      <x:c r="Z503"/>
      <x:c r="AA503"/>
      <x:c r="AB503">
        <x:f>IF(('Quantification_Results'!Y503&lt;&gt;1),"",IF(('Quantification_Results'!AA503=""),IF(ISNUMBER('Quantification_Results'!Z503),IF(('Quantification_Results'!Z503&lt;'Quantification_Config'!$S$12),"",IF(('Quantification_Results'!Z503&gt;'Quantification_Config'!$T$12),"",'Quantification_Results'!Z503)),""),IF(ISNUMBER('Quantification_Results'!AA503),IF(('Quantification_Results'!AA503&lt;'Quantification_Config'!$S$12),"",IF(('Quantification_Results'!AA503&gt;'Quantification_Config'!$T$12),"",'Quantification_Results'!AA503)),"")))</x:f>
      </x:c>
      <x:c r="AC503">
        <x:f>IF(ISNUMBER('Quantification_Results'!AB503),IFERROR(ROUND(((('Quantification_Results'!AB503-'Quantification_Config'!$S$12)/('Quantification_Config'!$T$12-'Quantification_Config'!$S$12))*100),'Quantification_Config'!$U$2),""),"")</x:f>
      </x:c>
      <x:c r="AD503" t="inlineStr">
        <x:is>
          <x:t xml:space="preserve"/>
        </x:is>
      </x:c>
      <x:c r="AE503" t="inlineStr">
        <x:is>
          <x:t xml:space="preserve"/>
        </x:is>
      </x:c>
      <x:c r="AF503" t="inlineStr">
        <x:is>
          <x:t xml:space="preserve"/>
        </x:is>
      </x:c>
      <x:c r="AG503" t="inlineStr">
        <x:is>
          <x:t xml:space="preserve"/>
        </x:is>
      </x:c>
      <x:c r="AH503" t="inlineStr">
        <x:is>
          <x:t xml:space="preserve">EMPTY</x:t>
        </x:is>
      </x:c>
      <x:c r="AI503">
        <x:f>IF((COUNT('Quantification_Results'!AC503)=1),IFERROR(ROUND((SUM(('Quantification_Results'!AC503*'Quantification_Config'!$R$12))/SUM('Quantification_Config'!$R$12)),'Quantification_Config'!$U$2),""),"")</x:f>
      </x:c>
      <x:c r="AJ503">
        <x:f>IF((COUNT('Quantification_Results'!AI503)=1),IFERROR(ROUND((SUM(('Quantification_Results'!AI503*'Quantification_Config'!$R$11))/SUM('Quantification_Config'!$R$11)),'Quantification_Config'!$U$2),""),"")</x:f>
      </x:c>
      <x:c r="AK503" t="n">
        <x:v>1</x:v>
      </x:c>
      <x:c r="AL503" t="n">
        <x:v>5</x:v>
      </x:c>
      <x:c r="AM503"/>
      <x:c r="AN503" t="n">
        <x:f>IF(('Quantification_Results'!AK503&lt;&gt;1),"",IF(('Quantification_Results'!AM503=""),IF(ISNUMBER('Quantification_Results'!AL503),IF(('Quantification_Results'!AL503&lt;'Quantification_Config'!$S$15),"",IF(('Quantification_Results'!AL503&gt;'Quantification_Config'!$T$15),"",'Quantification_Results'!AL503)),""),IF(ISNUMBER('Quantification_Results'!AM503),IF(('Quantification_Results'!AM503&lt;'Quantification_Config'!$S$15),"",IF(('Quantification_Results'!AM503&gt;'Quantification_Config'!$T$15),"",'Quantification_Results'!AM503)),"")))</x:f>
        <x:v>5</x:v>
      </x:c>
      <x:c r="AO503" t="n">
        <x:f>IF(ISNUMBER('Quantification_Results'!AN503),IFERROR(ROUND(((('Quantification_Results'!AN503-'Quantification_Config'!$S$15)/('Quantification_Config'!$T$15-'Quantification_Config'!$S$15))*100),'Quantification_Config'!$U$2),""),"")</x:f>
        <x:v>50</x:v>
      </x:c>
      <x:c r="AP503" t="inlineStr">
        <x:is>
          <x:t xml:space="preserve">SYSTEM-TEST-ONLY-NO-NETWORK-NOT-AN-EDUCATIONAL-EVALUATION</x:t>
        </x:is>
      </x:c>
      <x:c r="AQ503" t="inlineStr">
        <x:is>
          <x:t xml:space="preserve"/>
        </x:is>
      </x:c>
      <x:c r="AR503" t="inlineStr">
        <x:is>
          <x:t xml:space="preserve">NONE</x:t>
        </x:is>
      </x:c>
      <x:c r="AS503" t="inlineStr">
        <x:is>
          <x:t xml:space="preserve"/>
        </x:is>
      </x:c>
      <x:c r="AT503" t="inlineStr">
        <x:is>
          <x:t xml:space="preserve">SUCCESS</x:t>
        </x:is>
      </x:c>
      <x:c r="AU503" t="n">
        <x:f>IF((COUNT('Quantification_Results'!AO503)=1),IFERROR(ROUND((SUM(('Quantification_Results'!AO503*'Quantification_Config'!$R$15))/SUM('Quantification_Config'!$R$15)),'Quantification_Config'!$U$2),""),"")</x:f>
        <x:v>50</x:v>
      </x:c>
      <x:c r="AV503" t="n">
        <x:f>IF((COUNT('Quantification_Results'!AU503)=1),IFERROR(ROUND((SUM(('Quantification_Results'!AU503*'Quantification_Config'!$R$14))/SUM('Quantification_Config'!$R$14)),'Quantification_Config'!$U$2),""),"")</x:f>
        <x:v>50</x:v>
      </x:c>
      <x:c r="AW503" t="n">
        <x:v>1</x:v>
      </x:c>
      <x:c r="AX503" t="n">
        <x:v>5</x:v>
      </x:c>
      <x:c r="AY503"/>
      <x:c r="AZ503" t="n">
        <x:f>IF(('Quantification_Results'!AW503&lt;&gt;1),"",IF(('Quantification_Results'!AY503=""),IF(ISNUMBER('Quantification_Results'!AX503),IF(('Quantification_Results'!AX503&lt;'Quantification_Config'!$S$19),"",IF(('Quantification_Results'!AX503&gt;'Quantification_Config'!$T$19),"",'Quantification_Results'!AX503)),""),IF(ISNUMBER('Quantification_Results'!AY503),IF(('Quantification_Results'!AY503&lt;'Quantification_Config'!$S$19),"",IF(('Quantification_Results'!AY503&gt;'Quantification_Config'!$T$19),"",'Quantification_Results'!AY503)),"")))</x:f>
        <x:v>5</x:v>
      </x:c>
      <x:c r="BA503" t="n">
        <x:f>IF(ISNUMBER('Quantification_Results'!AZ503),IFERROR(ROUND(((('Quantification_Results'!AZ503-'Quantification_Config'!$S$19)/('Quantification_Config'!$T$19-'Quantification_Config'!$S$19))*100),'Quantification_Config'!$U$2),""),"")</x:f>
        <x:v>50</x:v>
      </x:c>
      <x:c r="BB503" t="inlineStr">
        <x:is>
          <x:t xml:space="preserve">SYSTEM-TEST-ONLY-NO-NETWORK-NOT-AN-EDUCATIONAL-EVALUATION</x:t>
        </x:is>
      </x:c>
      <x:c r="BC503" t="inlineStr">
        <x:is>
          <x:t xml:space="preserve"/>
        </x:is>
      </x:c>
      <x:c r="BD503" t="inlineStr">
        <x:is>
          <x:t xml:space="preserve">NONE</x:t>
        </x:is>
      </x:c>
      <x:c r="BE503" t="inlineStr">
        <x:is>
          <x:t xml:space="preserve"/>
        </x:is>
      </x:c>
      <x:c r="BF503" t="inlineStr">
        <x:is>
          <x:t xml:space="preserve">SUCCESS</x:t>
        </x:is>
      </x:c>
      <x:c r="BG503" t="n">
        <x:f>IF((COUNT('Quantification_Results'!BA503)=1),IFERROR(ROUND((SUM(('Quantification_Results'!BA503*'Quantification_Config'!$R$19))/SUM('Quantification_Config'!$R$19)),'Quantification_Config'!$U$2),""),"")</x:f>
        <x:v>50</x:v>
      </x:c>
      <x:c r="BH503" t="n">
        <x:f>IF((COUNT('Quantification_Results'!BG503)=1),IFERROR(ROUND((SUM(('Quantification_Results'!BG503*'Quantification_Config'!$R$18))/SUM('Quantification_Config'!$R$18)),'Quantification_Config'!$U$2),""),"")</x:f>
        <x:v>50</x:v>
      </x:c>
      <x:c r="BI503">
        <x:f>IF((COUNT('Quantification_Results'!L503,'Quantification_Results'!X503,'Quantification_Results'!AJ503,'Quantification_Results'!AV503,'Quantification_Results'!BH503)=5),IFERROR(ROUND((SUM(('Quantification_Results'!L503*'Quantification_Config'!$R$4),('Quantification_Results'!X503*'Quantification_Config'!$R$7),('Quantification_Results'!AJ503*'Quantification_Config'!$R$10),('Quantification_Results'!AV503*'Quantification_Config'!$R$13),('Quantification_Results'!BH503*'Quantification_Config'!$R$16))/SUM('Quantification_Config'!$R$4,'Quantification_Config'!$R$7,'Quantification_Config'!$R$10,'Quantification_Config'!$R$13,'Quantification_Config'!$R$16)),'Quantification_Config'!$U$2),""),"")</x:f>
      </x:c>
    </x:row>
    <x:row r="504">
      <x:c r="A504" t="n">
        <x:v>1</x:v>
      </x:c>
      <x:c r="B504" t="n">
        <x:v>5</x:v>
      </x:c>
      <x:c r="C504"/>
      <x:c r="D504" t="n">
        <x:f>IF(('Quantification_Results'!A504&lt;&gt;1),"",IF(('Quantification_Results'!C504=""),IF(ISNUMBER('Quantification_Results'!B504),IF(('Quantification_Results'!B504&lt;'Quantification_Config'!$S$6),"",IF(('Quantification_Results'!B504&gt;'Quantification_Config'!$T$6),"",'Quantification_Results'!B504)),""),IF(ISNUMBER('Quantification_Results'!C504),IF(('Quantification_Results'!C504&lt;'Quantification_Config'!$S$6),"",IF(('Quantification_Results'!C504&gt;'Quantification_Config'!$T$6),"",'Quantification_Results'!C504)),"")))</x:f>
        <x:v>5</x:v>
      </x:c>
      <x:c r="E504" t="n">
        <x:f>IF(ISNUMBER('Quantification_Results'!D504),IFERROR(ROUND(((('Quantification_Results'!D504-'Quantification_Config'!$S$6)/('Quantification_Config'!$T$6-'Quantification_Config'!$S$6))*100),'Quantification_Config'!$U$2),""),"")</x:f>
        <x:v>50</x:v>
      </x:c>
      <x:c r="F504" t="inlineStr">
        <x:is>
          <x:t xml:space="preserve">SYSTEM-TEST-ONLY-NO-NETWORK-NOT-AN-EDUCATIONAL-EVALUATION</x:t>
        </x:is>
      </x:c>
      <x:c r="G504" t="inlineStr">
        <x:is>
          <x:t xml:space="preserve"/>
        </x:is>
      </x:c>
      <x:c r="H504" t="inlineStr">
        <x:is>
          <x:t xml:space="preserve">NONE</x:t>
        </x:is>
      </x:c>
      <x:c r="I504" t="inlineStr">
        <x:is>
          <x:t xml:space="preserve"/>
        </x:is>
      </x:c>
      <x:c r="J504" t="inlineStr">
        <x:is>
          <x:t xml:space="preserve">SUCCESS</x:t>
        </x:is>
      </x:c>
      <x:c r="K504" t="n">
        <x:f>IF((COUNT('Quantification_Results'!E504)=1),IFERROR(ROUND((SUM(('Quantification_Results'!E504*'Quantification_Config'!$R$6))/SUM('Quantification_Config'!$R$6)),'Quantification_Config'!$U$2),""),"")</x:f>
        <x:v>50</x:v>
      </x:c>
      <x:c r="L504" t="n">
        <x:f>IF((COUNT('Quantification_Results'!K504)=1),IFERROR(ROUND((SUM(('Quantification_Results'!K504*'Quantification_Config'!$R$5))/SUM('Quantification_Config'!$R$5)),'Quantification_Config'!$U$2),""),"")</x:f>
        <x:v>50</x:v>
      </x:c>
      <x:c r="M504" t="n">
        <x:v>1</x:v>
      </x:c>
      <x:c r="N504" t="n">
        <x:v>5</x:v>
      </x:c>
      <x:c r="O504"/>
      <x:c r="P504" t="n">
        <x:f>IF(('Quantification_Results'!M504&lt;&gt;1),"",IF(('Quantification_Results'!O504=""),IF(ISNUMBER('Quantification_Results'!N504),IF(('Quantification_Results'!N504&lt;'Quantification_Config'!$S$9),"",IF(('Quantification_Results'!N504&gt;'Quantification_Config'!$T$9),"",'Quantification_Results'!N504)),""),IF(ISNUMBER('Quantification_Results'!O504),IF(('Quantification_Results'!O504&lt;'Quantification_Config'!$S$9),"",IF(('Quantification_Results'!O504&gt;'Quantification_Config'!$T$9),"",'Quantification_Results'!O504)),"")))</x:f>
        <x:v>5</x:v>
      </x:c>
      <x:c r="Q504" t="n">
        <x:f>IF(ISNUMBER('Quantification_Results'!P504),IFERROR(ROUND(((('Quantification_Results'!P504-'Quantification_Config'!$S$9)/('Quantification_Config'!$T$9-'Quantification_Config'!$S$9))*100),'Quantification_Config'!$U$2),""),"")</x:f>
        <x:v>50</x:v>
      </x:c>
      <x:c r="R504" t="inlineStr">
        <x:is>
          <x:t xml:space="preserve">SYSTEM-TEST-ONLY-NO-NETWORK-NOT-AN-EDUCATIONAL-EVALUATION</x:t>
        </x:is>
      </x:c>
      <x:c r="S504" t="inlineStr">
        <x:is>
          <x:t xml:space="preserve"/>
        </x:is>
      </x:c>
      <x:c r="T504" t="inlineStr">
        <x:is>
          <x:t xml:space="preserve">NONE</x:t>
        </x:is>
      </x:c>
      <x:c r="U504" t="inlineStr">
        <x:is>
          <x:t xml:space="preserve"/>
        </x:is>
      </x:c>
      <x:c r="V504" t="inlineStr">
        <x:is>
          <x:t xml:space="preserve">SUCCESS</x:t>
        </x:is>
      </x:c>
      <x:c r="W504" t="n">
        <x:f>IF((COUNT('Quantification_Results'!Q504)=1),IFERROR(ROUND((SUM(('Quantification_Results'!Q504*'Quantification_Config'!$R$9))/SUM('Quantification_Config'!$R$9)),'Quantification_Config'!$U$2),""),"")</x:f>
        <x:v>50</x:v>
      </x:c>
      <x:c r="X504" t="n">
        <x:f>IF((COUNT('Quantification_Results'!W504)=1),IFERROR(ROUND((SUM(('Quantification_Results'!W504*'Quantification_Config'!$R$8))/SUM('Quantification_Config'!$R$8)),'Quantification_Config'!$U$2),""),"")</x:f>
        <x:v>50</x:v>
      </x:c>
      <x:c r="Y504" t="n">
        <x:v>0</x:v>
      </x:c>
      <x:c r="Z504"/>
      <x:c r="AA504"/>
      <x:c r="AB504">
        <x:f>IF(('Quantification_Results'!Y504&lt;&gt;1),"",IF(('Quantification_Results'!AA504=""),IF(ISNUMBER('Quantification_Results'!Z504),IF(('Quantification_Results'!Z504&lt;'Quantification_Config'!$S$12),"",IF(('Quantification_Results'!Z504&gt;'Quantification_Config'!$T$12),"",'Quantification_Results'!Z504)),""),IF(ISNUMBER('Quantification_Results'!AA504),IF(('Quantification_Results'!AA504&lt;'Quantification_Config'!$S$12),"",IF(('Quantification_Results'!AA504&gt;'Quantification_Config'!$T$12),"",'Quantification_Results'!AA504)),"")))</x:f>
      </x:c>
      <x:c r="AC504">
        <x:f>IF(ISNUMBER('Quantification_Results'!AB504),IFERROR(ROUND(((('Quantification_Results'!AB504-'Quantification_Config'!$S$12)/('Quantification_Config'!$T$12-'Quantification_Config'!$S$12))*100),'Quantification_Config'!$U$2),""),"")</x:f>
      </x:c>
      <x:c r="AD504" t="inlineStr">
        <x:is>
          <x:t xml:space="preserve"/>
        </x:is>
      </x:c>
      <x:c r="AE504" t="inlineStr">
        <x:is>
          <x:t xml:space="preserve"/>
        </x:is>
      </x:c>
      <x:c r="AF504" t="inlineStr">
        <x:is>
          <x:t xml:space="preserve"/>
        </x:is>
      </x:c>
      <x:c r="AG504" t="inlineStr">
        <x:is>
          <x:t xml:space="preserve"/>
        </x:is>
      </x:c>
      <x:c r="AH504" t="inlineStr">
        <x:is>
          <x:t xml:space="preserve">EMPTY</x:t>
        </x:is>
      </x:c>
      <x:c r="AI504">
        <x:f>IF((COUNT('Quantification_Results'!AC504)=1),IFERROR(ROUND((SUM(('Quantification_Results'!AC504*'Quantification_Config'!$R$12))/SUM('Quantification_Config'!$R$12)),'Quantification_Config'!$U$2),""),"")</x:f>
      </x:c>
      <x:c r="AJ504">
        <x:f>IF((COUNT('Quantification_Results'!AI504)=1),IFERROR(ROUND((SUM(('Quantification_Results'!AI504*'Quantification_Config'!$R$11))/SUM('Quantification_Config'!$R$11)),'Quantification_Config'!$U$2),""),"")</x:f>
      </x:c>
      <x:c r="AK504" t="n">
        <x:v>1</x:v>
      </x:c>
      <x:c r="AL504" t="n">
        <x:v>5</x:v>
      </x:c>
      <x:c r="AM504"/>
      <x:c r="AN504" t="n">
        <x:f>IF(('Quantification_Results'!AK504&lt;&gt;1),"",IF(('Quantification_Results'!AM504=""),IF(ISNUMBER('Quantification_Results'!AL504),IF(('Quantification_Results'!AL504&lt;'Quantification_Config'!$S$15),"",IF(('Quantification_Results'!AL504&gt;'Quantification_Config'!$T$15),"",'Quantification_Results'!AL504)),""),IF(ISNUMBER('Quantification_Results'!AM504),IF(('Quantification_Results'!AM504&lt;'Quantification_Config'!$S$15),"",IF(('Quantification_Results'!AM504&gt;'Quantification_Config'!$T$15),"",'Quantification_Results'!AM504)),"")))</x:f>
        <x:v>5</x:v>
      </x:c>
      <x:c r="AO504" t="n">
        <x:f>IF(ISNUMBER('Quantification_Results'!AN504),IFERROR(ROUND(((('Quantification_Results'!AN504-'Quantification_Config'!$S$15)/('Quantification_Config'!$T$15-'Quantification_Config'!$S$15))*100),'Quantification_Config'!$U$2),""),"")</x:f>
        <x:v>50</x:v>
      </x:c>
      <x:c r="AP504" t="inlineStr">
        <x:is>
          <x:t xml:space="preserve">SYSTEM-TEST-ONLY-NO-NETWORK-NOT-AN-EDUCATIONAL-EVALUATION</x:t>
        </x:is>
      </x:c>
      <x:c r="AQ504" t="inlineStr">
        <x:is>
          <x:t xml:space="preserve"/>
        </x:is>
      </x:c>
      <x:c r="AR504" t="inlineStr">
        <x:is>
          <x:t xml:space="preserve">NONE</x:t>
        </x:is>
      </x:c>
      <x:c r="AS504" t="inlineStr">
        <x:is>
          <x:t xml:space="preserve"/>
        </x:is>
      </x:c>
      <x:c r="AT504" t="inlineStr">
        <x:is>
          <x:t xml:space="preserve">SUCCESS</x:t>
        </x:is>
      </x:c>
      <x:c r="AU504" t="n">
        <x:f>IF((COUNT('Quantification_Results'!AO504)=1),IFERROR(ROUND((SUM(('Quantification_Results'!AO504*'Quantification_Config'!$R$15))/SUM('Quantification_Config'!$R$15)),'Quantification_Config'!$U$2),""),"")</x:f>
        <x:v>50</x:v>
      </x:c>
      <x:c r="AV504" t="n">
        <x:f>IF((COUNT('Quantification_Results'!AU504)=1),IFERROR(ROUND((SUM(('Quantification_Results'!AU504*'Quantification_Config'!$R$14))/SUM('Quantification_Config'!$R$14)),'Quantification_Config'!$U$2),""),"")</x:f>
        <x:v>50</x:v>
      </x:c>
      <x:c r="AW504" t="n">
        <x:v>1</x:v>
      </x:c>
      <x:c r="AX504" t="n">
        <x:v>5</x:v>
      </x:c>
      <x:c r="AY504"/>
      <x:c r="AZ504" t="n">
        <x:f>IF(('Quantification_Results'!AW504&lt;&gt;1),"",IF(('Quantification_Results'!AY504=""),IF(ISNUMBER('Quantification_Results'!AX504),IF(('Quantification_Results'!AX504&lt;'Quantification_Config'!$S$19),"",IF(('Quantification_Results'!AX504&gt;'Quantification_Config'!$T$19),"",'Quantification_Results'!AX504)),""),IF(ISNUMBER('Quantification_Results'!AY504),IF(('Quantification_Results'!AY504&lt;'Quantification_Config'!$S$19),"",IF(('Quantification_Results'!AY504&gt;'Quantification_Config'!$T$19),"",'Quantification_Results'!AY504)),"")))</x:f>
        <x:v>5</x:v>
      </x:c>
      <x:c r="BA504" t="n">
        <x:f>IF(ISNUMBER('Quantification_Results'!AZ504),IFERROR(ROUND(((('Quantification_Results'!AZ504-'Quantification_Config'!$S$19)/('Quantification_Config'!$T$19-'Quantification_Config'!$S$19))*100),'Quantification_Config'!$U$2),""),"")</x:f>
        <x:v>50</x:v>
      </x:c>
      <x:c r="BB504" t="inlineStr">
        <x:is>
          <x:t xml:space="preserve">SYSTEM-TEST-ONLY-NO-NETWORK-NOT-AN-EDUCATIONAL-EVALUATION</x:t>
        </x:is>
      </x:c>
      <x:c r="BC504" t="inlineStr">
        <x:is>
          <x:t xml:space="preserve"/>
        </x:is>
      </x:c>
      <x:c r="BD504" t="inlineStr">
        <x:is>
          <x:t xml:space="preserve">NONE</x:t>
        </x:is>
      </x:c>
      <x:c r="BE504" t="inlineStr">
        <x:is>
          <x:t xml:space="preserve"/>
        </x:is>
      </x:c>
      <x:c r="BF504" t="inlineStr">
        <x:is>
          <x:t xml:space="preserve">SUCCESS</x:t>
        </x:is>
      </x:c>
      <x:c r="BG504" t="n">
        <x:f>IF((COUNT('Quantification_Results'!BA504)=1),IFERROR(ROUND((SUM(('Quantification_Results'!BA504*'Quantification_Config'!$R$19))/SUM('Quantification_Config'!$R$19)),'Quantification_Config'!$U$2),""),"")</x:f>
        <x:v>50</x:v>
      </x:c>
      <x:c r="BH504" t="n">
        <x:f>IF((COUNT('Quantification_Results'!BG504)=1),IFERROR(ROUND((SUM(('Quantification_Results'!BG504*'Quantification_Config'!$R$18))/SUM('Quantification_Config'!$R$18)),'Quantification_Config'!$U$2),""),"")</x:f>
        <x:v>50</x:v>
      </x:c>
      <x:c r="BI504">
        <x:f>IF((COUNT('Quantification_Results'!L504,'Quantification_Results'!X504,'Quantification_Results'!AJ504,'Quantification_Results'!AV504,'Quantification_Results'!BH504)=5),IFERROR(ROUND((SUM(('Quantification_Results'!L504*'Quantification_Config'!$R$4),('Quantification_Results'!X504*'Quantification_Config'!$R$7),('Quantification_Results'!AJ504*'Quantification_Config'!$R$10),('Quantification_Results'!AV504*'Quantification_Config'!$R$13),('Quantification_Results'!BH504*'Quantification_Config'!$R$16))/SUM('Quantification_Config'!$R$4,'Quantification_Config'!$R$7,'Quantification_Config'!$R$10,'Quantification_Config'!$R$13,'Quantification_Config'!$R$16)),'Quantification_Config'!$U$2),""),"")</x:f>
      </x:c>
    </x:row>
    <x:row r="505">
      <x:c r="A505" t="n">
        <x:v>1</x:v>
      </x:c>
      <x:c r="B505" t="n">
        <x:v>5</x:v>
      </x:c>
      <x:c r="C505"/>
      <x:c r="D505" t="n">
        <x:f>IF(('Quantification_Results'!A505&lt;&gt;1),"",IF(('Quantification_Results'!C505=""),IF(ISNUMBER('Quantification_Results'!B505),IF(('Quantification_Results'!B505&lt;'Quantification_Config'!$S$6),"",IF(('Quantification_Results'!B505&gt;'Quantification_Config'!$T$6),"",'Quantification_Results'!B505)),""),IF(ISNUMBER('Quantification_Results'!C505),IF(('Quantification_Results'!C505&lt;'Quantification_Config'!$S$6),"",IF(('Quantification_Results'!C505&gt;'Quantification_Config'!$T$6),"",'Quantification_Results'!C505)),"")))</x:f>
        <x:v>5</x:v>
      </x:c>
      <x:c r="E505" t="n">
        <x:f>IF(ISNUMBER('Quantification_Results'!D505),IFERROR(ROUND(((('Quantification_Results'!D505-'Quantification_Config'!$S$6)/('Quantification_Config'!$T$6-'Quantification_Config'!$S$6))*100),'Quantification_Config'!$U$2),""),"")</x:f>
        <x:v>50</x:v>
      </x:c>
      <x:c r="F505" t="inlineStr">
        <x:is>
          <x:t xml:space="preserve">SYSTEM-TEST-ONLY-NO-NETWORK-NOT-AN-EDUCATIONAL-EVALUATION</x:t>
        </x:is>
      </x:c>
      <x:c r="G505" t="inlineStr">
        <x:is>
          <x:t xml:space="preserve"/>
        </x:is>
      </x:c>
      <x:c r="H505" t="inlineStr">
        <x:is>
          <x:t xml:space="preserve">NONE</x:t>
        </x:is>
      </x:c>
      <x:c r="I505" t="inlineStr">
        <x:is>
          <x:t xml:space="preserve"/>
        </x:is>
      </x:c>
      <x:c r="J505" t="inlineStr">
        <x:is>
          <x:t xml:space="preserve">SUCCESS</x:t>
        </x:is>
      </x:c>
      <x:c r="K505" t="n">
        <x:f>IF((COUNT('Quantification_Results'!E505)=1),IFERROR(ROUND((SUM(('Quantification_Results'!E505*'Quantification_Config'!$R$6))/SUM('Quantification_Config'!$R$6)),'Quantification_Config'!$U$2),""),"")</x:f>
        <x:v>50</x:v>
      </x:c>
      <x:c r="L505" t="n">
        <x:f>IF((COUNT('Quantification_Results'!K505)=1),IFERROR(ROUND((SUM(('Quantification_Results'!K505*'Quantification_Config'!$R$5))/SUM('Quantification_Config'!$R$5)),'Quantification_Config'!$U$2),""),"")</x:f>
        <x:v>50</x:v>
      </x:c>
      <x:c r="M505" t="n">
        <x:v>1</x:v>
      </x:c>
      <x:c r="N505" t="n">
        <x:v>5</x:v>
      </x:c>
      <x:c r="O505"/>
      <x:c r="P505" t="n">
        <x:f>IF(('Quantification_Results'!M505&lt;&gt;1),"",IF(('Quantification_Results'!O505=""),IF(ISNUMBER('Quantification_Results'!N505),IF(('Quantification_Results'!N505&lt;'Quantification_Config'!$S$9),"",IF(('Quantification_Results'!N505&gt;'Quantification_Config'!$T$9),"",'Quantification_Results'!N505)),""),IF(ISNUMBER('Quantification_Results'!O505),IF(('Quantification_Results'!O505&lt;'Quantification_Config'!$S$9),"",IF(('Quantification_Results'!O505&gt;'Quantification_Config'!$T$9),"",'Quantification_Results'!O505)),"")))</x:f>
        <x:v>5</x:v>
      </x:c>
      <x:c r="Q505" t="n">
        <x:f>IF(ISNUMBER('Quantification_Results'!P505),IFERROR(ROUND(((('Quantification_Results'!P505-'Quantification_Config'!$S$9)/('Quantification_Config'!$T$9-'Quantification_Config'!$S$9))*100),'Quantification_Config'!$U$2),""),"")</x:f>
        <x:v>50</x:v>
      </x:c>
      <x:c r="R505" t="inlineStr">
        <x:is>
          <x:t xml:space="preserve">SYSTEM-TEST-ONLY-NO-NETWORK-NOT-AN-EDUCATIONAL-EVALUATION</x:t>
        </x:is>
      </x:c>
      <x:c r="S505" t="inlineStr">
        <x:is>
          <x:t xml:space="preserve"/>
        </x:is>
      </x:c>
      <x:c r="T505" t="inlineStr">
        <x:is>
          <x:t xml:space="preserve">NONE</x:t>
        </x:is>
      </x:c>
      <x:c r="U505" t="inlineStr">
        <x:is>
          <x:t xml:space="preserve"/>
        </x:is>
      </x:c>
      <x:c r="V505" t="inlineStr">
        <x:is>
          <x:t xml:space="preserve">SUCCESS</x:t>
        </x:is>
      </x:c>
      <x:c r="W505" t="n">
        <x:f>IF((COUNT('Quantification_Results'!Q505)=1),IFERROR(ROUND((SUM(('Quantification_Results'!Q505*'Quantification_Config'!$R$9))/SUM('Quantification_Config'!$R$9)),'Quantification_Config'!$U$2),""),"")</x:f>
        <x:v>50</x:v>
      </x:c>
      <x:c r="X505" t="n">
        <x:f>IF((COUNT('Quantification_Results'!W505)=1),IFERROR(ROUND((SUM(('Quantification_Results'!W505*'Quantification_Config'!$R$8))/SUM('Quantification_Config'!$R$8)),'Quantification_Config'!$U$2),""),"")</x:f>
        <x:v>50</x:v>
      </x:c>
      <x:c r="Y505" t="n">
        <x:v>1</x:v>
      </x:c>
      <x:c r="Z505" t="n">
        <x:v>5</x:v>
      </x:c>
      <x:c r="AA505"/>
      <x:c r="AB505" t="n">
        <x:f>IF(('Quantification_Results'!Y505&lt;&gt;1),"",IF(('Quantification_Results'!AA505=""),IF(ISNUMBER('Quantification_Results'!Z505),IF(('Quantification_Results'!Z505&lt;'Quantification_Config'!$S$12),"",IF(('Quantification_Results'!Z505&gt;'Quantification_Config'!$T$12),"",'Quantification_Results'!Z505)),""),IF(ISNUMBER('Quantification_Results'!AA505),IF(('Quantification_Results'!AA505&lt;'Quantification_Config'!$S$12),"",IF(('Quantification_Results'!AA505&gt;'Quantification_Config'!$T$12),"",'Quantification_Results'!AA505)),"")))</x:f>
        <x:v>5</x:v>
      </x:c>
      <x:c r="AC505" t="n">
        <x:f>IF(ISNUMBER('Quantification_Results'!AB505),IFERROR(ROUND(((('Quantification_Results'!AB505-'Quantification_Config'!$S$12)/('Quantification_Config'!$T$12-'Quantification_Config'!$S$12))*100),'Quantification_Config'!$U$2),""),"")</x:f>
        <x:v>50</x:v>
      </x:c>
      <x:c r="AD505" t="inlineStr">
        <x:is>
          <x:t xml:space="preserve">SYSTEM-TEST-ONLY-NO-NETWORK-NOT-AN-EDUCATIONAL-EVALUATION</x:t>
        </x:is>
      </x:c>
      <x:c r="AE505" t="inlineStr">
        <x:is>
          <x:t xml:space="preserve"/>
        </x:is>
      </x:c>
      <x:c r="AF505" t="inlineStr">
        <x:is>
          <x:t xml:space="preserve">NONE</x:t>
        </x:is>
      </x:c>
      <x:c r="AG505" t="inlineStr">
        <x:is>
          <x:t xml:space="preserve"/>
        </x:is>
      </x:c>
      <x:c r="AH505" t="inlineStr">
        <x:is>
          <x:t xml:space="preserve">SUCCESS</x:t>
        </x:is>
      </x:c>
      <x:c r="AI505" t="n">
        <x:f>IF((COUNT('Quantification_Results'!AC505)=1),IFERROR(ROUND((SUM(('Quantification_Results'!AC505*'Quantification_Config'!$R$12))/SUM('Quantification_Config'!$R$12)),'Quantification_Config'!$U$2),""),"")</x:f>
        <x:v>50</x:v>
      </x:c>
      <x:c r="AJ505" t="n">
        <x:f>IF((COUNT('Quantification_Results'!AI505)=1),IFERROR(ROUND((SUM(('Quantification_Results'!AI505*'Quantification_Config'!$R$11))/SUM('Quantification_Config'!$R$11)),'Quantification_Config'!$U$2),""),"")</x:f>
        <x:v>50</x:v>
      </x:c>
      <x:c r="AK505" t="n">
        <x:v>1</x:v>
      </x:c>
      <x:c r="AL505" t="n">
        <x:v>5</x:v>
      </x:c>
      <x:c r="AM505"/>
      <x:c r="AN505" t="n">
        <x:f>IF(('Quantification_Results'!AK505&lt;&gt;1),"",IF(('Quantification_Results'!AM505=""),IF(ISNUMBER('Quantification_Results'!AL505),IF(('Quantification_Results'!AL505&lt;'Quantification_Config'!$S$15),"",IF(('Quantification_Results'!AL505&gt;'Quantification_Config'!$T$15),"",'Quantification_Results'!AL505)),""),IF(ISNUMBER('Quantification_Results'!AM505),IF(('Quantification_Results'!AM505&lt;'Quantification_Config'!$S$15),"",IF(('Quantification_Results'!AM505&gt;'Quantification_Config'!$T$15),"",'Quantification_Results'!AM505)),"")))</x:f>
        <x:v>5</x:v>
      </x:c>
      <x:c r="AO505" t="n">
        <x:f>IF(ISNUMBER('Quantification_Results'!AN505),IFERROR(ROUND(((('Quantification_Results'!AN505-'Quantification_Config'!$S$15)/('Quantification_Config'!$T$15-'Quantification_Config'!$S$15))*100),'Quantification_Config'!$U$2),""),"")</x:f>
        <x:v>50</x:v>
      </x:c>
      <x:c r="AP505" t="inlineStr">
        <x:is>
          <x:t xml:space="preserve">SYSTEM-TEST-ONLY-NO-NETWORK-NOT-AN-EDUCATIONAL-EVALUATION</x:t>
        </x:is>
      </x:c>
      <x:c r="AQ505" t="inlineStr">
        <x:is>
          <x:t xml:space="preserve"/>
        </x:is>
      </x:c>
      <x:c r="AR505" t="inlineStr">
        <x:is>
          <x:t xml:space="preserve">NONE</x:t>
        </x:is>
      </x:c>
      <x:c r="AS505" t="inlineStr">
        <x:is>
          <x:t xml:space="preserve"/>
        </x:is>
      </x:c>
      <x:c r="AT505" t="inlineStr">
        <x:is>
          <x:t xml:space="preserve">SUCCESS</x:t>
        </x:is>
      </x:c>
      <x:c r="AU505" t="n">
        <x:f>IF((COUNT('Quantification_Results'!AO505)=1),IFERROR(ROUND((SUM(('Quantification_Results'!AO505*'Quantification_Config'!$R$15))/SUM('Quantification_Config'!$R$15)),'Quantification_Config'!$U$2),""),"")</x:f>
        <x:v>50</x:v>
      </x:c>
      <x:c r="AV505" t="n">
        <x:f>IF((COUNT('Quantification_Results'!AU505)=1),IFERROR(ROUND((SUM(('Quantification_Results'!AU505*'Quantification_Config'!$R$14))/SUM('Quantification_Config'!$R$14)),'Quantification_Config'!$U$2),""),"")</x:f>
        <x:v>50</x:v>
      </x:c>
      <x:c r="AW505" t="n">
        <x:v>1</x:v>
      </x:c>
      <x:c r="AX505" t="n">
        <x:v>5</x:v>
      </x:c>
      <x:c r="AY505"/>
      <x:c r="AZ505" t="n">
        <x:f>IF(('Quantification_Results'!AW505&lt;&gt;1),"",IF(('Quantification_Results'!AY505=""),IF(ISNUMBER('Quantification_Results'!AX505),IF(('Quantification_Results'!AX505&lt;'Quantification_Config'!$S$19),"",IF(('Quantification_Results'!AX505&gt;'Quantification_Config'!$T$19),"",'Quantification_Results'!AX505)),""),IF(ISNUMBER('Quantification_Results'!AY505),IF(('Quantification_Results'!AY505&lt;'Quantification_Config'!$S$19),"",IF(('Quantification_Results'!AY505&gt;'Quantification_Config'!$T$19),"",'Quantification_Results'!AY505)),"")))</x:f>
        <x:v>5</x:v>
      </x:c>
      <x:c r="BA505" t="n">
        <x:f>IF(ISNUMBER('Quantification_Results'!AZ505),IFERROR(ROUND(((('Quantification_Results'!AZ505-'Quantification_Config'!$S$19)/('Quantification_Config'!$T$19-'Quantification_Config'!$S$19))*100),'Quantification_Config'!$U$2),""),"")</x:f>
        <x:v>50</x:v>
      </x:c>
      <x:c r="BB505" t="inlineStr">
        <x:is>
          <x:t xml:space="preserve">SYSTEM-TEST-ONLY-NO-NETWORK-NOT-AN-EDUCATIONAL-EVALUATION</x:t>
        </x:is>
      </x:c>
      <x:c r="BC505" t="inlineStr">
        <x:is>
          <x:t xml:space="preserve"/>
        </x:is>
      </x:c>
      <x:c r="BD505" t="inlineStr">
        <x:is>
          <x:t xml:space="preserve">NONE</x:t>
        </x:is>
      </x:c>
      <x:c r="BE505" t="inlineStr">
        <x:is>
          <x:t xml:space="preserve"/>
        </x:is>
      </x:c>
      <x:c r="BF505" t="inlineStr">
        <x:is>
          <x:t xml:space="preserve">SUCCESS</x:t>
        </x:is>
      </x:c>
      <x:c r="BG505" t="n">
        <x:f>IF((COUNT('Quantification_Results'!BA505)=1),IFERROR(ROUND((SUM(('Quantification_Results'!BA505*'Quantification_Config'!$R$19))/SUM('Quantification_Config'!$R$19)),'Quantification_Config'!$U$2),""),"")</x:f>
        <x:v>50</x:v>
      </x:c>
      <x:c r="BH505" t="n">
        <x:f>IF((COUNT('Quantification_Results'!BG505)=1),IFERROR(ROUND((SUM(('Quantification_Results'!BG505*'Quantification_Config'!$R$18))/SUM('Quantification_Config'!$R$18)),'Quantification_Config'!$U$2),""),"")</x:f>
        <x:v>50</x:v>
      </x:c>
      <x:c r="BI505" t="n">
        <x:f>IF((COUNT('Quantification_Results'!L505,'Quantification_Results'!X505,'Quantification_Results'!AJ505,'Quantification_Results'!AV505,'Quantification_Results'!BH505)=5),IFERROR(ROUND((SUM(('Quantification_Results'!L505*'Quantification_Config'!$R$4),('Quantification_Results'!X505*'Quantification_Config'!$R$7),('Quantification_Results'!AJ505*'Quantification_Config'!$R$10),('Quantification_Results'!AV505*'Quantification_Config'!$R$13),('Quantification_Results'!BH505*'Quantification_Config'!$R$16))/SUM('Quantification_Config'!$R$4,'Quantification_Config'!$R$7,'Quantification_Config'!$R$10,'Quantification_Config'!$R$13,'Quantification_Config'!$R$16)),'Quantification_Config'!$U$2),""),"")</x:f>
        <x:v>50</x:v>
      </x:c>
    </x:row>
    <x:row r="506">
      <x:c r="A506" t="n">
        <x:v>1</x:v>
      </x:c>
      <x:c r="B506" t="n">
        <x:v>5</x:v>
      </x:c>
      <x:c r="C506"/>
      <x:c r="D506" t="n">
        <x:f>IF(('Quantification_Results'!A506&lt;&gt;1),"",IF(('Quantification_Results'!C506=""),IF(ISNUMBER('Quantification_Results'!B506),IF(('Quantification_Results'!B506&lt;'Quantification_Config'!$S$6),"",IF(('Quantification_Results'!B506&gt;'Quantification_Config'!$T$6),"",'Quantification_Results'!B506)),""),IF(ISNUMBER('Quantification_Results'!C506),IF(('Quantification_Results'!C506&lt;'Quantification_Config'!$S$6),"",IF(('Quantification_Results'!C506&gt;'Quantification_Config'!$T$6),"",'Quantification_Results'!C506)),"")))</x:f>
        <x:v>5</x:v>
      </x:c>
      <x:c r="E506" t="n">
        <x:f>IF(ISNUMBER('Quantification_Results'!D506),IFERROR(ROUND(((('Quantification_Results'!D506-'Quantification_Config'!$S$6)/('Quantification_Config'!$T$6-'Quantification_Config'!$S$6))*100),'Quantification_Config'!$U$2),""),"")</x:f>
        <x:v>50</x:v>
      </x:c>
      <x:c r="F506" t="inlineStr">
        <x:is>
          <x:t xml:space="preserve">SYSTEM-TEST-ONLY-NO-NETWORK-NOT-AN-EDUCATIONAL-EVALUATION</x:t>
        </x:is>
      </x:c>
      <x:c r="G506" t="inlineStr">
        <x:is>
          <x:t xml:space="preserve"/>
        </x:is>
      </x:c>
      <x:c r="H506" t="inlineStr">
        <x:is>
          <x:t xml:space="preserve">NONE</x:t>
        </x:is>
      </x:c>
      <x:c r="I506" t="inlineStr">
        <x:is>
          <x:t xml:space="preserve"/>
        </x:is>
      </x:c>
      <x:c r="J506" t="inlineStr">
        <x:is>
          <x:t xml:space="preserve">SUCCESS</x:t>
        </x:is>
      </x:c>
      <x:c r="K506" t="n">
        <x:f>IF((COUNT('Quantification_Results'!E506)=1),IFERROR(ROUND((SUM(('Quantification_Results'!E506*'Quantification_Config'!$R$6))/SUM('Quantification_Config'!$R$6)),'Quantification_Config'!$U$2),""),"")</x:f>
        <x:v>50</x:v>
      </x:c>
      <x:c r="L506" t="n">
        <x:f>IF((COUNT('Quantification_Results'!K506)=1),IFERROR(ROUND((SUM(('Quantification_Results'!K506*'Quantification_Config'!$R$5))/SUM('Quantification_Config'!$R$5)),'Quantification_Config'!$U$2),""),"")</x:f>
        <x:v>50</x:v>
      </x:c>
      <x:c r="M506" t="n">
        <x:v>0</x:v>
      </x:c>
      <x:c r="N506"/>
      <x:c r="O506"/>
      <x:c r="P506">
        <x:f>IF(('Quantification_Results'!M506&lt;&gt;1),"",IF(('Quantification_Results'!O506=""),IF(ISNUMBER('Quantification_Results'!N506),IF(('Quantification_Results'!N506&lt;'Quantification_Config'!$S$9),"",IF(('Quantification_Results'!N506&gt;'Quantification_Config'!$T$9),"",'Quantification_Results'!N506)),""),IF(ISNUMBER('Quantification_Results'!O506),IF(('Quantification_Results'!O506&lt;'Quantification_Config'!$S$9),"",IF(('Quantification_Results'!O506&gt;'Quantification_Config'!$T$9),"",'Quantification_Results'!O506)),"")))</x:f>
      </x:c>
      <x:c r="Q506">
        <x:f>IF(ISNUMBER('Quantification_Results'!P506),IFERROR(ROUND(((('Quantification_Results'!P506-'Quantification_Config'!$S$9)/('Quantification_Config'!$T$9-'Quantification_Config'!$S$9))*100),'Quantification_Config'!$U$2),""),"")</x:f>
      </x:c>
      <x:c r="R506" t="inlineStr">
        <x:is>
          <x:t xml:space="preserve"/>
        </x:is>
      </x:c>
      <x:c r="S506" t="inlineStr">
        <x:is>
          <x:t xml:space="preserve"/>
        </x:is>
      </x:c>
      <x:c r="T506" t="inlineStr">
        <x:is>
          <x:t xml:space="preserve"/>
        </x:is>
      </x:c>
      <x:c r="U506" t="inlineStr">
        <x:is>
          <x:t xml:space="preserve"/>
        </x:is>
      </x:c>
      <x:c r="V506" t="inlineStr">
        <x:is>
          <x:t xml:space="preserve">EMPTY</x:t>
        </x:is>
      </x:c>
      <x:c r="W506">
        <x:f>IF((COUNT('Quantification_Results'!Q506)=1),IFERROR(ROUND((SUM(('Quantification_Results'!Q506*'Quantification_Config'!$R$9))/SUM('Quantification_Config'!$R$9)),'Quantification_Config'!$U$2),""),"")</x:f>
      </x:c>
      <x:c r="X506">
        <x:f>IF((COUNT('Quantification_Results'!W506)=1),IFERROR(ROUND((SUM(('Quantification_Results'!W506*'Quantification_Config'!$R$8))/SUM('Quantification_Config'!$R$8)),'Quantification_Config'!$U$2),""),"")</x:f>
      </x:c>
      <x:c r="Y506" t="n">
        <x:v>0</x:v>
      </x:c>
      <x:c r="Z506"/>
      <x:c r="AA506"/>
      <x:c r="AB506">
        <x:f>IF(('Quantification_Results'!Y506&lt;&gt;1),"",IF(('Quantification_Results'!AA506=""),IF(ISNUMBER('Quantification_Results'!Z506),IF(('Quantification_Results'!Z506&lt;'Quantification_Config'!$S$12),"",IF(('Quantification_Results'!Z506&gt;'Quantification_Config'!$T$12),"",'Quantification_Results'!Z506)),""),IF(ISNUMBER('Quantification_Results'!AA506),IF(('Quantification_Results'!AA506&lt;'Quantification_Config'!$S$12),"",IF(('Quantification_Results'!AA506&gt;'Quantification_Config'!$T$12),"",'Quantification_Results'!AA506)),"")))</x:f>
      </x:c>
      <x:c r="AC506">
        <x:f>IF(ISNUMBER('Quantification_Results'!AB506),IFERROR(ROUND(((('Quantification_Results'!AB506-'Quantification_Config'!$S$12)/('Quantification_Config'!$T$12-'Quantification_Config'!$S$12))*100),'Quantification_Config'!$U$2),""),"")</x:f>
      </x:c>
      <x:c r="AD506" t="inlineStr">
        <x:is>
          <x:t xml:space="preserve"/>
        </x:is>
      </x:c>
      <x:c r="AE506" t="inlineStr">
        <x:is>
          <x:t xml:space="preserve"/>
        </x:is>
      </x:c>
      <x:c r="AF506" t="inlineStr">
        <x:is>
          <x:t xml:space="preserve"/>
        </x:is>
      </x:c>
      <x:c r="AG506" t="inlineStr">
        <x:is>
          <x:t xml:space="preserve"/>
        </x:is>
      </x:c>
      <x:c r="AH506" t="inlineStr">
        <x:is>
          <x:t xml:space="preserve">EMPTY</x:t>
        </x:is>
      </x:c>
      <x:c r="AI506">
        <x:f>IF((COUNT('Quantification_Results'!AC506)=1),IFERROR(ROUND((SUM(('Quantification_Results'!AC506*'Quantification_Config'!$R$12))/SUM('Quantification_Config'!$R$12)),'Quantification_Config'!$U$2),""),"")</x:f>
      </x:c>
      <x:c r="AJ506">
        <x:f>IF((COUNT('Quantification_Results'!AI506)=1),IFERROR(ROUND((SUM(('Quantification_Results'!AI506*'Quantification_Config'!$R$11))/SUM('Quantification_Config'!$R$11)),'Quantification_Config'!$U$2),""),"")</x:f>
      </x:c>
      <x:c r="AK506" t="n">
        <x:v>1</x:v>
      </x:c>
      <x:c r="AL506" t="n">
        <x:v>5</x:v>
      </x:c>
      <x:c r="AM506"/>
      <x:c r="AN506" t="n">
        <x:f>IF(('Quantification_Results'!AK506&lt;&gt;1),"",IF(('Quantification_Results'!AM506=""),IF(ISNUMBER('Quantification_Results'!AL506),IF(('Quantification_Results'!AL506&lt;'Quantification_Config'!$S$15),"",IF(('Quantification_Results'!AL506&gt;'Quantification_Config'!$T$15),"",'Quantification_Results'!AL506)),""),IF(ISNUMBER('Quantification_Results'!AM506),IF(('Quantification_Results'!AM506&lt;'Quantification_Config'!$S$15),"",IF(('Quantification_Results'!AM506&gt;'Quantification_Config'!$T$15),"",'Quantification_Results'!AM506)),"")))</x:f>
        <x:v>5</x:v>
      </x:c>
      <x:c r="AO506" t="n">
        <x:f>IF(ISNUMBER('Quantification_Results'!AN506),IFERROR(ROUND(((('Quantification_Results'!AN506-'Quantification_Config'!$S$15)/('Quantification_Config'!$T$15-'Quantification_Config'!$S$15))*100),'Quantification_Config'!$U$2),""),"")</x:f>
        <x:v>50</x:v>
      </x:c>
      <x:c r="AP506" t="inlineStr">
        <x:is>
          <x:t xml:space="preserve">SYSTEM-TEST-ONLY-NO-NETWORK-NOT-AN-EDUCATIONAL-EVALUATION</x:t>
        </x:is>
      </x:c>
      <x:c r="AQ506" t="inlineStr">
        <x:is>
          <x:t xml:space="preserve"/>
        </x:is>
      </x:c>
      <x:c r="AR506" t="inlineStr">
        <x:is>
          <x:t xml:space="preserve">NONE</x:t>
        </x:is>
      </x:c>
      <x:c r="AS506" t="inlineStr">
        <x:is>
          <x:t xml:space="preserve"/>
        </x:is>
      </x:c>
      <x:c r="AT506" t="inlineStr">
        <x:is>
          <x:t xml:space="preserve">SUCCESS</x:t>
        </x:is>
      </x:c>
      <x:c r="AU506" t="n">
        <x:f>IF((COUNT('Quantification_Results'!AO506)=1),IFERROR(ROUND((SUM(('Quantification_Results'!AO506*'Quantification_Config'!$R$15))/SUM('Quantification_Config'!$R$15)),'Quantification_Config'!$U$2),""),"")</x:f>
        <x:v>50</x:v>
      </x:c>
      <x:c r="AV506" t="n">
        <x:f>IF((COUNT('Quantification_Results'!AU506)=1),IFERROR(ROUND((SUM(('Quantification_Results'!AU506*'Quantification_Config'!$R$14))/SUM('Quantification_Config'!$R$14)),'Quantification_Config'!$U$2),""),"")</x:f>
        <x:v>50</x:v>
      </x:c>
      <x:c r="AW506" t="n">
        <x:v>0</x:v>
      </x:c>
      <x:c r="AX506"/>
      <x:c r="AY506"/>
      <x:c r="AZ506">
        <x:f>IF(('Quantification_Results'!AW506&lt;&gt;1),"",IF(('Quantification_Results'!AY506=""),IF(ISNUMBER('Quantification_Results'!AX506),IF(('Quantification_Results'!AX506&lt;'Quantification_Config'!$S$19),"",IF(('Quantification_Results'!AX506&gt;'Quantification_Config'!$T$19),"",'Quantification_Results'!AX506)),""),IF(ISNUMBER('Quantification_Results'!AY506),IF(('Quantification_Results'!AY506&lt;'Quantification_Config'!$S$19),"",IF(('Quantification_Results'!AY506&gt;'Quantification_Config'!$T$19),"",'Quantification_Results'!AY506)),"")))</x:f>
      </x:c>
      <x:c r="BA506">
        <x:f>IF(ISNUMBER('Quantification_Results'!AZ506),IFERROR(ROUND(((('Quantification_Results'!AZ506-'Quantification_Config'!$S$19)/('Quantification_Config'!$T$19-'Quantification_Config'!$S$19))*100),'Quantification_Config'!$U$2),""),"")</x:f>
      </x:c>
      <x:c r="BB506" t="inlineStr">
        <x:is>
          <x:t xml:space="preserve"/>
        </x:is>
      </x:c>
      <x:c r="BC506" t="inlineStr">
        <x:is>
          <x:t xml:space="preserve"/>
        </x:is>
      </x:c>
      <x:c r="BD506" t="inlineStr">
        <x:is>
          <x:t xml:space="preserve"/>
        </x:is>
      </x:c>
      <x:c r="BE506" t="inlineStr">
        <x:is>
          <x:t xml:space="preserve"/>
        </x:is>
      </x:c>
      <x:c r="BF506" t="inlineStr">
        <x:is>
          <x:t xml:space="preserve">EMPTY</x:t>
        </x:is>
      </x:c>
      <x:c r="BG506">
        <x:f>IF((COUNT('Quantification_Results'!BA506)=1),IFERROR(ROUND((SUM(('Quantification_Results'!BA506*'Quantification_Config'!$R$19))/SUM('Quantification_Config'!$R$19)),'Quantification_Config'!$U$2),""),"")</x:f>
      </x:c>
      <x:c r="BH506">
        <x:f>IF((COUNT('Quantification_Results'!BG506)=1),IFERROR(ROUND((SUM(('Quantification_Results'!BG506*'Quantification_Config'!$R$18))/SUM('Quantification_Config'!$R$18)),'Quantification_Config'!$U$2),""),"")</x:f>
      </x:c>
      <x:c r="BI506">
        <x:f>IF((COUNT('Quantification_Results'!L506,'Quantification_Results'!X506,'Quantification_Results'!AJ506,'Quantification_Results'!AV506,'Quantification_Results'!BH506)=5),IFERROR(ROUND((SUM(('Quantification_Results'!L506*'Quantification_Config'!$R$4),('Quantification_Results'!X506*'Quantification_Config'!$R$7),('Quantification_Results'!AJ506*'Quantification_Config'!$R$10),('Quantification_Results'!AV506*'Quantification_Config'!$R$13),('Quantification_Results'!BH506*'Quantification_Config'!$R$16))/SUM('Quantification_Config'!$R$4,'Quantification_Config'!$R$7,'Quantification_Config'!$R$10,'Quantification_Config'!$R$13,'Quantification_Config'!$R$16)),'Quantification_Config'!$U$2),""),"")</x:f>
      </x:c>
    </x:row>
    <x:row r="507">
      <x:c r="A507" t="n">
        <x:v>1</x:v>
      </x:c>
      <x:c r="B507" t="n">
        <x:v>5</x:v>
      </x:c>
      <x:c r="C507"/>
      <x:c r="D507" t="n">
        <x:f>IF(('Quantification_Results'!A507&lt;&gt;1),"",IF(('Quantification_Results'!C507=""),IF(ISNUMBER('Quantification_Results'!B507),IF(('Quantification_Results'!B507&lt;'Quantification_Config'!$S$6),"",IF(('Quantification_Results'!B507&gt;'Quantification_Config'!$T$6),"",'Quantification_Results'!B507)),""),IF(ISNUMBER('Quantification_Results'!C507),IF(('Quantification_Results'!C507&lt;'Quantification_Config'!$S$6),"",IF(('Quantification_Results'!C507&gt;'Quantification_Config'!$T$6),"",'Quantification_Results'!C507)),"")))</x:f>
        <x:v>5</x:v>
      </x:c>
      <x:c r="E507" t="n">
        <x:f>IF(ISNUMBER('Quantification_Results'!D507),IFERROR(ROUND(((('Quantification_Results'!D507-'Quantification_Config'!$S$6)/('Quantification_Config'!$T$6-'Quantification_Config'!$S$6))*100),'Quantification_Config'!$U$2),""),"")</x:f>
        <x:v>50</x:v>
      </x:c>
      <x:c r="F507" t="inlineStr">
        <x:is>
          <x:t xml:space="preserve">SYSTEM-TEST-ONLY-NO-NETWORK-NOT-AN-EDUCATIONAL-EVALUATION</x:t>
        </x:is>
      </x:c>
      <x:c r="G507" t="inlineStr">
        <x:is>
          <x:t xml:space="preserve"/>
        </x:is>
      </x:c>
      <x:c r="H507" t="inlineStr">
        <x:is>
          <x:t xml:space="preserve">NONE</x:t>
        </x:is>
      </x:c>
      <x:c r="I507" t="inlineStr">
        <x:is>
          <x:t xml:space="preserve"/>
        </x:is>
      </x:c>
      <x:c r="J507" t="inlineStr">
        <x:is>
          <x:t xml:space="preserve">SUCCESS</x:t>
        </x:is>
      </x:c>
      <x:c r="K507" t="n">
        <x:f>IF((COUNT('Quantification_Results'!E507)=1),IFERROR(ROUND((SUM(('Quantification_Results'!E507*'Quantification_Config'!$R$6))/SUM('Quantification_Config'!$R$6)),'Quantification_Config'!$U$2),""),"")</x:f>
        <x:v>50</x:v>
      </x:c>
      <x:c r="L507" t="n">
        <x:f>IF((COUNT('Quantification_Results'!K507)=1),IFERROR(ROUND((SUM(('Quantification_Results'!K507*'Quantification_Config'!$R$5))/SUM('Quantification_Config'!$R$5)),'Quantification_Config'!$U$2),""),"")</x:f>
        <x:v>50</x:v>
      </x:c>
      <x:c r="M507" t="n">
        <x:v>1</x:v>
      </x:c>
      <x:c r="N507" t="n">
        <x:v>5</x:v>
      </x:c>
      <x:c r="O507"/>
      <x:c r="P507" t="n">
        <x:f>IF(('Quantification_Results'!M507&lt;&gt;1),"",IF(('Quantification_Results'!O507=""),IF(ISNUMBER('Quantification_Results'!N507),IF(('Quantification_Results'!N507&lt;'Quantification_Config'!$S$9),"",IF(('Quantification_Results'!N507&gt;'Quantification_Config'!$T$9),"",'Quantification_Results'!N507)),""),IF(ISNUMBER('Quantification_Results'!O507),IF(('Quantification_Results'!O507&lt;'Quantification_Config'!$S$9),"",IF(('Quantification_Results'!O507&gt;'Quantification_Config'!$T$9),"",'Quantification_Results'!O507)),"")))</x:f>
        <x:v>5</x:v>
      </x:c>
      <x:c r="Q507" t="n">
        <x:f>IF(ISNUMBER('Quantification_Results'!P507),IFERROR(ROUND(((('Quantification_Results'!P507-'Quantification_Config'!$S$9)/('Quantification_Config'!$T$9-'Quantification_Config'!$S$9))*100),'Quantification_Config'!$U$2),""),"")</x:f>
        <x:v>50</x:v>
      </x:c>
      <x:c r="R507" t="inlineStr">
        <x:is>
          <x:t xml:space="preserve">SYSTEM-TEST-ONLY-NO-NETWORK-NOT-AN-EDUCATIONAL-EVALUATION</x:t>
        </x:is>
      </x:c>
      <x:c r="S507" t="inlineStr">
        <x:is>
          <x:t xml:space="preserve"/>
        </x:is>
      </x:c>
      <x:c r="T507" t="inlineStr">
        <x:is>
          <x:t xml:space="preserve">NONE</x:t>
        </x:is>
      </x:c>
      <x:c r="U507" t="inlineStr">
        <x:is>
          <x:t xml:space="preserve"/>
        </x:is>
      </x:c>
      <x:c r="V507" t="inlineStr">
        <x:is>
          <x:t xml:space="preserve">SUCCESS</x:t>
        </x:is>
      </x:c>
      <x:c r="W507" t="n">
        <x:f>IF((COUNT('Quantification_Results'!Q507)=1),IFERROR(ROUND((SUM(('Quantification_Results'!Q507*'Quantification_Config'!$R$9))/SUM('Quantification_Config'!$R$9)),'Quantification_Config'!$U$2),""),"")</x:f>
        <x:v>50</x:v>
      </x:c>
      <x:c r="X507" t="n">
        <x:f>IF((COUNT('Quantification_Results'!W507)=1),IFERROR(ROUND((SUM(('Quantification_Results'!W507*'Quantification_Config'!$R$8))/SUM('Quantification_Config'!$R$8)),'Quantification_Config'!$U$2),""),"")</x:f>
        <x:v>50</x:v>
      </x:c>
      <x:c r="Y507" t="n">
        <x:v>0</x:v>
      </x:c>
      <x:c r="Z507"/>
      <x:c r="AA507"/>
      <x:c r="AB507">
        <x:f>IF(('Quantification_Results'!Y507&lt;&gt;1),"",IF(('Quantification_Results'!AA507=""),IF(ISNUMBER('Quantification_Results'!Z507),IF(('Quantification_Results'!Z507&lt;'Quantification_Config'!$S$12),"",IF(('Quantification_Results'!Z507&gt;'Quantification_Config'!$T$12),"",'Quantification_Results'!Z507)),""),IF(ISNUMBER('Quantification_Results'!AA507),IF(('Quantification_Results'!AA507&lt;'Quantification_Config'!$S$12),"",IF(('Quantification_Results'!AA507&gt;'Quantification_Config'!$T$12),"",'Quantification_Results'!AA507)),"")))</x:f>
      </x:c>
      <x:c r="AC507">
        <x:f>IF(ISNUMBER('Quantification_Results'!AB507),IFERROR(ROUND(((('Quantification_Results'!AB507-'Quantification_Config'!$S$12)/('Quantification_Config'!$T$12-'Quantification_Config'!$S$12))*100),'Quantification_Config'!$U$2),""),"")</x:f>
      </x:c>
      <x:c r="AD507" t="inlineStr">
        <x:is>
          <x:t xml:space="preserve"/>
        </x:is>
      </x:c>
      <x:c r="AE507" t="inlineStr">
        <x:is>
          <x:t xml:space="preserve"/>
        </x:is>
      </x:c>
      <x:c r="AF507" t="inlineStr">
        <x:is>
          <x:t xml:space="preserve"/>
        </x:is>
      </x:c>
      <x:c r="AG507" t="inlineStr">
        <x:is>
          <x:t xml:space="preserve"/>
        </x:is>
      </x:c>
      <x:c r="AH507" t="inlineStr">
        <x:is>
          <x:t xml:space="preserve">EMPTY</x:t>
        </x:is>
      </x:c>
      <x:c r="AI507">
        <x:f>IF((COUNT('Quantification_Results'!AC507)=1),IFERROR(ROUND((SUM(('Quantification_Results'!AC507*'Quantification_Config'!$R$12))/SUM('Quantification_Config'!$R$12)),'Quantification_Config'!$U$2),""),"")</x:f>
      </x:c>
      <x:c r="AJ507">
        <x:f>IF((COUNT('Quantification_Results'!AI507)=1),IFERROR(ROUND((SUM(('Quantification_Results'!AI507*'Quantification_Config'!$R$11))/SUM('Quantification_Config'!$R$11)),'Quantification_Config'!$U$2),""),"")</x:f>
      </x:c>
      <x:c r="AK507" t="n">
        <x:v>1</x:v>
      </x:c>
      <x:c r="AL507" t="n">
        <x:v>5</x:v>
      </x:c>
      <x:c r="AM507"/>
      <x:c r="AN507" t="n">
        <x:f>IF(('Quantification_Results'!AK507&lt;&gt;1),"",IF(('Quantification_Results'!AM507=""),IF(ISNUMBER('Quantification_Results'!AL507),IF(('Quantification_Results'!AL507&lt;'Quantification_Config'!$S$15),"",IF(('Quantification_Results'!AL507&gt;'Quantification_Config'!$T$15),"",'Quantification_Results'!AL507)),""),IF(ISNUMBER('Quantification_Results'!AM507),IF(('Quantification_Results'!AM507&lt;'Quantification_Config'!$S$15),"",IF(('Quantification_Results'!AM507&gt;'Quantification_Config'!$T$15),"",'Quantification_Results'!AM507)),"")))</x:f>
        <x:v>5</x:v>
      </x:c>
      <x:c r="AO507" t="n">
        <x:f>IF(ISNUMBER('Quantification_Results'!AN507),IFERROR(ROUND(((('Quantification_Results'!AN507-'Quantification_Config'!$S$15)/('Quantification_Config'!$T$15-'Quantification_Config'!$S$15))*100),'Quantification_Config'!$U$2),""),"")</x:f>
        <x:v>50</x:v>
      </x:c>
      <x:c r="AP507" t="inlineStr">
        <x:is>
          <x:t xml:space="preserve">SYSTEM-TEST-ONLY-NO-NETWORK-NOT-AN-EDUCATIONAL-EVALUATION</x:t>
        </x:is>
      </x:c>
      <x:c r="AQ507" t="inlineStr">
        <x:is>
          <x:t xml:space="preserve"/>
        </x:is>
      </x:c>
      <x:c r="AR507" t="inlineStr">
        <x:is>
          <x:t xml:space="preserve">NONE</x:t>
        </x:is>
      </x:c>
      <x:c r="AS507" t="inlineStr">
        <x:is>
          <x:t xml:space="preserve"/>
        </x:is>
      </x:c>
      <x:c r="AT507" t="inlineStr">
        <x:is>
          <x:t xml:space="preserve">SUCCESS</x:t>
        </x:is>
      </x:c>
      <x:c r="AU507" t="n">
        <x:f>IF((COUNT('Quantification_Results'!AO507)=1),IFERROR(ROUND((SUM(('Quantification_Results'!AO507*'Quantification_Config'!$R$15))/SUM('Quantification_Config'!$R$15)),'Quantification_Config'!$U$2),""),"")</x:f>
        <x:v>50</x:v>
      </x:c>
      <x:c r="AV507" t="n">
        <x:f>IF((COUNT('Quantification_Results'!AU507)=1),IFERROR(ROUND((SUM(('Quantification_Results'!AU507*'Quantification_Config'!$R$14))/SUM('Quantification_Config'!$R$14)),'Quantification_Config'!$U$2),""),"")</x:f>
        <x:v>50</x:v>
      </x:c>
      <x:c r="AW507" t="n">
        <x:v>1</x:v>
      </x:c>
      <x:c r="AX507" t="n">
        <x:v>5</x:v>
      </x:c>
      <x:c r="AY507"/>
      <x:c r="AZ507" t="n">
        <x:f>IF(('Quantification_Results'!AW507&lt;&gt;1),"",IF(('Quantification_Results'!AY507=""),IF(ISNUMBER('Quantification_Results'!AX507),IF(('Quantification_Results'!AX507&lt;'Quantification_Config'!$S$19),"",IF(('Quantification_Results'!AX507&gt;'Quantification_Config'!$T$19),"",'Quantification_Results'!AX507)),""),IF(ISNUMBER('Quantification_Results'!AY507),IF(('Quantification_Results'!AY507&lt;'Quantification_Config'!$S$19),"",IF(('Quantification_Results'!AY507&gt;'Quantification_Config'!$T$19),"",'Quantification_Results'!AY507)),"")))</x:f>
        <x:v>5</x:v>
      </x:c>
      <x:c r="BA507" t="n">
        <x:f>IF(ISNUMBER('Quantification_Results'!AZ507),IFERROR(ROUND(((('Quantification_Results'!AZ507-'Quantification_Config'!$S$19)/('Quantification_Config'!$T$19-'Quantification_Config'!$S$19))*100),'Quantification_Config'!$U$2),""),"")</x:f>
        <x:v>50</x:v>
      </x:c>
      <x:c r="BB507" t="inlineStr">
        <x:is>
          <x:t xml:space="preserve">SYSTEM-TEST-ONLY-NO-NETWORK-NOT-AN-EDUCATIONAL-EVALUATION</x:t>
        </x:is>
      </x:c>
      <x:c r="BC507" t="inlineStr">
        <x:is>
          <x:t xml:space="preserve"/>
        </x:is>
      </x:c>
      <x:c r="BD507" t="inlineStr">
        <x:is>
          <x:t xml:space="preserve">NONE</x:t>
        </x:is>
      </x:c>
      <x:c r="BE507" t="inlineStr">
        <x:is>
          <x:t xml:space="preserve"/>
        </x:is>
      </x:c>
      <x:c r="BF507" t="inlineStr">
        <x:is>
          <x:t xml:space="preserve">SUCCESS</x:t>
        </x:is>
      </x:c>
      <x:c r="BG507" t="n">
        <x:f>IF((COUNT('Quantification_Results'!BA507)=1),IFERROR(ROUND((SUM(('Quantification_Results'!BA507*'Quantification_Config'!$R$19))/SUM('Quantification_Config'!$R$19)),'Quantification_Config'!$U$2),""),"")</x:f>
        <x:v>50</x:v>
      </x:c>
      <x:c r="BH507" t="n">
        <x:f>IF((COUNT('Quantification_Results'!BG507)=1),IFERROR(ROUND((SUM(('Quantification_Results'!BG507*'Quantification_Config'!$R$18))/SUM('Quantification_Config'!$R$18)),'Quantification_Config'!$U$2),""),"")</x:f>
        <x:v>50</x:v>
      </x:c>
      <x:c r="BI507">
        <x:f>IF((COUNT('Quantification_Results'!L507,'Quantification_Results'!X507,'Quantification_Results'!AJ507,'Quantification_Results'!AV507,'Quantification_Results'!BH507)=5),IFERROR(ROUND((SUM(('Quantification_Results'!L507*'Quantification_Config'!$R$4),('Quantification_Results'!X507*'Quantification_Config'!$R$7),('Quantification_Results'!AJ507*'Quantification_Config'!$R$10),('Quantification_Results'!AV507*'Quantification_Config'!$R$13),('Quantification_Results'!BH507*'Quantification_Config'!$R$16))/SUM('Quantification_Config'!$R$4,'Quantification_Config'!$R$7,'Quantification_Config'!$R$10,'Quantification_Config'!$R$13,'Quantification_Config'!$R$16)),'Quantification_Config'!$U$2),""),"")</x:f>
      </x:c>
    </x:row>
    <x:row r="508">
      <x:c r="A508" t="n">
        <x:v>1</x:v>
      </x:c>
      <x:c r="B508" t="n">
        <x:v>5</x:v>
      </x:c>
      <x:c r="C508"/>
      <x:c r="D508" t="n">
        <x:f>IF(('Quantification_Results'!A508&lt;&gt;1),"",IF(('Quantification_Results'!C508=""),IF(ISNUMBER('Quantification_Results'!B508),IF(('Quantification_Results'!B508&lt;'Quantification_Config'!$S$6),"",IF(('Quantification_Results'!B508&gt;'Quantification_Config'!$T$6),"",'Quantification_Results'!B508)),""),IF(ISNUMBER('Quantification_Results'!C508),IF(('Quantification_Results'!C508&lt;'Quantification_Config'!$S$6),"",IF(('Quantification_Results'!C508&gt;'Quantification_Config'!$T$6),"",'Quantification_Results'!C508)),"")))</x:f>
        <x:v>5</x:v>
      </x:c>
      <x:c r="E508" t="n">
        <x:f>IF(ISNUMBER('Quantification_Results'!D508),IFERROR(ROUND(((('Quantification_Results'!D508-'Quantification_Config'!$S$6)/('Quantification_Config'!$T$6-'Quantification_Config'!$S$6))*100),'Quantification_Config'!$U$2),""),"")</x:f>
        <x:v>50</x:v>
      </x:c>
      <x:c r="F508" t="inlineStr">
        <x:is>
          <x:t xml:space="preserve">SYSTEM-TEST-ONLY-NO-NETWORK-NOT-AN-EDUCATIONAL-EVALUATION</x:t>
        </x:is>
      </x:c>
      <x:c r="G508" t="inlineStr">
        <x:is>
          <x:t xml:space="preserve"/>
        </x:is>
      </x:c>
      <x:c r="H508" t="inlineStr">
        <x:is>
          <x:t xml:space="preserve">NONE</x:t>
        </x:is>
      </x:c>
      <x:c r="I508" t="inlineStr">
        <x:is>
          <x:t xml:space="preserve"/>
        </x:is>
      </x:c>
      <x:c r="J508" t="inlineStr">
        <x:is>
          <x:t xml:space="preserve">SUCCESS</x:t>
        </x:is>
      </x:c>
      <x:c r="K508" t="n">
        <x:f>IF((COUNT('Quantification_Results'!E508)=1),IFERROR(ROUND((SUM(('Quantification_Results'!E508*'Quantification_Config'!$R$6))/SUM('Quantification_Config'!$R$6)),'Quantification_Config'!$U$2),""),"")</x:f>
        <x:v>50</x:v>
      </x:c>
      <x:c r="L508" t="n">
        <x:f>IF((COUNT('Quantification_Results'!K508)=1),IFERROR(ROUND((SUM(('Quantification_Results'!K508*'Quantification_Config'!$R$5))/SUM('Quantification_Config'!$R$5)),'Quantification_Config'!$U$2),""),"")</x:f>
        <x:v>50</x:v>
      </x:c>
      <x:c r="M508" t="n">
        <x:v>1</x:v>
      </x:c>
      <x:c r="N508" t="n">
        <x:v>5</x:v>
      </x:c>
      <x:c r="O508"/>
      <x:c r="P508" t="n">
        <x:f>IF(('Quantification_Results'!M508&lt;&gt;1),"",IF(('Quantification_Results'!O508=""),IF(ISNUMBER('Quantification_Results'!N508),IF(('Quantification_Results'!N508&lt;'Quantification_Config'!$S$9),"",IF(('Quantification_Results'!N508&gt;'Quantification_Config'!$T$9),"",'Quantification_Results'!N508)),""),IF(ISNUMBER('Quantification_Results'!O508),IF(('Quantification_Results'!O508&lt;'Quantification_Config'!$S$9),"",IF(('Quantification_Results'!O508&gt;'Quantification_Config'!$T$9),"",'Quantification_Results'!O508)),"")))</x:f>
        <x:v>5</x:v>
      </x:c>
      <x:c r="Q508" t="n">
        <x:f>IF(ISNUMBER('Quantification_Results'!P508),IFERROR(ROUND(((('Quantification_Results'!P508-'Quantification_Config'!$S$9)/('Quantification_Config'!$T$9-'Quantification_Config'!$S$9))*100),'Quantification_Config'!$U$2),""),"")</x:f>
        <x:v>50</x:v>
      </x:c>
      <x:c r="R508" t="inlineStr">
        <x:is>
          <x:t xml:space="preserve">SYSTEM-TEST-ONLY-NO-NETWORK-NOT-AN-EDUCATIONAL-EVALUATION</x:t>
        </x:is>
      </x:c>
      <x:c r="S508" t="inlineStr">
        <x:is>
          <x:t xml:space="preserve"/>
        </x:is>
      </x:c>
      <x:c r="T508" t="inlineStr">
        <x:is>
          <x:t xml:space="preserve">NONE</x:t>
        </x:is>
      </x:c>
      <x:c r="U508" t="inlineStr">
        <x:is>
          <x:t xml:space="preserve"/>
        </x:is>
      </x:c>
      <x:c r="V508" t="inlineStr">
        <x:is>
          <x:t xml:space="preserve">SUCCESS</x:t>
        </x:is>
      </x:c>
      <x:c r="W508" t="n">
        <x:f>IF((COUNT('Quantification_Results'!Q508)=1),IFERROR(ROUND((SUM(('Quantification_Results'!Q508*'Quantification_Config'!$R$9))/SUM('Quantification_Config'!$R$9)),'Quantification_Config'!$U$2),""),"")</x:f>
        <x:v>50</x:v>
      </x:c>
      <x:c r="X508" t="n">
        <x:f>IF((COUNT('Quantification_Results'!W508)=1),IFERROR(ROUND((SUM(('Quantification_Results'!W508*'Quantification_Config'!$R$8))/SUM('Quantification_Config'!$R$8)),'Quantification_Config'!$U$2),""),"")</x:f>
        <x:v>50</x:v>
      </x:c>
      <x:c r="Y508" t="n">
        <x:v>0</x:v>
      </x:c>
      <x:c r="Z508"/>
      <x:c r="AA508"/>
      <x:c r="AB508">
        <x:f>IF(('Quantification_Results'!Y508&lt;&gt;1),"",IF(('Quantification_Results'!AA508=""),IF(ISNUMBER('Quantification_Results'!Z508),IF(('Quantification_Results'!Z508&lt;'Quantification_Config'!$S$12),"",IF(('Quantification_Results'!Z508&gt;'Quantification_Config'!$T$12),"",'Quantification_Results'!Z508)),""),IF(ISNUMBER('Quantification_Results'!AA508),IF(('Quantification_Results'!AA508&lt;'Quantification_Config'!$S$12),"",IF(('Quantification_Results'!AA508&gt;'Quantification_Config'!$T$12),"",'Quantification_Results'!AA508)),"")))</x:f>
      </x:c>
      <x:c r="AC508">
        <x:f>IF(ISNUMBER('Quantification_Results'!AB508),IFERROR(ROUND(((('Quantification_Results'!AB508-'Quantification_Config'!$S$12)/('Quantification_Config'!$T$12-'Quantification_Config'!$S$12))*100),'Quantification_Config'!$U$2),""),"")</x:f>
      </x:c>
      <x:c r="AD508" t="inlineStr">
        <x:is>
          <x:t xml:space="preserve"/>
        </x:is>
      </x:c>
      <x:c r="AE508" t="inlineStr">
        <x:is>
          <x:t xml:space="preserve"/>
        </x:is>
      </x:c>
      <x:c r="AF508" t="inlineStr">
        <x:is>
          <x:t xml:space="preserve"/>
        </x:is>
      </x:c>
      <x:c r="AG508" t="inlineStr">
        <x:is>
          <x:t xml:space="preserve"/>
        </x:is>
      </x:c>
      <x:c r="AH508" t="inlineStr">
        <x:is>
          <x:t xml:space="preserve">EMPTY</x:t>
        </x:is>
      </x:c>
      <x:c r="AI508">
        <x:f>IF((COUNT('Quantification_Results'!AC508)=1),IFERROR(ROUND((SUM(('Quantification_Results'!AC508*'Quantification_Config'!$R$12))/SUM('Quantification_Config'!$R$12)),'Quantification_Config'!$U$2),""),"")</x:f>
      </x:c>
      <x:c r="AJ508">
        <x:f>IF((COUNT('Quantification_Results'!AI508)=1),IFERROR(ROUND((SUM(('Quantification_Results'!AI508*'Quantification_Config'!$R$11))/SUM('Quantification_Config'!$R$11)),'Quantification_Config'!$U$2),""),"")</x:f>
      </x:c>
      <x:c r="AK508" t="n">
        <x:v>1</x:v>
      </x:c>
      <x:c r="AL508" t="n">
        <x:v>5</x:v>
      </x:c>
      <x:c r="AM508"/>
      <x:c r="AN508" t="n">
        <x:f>IF(('Quantification_Results'!AK508&lt;&gt;1),"",IF(('Quantification_Results'!AM508=""),IF(ISNUMBER('Quantification_Results'!AL508),IF(('Quantification_Results'!AL508&lt;'Quantification_Config'!$S$15),"",IF(('Quantification_Results'!AL508&gt;'Quantification_Config'!$T$15),"",'Quantification_Results'!AL508)),""),IF(ISNUMBER('Quantification_Results'!AM508),IF(('Quantification_Results'!AM508&lt;'Quantification_Config'!$S$15),"",IF(('Quantification_Results'!AM508&gt;'Quantification_Config'!$T$15),"",'Quantification_Results'!AM508)),"")))</x:f>
        <x:v>5</x:v>
      </x:c>
      <x:c r="AO508" t="n">
        <x:f>IF(ISNUMBER('Quantification_Results'!AN508),IFERROR(ROUND(((('Quantification_Results'!AN508-'Quantification_Config'!$S$15)/('Quantification_Config'!$T$15-'Quantification_Config'!$S$15))*100),'Quantification_Config'!$U$2),""),"")</x:f>
        <x:v>50</x:v>
      </x:c>
      <x:c r="AP508" t="inlineStr">
        <x:is>
          <x:t xml:space="preserve">SYSTEM-TEST-ONLY-NO-NETWORK-NOT-AN-EDUCATIONAL-EVALUATION</x:t>
        </x:is>
      </x:c>
      <x:c r="AQ508" t="inlineStr">
        <x:is>
          <x:t xml:space="preserve"/>
        </x:is>
      </x:c>
      <x:c r="AR508" t="inlineStr">
        <x:is>
          <x:t xml:space="preserve">NONE</x:t>
        </x:is>
      </x:c>
      <x:c r="AS508" t="inlineStr">
        <x:is>
          <x:t xml:space="preserve"/>
        </x:is>
      </x:c>
      <x:c r="AT508" t="inlineStr">
        <x:is>
          <x:t xml:space="preserve">SUCCESS</x:t>
        </x:is>
      </x:c>
      <x:c r="AU508" t="n">
        <x:f>IF((COUNT('Quantification_Results'!AO508)=1),IFERROR(ROUND((SUM(('Quantification_Results'!AO508*'Quantification_Config'!$R$15))/SUM('Quantification_Config'!$R$15)),'Quantification_Config'!$U$2),""),"")</x:f>
        <x:v>50</x:v>
      </x:c>
      <x:c r="AV508" t="n">
        <x:f>IF((COUNT('Quantification_Results'!AU508)=1),IFERROR(ROUND((SUM(('Quantification_Results'!AU508*'Quantification_Config'!$R$14))/SUM('Quantification_Config'!$R$14)),'Quantification_Config'!$U$2),""),"")</x:f>
        <x:v>50</x:v>
      </x:c>
      <x:c r="AW508" t="n">
        <x:v>1</x:v>
      </x:c>
      <x:c r="AX508" t="n">
        <x:v>5</x:v>
      </x:c>
      <x:c r="AY508"/>
      <x:c r="AZ508" t="n">
        <x:f>IF(('Quantification_Results'!AW508&lt;&gt;1),"",IF(('Quantification_Results'!AY508=""),IF(ISNUMBER('Quantification_Results'!AX508),IF(('Quantification_Results'!AX508&lt;'Quantification_Config'!$S$19),"",IF(('Quantification_Results'!AX508&gt;'Quantification_Config'!$T$19),"",'Quantification_Results'!AX508)),""),IF(ISNUMBER('Quantification_Results'!AY508),IF(('Quantification_Results'!AY508&lt;'Quantification_Config'!$S$19),"",IF(('Quantification_Results'!AY508&gt;'Quantification_Config'!$T$19),"",'Quantification_Results'!AY508)),"")))</x:f>
        <x:v>5</x:v>
      </x:c>
      <x:c r="BA508" t="n">
        <x:f>IF(ISNUMBER('Quantification_Results'!AZ508),IFERROR(ROUND(((('Quantification_Results'!AZ508-'Quantification_Config'!$S$19)/('Quantification_Config'!$T$19-'Quantification_Config'!$S$19))*100),'Quantification_Config'!$U$2),""),"")</x:f>
        <x:v>50</x:v>
      </x:c>
      <x:c r="BB508" t="inlineStr">
        <x:is>
          <x:t xml:space="preserve">SYSTEM-TEST-ONLY-NO-NETWORK-NOT-AN-EDUCATIONAL-EVALUATION</x:t>
        </x:is>
      </x:c>
      <x:c r="BC508" t="inlineStr">
        <x:is>
          <x:t xml:space="preserve"/>
        </x:is>
      </x:c>
      <x:c r="BD508" t="inlineStr">
        <x:is>
          <x:t xml:space="preserve">NONE</x:t>
        </x:is>
      </x:c>
      <x:c r="BE508" t="inlineStr">
        <x:is>
          <x:t xml:space="preserve"/>
        </x:is>
      </x:c>
      <x:c r="BF508" t="inlineStr">
        <x:is>
          <x:t xml:space="preserve">SUCCESS</x:t>
        </x:is>
      </x:c>
      <x:c r="BG508" t="n">
        <x:f>IF((COUNT('Quantification_Results'!BA508)=1),IFERROR(ROUND((SUM(('Quantification_Results'!BA508*'Quantification_Config'!$R$19))/SUM('Quantification_Config'!$R$19)),'Quantification_Config'!$U$2),""),"")</x:f>
        <x:v>50</x:v>
      </x:c>
      <x:c r="BH508" t="n">
        <x:f>IF((COUNT('Quantification_Results'!BG508)=1),IFERROR(ROUND((SUM(('Quantification_Results'!BG508*'Quantification_Config'!$R$18))/SUM('Quantification_Config'!$R$18)),'Quantification_Config'!$U$2),""),"")</x:f>
        <x:v>50</x:v>
      </x:c>
      <x:c r="BI508">
        <x:f>IF((COUNT('Quantification_Results'!L508,'Quantification_Results'!X508,'Quantification_Results'!AJ508,'Quantification_Results'!AV508,'Quantification_Results'!BH508)=5),IFERROR(ROUND((SUM(('Quantification_Results'!L508*'Quantification_Config'!$R$4),('Quantification_Results'!X508*'Quantification_Config'!$R$7),('Quantification_Results'!AJ508*'Quantification_Config'!$R$10),('Quantification_Results'!AV508*'Quantification_Config'!$R$13),('Quantification_Results'!BH508*'Quantification_Config'!$R$16))/SUM('Quantification_Config'!$R$4,'Quantification_Config'!$R$7,'Quantification_Config'!$R$10,'Quantification_Config'!$R$13,'Quantification_Config'!$R$16)),'Quantification_Config'!$U$2),""),"")</x:f>
      </x:c>
    </x:row>
    <x:row r="509">
      <x:c r="A509" t="n">
        <x:v>1</x:v>
      </x:c>
      <x:c r="B509" t="n">
        <x:v>5</x:v>
      </x:c>
      <x:c r="C509"/>
      <x:c r="D509" t="n">
        <x:f>IF(('Quantification_Results'!A509&lt;&gt;1),"",IF(('Quantification_Results'!C509=""),IF(ISNUMBER('Quantification_Results'!B509),IF(('Quantification_Results'!B509&lt;'Quantification_Config'!$S$6),"",IF(('Quantification_Results'!B509&gt;'Quantification_Config'!$T$6),"",'Quantification_Results'!B509)),""),IF(ISNUMBER('Quantification_Results'!C509),IF(('Quantification_Results'!C509&lt;'Quantification_Config'!$S$6),"",IF(('Quantification_Results'!C509&gt;'Quantification_Config'!$T$6),"",'Quantification_Results'!C509)),"")))</x:f>
        <x:v>5</x:v>
      </x:c>
      <x:c r="E509" t="n">
        <x:f>IF(ISNUMBER('Quantification_Results'!D509),IFERROR(ROUND(((('Quantification_Results'!D509-'Quantification_Config'!$S$6)/('Quantification_Config'!$T$6-'Quantification_Config'!$S$6))*100),'Quantification_Config'!$U$2),""),"")</x:f>
        <x:v>50</x:v>
      </x:c>
      <x:c r="F509" t="inlineStr">
        <x:is>
          <x:t xml:space="preserve">SYSTEM-TEST-ONLY-NO-NETWORK-NOT-AN-EDUCATIONAL-EVALUATION</x:t>
        </x:is>
      </x:c>
      <x:c r="G509" t="inlineStr">
        <x:is>
          <x:t xml:space="preserve"/>
        </x:is>
      </x:c>
      <x:c r="H509" t="inlineStr">
        <x:is>
          <x:t xml:space="preserve">NONE</x:t>
        </x:is>
      </x:c>
      <x:c r="I509" t="inlineStr">
        <x:is>
          <x:t xml:space="preserve"/>
        </x:is>
      </x:c>
      <x:c r="J509" t="inlineStr">
        <x:is>
          <x:t xml:space="preserve">SUCCESS</x:t>
        </x:is>
      </x:c>
      <x:c r="K509" t="n">
        <x:f>IF((COUNT('Quantification_Results'!E509)=1),IFERROR(ROUND((SUM(('Quantification_Results'!E509*'Quantification_Config'!$R$6))/SUM('Quantification_Config'!$R$6)),'Quantification_Config'!$U$2),""),"")</x:f>
        <x:v>50</x:v>
      </x:c>
      <x:c r="L509" t="n">
        <x:f>IF((COUNT('Quantification_Results'!K509)=1),IFERROR(ROUND((SUM(('Quantification_Results'!K509*'Quantification_Config'!$R$5))/SUM('Quantification_Config'!$R$5)),'Quantification_Config'!$U$2),""),"")</x:f>
        <x:v>50</x:v>
      </x:c>
      <x:c r="M509" t="n">
        <x:v>1</x:v>
      </x:c>
      <x:c r="N509" t="n">
        <x:v>5</x:v>
      </x:c>
      <x:c r="O509"/>
      <x:c r="P509" t="n">
        <x:f>IF(('Quantification_Results'!M509&lt;&gt;1),"",IF(('Quantification_Results'!O509=""),IF(ISNUMBER('Quantification_Results'!N509),IF(('Quantification_Results'!N509&lt;'Quantification_Config'!$S$9),"",IF(('Quantification_Results'!N509&gt;'Quantification_Config'!$T$9),"",'Quantification_Results'!N509)),""),IF(ISNUMBER('Quantification_Results'!O509),IF(('Quantification_Results'!O509&lt;'Quantification_Config'!$S$9),"",IF(('Quantification_Results'!O509&gt;'Quantification_Config'!$T$9),"",'Quantification_Results'!O509)),"")))</x:f>
        <x:v>5</x:v>
      </x:c>
      <x:c r="Q509" t="n">
        <x:f>IF(ISNUMBER('Quantification_Results'!P509),IFERROR(ROUND(((('Quantification_Results'!P509-'Quantification_Config'!$S$9)/('Quantification_Config'!$T$9-'Quantification_Config'!$S$9))*100),'Quantification_Config'!$U$2),""),"")</x:f>
        <x:v>50</x:v>
      </x:c>
      <x:c r="R509" t="inlineStr">
        <x:is>
          <x:t xml:space="preserve">SYSTEM-TEST-ONLY-NO-NETWORK-NOT-AN-EDUCATIONAL-EVALUATION</x:t>
        </x:is>
      </x:c>
      <x:c r="S509" t="inlineStr">
        <x:is>
          <x:t xml:space="preserve"/>
        </x:is>
      </x:c>
      <x:c r="T509" t="inlineStr">
        <x:is>
          <x:t xml:space="preserve">NONE</x:t>
        </x:is>
      </x:c>
      <x:c r="U509" t="inlineStr">
        <x:is>
          <x:t xml:space="preserve"/>
        </x:is>
      </x:c>
      <x:c r="V509" t="inlineStr">
        <x:is>
          <x:t xml:space="preserve">SUCCESS</x:t>
        </x:is>
      </x:c>
      <x:c r="W509" t="n">
        <x:f>IF((COUNT('Quantification_Results'!Q509)=1),IFERROR(ROUND((SUM(('Quantification_Results'!Q509*'Quantification_Config'!$R$9))/SUM('Quantification_Config'!$R$9)),'Quantification_Config'!$U$2),""),"")</x:f>
        <x:v>50</x:v>
      </x:c>
      <x:c r="X509" t="n">
        <x:f>IF((COUNT('Quantification_Results'!W509)=1),IFERROR(ROUND((SUM(('Quantification_Results'!W509*'Quantification_Config'!$R$8))/SUM('Quantification_Config'!$R$8)),'Quantification_Config'!$U$2),""),"")</x:f>
        <x:v>50</x:v>
      </x:c>
      <x:c r="Y509" t="n">
        <x:v>0</x:v>
      </x:c>
      <x:c r="Z509"/>
      <x:c r="AA509"/>
      <x:c r="AB509">
        <x:f>IF(('Quantification_Results'!Y509&lt;&gt;1),"",IF(('Quantification_Results'!AA509=""),IF(ISNUMBER('Quantification_Results'!Z509),IF(('Quantification_Results'!Z509&lt;'Quantification_Config'!$S$12),"",IF(('Quantification_Results'!Z509&gt;'Quantification_Config'!$T$12),"",'Quantification_Results'!Z509)),""),IF(ISNUMBER('Quantification_Results'!AA509),IF(('Quantification_Results'!AA509&lt;'Quantification_Config'!$S$12),"",IF(('Quantification_Results'!AA509&gt;'Quantification_Config'!$T$12),"",'Quantification_Results'!AA509)),"")))</x:f>
      </x:c>
      <x:c r="AC509">
        <x:f>IF(ISNUMBER('Quantification_Results'!AB509),IFERROR(ROUND(((('Quantification_Results'!AB509-'Quantification_Config'!$S$12)/('Quantification_Config'!$T$12-'Quantification_Config'!$S$12))*100),'Quantification_Config'!$U$2),""),"")</x:f>
      </x:c>
      <x:c r="AD509" t="inlineStr">
        <x:is>
          <x:t xml:space="preserve"/>
        </x:is>
      </x:c>
      <x:c r="AE509" t="inlineStr">
        <x:is>
          <x:t xml:space="preserve"/>
        </x:is>
      </x:c>
      <x:c r="AF509" t="inlineStr">
        <x:is>
          <x:t xml:space="preserve"/>
        </x:is>
      </x:c>
      <x:c r="AG509" t="inlineStr">
        <x:is>
          <x:t xml:space="preserve"/>
        </x:is>
      </x:c>
      <x:c r="AH509" t="inlineStr">
        <x:is>
          <x:t xml:space="preserve">EMPTY</x:t>
        </x:is>
      </x:c>
      <x:c r="AI509">
        <x:f>IF((COUNT('Quantification_Results'!AC509)=1),IFERROR(ROUND((SUM(('Quantification_Results'!AC509*'Quantification_Config'!$R$12))/SUM('Quantification_Config'!$R$12)),'Quantification_Config'!$U$2),""),"")</x:f>
      </x:c>
      <x:c r="AJ509">
        <x:f>IF((COUNT('Quantification_Results'!AI509)=1),IFERROR(ROUND((SUM(('Quantification_Results'!AI509*'Quantification_Config'!$R$11))/SUM('Quantification_Config'!$R$11)),'Quantification_Config'!$U$2),""),"")</x:f>
      </x:c>
      <x:c r="AK509" t="n">
        <x:v>1</x:v>
      </x:c>
      <x:c r="AL509" t="n">
        <x:v>5</x:v>
      </x:c>
      <x:c r="AM509"/>
      <x:c r="AN509" t="n">
        <x:f>IF(('Quantification_Results'!AK509&lt;&gt;1),"",IF(('Quantification_Results'!AM509=""),IF(ISNUMBER('Quantification_Results'!AL509),IF(('Quantification_Results'!AL509&lt;'Quantification_Config'!$S$15),"",IF(('Quantification_Results'!AL509&gt;'Quantification_Config'!$T$15),"",'Quantification_Results'!AL509)),""),IF(ISNUMBER('Quantification_Results'!AM509),IF(('Quantification_Results'!AM509&lt;'Quantification_Config'!$S$15),"",IF(('Quantification_Results'!AM509&gt;'Quantification_Config'!$T$15),"",'Quantification_Results'!AM509)),"")))</x:f>
        <x:v>5</x:v>
      </x:c>
      <x:c r="AO509" t="n">
        <x:f>IF(ISNUMBER('Quantification_Results'!AN509),IFERROR(ROUND(((('Quantification_Results'!AN509-'Quantification_Config'!$S$15)/('Quantification_Config'!$T$15-'Quantification_Config'!$S$15))*100),'Quantification_Config'!$U$2),""),"")</x:f>
        <x:v>50</x:v>
      </x:c>
      <x:c r="AP509" t="inlineStr">
        <x:is>
          <x:t xml:space="preserve">SYSTEM-TEST-ONLY-NO-NETWORK-NOT-AN-EDUCATIONAL-EVALUATION</x:t>
        </x:is>
      </x:c>
      <x:c r="AQ509" t="inlineStr">
        <x:is>
          <x:t xml:space="preserve"/>
        </x:is>
      </x:c>
      <x:c r="AR509" t="inlineStr">
        <x:is>
          <x:t xml:space="preserve">NONE</x:t>
        </x:is>
      </x:c>
      <x:c r="AS509" t="inlineStr">
        <x:is>
          <x:t xml:space="preserve"/>
        </x:is>
      </x:c>
      <x:c r="AT509" t="inlineStr">
        <x:is>
          <x:t xml:space="preserve">SUCCESS</x:t>
        </x:is>
      </x:c>
      <x:c r="AU509" t="n">
        <x:f>IF((COUNT('Quantification_Results'!AO509)=1),IFERROR(ROUND((SUM(('Quantification_Results'!AO509*'Quantification_Config'!$R$15))/SUM('Quantification_Config'!$R$15)),'Quantification_Config'!$U$2),""),"")</x:f>
        <x:v>50</x:v>
      </x:c>
      <x:c r="AV509" t="n">
        <x:f>IF((COUNT('Quantification_Results'!AU509)=1),IFERROR(ROUND((SUM(('Quantification_Results'!AU509*'Quantification_Config'!$R$14))/SUM('Quantification_Config'!$R$14)),'Quantification_Config'!$U$2),""),"")</x:f>
        <x:v>50</x:v>
      </x:c>
      <x:c r="AW509" t="n">
        <x:v>1</x:v>
      </x:c>
      <x:c r="AX509" t="n">
        <x:v>5</x:v>
      </x:c>
      <x:c r="AY509"/>
      <x:c r="AZ509" t="n">
        <x:f>IF(('Quantification_Results'!AW509&lt;&gt;1),"",IF(('Quantification_Results'!AY509=""),IF(ISNUMBER('Quantification_Results'!AX509),IF(('Quantification_Results'!AX509&lt;'Quantification_Config'!$S$19),"",IF(('Quantification_Results'!AX509&gt;'Quantification_Config'!$T$19),"",'Quantification_Results'!AX509)),""),IF(ISNUMBER('Quantification_Results'!AY509),IF(('Quantification_Results'!AY509&lt;'Quantification_Config'!$S$19),"",IF(('Quantification_Results'!AY509&gt;'Quantification_Config'!$T$19),"",'Quantification_Results'!AY509)),"")))</x:f>
        <x:v>5</x:v>
      </x:c>
      <x:c r="BA509" t="n">
        <x:f>IF(ISNUMBER('Quantification_Results'!AZ509),IFERROR(ROUND(((('Quantification_Results'!AZ509-'Quantification_Config'!$S$19)/('Quantification_Config'!$T$19-'Quantification_Config'!$S$19))*100),'Quantification_Config'!$U$2),""),"")</x:f>
        <x:v>50</x:v>
      </x:c>
      <x:c r="BB509" t="inlineStr">
        <x:is>
          <x:t xml:space="preserve">SYSTEM-TEST-ONLY-NO-NETWORK-NOT-AN-EDUCATIONAL-EVALUATION</x:t>
        </x:is>
      </x:c>
      <x:c r="BC509" t="inlineStr">
        <x:is>
          <x:t xml:space="preserve"/>
        </x:is>
      </x:c>
      <x:c r="BD509" t="inlineStr">
        <x:is>
          <x:t xml:space="preserve">NONE</x:t>
        </x:is>
      </x:c>
      <x:c r="BE509" t="inlineStr">
        <x:is>
          <x:t xml:space="preserve"/>
        </x:is>
      </x:c>
      <x:c r="BF509" t="inlineStr">
        <x:is>
          <x:t xml:space="preserve">SUCCESS</x:t>
        </x:is>
      </x:c>
      <x:c r="BG509" t="n">
        <x:f>IF((COUNT('Quantification_Results'!BA509)=1),IFERROR(ROUND((SUM(('Quantification_Results'!BA509*'Quantification_Config'!$R$19))/SUM('Quantification_Config'!$R$19)),'Quantification_Config'!$U$2),""),"")</x:f>
        <x:v>50</x:v>
      </x:c>
      <x:c r="BH509" t="n">
        <x:f>IF((COUNT('Quantification_Results'!BG509)=1),IFERROR(ROUND((SUM(('Quantification_Results'!BG509*'Quantification_Config'!$R$18))/SUM('Quantification_Config'!$R$18)),'Quantification_Config'!$U$2),""),"")</x:f>
        <x:v>50</x:v>
      </x:c>
      <x:c r="BI509">
        <x:f>IF((COUNT('Quantification_Results'!L509,'Quantification_Results'!X509,'Quantification_Results'!AJ509,'Quantification_Results'!AV509,'Quantification_Results'!BH509)=5),IFERROR(ROUND((SUM(('Quantification_Results'!L509*'Quantification_Config'!$R$4),('Quantification_Results'!X509*'Quantification_Config'!$R$7),('Quantification_Results'!AJ509*'Quantification_Config'!$R$10),('Quantification_Results'!AV509*'Quantification_Config'!$R$13),('Quantification_Results'!BH509*'Quantification_Config'!$R$16))/SUM('Quantification_Config'!$R$4,'Quantification_Config'!$R$7,'Quantification_Config'!$R$10,'Quantification_Config'!$R$13,'Quantification_Config'!$R$16)),'Quantification_Config'!$U$2),""),"")</x:f>
      </x:c>
    </x:row>
    <x:row r="510">
      <x:c r="A510" t="n">
        <x:v>1</x:v>
      </x:c>
      <x:c r="B510" t="n">
        <x:v>5</x:v>
      </x:c>
      <x:c r="C510"/>
      <x:c r="D510" t="n">
        <x:f>IF(('Quantification_Results'!A510&lt;&gt;1),"",IF(('Quantification_Results'!C510=""),IF(ISNUMBER('Quantification_Results'!B510),IF(('Quantification_Results'!B510&lt;'Quantification_Config'!$S$6),"",IF(('Quantification_Results'!B510&gt;'Quantification_Config'!$T$6),"",'Quantification_Results'!B510)),""),IF(ISNUMBER('Quantification_Results'!C510),IF(('Quantification_Results'!C510&lt;'Quantification_Config'!$S$6),"",IF(('Quantification_Results'!C510&gt;'Quantification_Config'!$T$6),"",'Quantification_Results'!C510)),"")))</x:f>
        <x:v>5</x:v>
      </x:c>
      <x:c r="E510" t="n">
        <x:f>IF(ISNUMBER('Quantification_Results'!D510),IFERROR(ROUND(((('Quantification_Results'!D510-'Quantification_Config'!$S$6)/('Quantification_Config'!$T$6-'Quantification_Config'!$S$6))*100),'Quantification_Config'!$U$2),""),"")</x:f>
        <x:v>50</x:v>
      </x:c>
      <x:c r="F510" t="inlineStr">
        <x:is>
          <x:t xml:space="preserve">SYSTEM-TEST-ONLY-NO-NETWORK-NOT-AN-EDUCATIONAL-EVALUATION</x:t>
        </x:is>
      </x:c>
      <x:c r="G510" t="inlineStr">
        <x:is>
          <x:t xml:space="preserve"/>
        </x:is>
      </x:c>
      <x:c r="H510" t="inlineStr">
        <x:is>
          <x:t xml:space="preserve">NONE</x:t>
        </x:is>
      </x:c>
      <x:c r="I510" t="inlineStr">
        <x:is>
          <x:t xml:space="preserve"/>
        </x:is>
      </x:c>
      <x:c r="J510" t="inlineStr">
        <x:is>
          <x:t xml:space="preserve">SUCCESS</x:t>
        </x:is>
      </x:c>
      <x:c r="K510" t="n">
        <x:f>IF((COUNT('Quantification_Results'!E510)=1),IFERROR(ROUND((SUM(('Quantification_Results'!E510*'Quantification_Config'!$R$6))/SUM('Quantification_Config'!$R$6)),'Quantification_Config'!$U$2),""),"")</x:f>
        <x:v>50</x:v>
      </x:c>
      <x:c r="L510" t="n">
        <x:f>IF((COUNT('Quantification_Results'!K510)=1),IFERROR(ROUND((SUM(('Quantification_Results'!K510*'Quantification_Config'!$R$5))/SUM('Quantification_Config'!$R$5)),'Quantification_Config'!$U$2),""),"")</x:f>
        <x:v>50</x:v>
      </x:c>
      <x:c r="M510" t="n">
        <x:v>0</x:v>
      </x:c>
      <x:c r="N510"/>
      <x:c r="O510"/>
      <x:c r="P510">
        <x:f>IF(('Quantification_Results'!M510&lt;&gt;1),"",IF(('Quantification_Results'!O510=""),IF(ISNUMBER('Quantification_Results'!N510),IF(('Quantification_Results'!N510&lt;'Quantification_Config'!$S$9),"",IF(('Quantification_Results'!N510&gt;'Quantification_Config'!$T$9),"",'Quantification_Results'!N510)),""),IF(ISNUMBER('Quantification_Results'!O510),IF(('Quantification_Results'!O510&lt;'Quantification_Config'!$S$9),"",IF(('Quantification_Results'!O510&gt;'Quantification_Config'!$T$9),"",'Quantification_Results'!O510)),"")))</x:f>
      </x:c>
      <x:c r="Q510">
        <x:f>IF(ISNUMBER('Quantification_Results'!P510),IFERROR(ROUND(((('Quantification_Results'!P510-'Quantification_Config'!$S$9)/('Quantification_Config'!$T$9-'Quantification_Config'!$S$9))*100),'Quantification_Config'!$U$2),""),"")</x:f>
      </x:c>
      <x:c r="R510" t="inlineStr">
        <x:is>
          <x:t xml:space="preserve"/>
        </x:is>
      </x:c>
      <x:c r="S510" t="inlineStr">
        <x:is>
          <x:t xml:space="preserve"/>
        </x:is>
      </x:c>
      <x:c r="T510" t="inlineStr">
        <x:is>
          <x:t xml:space="preserve"/>
        </x:is>
      </x:c>
      <x:c r="U510" t="inlineStr">
        <x:is>
          <x:t xml:space="preserve"/>
        </x:is>
      </x:c>
      <x:c r="V510" t="inlineStr">
        <x:is>
          <x:t xml:space="preserve">EMPTY</x:t>
        </x:is>
      </x:c>
      <x:c r="W510">
        <x:f>IF((COUNT('Quantification_Results'!Q510)=1),IFERROR(ROUND((SUM(('Quantification_Results'!Q510*'Quantification_Config'!$R$9))/SUM('Quantification_Config'!$R$9)),'Quantification_Config'!$U$2),""),"")</x:f>
      </x:c>
      <x:c r="X510">
        <x:f>IF((COUNT('Quantification_Results'!W510)=1),IFERROR(ROUND((SUM(('Quantification_Results'!W510*'Quantification_Config'!$R$8))/SUM('Quantification_Config'!$R$8)),'Quantification_Config'!$U$2),""),"")</x:f>
      </x:c>
      <x:c r="Y510" t="n">
        <x:v>0</x:v>
      </x:c>
      <x:c r="Z510"/>
      <x:c r="AA510"/>
      <x:c r="AB510">
        <x:f>IF(('Quantification_Results'!Y510&lt;&gt;1),"",IF(('Quantification_Results'!AA510=""),IF(ISNUMBER('Quantification_Results'!Z510),IF(('Quantification_Results'!Z510&lt;'Quantification_Config'!$S$12),"",IF(('Quantification_Results'!Z510&gt;'Quantification_Config'!$T$12),"",'Quantification_Results'!Z510)),""),IF(ISNUMBER('Quantification_Results'!AA510),IF(('Quantification_Results'!AA510&lt;'Quantification_Config'!$S$12),"",IF(('Quantification_Results'!AA510&gt;'Quantification_Config'!$T$12),"",'Quantification_Results'!AA510)),"")))</x:f>
      </x:c>
      <x:c r="AC510">
        <x:f>IF(ISNUMBER('Quantification_Results'!AB510),IFERROR(ROUND(((('Quantification_Results'!AB510-'Quantification_Config'!$S$12)/('Quantification_Config'!$T$12-'Quantification_Config'!$S$12))*100),'Quantification_Config'!$U$2),""),"")</x:f>
      </x:c>
      <x:c r="AD510" t="inlineStr">
        <x:is>
          <x:t xml:space="preserve"/>
        </x:is>
      </x:c>
      <x:c r="AE510" t="inlineStr">
        <x:is>
          <x:t xml:space="preserve"/>
        </x:is>
      </x:c>
      <x:c r="AF510" t="inlineStr">
        <x:is>
          <x:t xml:space="preserve"/>
        </x:is>
      </x:c>
      <x:c r="AG510" t="inlineStr">
        <x:is>
          <x:t xml:space="preserve"/>
        </x:is>
      </x:c>
      <x:c r="AH510" t="inlineStr">
        <x:is>
          <x:t xml:space="preserve">EMPTY</x:t>
        </x:is>
      </x:c>
      <x:c r="AI510">
        <x:f>IF((COUNT('Quantification_Results'!AC510)=1),IFERROR(ROUND((SUM(('Quantification_Results'!AC510*'Quantification_Config'!$R$12))/SUM('Quantification_Config'!$R$12)),'Quantification_Config'!$U$2),""),"")</x:f>
      </x:c>
      <x:c r="AJ510">
        <x:f>IF((COUNT('Quantification_Results'!AI510)=1),IFERROR(ROUND((SUM(('Quantification_Results'!AI510*'Quantification_Config'!$R$11))/SUM('Quantification_Config'!$R$11)),'Quantification_Config'!$U$2),""),"")</x:f>
      </x:c>
      <x:c r="AK510" t="n">
        <x:v>1</x:v>
      </x:c>
      <x:c r="AL510" t="n">
        <x:v>5</x:v>
      </x:c>
      <x:c r="AM510"/>
      <x:c r="AN510" t="n">
        <x:f>IF(('Quantification_Results'!AK510&lt;&gt;1),"",IF(('Quantification_Results'!AM510=""),IF(ISNUMBER('Quantification_Results'!AL510),IF(('Quantification_Results'!AL510&lt;'Quantification_Config'!$S$15),"",IF(('Quantification_Results'!AL510&gt;'Quantification_Config'!$T$15),"",'Quantification_Results'!AL510)),""),IF(ISNUMBER('Quantification_Results'!AM510),IF(('Quantification_Results'!AM510&lt;'Quantification_Config'!$S$15),"",IF(('Quantification_Results'!AM510&gt;'Quantification_Config'!$T$15),"",'Quantification_Results'!AM510)),"")))</x:f>
        <x:v>5</x:v>
      </x:c>
      <x:c r="AO510" t="n">
        <x:f>IF(ISNUMBER('Quantification_Results'!AN510),IFERROR(ROUND(((('Quantification_Results'!AN510-'Quantification_Config'!$S$15)/('Quantification_Config'!$T$15-'Quantification_Config'!$S$15))*100),'Quantification_Config'!$U$2),""),"")</x:f>
        <x:v>50</x:v>
      </x:c>
      <x:c r="AP510" t="inlineStr">
        <x:is>
          <x:t xml:space="preserve">SYSTEM-TEST-ONLY-NO-NETWORK-NOT-AN-EDUCATIONAL-EVALUATION</x:t>
        </x:is>
      </x:c>
      <x:c r="AQ510" t="inlineStr">
        <x:is>
          <x:t xml:space="preserve"/>
        </x:is>
      </x:c>
      <x:c r="AR510" t="inlineStr">
        <x:is>
          <x:t xml:space="preserve">NONE</x:t>
        </x:is>
      </x:c>
      <x:c r="AS510" t="inlineStr">
        <x:is>
          <x:t xml:space="preserve"/>
        </x:is>
      </x:c>
      <x:c r="AT510" t="inlineStr">
        <x:is>
          <x:t xml:space="preserve">SUCCESS</x:t>
        </x:is>
      </x:c>
      <x:c r="AU510" t="n">
        <x:f>IF((COUNT('Quantification_Results'!AO510)=1),IFERROR(ROUND((SUM(('Quantification_Results'!AO510*'Quantification_Config'!$R$15))/SUM('Quantification_Config'!$R$15)),'Quantification_Config'!$U$2),""),"")</x:f>
        <x:v>50</x:v>
      </x:c>
      <x:c r="AV510" t="n">
        <x:f>IF((COUNT('Quantification_Results'!AU510)=1),IFERROR(ROUND((SUM(('Quantification_Results'!AU510*'Quantification_Config'!$R$14))/SUM('Quantification_Config'!$R$14)),'Quantification_Config'!$U$2),""),"")</x:f>
        <x:v>50</x:v>
      </x:c>
      <x:c r="AW510" t="n">
        <x:v>0</x:v>
      </x:c>
      <x:c r="AX510"/>
      <x:c r="AY510"/>
      <x:c r="AZ510">
        <x:f>IF(('Quantification_Results'!AW510&lt;&gt;1),"",IF(('Quantification_Results'!AY510=""),IF(ISNUMBER('Quantification_Results'!AX510),IF(('Quantification_Results'!AX510&lt;'Quantification_Config'!$S$19),"",IF(('Quantification_Results'!AX510&gt;'Quantification_Config'!$T$19),"",'Quantification_Results'!AX510)),""),IF(ISNUMBER('Quantification_Results'!AY510),IF(('Quantification_Results'!AY510&lt;'Quantification_Config'!$S$19),"",IF(('Quantification_Results'!AY510&gt;'Quantification_Config'!$T$19),"",'Quantification_Results'!AY510)),"")))</x:f>
      </x:c>
      <x:c r="BA510">
        <x:f>IF(ISNUMBER('Quantification_Results'!AZ510),IFERROR(ROUND(((('Quantification_Results'!AZ510-'Quantification_Config'!$S$19)/('Quantification_Config'!$T$19-'Quantification_Config'!$S$19))*100),'Quantification_Config'!$U$2),""),"")</x:f>
      </x:c>
      <x:c r="BB510" t="inlineStr">
        <x:is>
          <x:t xml:space="preserve"/>
        </x:is>
      </x:c>
      <x:c r="BC510" t="inlineStr">
        <x:is>
          <x:t xml:space="preserve"/>
        </x:is>
      </x:c>
      <x:c r="BD510" t="inlineStr">
        <x:is>
          <x:t xml:space="preserve"/>
        </x:is>
      </x:c>
      <x:c r="BE510" t="inlineStr">
        <x:is>
          <x:t xml:space="preserve"/>
        </x:is>
      </x:c>
      <x:c r="BF510" t="inlineStr">
        <x:is>
          <x:t xml:space="preserve">EMPTY</x:t>
        </x:is>
      </x:c>
      <x:c r="BG510">
        <x:f>IF((COUNT('Quantification_Results'!BA510)=1),IFERROR(ROUND((SUM(('Quantification_Results'!BA510*'Quantification_Config'!$R$19))/SUM('Quantification_Config'!$R$19)),'Quantification_Config'!$U$2),""),"")</x:f>
      </x:c>
      <x:c r="BH510">
        <x:f>IF((COUNT('Quantification_Results'!BG510)=1),IFERROR(ROUND((SUM(('Quantification_Results'!BG510*'Quantification_Config'!$R$18))/SUM('Quantification_Config'!$R$18)),'Quantification_Config'!$U$2),""),"")</x:f>
      </x:c>
      <x:c r="BI510">
        <x:f>IF((COUNT('Quantification_Results'!L510,'Quantification_Results'!X510,'Quantification_Results'!AJ510,'Quantification_Results'!AV510,'Quantification_Results'!BH510)=5),IFERROR(ROUND((SUM(('Quantification_Results'!L510*'Quantification_Config'!$R$4),('Quantification_Results'!X510*'Quantification_Config'!$R$7),('Quantification_Results'!AJ510*'Quantification_Config'!$R$10),('Quantification_Results'!AV510*'Quantification_Config'!$R$13),('Quantification_Results'!BH510*'Quantification_Config'!$R$16))/SUM('Quantification_Config'!$R$4,'Quantification_Config'!$R$7,'Quantification_Config'!$R$10,'Quantification_Config'!$R$13,'Quantification_Config'!$R$16)),'Quantification_Config'!$U$2),""),"")</x:f>
      </x:c>
    </x:row>
    <x:row r="511">
      <x:c r="A511" t="n">
        <x:v>1</x:v>
      </x:c>
      <x:c r="B511" t="n">
        <x:v>5</x:v>
      </x:c>
      <x:c r="C511"/>
      <x:c r="D511" t="n">
        <x:f>IF(('Quantification_Results'!A511&lt;&gt;1),"",IF(('Quantification_Results'!C511=""),IF(ISNUMBER('Quantification_Results'!B511),IF(('Quantification_Results'!B511&lt;'Quantification_Config'!$S$6),"",IF(('Quantification_Results'!B511&gt;'Quantification_Config'!$T$6),"",'Quantification_Results'!B511)),""),IF(ISNUMBER('Quantification_Results'!C511),IF(('Quantification_Results'!C511&lt;'Quantification_Config'!$S$6),"",IF(('Quantification_Results'!C511&gt;'Quantification_Config'!$T$6),"",'Quantification_Results'!C511)),"")))</x:f>
        <x:v>5</x:v>
      </x:c>
      <x:c r="E511" t="n">
        <x:f>IF(ISNUMBER('Quantification_Results'!D511),IFERROR(ROUND(((('Quantification_Results'!D511-'Quantification_Config'!$S$6)/('Quantification_Config'!$T$6-'Quantification_Config'!$S$6))*100),'Quantification_Config'!$U$2),""),"")</x:f>
        <x:v>50</x:v>
      </x:c>
      <x:c r="F511" t="inlineStr">
        <x:is>
          <x:t xml:space="preserve">SYSTEM-TEST-ONLY-NO-NETWORK-NOT-AN-EDUCATIONAL-EVALUATION</x:t>
        </x:is>
      </x:c>
      <x:c r="G511" t="inlineStr">
        <x:is>
          <x:t xml:space="preserve"/>
        </x:is>
      </x:c>
      <x:c r="H511" t="inlineStr">
        <x:is>
          <x:t xml:space="preserve">NONE</x:t>
        </x:is>
      </x:c>
      <x:c r="I511" t="inlineStr">
        <x:is>
          <x:t xml:space="preserve"/>
        </x:is>
      </x:c>
      <x:c r="J511" t="inlineStr">
        <x:is>
          <x:t xml:space="preserve">SUCCESS</x:t>
        </x:is>
      </x:c>
      <x:c r="K511" t="n">
        <x:f>IF((COUNT('Quantification_Results'!E511)=1),IFERROR(ROUND((SUM(('Quantification_Results'!E511*'Quantification_Config'!$R$6))/SUM('Quantification_Config'!$R$6)),'Quantification_Config'!$U$2),""),"")</x:f>
        <x:v>50</x:v>
      </x:c>
      <x:c r="L511" t="n">
        <x:f>IF((COUNT('Quantification_Results'!K511)=1),IFERROR(ROUND((SUM(('Quantification_Results'!K511*'Quantification_Config'!$R$5))/SUM('Quantification_Config'!$R$5)),'Quantification_Config'!$U$2),""),"")</x:f>
        <x:v>50</x:v>
      </x:c>
      <x:c r="M511" t="n">
        <x:v>1</x:v>
      </x:c>
      <x:c r="N511" t="n">
        <x:v>5</x:v>
      </x:c>
      <x:c r="O511"/>
      <x:c r="P511" t="n">
        <x:f>IF(('Quantification_Results'!M511&lt;&gt;1),"",IF(('Quantification_Results'!O511=""),IF(ISNUMBER('Quantification_Results'!N511),IF(('Quantification_Results'!N511&lt;'Quantification_Config'!$S$9),"",IF(('Quantification_Results'!N511&gt;'Quantification_Config'!$T$9),"",'Quantification_Results'!N511)),""),IF(ISNUMBER('Quantification_Results'!O511),IF(('Quantification_Results'!O511&lt;'Quantification_Config'!$S$9),"",IF(('Quantification_Results'!O511&gt;'Quantification_Config'!$T$9),"",'Quantification_Results'!O511)),"")))</x:f>
        <x:v>5</x:v>
      </x:c>
      <x:c r="Q511" t="n">
        <x:f>IF(ISNUMBER('Quantification_Results'!P511),IFERROR(ROUND(((('Quantification_Results'!P511-'Quantification_Config'!$S$9)/('Quantification_Config'!$T$9-'Quantification_Config'!$S$9))*100),'Quantification_Config'!$U$2),""),"")</x:f>
        <x:v>50</x:v>
      </x:c>
      <x:c r="R511" t="inlineStr">
        <x:is>
          <x:t xml:space="preserve">SYSTEM-TEST-ONLY-NO-NETWORK-NOT-AN-EDUCATIONAL-EVALUATION</x:t>
        </x:is>
      </x:c>
      <x:c r="S511" t="inlineStr">
        <x:is>
          <x:t xml:space="preserve"/>
        </x:is>
      </x:c>
      <x:c r="T511" t="inlineStr">
        <x:is>
          <x:t xml:space="preserve">NONE</x:t>
        </x:is>
      </x:c>
      <x:c r="U511" t="inlineStr">
        <x:is>
          <x:t xml:space="preserve"/>
        </x:is>
      </x:c>
      <x:c r="V511" t="inlineStr">
        <x:is>
          <x:t xml:space="preserve">SUCCESS</x:t>
        </x:is>
      </x:c>
      <x:c r="W511" t="n">
        <x:f>IF((COUNT('Quantification_Results'!Q511)=1),IFERROR(ROUND((SUM(('Quantification_Results'!Q511*'Quantification_Config'!$R$9))/SUM('Quantification_Config'!$R$9)),'Quantification_Config'!$U$2),""),"")</x:f>
        <x:v>50</x:v>
      </x:c>
      <x:c r="X511" t="n">
        <x:f>IF((COUNT('Quantification_Results'!W511)=1),IFERROR(ROUND((SUM(('Quantification_Results'!W511*'Quantification_Config'!$R$8))/SUM('Quantification_Config'!$R$8)),'Quantification_Config'!$U$2),""),"")</x:f>
        <x:v>50</x:v>
      </x:c>
      <x:c r="Y511" t="n">
        <x:v>0</x:v>
      </x:c>
      <x:c r="Z511"/>
      <x:c r="AA511"/>
      <x:c r="AB511">
        <x:f>IF(('Quantification_Results'!Y511&lt;&gt;1),"",IF(('Quantification_Results'!AA511=""),IF(ISNUMBER('Quantification_Results'!Z511),IF(('Quantification_Results'!Z511&lt;'Quantification_Config'!$S$12),"",IF(('Quantification_Results'!Z511&gt;'Quantification_Config'!$T$12),"",'Quantification_Results'!Z511)),""),IF(ISNUMBER('Quantification_Results'!AA511),IF(('Quantification_Results'!AA511&lt;'Quantification_Config'!$S$12),"",IF(('Quantification_Results'!AA511&gt;'Quantification_Config'!$T$12),"",'Quantification_Results'!AA511)),"")))</x:f>
      </x:c>
      <x:c r="AC511">
        <x:f>IF(ISNUMBER('Quantification_Results'!AB511),IFERROR(ROUND(((('Quantification_Results'!AB511-'Quantification_Config'!$S$12)/('Quantification_Config'!$T$12-'Quantification_Config'!$S$12))*100),'Quantification_Config'!$U$2),""),"")</x:f>
      </x:c>
      <x:c r="AD511" t="inlineStr">
        <x:is>
          <x:t xml:space="preserve"/>
        </x:is>
      </x:c>
      <x:c r="AE511" t="inlineStr">
        <x:is>
          <x:t xml:space="preserve"/>
        </x:is>
      </x:c>
      <x:c r="AF511" t="inlineStr">
        <x:is>
          <x:t xml:space="preserve"/>
        </x:is>
      </x:c>
      <x:c r="AG511" t="inlineStr">
        <x:is>
          <x:t xml:space="preserve"/>
        </x:is>
      </x:c>
      <x:c r="AH511" t="inlineStr">
        <x:is>
          <x:t xml:space="preserve">EMPTY</x:t>
        </x:is>
      </x:c>
      <x:c r="AI511">
        <x:f>IF((COUNT('Quantification_Results'!AC511)=1),IFERROR(ROUND((SUM(('Quantification_Results'!AC511*'Quantification_Config'!$R$12))/SUM('Quantification_Config'!$R$12)),'Quantification_Config'!$U$2),""),"")</x:f>
      </x:c>
      <x:c r="AJ511">
        <x:f>IF((COUNT('Quantification_Results'!AI511)=1),IFERROR(ROUND((SUM(('Quantification_Results'!AI511*'Quantification_Config'!$R$11))/SUM('Quantification_Config'!$R$11)),'Quantification_Config'!$U$2),""),"")</x:f>
      </x:c>
      <x:c r="AK511" t="n">
        <x:v>1</x:v>
      </x:c>
      <x:c r="AL511" t="n">
        <x:v>5</x:v>
      </x:c>
      <x:c r="AM511"/>
      <x:c r="AN511" t="n">
        <x:f>IF(('Quantification_Results'!AK511&lt;&gt;1),"",IF(('Quantification_Results'!AM511=""),IF(ISNUMBER('Quantification_Results'!AL511),IF(('Quantification_Results'!AL511&lt;'Quantification_Config'!$S$15),"",IF(('Quantification_Results'!AL511&gt;'Quantification_Config'!$T$15),"",'Quantification_Results'!AL511)),""),IF(ISNUMBER('Quantification_Results'!AM511),IF(('Quantification_Results'!AM511&lt;'Quantification_Config'!$S$15),"",IF(('Quantification_Results'!AM511&gt;'Quantification_Config'!$T$15),"",'Quantification_Results'!AM511)),"")))</x:f>
        <x:v>5</x:v>
      </x:c>
      <x:c r="AO511" t="n">
        <x:f>IF(ISNUMBER('Quantification_Results'!AN511),IFERROR(ROUND(((('Quantification_Results'!AN511-'Quantification_Config'!$S$15)/('Quantification_Config'!$T$15-'Quantification_Config'!$S$15))*100),'Quantification_Config'!$U$2),""),"")</x:f>
        <x:v>50</x:v>
      </x:c>
      <x:c r="AP511" t="inlineStr">
        <x:is>
          <x:t xml:space="preserve">SYSTEM-TEST-ONLY-NO-NETWORK-NOT-AN-EDUCATIONAL-EVALUATION</x:t>
        </x:is>
      </x:c>
      <x:c r="AQ511" t="inlineStr">
        <x:is>
          <x:t xml:space="preserve"/>
        </x:is>
      </x:c>
      <x:c r="AR511" t="inlineStr">
        <x:is>
          <x:t xml:space="preserve">NONE</x:t>
        </x:is>
      </x:c>
      <x:c r="AS511" t="inlineStr">
        <x:is>
          <x:t xml:space="preserve"/>
        </x:is>
      </x:c>
      <x:c r="AT511" t="inlineStr">
        <x:is>
          <x:t xml:space="preserve">SUCCESS</x:t>
        </x:is>
      </x:c>
      <x:c r="AU511" t="n">
        <x:f>IF((COUNT('Quantification_Results'!AO511)=1),IFERROR(ROUND((SUM(('Quantification_Results'!AO511*'Quantification_Config'!$R$15))/SUM('Quantification_Config'!$R$15)),'Quantification_Config'!$U$2),""),"")</x:f>
        <x:v>50</x:v>
      </x:c>
      <x:c r="AV511" t="n">
        <x:f>IF((COUNT('Quantification_Results'!AU511)=1),IFERROR(ROUND((SUM(('Quantification_Results'!AU511*'Quantification_Config'!$R$14))/SUM('Quantification_Config'!$R$14)),'Quantification_Config'!$U$2),""),"")</x:f>
        <x:v>50</x:v>
      </x:c>
      <x:c r="AW511" t="n">
        <x:v>1</x:v>
      </x:c>
      <x:c r="AX511" t="n">
        <x:v>5</x:v>
      </x:c>
      <x:c r="AY511"/>
      <x:c r="AZ511" t="n">
        <x:f>IF(('Quantification_Results'!AW511&lt;&gt;1),"",IF(('Quantification_Results'!AY511=""),IF(ISNUMBER('Quantification_Results'!AX511),IF(('Quantification_Results'!AX511&lt;'Quantification_Config'!$S$19),"",IF(('Quantification_Results'!AX511&gt;'Quantification_Config'!$T$19),"",'Quantification_Results'!AX511)),""),IF(ISNUMBER('Quantification_Results'!AY511),IF(('Quantification_Results'!AY511&lt;'Quantification_Config'!$S$19),"",IF(('Quantification_Results'!AY511&gt;'Quantification_Config'!$T$19),"",'Quantification_Results'!AY511)),"")))</x:f>
        <x:v>5</x:v>
      </x:c>
      <x:c r="BA511" t="n">
        <x:f>IF(ISNUMBER('Quantification_Results'!AZ511),IFERROR(ROUND(((('Quantification_Results'!AZ511-'Quantification_Config'!$S$19)/('Quantification_Config'!$T$19-'Quantification_Config'!$S$19))*100),'Quantification_Config'!$U$2),""),"")</x:f>
        <x:v>50</x:v>
      </x:c>
      <x:c r="BB511" t="inlineStr">
        <x:is>
          <x:t xml:space="preserve">SYSTEM-TEST-ONLY-NO-NETWORK-NOT-AN-EDUCATIONAL-EVALUATION</x:t>
        </x:is>
      </x:c>
      <x:c r="BC511" t="inlineStr">
        <x:is>
          <x:t xml:space="preserve"/>
        </x:is>
      </x:c>
      <x:c r="BD511" t="inlineStr">
        <x:is>
          <x:t xml:space="preserve">NONE</x:t>
        </x:is>
      </x:c>
      <x:c r="BE511" t="inlineStr">
        <x:is>
          <x:t xml:space="preserve"/>
        </x:is>
      </x:c>
      <x:c r="BF511" t="inlineStr">
        <x:is>
          <x:t xml:space="preserve">SUCCESS</x:t>
        </x:is>
      </x:c>
      <x:c r="BG511" t="n">
        <x:f>IF((COUNT('Quantification_Results'!BA511)=1),IFERROR(ROUND((SUM(('Quantification_Results'!BA511*'Quantification_Config'!$R$19))/SUM('Quantification_Config'!$R$19)),'Quantification_Config'!$U$2),""),"")</x:f>
        <x:v>50</x:v>
      </x:c>
      <x:c r="BH511" t="n">
        <x:f>IF((COUNT('Quantification_Results'!BG511)=1),IFERROR(ROUND((SUM(('Quantification_Results'!BG511*'Quantification_Config'!$R$18))/SUM('Quantification_Config'!$R$18)),'Quantification_Config'!$U$2),""),"")</x:f>
        <x:v>50</x:v>
      </x:c>
      <x:c r="BI511">
        <x:f>IF((COUNT('Quantification_Results'!L511,'Quantification_Results'!X511,'Quantification_Results'!AJ511,'Quantification_Results'!AV511,'Quantification_Results'!BH511)=5),IFERROR(ROUND((SUM(('Quantification_Results'!L511*'Quantification_Config'!$R$4),('Quantification_Results'!X511*'Quantification_Config'!$R$7),('Quantification_Results'!AJ511*'Quantification_Config'!$R$10),('Quantification_Results'!AV511*'Quantification_Config'!$R$13),('Quantification_Results'!BH511*'Quantification_Config'!$R$16))/SUM('Quantification_Config'!$R$4,'Quantification_Config'!$R$7,'Quantification_Config'!$R$10,'Quantification_Config'!$R$13,'Quantification_Config'!$R$16)),'Quantification_Config'!$U$2),""),"")</x:f>
      </x:c>
    </x:row>
    <x:row r="512">
      <x:c r="A512" t="n">
        <x:v>1</x:v>
      </x:c>
      <x:c r="B512" t="n">
        <x:v>5</x:v>
      </x:c>
      <x:c r="C512"/>
      <x:c r="D512" t="n">
        <x:f>IF(('Quantification_Results'!A512&lt;&gt;1),"",IF(('Quantification_Results'!C512=""),IF(ISNUMBER('Quantification_Results'!B512),IF(('Quantification_Results'!B512&lt;'Quantification_Config'!$S$6),"",IF(('Quantification_Results'!B512&gt;'Quantification_Config'!$T$6),"",'Quantification_Results'!B512)),""),IF(ISNUMBER('Quantification_Results'!C512),IF(('Quantification_Results'!C512&lt;'Quantification_Config'!$S$6),"",IF(('Quantification_Results'!C512&gt;'Quantification_Config'!$T$6),"",'Quantification_Results'!C512)),"")))</x:f>
        <x:v>5</x:v>
      </x:c>
      <x:c r="E512" t="n">
        <x:f>IF(ISNUMBER('Quantification_Results'!D512),IFERROR(ROUND(((('Quantification_Results'!D512-'Quantification_Config'!$S$6)/('Quantification_Config'!$T$6-'Quantification_Config'!$S$6))*100),'Quantification_Config'!$U$2),""),"")</x:f>
        <x:v>50</x:v>
      </x:c>
      <x:c r="F512" t="inlineStr">
        <x:is>
          <x:t xml:space="preserve">SYSTEM-TEST-ONLY-NO-NETWORK-NOT-AN-EDUCATIONAL-EVALUATION</x:t>
        </x:is>
      </x:c>
      <x:c r="G512" t="inlineStr">
        <x:is>
          <x:t xml:space="preserve"/>
        </x:is>
      </x:c>
      <x:c r="H512" t="inlineStr">
        <x:is>
          <x:t xml:space="preserve">NONE</x:t>
        </x:is>
      </x:c>
      <x:c r="I512" t="inlineStr">
        <x:is>
          <x:t xml:space="preserve"/>
        </x:is>
      </x:c>
      <x:c r="J512" t="inlineStr">
        <x:is>
          <x:t xml:space="preserve">SUCCESS</x:t>
        </x:is>
      </x:c>
      <x:c r="K512" t="n">
        <x:f>IF((COUNT('Quantification_Results'!E512)=1),IFERROR(ROUND((SUM(('Quantification_Results'!E512*'Quantification_Config'!$R$6))/SUM('Quantification_Config'!$R$6)),'Quantification_Config'!$U$2),""),"")</x:f>
        <x:v>50</x:v>
      </x:c>
      <x:c r="L512" t="n">
        <x:f>IF((COUNT('Quantification_Results'!K512)=1),IFERROR(ROUND((SUM(('Quantification_Results'!K512*'Quantification_Config'!$R$5))/SUM('Quantification_Config'!$R$5)),'Quantification_Config'!$U$2),""),"")</x:f>
        <x:v>50</x:v>
      </x:c>
      <x:c r="M512" t="n">
        <x:v>0</x:v>
      </x:c>
      <x:c r="N512"/>
      <x:c r="O512"/>
      <x:c r="P512">
        <x:f>IF(('Quantification_Results'!M512&lt;&gt;1),"",IF(('Quantification_Results'!O512=""),IF(ISNUMBER('Quantification_Results'!N512),IF(('Quantification_Results'!N512&lt;'Quantification_Config'!$S$9),"",IF(('Quantification_Results'!N512&gt;'Quantification_Config'!$T$9),"",'Quantification_Results'!N512)),""),IF(ISNUMBER('Quantification_Results'!O512),IF(('Quantification_Results'!O512&lt;'Quantification_Config'!$S$9),"",IF(('Quantification_Results'!O512&gt;'Quantification_Config'!$T$9),"",'Quantification_Results'!O512)),"")))</x:f>
      </x:c>
      <x:c r="Q512">
        <x:f>IF(ISNUMBER('Quantification_Results'!P512),IFERROR(ROUND(((('Quantification_Results'!P512-'Quantification_Config'!$S$9)/('Quantification_Config'!$T$9-'Quantification_Config'!$S$9))*100),'Quantification_Config'!$U$2),""),"")</x:f>
      </x:c>
      <x:c r="R512" t="inlineStr">
        <x:is>
          <x:t xml:space="preserve"/>
        </x:is>
      </x:c>
      <x:c r="S512" t="inlineStr">
        <x:is>
          <x:t xml:space="preserve"/>
        </x:is>
      </x:c>
      <x:c r="T512" t="inlineStr">
        <x:is>
          <x:t xml:space="preserve"/>
        </x:is>
      </x:c>
      <x:c r="U512" t="inlineStr">
        <x:is>
          <x:t xml:space="preserve"/>
        </x:is>
      </x:c>
      <x:c r="V512" t="inlineStr">
        <x:is>
          <x:t xml:space="preserve">EMPTY</x:t>
        </x:is>
      </x:c>
      <x:c r="W512">
        <x:f>IF((COUNT('Quantification_Results'!Q512)=1),IFERROR(ROUND((SUM(('Quantification_Results'!Q512*'Quantification_Config'!$R$9))/SUM('Quantification_Config'!$R$9)),'Quantification_Config'!$U$2),""),"")</x:f>
      </x:c>
      <x:c r="X512">
        <x:f>IF((COUNT('Quantification_Results'!W512)=1),IFERROR(ROUND((SUM(('Quantification_Results'!W512*'Quantification_Config'!$R$8))/SUM('Quantification_Config'!$R$8)),'Quantification_Config'!$U$2),""),"")</x:f>
      </x:c>
      <x:c r="Y512" t="n">
        <x:v>0</x:v>
      </x:c>
      <x:c r="Z512"/>
      <x:c r="AA512"/>
      <x:c r="AB512">
        <x:f>IF(('Quantification_Results'!Y512&lt;&gt;1),"",IF(('Quantification_Results'!AA512=""),IF(ISNUMBER('Quantification_Results'!Z512),IF(('Quantification_Results'!Z512&lt;'Quantification_Config'!$S$12),"",IF(('Quantification_Results'!Z512&gt;'Quantification_Config'!$T$12),"",'Quantification_Results'!Z512)),""),IF(ISNUMBER('Quantification_Results'!AA512),IF(('Quantification_Results'!AA512&lt;'Quantification_Config'!$S$12),"",IF(('Quantification_Results'!AA512&gt;'Quantification_Config'!$T$12),"",'Quantification_Results'!AA512)),"")))</x:f>
      </x:c>
      <x:c r="AC512">
        <x:f>IF(ISNUMBER('Quantification_Results'!AB512),IFERROR(ROUND(((('Quantification_Results'!AB512-'Quantification_Config'!$S$12)/('Quantification_Config'!$T$12-'Quantification_Config'!$S$12))*100),'Quantification_Config'!$U$2),""),"")</x:f>
      </x:c>
      <x:c r="AD512" t="inlineStr">
        <x:is>
          <x:t xml:space="preserve"/>
        </x:is>
      </x:c>
      <x:c r="AE512" t="inlineStr">
        <x:is>
          <x:t xml:space="preserve"/>
        </x:is>
      </x:c>
      <x:c r="AF512" t="inlineStr">
        <x:is>
          <x:t xml:space="preserve"/>
        </x:is>
      </x:c>
      <x:c r="AG512" t="inlineStr">
        <x:is>
          <x:t xml:space="preserve"/>
        </x:is>
      </x:c>
      <x:c r="AH512" t="inlineStr">
        <x:is>
          <x:t xml:space="preserve">EMPTY</x:t>
        </x:is>
      </x:c>
      <x:c r="AI512">
        <x:f>IF((COUNT('Quantification_Results'!AC512)=1),IFERROR(ROUND((SUM(('Quantification_Results'!AC512*'Quantification_Config'!$R$12))/SUM('Quantification_Config'!$R$12)),'Quantification_Config'!$U$2),""),"")</x:f>
      </x:c>
      <x:c r="AJ512">
        <x:f>IF((COUNT('Quantification_Results'!AI512)=1),IFERROR(ROUND((SUM(('Quantification_Results'!AI512*'Quantification_Config'!$R$11))/SUM('Quantification_Config'!$R$11)),'Quantification_Config'!$U$2),""),"")</x:f>
      </x:c>
      <x:c r="AK512" t="n">
        <x:v>1</x:v>
      </x:c>
      <x:c r="AL512" t="n">
        <x:v>5</x:v>
      </x:c>
      <x:c r="AM512"/>
      <x:c r="AN512" t="n">
        <x:f>IF(('Quantification_Results'!AK512&lt;&gt;1),"",IF(('Quantification_Results'!AM512=""),IF(ISNUMBER('Quantification_Results'!AL512),IF(('Quantification_Results'!AL512&lt;'Quantification_Config'!$S$15),"",IF(('Quantification_Results'!AL512&gt;'Quantification_Config'!$T$15),"",'Quantification_Results'!AL512)),""),IF(ISNUMBER('Quantification_Results'!AM512),IF(('Quantification_Results'!AM512&lt;'Quantification_Config'!$S$15),"",IF(('Quantification_Results'!AM512&gt;'Quantification_Config'!$T$15),"",'Quantification_Results'!AM512)),"")))</x:f>
        <x:v>5</x:v>
      </x:c>
      <x:c r="AO512" t="n">
        <x:f>IF(ISNUMBER('Quantification_Results'!AN512),IFERROR(ROUND(((('Quantification_Results'!AN512-'Quantification_Config'!$S$15)/('Quantification_Config'!$T$15-'Quantification_Config'!$S$15))*100),'Quantification_Config'!$U$2),""),"")</x:f>
        <x:v>50</x:v>
      </x:c>
      <x:c r="AP512" t="inlineStr">
        <x:is>
          <x:t xml:space="preserve">SYSTEM-TEST-ONLY-NO-NETWORK-NOT-AN-EDUCATIONAL-EVALUATION</x:t>
        </x:is>
      </x:c>
      <x:c r="AQ512" t="inlineStr">
        <x:is>
          <x:t xml:space="preserve"/>
        </x:is>
      </x:c>
      <x:c r="AR512" t="inlineStr">
        <x:is>
          <x:t xml:space="preserve">NONE</x:t>
        </x:is>
      </x:c>
      <x:c r="AS512" t="inlineStr">
        <x:is>
          <x:t xml:space="preserve"/>
        </x:is>
      </x:c>
      <x:c r="AT512" t="inlineStr">
        <x:is>
          <x:t xml:space="preserve">SUCCESS</x:t>
        </x:is>
      </x:c>
      <x:c r="AU512" t="n">
        <x:f>IF((COUNT('Quantification_Results'!AO512)=1),IFERROR(ROUND((SUM(('Quantification_Results'!AO512*'Quantification_Config'!$R$15))/SUM('Quantification_Config'!$R$15)),'Quantification_Config'!$U$2),""),"")</x:f>
        <x:v>50</x:v>
      </x:c>
      <x:c r="AV512" t="n">
        <x:f>IF((COUNT('Quantification_Results'!AU512)=1),IFERROR(ROUND((SUM(('Quantification_Results'!AU512*'Quantification_Config'!$R$14))/SUM('Quantification_Config'!$R$14)),'Quantification_Config'!$U$2),""),"")</x:f>
        <x:v>50</x:v>
      </x:c>
      <x:c r="AW512" t="n">
        <x:v>1</x:v>
      </x:c>
      <x:c r="AX512" t="n">
        <x:v>5</x:v>
      </x:c>
      <x:c r="AY512"/>
      <x:c r="AZ512" t="n">
        <x:f>IF(('Quantification_Results'!AW512&lt;&gt;1),"",IF(('Quantification_Results'!AY512=""),IF(ISNUMBER('Quantification_Results'!AX512),IF(('Quantification_Results'!AX512&lt;'Quantification_Config'!$S$19),"",IF(('Quantification_Results'!AX512&gt;'Quantification_Config'!$T$19),"",'Quantification_Results'!AX512)),""),IF(ISNUMBER('Quantification_Results'!AY512),IF(('Quantification_Results'!AY512&lt;'Quantification_Config'!$S$19),"",IF(('Quantification_Results'!AY512&gt;'Quantification_Config'!$T$19),"",'Quantification_Results'!AY512)),"")))</x:f>
        <x:v>5</x:v>
      </x:c>
      <x:c r="BA512" t="n">
        <x:f>IF(ISNUMBER('Quantification_Results'!AZ512),IFERROR(ROUND(((('Quantification_Results'!AZ512-'Quantification_Config'!$S$19)/('Quantification_Config'!$T$19-'Quantification_Config'!$S$19))*100),'Quantification_Config'!$U$2),""),"")</x:f>
        <x:v>50</x:v>
      </x:c>
      <x:c r="BB512" t="inlineStr">
        <x:is>
          <x:t xml:space="preserve">SYSTEM-TEST-ONLY-NO-NETWORK-NOT-AN-EDUCATIONAL-EVALUATION</x:t>
        </x:is>
      </x:c>
      <x:c r="BC512" t="inlineStr">
        <x:is>
          <x:t xml:space="preserve"/>
        </x:is>
      </x:c>
      <x:c r="BD512" t="inlineStr">
        <x:is>
          <x:t xml:space="preserve">NONE</x:t>
        </x:is>
      </x:c>
      <x:c r="BE512" t="inlineStr">
        <x:is>
          <x:t xml:space="preserve"/>
        </x:is>
      </x:c>
      <x:c r="BF512" t="inlineStr">
        <x:is>
          <x:t xml:space="preserve">SUCCESS</x:t>
        </x:is>
      </x:c>
      <x:c r="BG512" t="n">
        <x:f>IF((COUNT('Quantification_Results'!BA512)=1),IFERROR(ROUND((SUM(('Quantification_Results'!BA512*'Quantification_Config'!$R$19))/SUM('Quantification_Config'!$R$19)),'Quantification_Config'!$U$2),""),"")</x:f>
        <x:v>50</x:v>
      </x:c>
      <x:c r="BH512" t="n">
        <x:f>IF((COUNT('Quantification_Results'!BG512)=1),IFERROR(ROUND((SUM(('Quantification_Results'!BG512*'Quantification_Config'!$R$18))/SUM('Quantification_Config'!$R$18)),'Quantification_Config'!$U$2),""),"")</x:f>
        <x:v>50</x:v>
      </x:c>
      <x:c r="BI512">
        <x:f>IF((COUNT('Quantification_Results'!L512,'Quantification_Results'!X512,'Quantification_Results'!AJ512,'Quantification_Results'!AV512,'Quantification_Results'!BH512)=5),IFERROR(ROUND((SUM(('Quantification_Results'!L512*'Quantification_Config'!$R$4),('Quantification_Results'!X512*'Quantification_Config'!$R$7),('Quantification_Results'!AJ512*'Quantification_Config'!$R$10),('Quantification_Results'!AV512*'Quantification_Config'!$R$13),('Quantification_Results'!BH512*'Quantification_Config'!$R$16))/SUM('Quantification_Config'!$R$4,'Quantification_Config'!$R$7,'Quantification_Config'!$R$10,'Quantification_Config'!$R$13,'Quantification_Config'!$R$16)),'Quantification_Config'!$U$2),""),"")</x:f>
      </x:c>
    </x:row>
    <x:row r="513">
      <x:c r="A513" t="n">
        <x:v>1</x:v>
      </x:c>
      <x:c r="B513" t="n">
        <x:v>5</x:v>
      </x:c>
      <x:c r="C513"/>
      <x:c r="D513" t="n">
        <x:f>IF(('Quantification_Results'!A513&lt;&gt;1),"",IF(('Quantification_Results'!C513=""),IF(ISNUMBER('Quantification_Results'!B513),IF(('Quantification_Results'!B513&lt;'Quantification_Config'!$S$6),"",IF(('Quantification_Results'!B513&gt;'Quantification_Config'!$T$6),"",'Quantification_Results'!B513)),""),IF(ISNUMBER('Quantification_Results'!C513),IF(('Quantification_Results'!C513&lt;'Quantification_Config'!$S$6),"",IF(('Quantification_Results'!C513&gt;'Quantification_Config'!$T$6),"",'Quantification_Results'!C513)),"")))</x:f>
        <x:v>5</x:v>
      </x:c>
      <x:c r="E513" t="n">
        <x:f>IF(ISNUMBER('Quantification_Results'!D513),IFERROR(ROUND(((('Quantification_Results'!D513-'Quantification_Config'!$S$6)/('Quantification_Config'!$T$6-'Quantification_Config'!$S$6))*100),'Quantification_Config'!$U$2),""),"")</x:f>
        <x:v>50</x:v>
      </x:c>
      <x:c r="F513" t="inlineStr">
        <x:is>
          <x:t xml:space="preserve">SYSTEM-TEST-ONLY-NO-NETWORK-NOT-AN-EDUCATIONAL-EVALUATION</x:t>
        </x:is>
      </x:c>
      <x:c r="G513" t="inlineStr">
        <x:is>
          <x:t xml:space="preserve"/>
        </x:is>
      </x:c>
      <x:c r="H513" t="inlineStr">
        <x:is>
          <x:t xml:space="preserve">NONE</x:t>
        </x:is>
      </x:c>
      <x:c r="I513" t="inlineStr">
        <x:is>
          <x:t xml:space="preserve"/>
        </x:is>
      </x:c>
      <x:c r="J513" t="inlineStr">
        <x:is>
          <x:t xml:space="preserve">SUCCESS</x:t>
        </x:is>
      </x:c>
      <x:c r="K513" t="n">
        <x:f>IF((COUNT('Quantification_Results'!E513)=1),IFERROR(ROUND((SUM(('Quantification_Results'!E513*'Quantification_Config'!$R$6))/SUM('Quantification_Config'!$R$6)),'Quantification_Config'!$U$2),""),"")</x:f>
        <x:v>50</x:v>
      </x:c>
      <x:c r="L513" t="n">
        <x:f>IF((COUNT('Quantification_Results'!K513)=1),IFERROR(ROUND((SUM(('Quantification_Results'!K513*'Quantification_Config'!$R$5))/SUM('Quantification_Config'!$R$5)),'Quantification_Config'!$U$2),""),"")</x:f>
        <x:v>50</x:v>
      </x:c>
      <x:c r="M513" t="n">
        <x:v>1</x:v>
      </x:c>
      <x:c r="N513" t="n">
        <x:v>5</x:v>
      </x:c>
      <x:c r="O513"/>
      <x:c r="P513" t="n">
        <x:f>IF(('Quantification_Results'!M513&lt;&gt;1),"",IF(('Quantification_Results'!O513=""),IF(ISNUMBER('Quantification_Results'!N513),IF(('Quantification_Results'!N513&lt;'Quantification_Config'!$S$9),"",IF(('Quantification_Results'!N513&gt;'Quantification_Config'!$T$9),"",'Quantification_Results'!N513)),""),IF(ISNUMBER('Quantification_Results'!O513),IF(('Quantification_Results'!O513&lt;'Quantification_Config'!$S$9),"",IF(('Quantification_Results'!O513&gt;'Quantification_Config'!$T$9),"",'Quantification_Results'!O513)),"")))</x:f>
        <x:v>5</x:v>
      </x:c>
      <x:c r="Q513" t="n">
        <x:f>IF(ISNUMBER('Quantification_Results'!P513),IFERROR(ROUND(((('Quantification_Results'!P513-'Quantification_Config'!$S$9)/('Quantification_Config'!$T$9-'Quantification_Config'!$S$9))*100),'Quantification_Config'!$U$2),""),"")</x:f>
        <x:v>50</x:v>
      </x:c>
      <x:c r="R513" t="inlineStr">
        <x:is>
          <x:t xml:space="preserve">SYSTEM-TEST-ONLY-NO-NETWORK-NOT-AN-EDUCATIONAL-EVALUATION</x:t>
        </x:is>
      </x:c>
      <x:c r="S513" t="inlineStr">
        <x:is>
          <x:t xml:space="preserve"/>
        </x:is>
      </x:c>
      <x:c r="T513" t="inlineStr">
        <x:is>
          <x:t xml:space="preserve">NONE</x:t>
        </x:is>
      </x:c>
      <x:c r="U513" t="inlineStr">
        <x:is>
          <x:t xml:space="preserve"/>
        </x:is>
      </x:c>
      <x:c r="V513" t="inlineStr">
        <x:is>
          <x:t xml:space="preserve">SUCCESS</x:t>
        </x:is>
      </x:c>
      <x:c r="W513" t="n">
        <x:f>IF((COUNT('Quantification_Results'!Q513)=1),IFERROR(ROUND((SUM(('Quantification_Results'!Q513*'Quantification_Config'!$R$9))/SUM('Quantification_Config'!$R$9)),'Quantification_Config'!$U$2),""),"")</x:f>
        <x:v>50</x:v>
      </x:c>
      <x:c r="X513" t="n">
        <x:f>IF((COUNT('Quantification_Results'!W513)=1),IFERROR(ROUND((SUM(('Quantification_Results'!W513*'Quantification_Config'!$R$8))/SUM('Quantification_Config'!$R$8)),'Quantification_Config'!$U$2),""),"")</x:f>
        <x:v>50</x:v>
      </x:c>
      <x:c r="Y513" t="n">
        <x:v>0</x:v>
      </x:c>
      <x:c r="Z513"/>
      <x:c r="AA513"/>
      <x:c r="AB513">
        <x:f>IF(('Quantification_Results'!Y513&lt;&gt;1),"",IF(('Quantification_Results'!AA513=""),IF(ISNUMBER('Quantification_Results'!Z513),IF(('Quantification_Results'!Z513&lt;'Quantification_Config'!$S$12),"",IF(('Quantification_Results'!Z513&gt;'Quantification_Config'!$T$12),"",'Quantification_Results'!Z513)),""),IF(ISNUMBER('Quantification_Results'!AA513),IF(('Quantification_Results'!AA513&lt;'Quantification_Config'!$S$12),"",IF(('Quantification_Results'!AA513&gt;'Quantification_Config'!$T$12),"",'Quantification_Results'!AA513)),"")))</x:f>
      </x:c>
      <x:c r="AC513">
        <x:f>IF(ISNUMBER('Quantification_Results'!AB513),IFERROR(ROUND(((('Quantification_Results'!AB513-'Quantification_Config'!$S$12)/('Quantification_Config'!$T$12-'Quantification_Config'!$S$12))*100),'Quantification_Config'!$U$2),""),"")</x:f>
      </x:c>
      <x:c r="AD513" t="inlineStr">
        <x:is>
          <x:t xml:space="preserve"/>
        </x:is>
      </x:c>
      <x:c r="AE513" t="inlineStr">
        <x:is>
          <x:t xml:space="preserve"/>
        </x:is>
      </x:c>
      <x:c r="AF513" t="inlineStr">
        <x:is>
          <x:t xml:space="preserve"/>
        </x:is>
      </x:c>
      <x:c r="AG513" t="inlineStr">
        <x:is>
          <x:t xml:space="preserve"/>
        </x:is>
      </x:c>
      <x:c r="AH513" t="inlineStr">
        <x:is>
          <x:t xml:space="preserve">EMPTY</x:t>
        </x:is>
      </x:c>
      <x:c r="AI513">
        <x:f>IF((COUNT('Quantification_Results'!AC513)=1),IFERROR(ROUND((SUM(('Quantification_Results'!AC513*'Quantification_Config'!$R$12))/SUM('Quantification_Config'!$R$12)),'Quantification_Config'!$U$2),""),"")</x:f>
      </x:c>
      <x:c r="AJ513">
        <x:f>IF((COUNT('Quantification_Results'!AI513)=1),IFERROR(ROUND((SUM(('Quantification_Results'!AI513*'Quantification_Config'!$R$11))/SUM('Quantification_Config'!$R$11)),'Quantification_Config'!$U$2),""),"")</x:f>
      </x:c>
      <x:c r="AK513" t="n">
        <x:v>1</x:v>
      </x:c>
      <x:c r="AL513" t="n">
        <x:v>5</x:v>
      </x:c>
      <x:c r="AM513"/>
      <x:c r="AN513" t="n">
        <x:f>IF(('Quantification_Results'!AK513&lt;&gt;1),"",IF(('Quantification_Results'!AM513=""),IF(ISNUMBER('Quantification_Results'!AL513),IF(('Quantification_Results'!AL513&lt;'Quantification_Config'!$S$15),"",IF(('Quantification_Results'!AL513&gt;'Quantification_Config'!$T$15),"",'Quantification_Results'!AL513)),""),IF(ISNUMBER('Quantification_Results'!AM513),IF(('Quantification_Results'!AM513&lt;'Quantification_Config'!$S$15),"",IF(('Quantification_Results'!AM513&gt;'Quantification_Config'!$T$15),"",'Quantification_Results'!AM513)),"")))</x:f>
        <x:v>5</x:v>
      </x:c>
      <x:c r="AO513" t="n">
        <x:f>IF(ISNUMBER('Quantification_Results'!AN513),IFERROR(ROUND(((('Quantification_Results'!AN513-'Quantification_Config'!$S$15)/('Quantification_Config'!$T$15-'Quantification_Config'!$S$15))*100),'Quantification_Config'!$U$2),""),"")</x:f>
        <x:v>50</x:v>
      </x:c>
      <x:c r="AP513" t="inlineStr">
        <x:is>
          <x:t xml:space="preserve">SYSTEM-TEST-ONLY-NO-NETWORK-NOT-AN-EDUCATIONAL-EVALUATION</x:t>
        </x:is>
      </x:c>
      <x:c r="AQ513" t="inlineStr">
        <x:is>
          <x:t xml:space="preserve"/>
        </x:is>
      </x:c>
      <x:c r="AR513" t="inlineStr">
        <x:is>
          <x:t xml:space="preserve">NONE</x:t>
        </x:is>
      </x:c>
      <x:c r="AS513" t="inlineStr">
        <x:is>
          <x:t xml:space="preserve"/>
        </x:is>
      </x:c>
      <x:c r="AT513" t="inlineStr">
        <x:is>
          <x:t xml:space="preserve">SUCCESS</x:t>
        </x:is>
      </x:c>
      <x:c r="AU513" t="n">
        <x:f>IF((COUNT('Quantification_Results'!AO513)=1),IFERROR(ROUND((SUM(('Quantification_Results'!AO513*'Quantification_Config'!$R$15))/SUM('Quantification_Config'!$R$15)),'Quantification_Config'!$U$2),""),"")</x:f>
        <x:v>50</x:v>
      </x:c>
      <x:c r="AV513" t="n">
        <x:f>IF((COUNT('Quantification_Results'!AU513)=1),IFERROR(ROUND((SUM(('Quantification_Results'!AU513*'Quantification_Config'!$R$14))/SUM('Quantification_Config'!$R$14)),'Quantification_Config'!$U$2),""),"")</x:f>
        <x:v>50</x:v>
      </x:c>
      <x:c r="AW513" t="n">
        <x:v>1</x:v>
      </x:c>
      <x:c r="AX513" t="n">
        <x:v>5</x:v>
      </x:c>
      <x:c r="AY513"/>
      <x:c r="AZ513" t="n">
        <x:f>IF(('Quantification_Results'!AW513&lt;&gt;1),"",IF(('Quantification_Results'!AY513=""),IF(ISNUMBER('Quantification_Results'!AX513),IF(('Quantification_Results'!AX513&lt;'Quantification_Config'!$S$19),"",IF(('Quantification_Results'!AX513&gt;'Quantification_Config'!$T$19),"",'Quantification_Results'!AX513)),""),IF(ISNUMBER('Quantification_Results'!AY513),IF(('Quantification_Results'!AY513&lt;'Quantification_Config'!$S$19),"",IF(('Quantification_Results'!AY513&gt;'Quantification_Config'!$T$19),"",'Quantification_Results'!AY513)),"")))</x:f>
        <x:v>5</x:v>
      </x:c>
      <x:c r="BA513" t="n">
        <x:f>IF(ISNUMBER('Quantification_Results'!AZ513),IFERROR(ROUND(((('Quantification_Results'!AZ513-'Quantification_Config'!$S$19)/('Quantification_Config'!$T$19-'Quantification_Config'!$S$19))*100),'Quantification_Config'!$U$2),""),"")</x:f>
        <x:v>50</x:v>
      </x:c>
      <x:c r="BB513" t="inlineStr">
        <x:is>
          <x:t xml:space="preserve">SYSTEM-TEST-ONLY-NO-NETWORK-NOT-AN-EDUCATIONAL-EVALUATION</x:t>
        </x:is>
      </x:c>
      <x:c r="BC513" t="inlineStr">
        <x:is>
          <x:t xml:space="preserve"/>
        </x:is>
      </x:c>
      <x:c r="BD513" t="inlineStr">
        <x:is>
          <x:t xml:space="preserve">NONE</x:t>
        </x:is>
      </x:c>
      <x:c r="BE513" t="inlineStr">
        <x:is>
          <x:t xml:space="preserve"/>
        </x:is>
      </x:c>
      <x:c r="BF513" t="inlineStr">
        <x:is>
          <x:t xml:space="preserve">SUCCESS</x:t>
        </x:is>
      </x:c>
      <x:c r="BG513" t="n">
        <x:f>IF((COUNT('Quantification_Results'!BA513)=1),IFERROR(ROUND((SUM(('Quantification_Results'!BA513*'Quantification_Config'!$R$19))/SUM('Quantification_Config'!$R$19)),'Quantification_Config'!$U$2),""),"")</x:f>
        <x:v>50</x:v>
      </x:c>
      <x:c r="BH513" t="n">
        <x:f>IF((COUNT('Quantification_Results'!BG513)=1),IFERROR(ROUND((SUM(('Quantification_Results'!BG513*'Quantification_Config'!$R$18))/SUM('Quantification_Config'!$R$18)),'Quantification_Config'!$U$2),""),"")</x:f>
        <x:v>50</x:v>
      </x:c>
      <x:c r="BI513">
        <x:f>IF((COUNT('Quantification_Results'!L513,'Quantification_Results'!X513,'Quantification_Results'!AJ513,'Quantification_Results'!AV513,'Quantification_Results'!BH513)=5),IFERROR(ROUND((SUM(('Quantification_Results'!L513*'Quantification_Config'!$R$4),('Quantification_Results'!X513*'Quantification_Config'!$R$7),('Quantification_Results'!AJ513*'Quantification_Config'!$R$10),('Quantification_Results'!AV513*'Quantification_Config'!$R$13),('Quantification_Results'!BH513*'Quantification_Config'!$R$16))/SUM('Quantification_Config'!$R$4,'Quantification_Config'!$R$7,'Quantification_Config'!$R$10,'Quantification_Config'!$R$13,'Quantification_Config'!$R$16)),'Quantification_Config'!$U$2),""),"")</x:f>
      </x:c>
    </x:row>
    <x:row r="514">
      <x:c r="A514" t="n">
        <x:v>1</x:v>
      </x:c>
      <x:c r="B514" t="n">
        <x:v>5</x:v>
      </x:c>
      <x:c r="C514"/>
      <x:c r="D514" t="n">
        <x:f>IF(('Quantification_Results'!A514&lt;&gt;1),"",IF(('Quantification_Results'!C514=""),IF(ISNUMBER('Quantification_Results'!B514),IF(('Quantification_Results'!B514&lt;'Quantification_Config'!$S$6),"",IF(('Quantification_Results'!B514&gt;'Quantification_Config'!$T$6),"",'Quantification_Results'!B514)),""),IF(ISNUMBER('Quantification_Results'!C514),IF(('Quantification_Results'!C514&lt;'Quantification_Config'!$S$6),"",IF(('Quantification_Results'!C514&gt;'Quantification_Config'!$T$6),"",'Quantification_Results'!C514)),"")))</x:f>
        <x:v>5</x:v>
      </x:c>
      <x:c r="E514" t="n">
        <x:f>IF(ISNUMBER('Quantification_Results'!D514),IFERROR(ROUND(((('Quantification_Results'!D514-'Quantification_Config'!$S$6)/('Quantification_Config'!$T$6-'Quantification_Config'!$S$6))*100),'Quantification_Config'!$U$2),""),"")</x:f>
        <x:v>50</x:v>
      </x:c>
      <x:c r="F514" t="inlineStr">
        <x:is>
          <x:t xml:space="preserve">SYSTEM-TEST-ONLY-NO-NETWORK-NOT-AN-EDUCATIONAL-EVALUATION</x:t>
        </x:is>
      </x:c>
      <x:c r="G514" t="inlineStr">
        <x:is>
          <x:t xml:space="preserve"/>
        </x:is>
      </x:c>
      <x:c r="H514" t="inlineStr">
        <x:is>
          <x:t xml:space="preserve">NONE</x:t>
        </x:is>
      </x:c>
      <x:c r="I514" t="inlineStr">
        <x:is>
          <x:t xml:space="preserve"/>
        </x:is>
      </x:c>
      <x:c r="J514" t="inlineStr">
        <x:is>
          <x:t xml:space="preserve">SUCCESS</x:t>
        </x:is>
      </x:c>
      <x:c r="K514" t="n">
        <x:f>IF((COUNT('Quantification_Results'!E514)=1),IFERROR(ROUND((SUM(('Quantification_Results'!E514*'Quantification_Config'!$R$6))/SUM('Quantification_Config'!$R$6)),'Quantification_Config'!$U$2),""),"")</x:f>
        <x:v>50</x:v>
      </x:c>
      <x:c r="L514" t="n">
        <x:f>IF((COUNT('Quantification_Results'!K514)=1),IFERROR(ROUND((SUM(('Quantification_Results'!K514*'Quantification_Config'!$R$5))/SUM('Quantification_Config'!$R$5)),'Quantification_Config'!$U$2),""),"")</x:f>
        <x:v>50</x:v>
      </x:c>
      <x:c r="M514" t="n">
        <x:v>1</x:v>
      </x:c>
      <x:c r="N514" t="n">
        <x:v>5</x:v>
      </x:c>
      <x:c r="O514"/>
      <x:c r="P514" t="n">
        <x:f>IF(('Quantification_Results'!M514&lt;&gt;1),"",IF(('Quantification_Results'!O514=""),IF(ISNUMBER('Quantification_Results'!N514),IF(('Quantification_Results'!N514&lt;'Quantification_Config'!$S$9),"",IF(('Quantification_Results'!N514&gt;'Quantification_Config'!$T$9),"",'Quantification_Results'!N514)),""),IF(ISNUMBER('Quantification_Results'!O514),IF(('Quantification_Results'!O514&lt;'Quantification_Config'!$S$9),"",IF(('Quantification_Results'!O514&gt;'Quantification_Config'!$T$9),"",'Quantification_Results'!O514)),"")))</x:f>
        <x:v>5</x:v>
      </x:c>
      <x:c r="Q514" t="n">
        <x:f>IF(ISNUMBER('Quantification_Results'!P514),IFERROR(ROUND(((('Quantification_Results'!P514-'Quantification_Config'!$S$9)/('Quantification_Config'!$T$9-'Quantification_Config'!$S$9))*100),'Quantification_Config'!$U$2),""),"")</x:f>
        <x:v>50</x:v>
      </x:c>
      <x:c r="R514" t="inlineStr">
        <x:is>
          <x:t xml:space="preserve">SYSTEM-TEST-ONLY-NO-NETWORK-NOT-AN-EDUCATIONAL-EVALUATION</x:t>
        </x:is>
      </x:c>
      <x:c r="S514" t="inlineStr">
        <x:is>
          <x:t xml:space="preserve"/>
        </x:is>
      </x:c>
      <x:c r="T514" t="inlineStr">
        <x:is>
          <x:t xml:space="preserve">NONE</x:t>
        </x:is>
      </x:c>
      <x:c r="U514" t="inlineStr">
        <x:is>
          <x:t xml:space="preserve"/>
        </x:is>
      </x:c>
      <x:c r="V514" t="inlineStr">
        <x:is>
          <x:t xml:space="preserve">SUCCESS</x:t>
        </x:is>
      </x:c>
      <x:c r="W514" t="n">
        <x:f>IF((COUNT('Quantification_Results'!Q514)=1),IFERROR(ROUND((SUM(('Quantification_Results'!Q514*'Quantification_Config'!$R$9))/SUM('Quantification_Config'!$R$9)),'Quantification_Config'!$U$2),""),"")</x:f>
        <x:v>50</x:v>
      </x:c>
      <x:c r="X514" t="n">
        <x:f>IF((COUNT('Quantification_Results'!W514)=1),IFERROR(ROUND((SUM(('Quantification_Results'!W514*'Quantification_Config'!$R$8))/SUM('Quantification_Config'!$R$8)),'Quantification_Config'!$U$2),""),"")</x:f>
        <x:v>50</x:v>
      </x:c>
      <x:c r="Y514" t="n">
        <x:v>0</x:v>
      </x:c>
      <x:c r="Z514"/>
      <x:c r="AA514"/>
      <x:c r="AB514">
        <x:f>IF(('Quantification_Results'!Y514&lt;&gt;1),"",IF(('Quantification_Results'!AA514=""),IF(ISNUMBER('Quantification_Results'!Z514),IF(('Quantification_Results'!Z514&lt;'Quantification_Config'!$S$12),"",IF(('Quantification_Results'!Z514&gt;'Quantification_Config'!$T$12),"",'Quantification_Results'!Z514)),""),IF(ISNUMBER('Quantification_Results'!AA514),IF(('Quantification_Results'!AA514&lt;'Quantification_Config'!$S$12),"",IF(('Quantification_Results'!AA514&gt;'Quantification_Config'!$T$12),"",'Quantification_Results'!AA514)),"")))</x:f>
      </x:c>
      <x:c r="AC514">
        <x:f>IF(ISNUMBER('Quantification_Results'!AB514),IFERROR(ROUND(((('Quantification_Results'!AB514-'Quantification_Config'!$S$12)/('Quantification_Config'!$T$12-'Quantification_Config'!$S$12))*100),'Quantification_Config'!$U$2),""),"")</x:f>
      </x:c>
      <x:c r="AD514" t="inlineStr">
        <x:is>
          <x:t xml:space="preserve"/>
        </x:is>
      </x:c>
      <x:c r="AE514" t="inlineStr">
        <x:is>
          <x:t xml:space="preserve"/>
        </x:is>
      </x:c>
      <x:c r="AF514" t="inlineStr">
        <x:is>
          <x:t xml:space="preserve"/>
        </x:is>
      </x:c>
      <x:c r="AG514" t="inlineStr">
        <x:is>
          <x:t xml:space="preserve"/>
        </x:is>
      </x:c>
      <x:c r="AH514" t="inlineStr">
        <x:is>
          <x:t xml:space="preserve">EMPTY</x:t>
        </x:is>
      </x:c>
      <x:c r="AI514">
        <x:f>IF((COUNT('Quantification_Results'!AC514)=1),IFERROR(ROUND((SUM(('Quantification_Results'!AC514*'Quantification_Config'!$R$12))/SUM('Quantification_Config'!$R$12)),'Quantification_Config'!$U$2),""),"")</x:f>
      </x:c>
      <x:c r="AJ514">
        <x:f>IF((COUNT('Quantification_Results'!AI514)=1),IFERROR(ROUND((SUM(('Quantification_Results'!AI514*'Quantification_Config'!$R$11))/SUM('Quantification_Config'!$R$11)),'Quantification_Config'!$U$2),""),"")</x:f>
      </x:c>
      <x:c r="AK514" t="n">
        <x:v>1</x:v>
      </x:c>
      <x:c r="AL514" t="n">
        <x:v>5</x:v>
      </x:c>
      <x:c r="AM514"/>
      <x:c r="AN514" t="n">
        <x:f>IF(('Quantification_Results'!AK514&lt;&gt;1),"",IF(('Quantification_Results'!AM514=""),IF(ISNUMBER('Quantification_Results'!AL514),IF(('Quantification_Results'!AL514&lt;'Quantification_Config'!$S$15),"",IF(('Quantification_Results'!AL514&gt;'Quantification_Config'!$T$15),"",'Quantification_Results'!AL514)),""),IF(ISNUMBER('Quantification_Results'!AM514),IF(('Quantification_Results'!AM514&lt;'Quantification_Config'!$S$15),"",IF(('Quantification_Results'!AM514&gt;'Quantification_Config'!$T$15),"",'Quantification_Results'!AM514)),"")))</x:f>
        <x:v>5</x:v>
      </x:c>
      <x:c r="AO514" t="n">
        <x:f>IF(ISNUMBER('Quantification_Results'!AN514),IFERROR(ROUND(((('Quantification_Results'!AN514-'Quantification_Config'!$S$15)/('Quantification_Config'!$T$15-'Quantification_Config'!$S$15))*100),'Quantification_Config'!$U$2),""),"")</x:f>
        <x:v>50</x:v>
      </x:c>
      <x:c r="AP514" t="inlineStr">
        <x:is>
          <x:t xml:space="preserve">SYSTEM-TEST-ONLY-NO-NETWORK-NOT-AN-EDUCATIONAL-EVALUATION</x:t>
        </x:is>
      </x:c>
      <x:c r="AQ514" t="inlineStr">
        <x:is>
          <x:t xml:space="preserve"/>
        </x:is>
      </x:c>
      <x:c r="AR514" t="inlineStr">
        <x:is>
          <x:t xml:space="preserve">NONE</x:t>
        </x:is>
      </x:c>
      <x:c r="AS514" t="inlineStr">
        <x:is>
          <x:t xml:space="preserve"/>
        </x:is>
      </x:c>
      <x:c r="AT514" t="inlineStr">
        <x:is>
          <x:t xml:space="preserve">SUCCESS</x:t>
        </x:is>
      </x:c>
      <x:c r="AU514" t="n">
        <x:f>IF((COUNT('Quantification_Results'!AO514)=1),IFERROR(ROUND((SUM(('Quantification_Results'!AO514*'Quantification_Config'!$R$15))/SUM('Quantification_Config'!$R$15)),'Quantification_Config'!$U$2),""),"")</x:f>
        <x:v>50</x:v>
      </x:c>
      <x:c r="AV514" t="n">
        <x:f>IF((COUNT('Quantification_Results'!AU514)=1),IFERROR(ROUND((SUM(('Quantification_Results'!AU514*'Quantification_Config'!$R$14))/SUM('Quantification_Config'!$R$14)),'Quantification_Config'!$U$2),""),"")</x:f>
        <x:v>50</x:v>
      </x:c>
      <x:c r="AW514" t="n">
        <x:v>1</x:v>
      </x:c>
      <x:c r="AX514" t="n">
        <x:v>5</x:v>
      </x:c>
      <x:c r="AY514"/>
      <x:c r="AZ514" t="n">
        <x:f>IF(('Quantification_Results'!AW514&lt;&gt;1),"",IF(('Quantification_Results'!AY514=""),IF(ISNUMBER('Quantification_Results'!AX514),IF(('Quantification_Results'!AX514&lt;'Quantification_Config'!$S$19),"",IF(('Quantification_Results'!AX514&gt;'Quantification_Config'!$T$19),"",'Quantification_Results'!AX514)),""),IF(ISNUMBER('Quantification_Results'!AY514),IF(('Quantification_Results'!AY514&lt;'Quantification_Config'!$S$19),"",IF(('Quantification_Results'!AY514&gt;'Quantification_Config'!$T$19),"",'Quantification_Results'!AY514)),"")))</x:f>
        <x:v>5</x:v>
      </x:c>
      <x:c r="BA514" t="n">
        <x:f>IF(ISNUMBER('Quantification_Results'!AZ514),IFERROR(ROUND(((('Quantification_Results'!AZ514-'Quantification_Config'!$S$19)/('Quantification_Config'!$T$19-'Quantification_Config'!$S$19))*100),'Quantification_Config'!$U$2),""),"")</x:f>
        <x:v>50</x:v>
      </x:c>
      <x:c r="BB514" t="inlineStr">
        <x:is>
          <x:t xml:space="preserve">SYSTEM-TEST-ONLY-NO-NETWORK-NOT-AN-EDUCATIONAL-EVALUATION</x:t>
        </x:is>
      </x:c>
      <x:c r="BC514" t="inlineStr">
        <x:is>
          <x:t xml:space="preserve"/>
        </x:is>
      </x:c>
      <x:c r="BD514" t="inlineStr">
        <x:is>
          <x:t xml:space="preserve">NONE</x:t>
        </x:is>
      </x:c>
      <x:c r="BE514" t="inlineStr">
        <x:is>
          <x:t xml:space="preserve"/>
        </x:is>
      </x:c>
      <x:c r="BF514" t="inlineStr">
        <x:is>
          <x:t xml:space="preserve">SUCCESS</x:t>
        </x:is>
      </x:c>
      <x:c r="BG514" t="n">
        <x:f>IF((COUNT('Quantification_Results'!BA514)=1),IFERROR(ROUND((SUM(('Quantification_Results'!BA514*'Quantification_Config'!$R$19))/SUM('Quantification_Config'!$R$19)),'Quantification_Config'!$U$2),""),"")</x:f>
        <x:v>50</x:v>
      </x:c>
      <x:c r="BH514" t="n">
        <x:f>IF((COUNT('Quantification_Results'!BG514)=1),IFERROR(ROUND((SUM(('Quantification_Results'!BG514*'Quantification_Config'!$R$18))/SUM('Quantification_Config'!$R$18)),'Quantification_Config'!$U$2),""),"")</x:f>
        <x:v>50</x:v>
      </x:c>
      <x:c r="BI514">
        <x:f>IF((COUNT('Quantification_Results'!L514,'Quantification_Results'!X514,'Quantification_Results'!AJ514,'Quantification_Results'!AV514,'Quantification_Results'!BH514)=5),IFERROR(ROUND((SUM(('Quantification_Results'!L514*'Quantification_Config'!$R$4),('Quantification_Results'!X514*'Quantification_Config'!$R$7),('Quantification_Results'!AJ514*'Quantification_Config'!$R$10),('Quantification_Results'!AV514*'Quantification_Config'!$R$13),('Quantification_Results'!BH514*'Quantification_Config'!$R$16))/SUM('Quantification_Config'!$R$4,'Quantification_Config'!$R$7,'Quantification_Config'!$R$10,'Quantification_Config'!$R$13,'Quantification_Config'!$R$16)),'Quantification_Config'!$U$2),""),"")</x:f>
      </x:c>
    </x:row>
    <x:row r="515">
      <x:c r="A515" t="n">
        <x:v>1</x:v>
      </x:c>
      <x:c r="B515" t="n">
        <x:v>5</x:v>
      </x:c>
      <x:c r="C515"/>
      <x:c r="D515" t="n">
        <x:f>IF(('Quantification_Results'!A515&lt;&gt;1),"",IF(('Quantification_Results'!C515=""),IF(ISNUMBER('Quantification_Results'!B515),IF(('Quantification_Results'!B515&lt;'Quantification_Config'!$S$6),"",IF(('Quantification_Results'!B515&gt;'Quantification_Config'!$T$6),"",'Quantification_Results'!B515)),""),IF(ISNUMBER('Quantification_Results'!C515),IF(('Quantification_Results'!C515&lt;'Quantification_Config'!$S$6),"",IF(('Quantification_Results'!C515&gt;'Quantification_Config'!$T$6),"",'Quantification_Results'!C515)),"")))</x:f>
        <x:v>5</x:v>
      </x:c>
      <x:c r="E515" t="n">
        <x:f>IF(ISNUMBER('Quantification_Results'!D515),IFERROR(ROUND(((('Quantification_Results'!D515-'Quantification_Config'!$S$6)/('Quantification_Config'!$T$6-'Quantification_Config'!$S$6))*100),'Quantification_Config'!$U$2),""),"")</x:f>
        <x:v>50</x:v>
      </x:c>
      <x:c r="F515" t="inlineStr">
        <x:is>
          <x:t xml:space="preserve">SYSTEM-TEST-ONLY-NO-NETWORK-NOT-AN-EDUCATIONAL-EVALUATION</x:t>
        </x:is>
      </x:c>
      <x:c r="G515" t="inlineStr">
        <x:is>
          <x:t xml:space="preserve"/>
        </x:is>
      </x:c>
      <x:c r="H515" t="inlineStr">
        <x:is>
          <x:t xml:space="preserve">NONE</x:t>
        </x:is>
      </x:c>
      <x:c r="I515" t="inlineStr">
        <x:is>
          <x:t xml:space="preserve"/>
        </x:is>
      </x:c>
      <x:c r="J515" t="inlineStr">
        <x:is>
          <x:t xml:space="preserve">SUCCESS</x:t>
        </x:is>
      </x:c>
      <x:c r="K515" t="n">
        <x:f>IF((COUNT('Quantification_Results'!E515)=1),IFERROR(ROUND((SUM(('Quantification_Results'!E515*'Quantification_Config'!$R$6))/SUM('Quantification_Config'!$R$6)),'Quantification_Config'!$U$2),""),"")</x:f>
        <x:v>50</x:v>
      </x:c>
      <x:c r="L515" t="n">
        <x:f>IF((COUNT('Quantification_Results'!K515)=1),IFERROR(ROUND((SUM(('Quantification_Results'!K515*'Quantification_Config'!$R$5))/SUM('Quantification_Config'!$R$5)),'Quantification_Config'!$U$2),""),"")</x:f>
        <x:v>50</x:v>
      </x:c>
      <x:c r="M515" t="n">
        <x:v>1</x:v>
      </x:c>
      <x:c r="N515" t="n">
        <x:v>5</x:v>
      </x:c>
      <x:c r="O515"/>
      <x:c r="P515" t="n">
        <x:f>IF(('Quantification_Results'!M515&lt;&gt;1),"",IF(('Quantification_Results'!O515=""),IF(ISNUMBER('Quantification_Results'!N515),IF(('Quantification_Results'!N515&lt;'Quantification_Config'!$S$9),"",IF(('Quantification_Results'!N515&gt;'Quantification_Config'!$T$9),"",'Quantification_Results'!N515)),""),IF(ISNUMBER('Quantification_Results'!O515),IF(('Quantification_Results'!O515&lt;'Quantification_Config'!$S$9),"",IF(('Quantification_Results'!O515&gt;'Quantification_Config'!$T$9),"",'Quantification_Results'!O515)),"")))</x:f>
        <x:v>5</x:v>
      </x:c>
      <x:c r="Q515" t="n">
        <x:f>IF(ISNUMBER('Quantification_Results'!P515),IFERROR(ROUND(((('Quantification_Results'!P515-'Quantification_Config'!$S$9)/('Quantification_Config'!$T$9-'Quantification_Config'!$S$9))*100),'Quantification_Config'!$U$2),""),"")</x:f>
        <x:v>50</x:v>
      </x:c>
      <x:c r="R515" t="inlineStr">
        <x:is>
          <x:t xml:space="preserve">SYSTEM-TEST-ONLY-NO-NETWORK-NOT-AN-EDUCATIONAL-EVALUATION</x:t>
        </x:is>
      </x:c>
      <x:c r="S515" t="inlineStr">
        <x:is>
          <x:t xml:space="preserve"/>
        </x:is>
      </x:c>
      <x:c r="T515" t="inlineStr">
        <x:is>
          <x:t xml:space="preserve">NONE</x:t>
        </x:is>
      </x:c>
      <x:c r="U515" t="inlineStr">
        <x:is>
          <x:t xml:space="preserve"/>
        </x:is>
      </x:c>
      <x:c r="V515" t="inlineStr">
        <x:is>
          <x:t xml:space="preserve">SUCCESS</x:t>
        </x:is>
      </x:c>
      <x:c r="W515" t="n">
        <x:f>IF((COUNT('Quantification_Results'!Q515)=1),IFERROR(ROUND((SUM(('Quantification_Results'!Q515*'Quantification_Config'!$R$9))/SUM('Quantification_Config'!$R$9)),'Quantification_Config'!$U$2),""),"")</x:f>
        <x:v>50</x:v>
      </x:c>
      <x:c r="X515" t="n">
        <x:f>IF((COUNT('Quantification_Results'!W515)=1),IFERROR(ROUND((SUM(('Quantification_Results'!W515*'Quantification_Config'!$R$8))/SUM('Quantification_Config'!$R$8)),'Quantification_Config'!$U$2),""),"")</x:f>
        <x:v>50</x:v>
      </x:c>
      <x:c r="Y515" t="n">
        <x:v>0</x:v>
      </x:c>
      <x:c r="Z515"/>
      <x:c r="AA515"/>
      <x:c r="AB515">
        <x:f>IF(('Quantification_Results'!Y515&lt;&gt;1),"",IF(('Quantification_Results'!AA515=""),IF(ISNUMBER('Quantification_Results'!Z515),IF(('Quantification_Results'!Z515&lt;'Quantification_Config'!$S$12),"",IF(('Quantification_Results'!Z515&gt;'Quantification_Config'!$T$12),"",'Quantification_Results'!Z515)),""),IF(ISNUMBER('Quantification_Results'!AA515),IF(('Quantification_Results'!AA515&lt;'Quantification_Config'!$S$12),"",IF(('Quantification_Results'!AA515&gt;'Quantification_Config'!$T$12),"",'Quantification_Results'!AA515)),"")))</x:f>
      </x:c>
      <x:c r="AC515">
        <x:f>IF(ISNUMBER('Quantification_Results'!AB515),IFERROR(ROUND(((('Quantification_Results'!AB515-'Quantification_Config'!$S$12)/('Quantification_Config'!$T$12-'Quantification_Config'!$S$12))*100),'Quantification_Config'!$U$2),""),"")</x:f>
      </x:c>
      <x:c r="AD515" t="inlineStr">
        <x:is>
          <x:t xml:space="preserve"/>
        </x:is>
      </x:c>
      <x:c r="AE515" t="inlineStr">
        <x:is>
          <x:t xml:space="preserve"/>
        </x:is>
      </x:c>
      <x:c r="AF515" t="inlineStr">
        <x:is>
          <x:t xml:space="preserve"/>
        </x:is>
      </x:c>
      <x:c r="AG515" t="inlineStr">
        <x:is>
          <x:t xml:space="preserve"/>
        </x:is>
      </x:c>
      <x:c r="AH515" t="inlineStr">
        <x:is>
          <x:t xml:space="preserve">EMPTY</x:t>
        </x:is>
      </x:c>
      <x:c r="AI515">
        <x:f>IF((COUNT('Quantification_Results'!AC515)=1),IFERROR(ROUND((SUM(('Quantification_Results'!AC515*'Quantification_Config'!$R$12))/SUM('Quantification_Config'!$R$12)),'Quantification_Config'!$U$2),""),"")</x:f>
      </x:c>
      <x:c r="AJ515">
        <x:f>IF((COUNT('Quantification_Results'!AI515)=1),IFERROR(ROUND((SUM(('Quantification_Results'!AI515*'Quantification_Config'!$R$11))/SUM('Quantification_Config'!$R$11)),'Quantification_Config'!$U$2),""),"")</x:f>
      </x:c>
      <x:c r="AK515" t="n">
        <x:v>1</x:v>
      </x:c>
      <x:c r="AL515" t="n">
        <x:v>5</x:v>
      </x:c>
      <x:c r="AM515"/>
      <x:c r="AN515" t="n">
        <x:f>IF(('Quantification_Results'!AK515&lt;&gt;1),"",IF(('Quantification_Results'!AM515=""),IF(ISNUMBER('Quantification_Results'!AL515),IF(('Quantification_Results'!AL515&lt;'Quantification_Config'!$S$15),"",IF(('Quantification_Results'!AL515&gt;'Quantification_Config'!$T$15),"",'Quantification_Results'!AL515)),""),IF(ISNUMBER('Quantification_Results'!AM515),IF(('Quantification_Results'!AM515&lt;'Quantification_Config'!$S$15),"",IF(('Quantification_Results'!AM515&gt;'Quantification_Config'!$T$15),"",'Quantification_Results'!AM515)),"")))</x:f>
        <x:v>5</x:v>
      </x:c>
      <x:c r="AO515" t="n">
        <x:f>IF(ISNUMBER('Quantification_Results'!AN515),IFERROR(ROUND(((('Quantification_Results'!AN515-'Quantification_Config'!$S$15)/('Quantification_Config'!$T$15-'Quantification_Config'!$S$15))*100),'Quantification_Config'!$U$2),""),"")</x:f>
        <x:v>50</x:v>
      </x:c>
      <x:c r="AP515" t="inlineStr">
        <x:is>
          <x:t xml:space="preserve">SYSTEM-TEST-ONLY-NO-NETWORK-NOT-AN-EDUCATIONAL-EVALUATION</x:t>
        </x:is>
      </x:c>
      <x:c r="AQ515" t="inlineStr">
        <x:is>
          <x:t xml:space="preserve"/>
        </x:is>
      </x:c>
      <x:c r="AR515" t="inlineStr">
        <x:is>
          <x:t xml:space="preserve">NONE</x:t>
        </x:is>
      </x:c>
      <x:c r="AS515" t="inlineStr">
        <x:is>
          <x:t xml:space="preserve"/>
        </x:is>
      </x:c>
      <x:c r="AT515" t="inlineStr">
        <x:is>
          <x:t xml:space="preserve">SUCCESS</x:t>
        </x:is>
      </x:c>
      <x:c r="AU515" t="n">
        <x:f>IF((COUNT('Quantification_Results'!AO515)=1),IFERROR(ROUND((SUM(('Quantification_Results'!AO515*'Quantification_Config'!$R$15))/SUM('Quantification_Config'!$R$15)),'Quantification_Config'!$U$2),""),"")</x:f>
        <x:v>50</x:v>
      </x:c>
      <x:c r="AV515" t="n">
        <x:f>IF((COUNT('Quantification_Results'!AU515)=1),IFERROR(ROUND((SUM(('Quantification_Results'!AU515*'Quantification_Config'!$R$14))/SUM('Quantification_Config'!$R$14)),'Quantification_Config'!$U$2),""),"")</x:f>
        <x:v>50</x:v>
      </x:c>
      <x:c r="AW515" t="n">
        <x:v>1</x:v>
      </x:c>
      <x:c r="AX515" t="n">
        <x:v>5</x:v>
      </x:c>
      <x:c r="AY515"/>
      <x:c r="AZ515" t="n">
        <x:f>IF(('Quantification_Results'!AW515&lt;&gt;1),"",IF(('Quantification_Results'!AY515=""),IF(ISNUMBER('Quantification_Results'!AX515),IF(('Quantification_Results'!AX515&lt;'Quantification_Config'!$S$19),"",IF(('Quantification_Results'!AX515&gt;'Quantification_Config'!$T$19),"",'Quantification_Results'!AX515)),""),IF(ISNUMBER('Quantification_Results'!AY515),IF(('Quantification_Results'!AY515&lt;'Quantification_Config'!$S$19),"",IF(('Quantification_Results'!AY515&gt;'Quantification_Config'!$T$19),"",'Quantification_Results'!AY515)),"")))</x:f>
        <x:v>5</x:v>
      </x:c>
      <x:c r="BA515" t="n">
        <x:f>IF(ISNUMBER('Quantification_Results'!AZ515),IFERROR(ROUND(((('Quantification_Results'!AZ515-'Quantification_Config'!$S$19)/('Quantification_Config'!$T$19-'Quantification_Config'!$S$19))*100),'Quantification_Config'!$U$2),""),"")</x:f>
        <x:v>50</x:v>
      </x:c>
      <x:c r="BB515" t="inlineStr">
        <x:is>
          <x:t xml:space="preserve">SYSTEM-TEST-ONLY-NO-NETWORK-NOT-AN-EDUCATIONAL-EVALUATION</x:t>
        </x:is>
      </x:c>
      <x:c r="BC515" t="inlineStr">
        <x:is>
          <x:t xml:space="preserve"/>
        </x:is>
      </x:c>
      <x:c r="BD515" t="inlineStr">
        <x:is>
          <x:t xml:space="preserve">NONE</x:t>
        </x:is>
      </x:c>
      <x:c r="BE515" t="inlineStr">
        <x:is>
          <x:t xml:space="preserve"/>
        </x:is>
      </x:c>
      <x:c r="BF515" t="inlineStr">
        <x:is>
          <x:t xml:space="preserve">SUCCESS</x:t>
        </x:is>
      </x:c>
      <x:c r="BG515" t="n">
        <x:f>IF((COUNT('Quantification_Results'!BA515)=1),IFERROR(ROUND((SUM(('Quantification_Results'!BA515*'Quantification_Config'!$R$19))/SUM('Quantification_Config'!$R$19)),'Quantification_Config'!$U$2),""),"")</x:f>
        <x:v>50</x:v>
      </x:c>
      <x:c r="BH515" t="n">
        <x:f>IF((COUNT('Quantification_Results'!BG515)=1),IFERROR(ROUND((SUM(('Quantification_Results'!BG515*'Quantification_Config'!$R$18))/SUM('Quantification_Config'!$R$18)),'Quantification_Config'!$U$2),""),"")</x:f>
        <x:v>50</x:v>
      </x:c>
      <x:c r="BI515">
        <x:f>IF((COUNT('Quantification_Results'!L515,'Quantification_Results'!X515,'Quantification_Results'!AJ515,'Quantification_Results'!AV515,'Quantification_Results'!BH515)=5),IFERROR(ROUND((SUM(('Quantification_Results'!L515*'Quantification_Config'!$R$4),('Quantification_Results'!X515*'Quantification_Config'!$R$7),('Quantification_Results'!AJ515*'Quantification_Config'!$R$10),('Quantification_Results'!AV515*'Quantification_Config'!$R$13),('Quantification_Results'!BH515*'Quantification_Config'!$R$16))/SUM('Quantification_Config'!$R$4,'Quantification_Config'!$R$7,'Quantification_Config'!$R$10,'Quantification_Config'!$R$13,'Quantification_Config'!$R$16)),'Quantification_Config'!$U$2),""),"")</x:f>
      </x:c>
    </x:row>
    <x:row r="516">
      <x:c r="A516" t="n">
        <x:v>1</x:v>
      </x:c>
      <x:c r="B516" t="n">
        <x:v>5</x:v>
      </x:c>
      <x:c r="C516"/>
      <x:c r="D516" t="n">
        <x:f>IF(('Quantification_Results'!A516&lt;&gt;1),"",IF(('Quantification_Results'!C516=""),IF(ISNUMBER('Quantification_Results'!B516),IF(('Quantification_Results'!B516&lt;'Quantification_Config'!$S$6),"",IF(('Quantification_Results'!B516&gt;'Quantification_Config'!$T$6),"",'Quantification_Results'!B516)),""),IF(ISNUMBER('Quantification_Results'!C516),IF(('Quantification_Results'!C516&lt;'Quantification_Config'!$S$6),"",IF(('Quantification_Results'!C516&gt;'Quantification_Config'!$T$6),"",'Quantification_Results'!C516)),"")))</x:f>
        <x:v>5</x:v>
      </x:c>
      <x:c r="E516" t="n">
        <x:f>IF(ISNUMBER('Quantification_Results'!D516),IFERROR(ROUND(((('Quantification_Results'!D516-'Quantification_Config'!$S$6)/('Quantification_Config'!$T$6-'Quantification_Config'!$S$6))*100),'Quantification_Config'!$U$2),""),"")</x:f>
        <x:v>50</x:v>
      </x:c>
      <x:c r="F516" t="inlineStr">
        <x:is>
          <x:t xml:space="preserve">SYSTEM-TEST-ONLY-NO-NETWORK-NOT-AN-EDUCATIONAL-EVALUATION</x:t>
        </x:is>
      </x:c>
      <x:c r="G516" t="inlineStr">
        <x:is>
          <x:t xml:space="preserve"/>
        </x:is>
      </x:c>
      <x:c r="H516" t="inlineStr">
        <x:is>
          <x:t xml:space="preserve">NONE</x:t>
        </x:is>
      </x:c>
      <x:c r="I516" t="inlineStr">
        <x:is>
          <x:t xml:space="preserve"/>
        </x:is>
      </x:c>
      <x:c r="J516" t="inlineStr">
        <x:is>
          <x:t xml:space="preserve">SUCCESS</x:t>
        </x:is>
      </x:c>
      <x:c r="K516" t="n">
        <x:f>IF((COUNT('Quantification_Results'!E516)=1),IFERROR(ROUND((SUM(('Quantification_Results'!E516*'Quantification_Config'!$R$6))/SUM('Quantification_Config'!$R$6)),'Quantification_Config'!$U$2),""),"")</x:f>
        <x:v>50</x:v>
      </x:c>
      <x:c r="L516" t="n">
        <x:f>IF((COUNT('Quantification_Results'!K516)=1),IFERROR(ROUND((SUM(('Quantification_Results'!K516*'Quantification_Config'!$R$5))/SUM('Quantification_Config'!$R$5)),'Quantification_Config'!$U$2),""),"")</x:f>
        <x:v>50</x:v>
      </x:c>
      <x:c r="M516" t="n">
        <x:v>1</x:v>
      </x:c>
      <x:c r="N516" t="n">
        <x:v>5</x:v>
      </x:c>
      <x:c r="O516"/>
      <x:c r="P516" t="n">
        <x:f>IF(('Quantification_Results'!M516&lt;&gt;1),"",IF(('Quantification_Results'!O516=""),IF(ISNUMBER('Quantification_Results'!N516),IF(('Quantification_Results'!N516&lt;'Quantification_Config'!$S$9),"",IF(('Quantification_Results'!N516&gt;'Quantification_Config'!$T$9),"",'Quantification_Results'!N516)),""),IF(ISNUMBER('Quantification_Results'!O516),IF(('Quantification_Results'!O516&lt;'Quantification_Config'!$S$9),"",IF(('Quantification_Results'!O516&gt;'Quantification_Config'!$T$9),"",'Quantification_Results'!O516)),"")))</x:f>
        <x:v>5</x:v>
      </x:c>
      <x:c r="Q516" t="n">
        <x:f>IF(ISNUMBER('Quantification_Results'!P516),IFERROR(ROUND(((('Quantification_Results'!P516-'Quantification_Config'!$S$9)/('Quantification_Config'!$T$9-'Quantification_Config'!$S$9))*100),'Quantification_Config'!$U$2),""),"")</x:f>
        <x:v>50</x:v>
      </x:c>
      <x:c r="R516" t="inlineStr">
        <x:is>
          <x:t xml:space="preserve">SYSTEM-TEST-ONLY-NO-NETWORK-NOT-AN-EDUCATIONAL-EVALUATION</x:t>
        </x:is>
      </x:c>
      <x:c r="S516" t="inlineStr">
        <x:is>
          <x:t xml:space="preserve"/>
        </x:is>
      </x:c>
      <x:c r="T516" t="inlineStr">
        <x:is>
          <x:t xml:space="preserve">NONE</x:t>
        </x:is>
      </x:c>
      <x:c r="U516" t="inlineStr">
        <x:is>
          <x:t xml:space="preserve"/>
        </x:is>
      </x:c>
      <x:c r="V516" t="inlineStr">
        <x:is>
          <x:t xml:space="preserve">SUCCESS</x:t>
        </x:is>
      </x:c>
      <x:c r="W516" t="n">
        <x:f>IF((COUNT('Quantification_Results'!Q516)=1),IFERROR(ROUND((SUM(('Quantification_Results'!Q516*'Quantification_Config'!$R$9))/SUM('Quantification_Config'!$R$9)),'Quantification_Config'!$U$2),""),"")</x:f>
        <x:v>50</x:v>
      </x:c>
      <x:c r="X516" t="n">
        <x:f>IF((COUNT('Quantification_Results'!W516)=1),IFERROR(ROUND((SUM(('Quantification_Results'!W516*'Quantification_Config'!$R$8))/SUM('Quantification_Config'!$R$8)),'Quantification_Config'!$U$2),""),"")</x:f>
        <x:v>50</x:v>
      </x:c>
      <x:c r="Y516" t="n">
        <x:v>1</x:v>
      </x:c>
      <x:c r="Z516" t="n">
        <x:v>5</x:v>
      </x:c>
      <x:c r="AA516"/>
      <x:c r="AB516" t="n">
        <x:f>IF(('Quantification_Results'!Y516&lt;&gt;1),"",IF(('Quantification_Results'!AA516=""),IF(ISNUMBER('Quantification_Results'!Z516),IF(('Quantification_Results'!Z516&lt;'Quantification_Config'!$S$12),"",IF(('Quantification_Results'!Z516&gt;'Quantification_Config'!$T$12),"",'Quantification_Results'!Z516)),""),IF(ISNUMBER('Quantification_Results'!AA516),IF(('Quantification_Results'!AA516&lt;'Quantification_Config'!$S$12),"",IF(('Quantification_Results'!AA516&gt;'Quantification_Config'!$T$12),"",'Quantification_Results'!AA516)),"")))</x:f>
        <x:v>5</x:v>
      </x:c>
      <x:c r="AC516" t="n">
        <x:f>IF(ISNUMBER('Quantification_Results'!AB516),IFERROR(ROUND(((('Quantification_Results'!AB516-'Quantification_Config'!$S$12)/('Quantification_Config'!$T$12-'Quantification_Config'!$S$12))*100),'Quantification_Config'!$U$2),""),"")</x:f>
        <x:v>50</x:v>
      </x:c>
      <x:c r="AD516" t="inlineStr">
        <x:is>
          <x:t xml:space="preserve">SYSTEM-TEST-ONLY-NO-NETWORK-NOT-AN-EDUCATIONAL-EVALUATION</x:t>
        </x:is>
      </x:c>
      <x:c r="AE516" t="inlineStr">
        <x:is>
          <x:t xml:space="preserve"/>
        </x:is>
      </x:c>
      <x:c r="AF516" t="inlineStr">
        <x:is>
          <x:t xml:space="preserve">NONE</x:t>
        </x:is>
      </x:c>
      <x:c r="AG516" t="inlineStr">
        <x:is>
          <x:t xml:space="preserve"/>
        </x:is>
      </x:c>
      <x:c r="AH516" t="inlineStr">
        <x:is>
          <x:t xml:space="preserve">SUCCESS</x:t>
        </x:is>
      </x:c>
      <x:c r="AI516" t="n">
        <x:f>IF((COUNT('Quantification_Results'!AC516)=1),IFERROR(ROUND((SUM(('Quantification_Results'!AC516*'Quantification_Config'!$R$12))/SUM('Quantification_Config'!$R$12)),'Quantification_Config'!$U$2),""),"")</x:f>
        <x:v>50</x:v>
      </x:c>
      <x:c r="AJ516" t="n">
        <x:f>IF((COUNT('Quantification_Results'!AI516)=1),IFERROR(ROUND((SUM(('Quantification_Results'!AI516*'Quantification_Config'!$R$11))/SUM('Quantification_Config'!$R$11)),'Quantification_Config'!$U$2),""),"")</x:f>
        <x:v>50</x:v>
      </x:c>
      <x:c r="AK516" t="n">
        <x:v>1</x:v>
      </x:c>
      <x:c r="AL516" t="n">
        <x:v>5</x:v>
      </x:c>
      <x:c r="AM516"/>
      <x:c r="AN516" t="n">
        <x:f>IF(('Quantification_Results'!AK516&lt;&gt;1),"",IF(('Quantification_Results'!AM516=""),IF(ISNUMBER('Quantification_Results'!AL516),IF(('Quantification_Results'!AL516&lt;'Quantification_Config'!$S$15),"",IF(('Quantification_Results'!AL516&gt;'Quantification_Config'!$T$15),"",'Quantification_Results'!AL516)),""),IF(ISNUMBER('Quantification_Results'!AM516),IF(('Quantification_Results'!AM516&lt;'Quantification_Config'!$S$15),"",IF(('Quantification_Results'!AM516&gt;'Quantification_Config'!$T$15),"",'Quantification_Results'!AM516)),"")))</x:f>
        <x:v>5</x:v>
      </x:c>
      <x:c r="AO516" t="n">
        <x:f>IF(ISNUMBER('Quantification_Results'!AN516),IFERROR(ROUND(((('Quantification_Results'!AN516-'Quantification_Config'!$S$15)/('Quantification_Config'!$T$15-'Quantification_Config'!$S$15))*100),'Quantification_Config'!$U$2),""),"")</x:f>
        <x:v>50</x:v>
      </x:c>
      <x:c r="AP516" t="inlineStr">
        <x:is>
          <x:t xml:space="preserve">SYSTEM-TEST-ONLY-NO-NETWORK-NOT-AN-EDUCATIONAL-EVALUATION</x:t>
        </x:is>
      </x:c>
      <x:c r="AQ516" t="inlineStr">
        <x:is>
          <x:t xml:space="preserve"/>
        </x:is>
      </x:c>
      <x:c r="AR516" t="inlineStr">
        <x:is>
          <x:t xml:space="preserve">NONE</x:t>
        </x:is>
      </x:c>
      <x:c r="AS516" t="inlineStr">
        <x:is>
          <x:t xml:space="preserve"/>
        </x:is>
      </x:c>
      <x:c r="AT516" t="inlineStr">
        <x:is>
          <x:t xml:space="preserve">SUCCESS</x:t>
        </x:is>
      </x:c>
      <x:c r="AU516" t="n">
        <x:f>IF((COUNT('Quantification_Results'!AO516)=1),IFERROR(ROUND((SUM(('Quantification_Results'!AO516*'Quantification_Config'!$R$15))/SUM('Quantification_Config'!$R$15)),'Quantification_Config'!$U$2),""),"")</x:f>
        <x:v>50</x:v>
      </x:c>
      <x:c r="AV516" t="n">
        <x:f>IF((COUNT('Quantification_Results'!AU516)=1),IFERROR(ROUND((SUM(('Quantification_Results'!AU516*'Quantification_Config'!$R$14))/SUM('Quantification_Config'!$R$14)),'Quantification_Config'!$U$2),""),"")</x:f>
        <x:v>50</x:v>
      </x:c>
      <x:c r="AW516" t="n">
        <x:v>1</x:v>
      </x:c>
      <x:c r="AX516" t="n">
        <x:v>5</x:v>
      </x:c>
      <x:c r="AY516"/>
      <x:c r="AZ516" t="n">
        <x:f>IF(('Quantification_Results'!AW516&lt;&gt;1),"",IF(('Quantification_Results'!AY516=""),IF(ISNUMBER('Quantification_Results'!AX516),IF(('Quantification_Results'!AX516&lt;'Quantification_Config'!$S$19),"",IF(('Quantification_Results'!AX516&gt;'Quantification_Config'!$T$19),"",'Quantification_Results'!AX516)),""),IF(ISNUMBER('Quantification_Results'!AY516),IF(('Quantification_Results'!AY516&lt;'Quantification_Config'!$S$19),"",IF(('Quantification_Results'!AY516&gt;'Quantification_Config'!$T$19),"",'Quantification_Results'!AY516)),"")))</x:f>
        <x:v>5</x:v>
      </x:c>
      <x:c r="BA516" t="n">
        <x:f>IF(ISNUMBER('Quantification_Results'!AZ516),IFERROR(ROUND(((('Quantification_Results'!AZ516-'Quantification_Config'!$S$19)/('Quantification_Config'!$T$19-'Quantification_Config'!$S$19))*100),'Quantification_Config'!$U$2),""),"")</x:f>
        <x:v>50</x:v>
      </x:c>
      <x:c r="BB516" t="inlineStr">
        <x:is>
          <x:t xml:space="preserve">SYSTEM-TEST-ONLY-NO-NETWORK-NOT-AN-EDUCATIONAL-EVALUATION</x:t>
        </x:is>
      </x:c>
      <x:c r="BC516" t="inlineStr">
        <x:is>
          <x:t xml:space="preserve"/>
        </x:is>
      </x:c>
      <x:c r="BD516" t="inlineStr">
        <x:is>
          <x:t xml:space="preserve">NONE</x:t>
        </x:is>
      </x:c>
      <x:c r="BE516" t="inlineStr">
        <x:is>
          <x:t xml:space="preserve"/>
        </x:is>
      </x:c>
      <x:c r="BF516" t="inlineStr">
        <x:is>
          <x:t xml:space="preserve">SUCCESS</x:t>
        </x:is>
      </x:c>
      <x:c r="BG516" t="n">
        <x:f>IF((COUNT('Quantification_Results'!BA516)=1),IFERROR(ROUND((SUM(('Quantification_Results'!BA516*'Quantification_Config'!$R$19))/SUM('Quantification_Config'!$R$19)),'Quantification_Config'!$U$2),""),"")</x:f>
        <x:v>50</x:v>
      </x:c>
      <x:c r="BH516" t="n">
        <x:f>IF((COUNT('Quantification_Results'!BG516)=1),IFERROR(ROUND((SUM(('Quantification_Results'!BG516*'Quantification_Config'!$R$18))/SUM('Quantification_Config'!$R$18)),'Quantification_Config'!$U$2),""),"")</x:f>
        <x:v>50</x:v>
      </x:c>
      <x:c r="BI516" t="n">
        <x:f>IF((COUNT('Quantification_Results'!L516,'Quantification_Results'!X516,'Quantification_Results'!AJ516,'Quantification_Results'!AV516,'Quantification_Results'!BH516)=5),IFERROR(ROUND((SUM(('Quantification_Results'!L516*'Quantification_Config'!$R$4),('Quantification_Results'!X516*'Quantification_Config'!$R$7),('Quantification_Results'!AJ516*'Quantification_Config'!$R$10),('Quantification_Results'!AV516*'Quantification_Config'!$R$13),('Quantification_Results'!BH516*'Quantification_Config'!$R$16))/SUM('Quantification_Config'!$R$4,'Quantification_Config'!$R$7,'Quantification_Config'!$R$10,'Quantification_Config'!$R$13,'Quantification_Config'!$R$16)),'Quantification_Config'!$U$2),""),"")</x:f>
        <x:v>50</x:v>
      </x:c>
    </x:row>
    <x:row r="517">
      <x:c r="A517" t="n">
        <x:v>1</x:v>
      </x:c>
      <x:c r="B517" t="n">
        <x:v>5</x:v>
      </x:c>
      <x:c r="C517"/>
      <x:c r="D517" t="n">
        <x:f>IF(('Quantification_Results'!A517&lt;&gt;1),"",IF(('Quantification_Results'!C517=""),IF(ISNUMBER('Quantification_Results'!B517),IF(('Quantification_Results'!B517&lt;'Quantification_Config'!$S$6),"",IF(('Quantification_Results'!B517&gt;'Quantification_Config'!$T$6),"",'Quantification_Results'!B517)),""),IF(ISNUMBER('Quantification_Results'!C517),IF(('Quantification_Results'!C517&lt;'Quantification_Config'!$S$6),"",IF(('Quantification_Results'!C517&gt;'Quantification_Config'!$T$6),"",'Quantification_Results'!C517)),"")))</x:f>
        <x:v>5</x:v>
      </x:c>
      <x:c r="E517" t="n">
        <x:f>IF(ISNUMBER('Quantification_Results'!D517),IFERROR(ROUND(((('Quantification_Results'!D517-'Quantification_Config'!$S$6)/('Quantification_Config'!$T$6-'Quantification_Config'!$S$6))*100),'Quantification_Config'!$U$2),""),"")</x:f>
        <x:v>50</x:v>
      </x:c>
      <x:c r="F517" t="inlineStr">
        <x:is>
          <x:t xml:space="preserve">SYSTEM-TEST-ONLY-NO-NETWORK-NOT-AN-EDUCATIONAL-EVALUATION</x:t>
        </x:is>
      </x:c>
      <x:c r="G517" t="inlineStr">
        <x:is>
          <x:t xml:space="preserve"/>
        </x:is>
      </x:c>
      <x:c r="H517" t="inlineStr">
        <x:is>
          <x:t xml:space="preserve">NONE</x:t>
        </x:is>
      </x:c>
      <x:c r="I517" t="inlineStr">
        <x:is>
          <x:t xml:space="preserve"/>
        </x:is>
      </x:c>
      <x:c r="J517" t="inlineStr">
        <x:is>
          <x:t xml:space="preserve">SUCCESS</x:t>
        </x:is>
      </x:c>
      <x:c r="K517" t="n">
        <x:f>IF((COUNT('Quantification_Results'!E517)=1),IFERROR(ROUND((SUM(('Quantification_Results'!E517*'Quantification_Config'!$R$6))/SUM('Quantification_Config'!$R$6)),'Quantification_Config'!$U$2),""),"")</x:f>
        <x:v>50</x:v>
      </x:c>
      <x:c r="L517" t="n">
        <x:f>IF((COUNT('Quantification_Results'!K517)=1),IFERROR(ROUND((SUM(('Quantification_Results'!K517*'Quantification_Config'!$R$5))/SUM('Quantification_Config'!$R$5)),'Quantification_Config'!$U$2),""),"")</x:f>
        <x:v>50</x:v>
      </x:c>
      <x:c r="M517" t="n">
        <x:v>1</x:v>
      </x:c>
      <x:c r="N517" t="n">
        <x:v>5</x:v>
      </x:c>
      <x:c r="O517"/>
      <x:c r="P517" t="n">
        <x:f>IF(('Quantification_Results'!M517&lt;&gt;1),"",IF(('Quantification_Results'!O517=""),IF(ISNUMBER('Quantification_Results'!N517),IF(('Quantification_Results'!N517&lt;'Quantification_Config'!$S$9),"",IF(('Quantification_Results'!N517&gt;'Quantification_Config'!$T$9),"",'Quantification_Results'!N517)),""),IF(ISNUMBER('Quantification_Results'!O517),IF(('Quantification_Results'!O517&lt;'Quantification_Config'!$S$9),"",IF(('Quantification_Results'!O517&gt;'Quantification_Config'!$T$9),"",'Quantification_Results'!O517)),"")))</x:f>
        <x:v>5</x:v>
      </x:c>
      <x:c r="Q517" t="n">
        <x:f>IF(ISNUMBER('Quantification_Results'!P517),IFERROR(ROUND(((('Quantification_Results'!P517-'Quantification_Config'!$S$9)/('Quantification_Config'!$T$9-'Quantification_Config'!$S$9))*100),'Quantification_Config'!$U$2),""),"")</x:f>
        <x:v>50</x:v>
      </x:c>
      <x:c r="R517" t="inlineStr">
        <x:is>
          <x:t xml:space="preserve">SYSTEM-TEST-ONLY-NO-NETWORK-NOT-AN-EDUCATIONAL-EVALUATION</x:t>
        </x:is>
      </x:c>
      <x:c r="S517" t="inlineStr">
        <x:is>
          <x:t xml:space="preserve"/>
        </x:is>
      </x:c>
      <x:c r="T517" t="inlineStr">
        <x:is>
          <x:t xml:space="preserve">NONE</x:t>
        </x:is>
      </x:c>
      <x:c r="U517" t="inlineStr">
        <x:is>
          <x:t xml:space="preserve"/>
        </x:is>
      </x:c>
      <x:c r="V517" t="inlineStr">
        <x:is>
          <x:t xml:space="preserve">SUCCESS</x:t>
        </x:is>
      </x:c>
      <x:c r="W517" t="n">
        <x:f>IF((COUNT('Quantification_Results'!Q517)=1),IFERROR(ROUND((SUM(('Quantification_Results'!Q517*'Quantification_Config'!$R$9))/SUM('Quantification_Config'!$R$9)),'Quantification_Config'!$U$2),""),"")</x:f>
        <x:v>50</x:v>
      </x:c>
      <x:c r="X517" t="n">
        <x:f>IF((COUNT('Quantification_Results'!W517)=1),IFERROR(ROUND((SUM(('Quantification_Results'!W517*'Quantification_Config'!$R$8))/SUM('Quantification_Config'!$R$8)),'Quantification_Config'!$U$2),""),"")</x:f>
        <x:v>50</x:v>
      </x:c>
      <x:c r="Y517" t="n">
        <x:v>0</x:v>
      </x:c>
      <x:c r="Z517"/>
      <x:c r="AA517"/>
      <x:c r="AB517">
        <x:f>IF(('Quantification_Results'!Y517&lt;&gt;1),"",IF(('Quantification_Results'!AA517=""),IF(ISNUMBER('Quantification_Results'!Z517),IF(('Quantification_Results'!Z517&lt;'Quantification_Config'!$S$12),"",IF(('Quantification_Results'!Z517&gt;'Quantification_Config'!$T$12),"",'Quantification_Results'!Z517)),""),IF(ISNUMBER('Quantification_Results'!AA517),IF(('Quantification_Results'!AA517&lt;'Quantification_Config'!$S$12),"",IF(('Quantification_Results'!AA517&gt;'Quantification_Config'!$T$12),"",'Quantification_Results'!AA517)),"")))</x:f>
      </x:c>
      <x:c r="AC517">
        <x:f>IF(ISNUMBER('Quantification_Results'!AB517),IFERROR(ROUND(((('Quantification_Results'!AB517-'Quantification_Config'!$S$12)/('Quantification_Config'!$T$12-'Quantification_Config'!$S$12))*100),'Quantification_Config'!$U$2),""),"")</x:f>
      </x:c>
      <x:c r="AD517" t="inlineStr">
        <x:is>
          <x:t xml:space="preserve"/>
        </x:is>
      </x:c>
      <x:c r="AE517" t="inlineStr">
        <x:is>
          <x:t xml:space="preserve"/>
        </x:is>
      </x:c>
      <x:c r="AF517" t="inlineStr">
        <x:is>
          <x:t xml:space="preserve"/>
        </x:is>
      </x:c>
      <x:c r="AG517" t="inlineStr">
        <x:is>
          <x:t xml:space="preserve"/>
        </x:is>
      </x:c>
      <x:c r="AH517" t="inlineStr">
        <x:is>
          <x:t xml:space="preserve">EMPTY</x:t>
        </x:is>
      </x:c>
      <x:c r="AI517">
        <x:f>IF((COUNT('Quantification_Results'!AC517)=1),IFERROR(ROUND((SUM(('Quantification_Results'!AC517*'Quantification_Config'!$R$12))/SUM('Quantification_Config'!$R$12)),'Quantification_Config'!$U$2),""),"")</x:f>
      </x:c>
      <x:c r="AJ517">
        <x:f>IF((COUNT('Quantification_Results'!AI517)=1),IFERROR(ROUND((SUM(('Quantification_Results'!AI517*'Quantification_Config'!$R$11))/SUM('Quantification_Config'!$R$11)),'Quantification_Config'!$U$2),""),"")</x:f>
      </x:c>
      <x:c r="AK517" t="n">
        <x:v>1</x:v>
      </x:c>
      <x:c r="AL517" t="n">
        <x:v>5</x:v>
      </x:c>
      <x:c r="AM517"/>
      <x:c r="AN517" t="n">
        <x:f>IF(('Quantification_Results'!AK517&lt;&gt;1),"",IF(('Quantification_Results'!AM517=""),IF(ISNUMBER('Quantification_Results'!AL517),IF(('Quantification_Results'!AL517&lt;'Quantification_Config'!$S$15),"",IF(('Quantification_Results'!AL517&gt;'Quantification_Config'!$T$15),"",'Quantification_Results'!AL517)),""),IF(ISNUMBER('Quantification_Results'!AM517),IF(('Quantification_Results'!AM517&lt;'Quantification_Config'!$S$15),"",IF(('Quantification_Results'!AM517&gt;'Quantification_Config'!$T$15),"",'Quantification_Results'!AM517)),"")))</x:f>
        <x:v>5</x:v>
      </x:c>
      <x:c r="AO517" t="n">
        <x:f>IF(ISNUMBER('Quantification_Results'!AN517),IFERROR(ROUND(((('Quantification_Results'!AN517-'Quantification_Config'!$S$15)/('Quantification_Config'!$T$15-'Quantification_Config'!$S$15))*100),'Quantification_Config'!$U$2),""),"")</x:f>
        <x:v>50</x:v>
      </x:c>
      <x:c r="AP517" t="inlineStr">
        <x:is>
          <x:t xml:space="preserve">SYSTEM-TEST-ONLY-NO-NETWORK-NOT-AN-EDUCATIONAL-EVALUATION</x:t>
        </x:is>
      </x:c>
      <x:c r="AQ517" t="inlineStr">
        <x:is>
          <x:t xml:space="preserve"/>
        </x:is>
      </x:c>
      <x:c r="AR517" t="inlineStr">
        <x:is>
          <x:t xml:space="preserve">NONE</x:t>
        </x:is>
      </x:c>
      <x:c r="AS517" t="inlineStr">
        <x:is>
          <x:t xml:space="preserve"/>
        </x:is>
      </x:c>
      <x:c r="AT517" t="inlineStr">
        <x:is>
          <x:t xml:space="preserve">SUCCESS</x:t>
        </x:is>
      </x:c>
      <x:c r="AU517" t="n">
        <x:f>IF((COUNT('Quantification_Results'!AO517)=1),IFERROR(ROUND((SUM(('Quantification_Results'!AO517*'Quantification_Config'!$R$15))/SUM('Quantification_Config'!$R$15)),'Quantification_Config'!$U$2),""),"")</x:f>
        <x:v>50</x:v>
      </x:c>
      <x:c r="AV517" t="n">
        <x:f>IF((COUNT('Quantification_Results'!AU517)=1),IFERROR(ROUND((SUM(('Quantification_Results'!AU517*'Quantification_Config'!$R$14))/SUM('Quantification_Config'!$R$14)),'Quantification_Config'!$U$2),""),"")</x:f>
        <x:v>50</x:v>
      </x:c>
      <x:c r="AW517" t="n">
        <x:v>1</x:v>
      </x:c>
      <x:c r="AX517" t="n">
        <x:v>5</x:v>
      </x:c>
      <x:c r="AY517"/>
      <x:c r="AZ517" t="n">
        <x:f>IF(('Quantification_Results'!AW517&lt;&gt;1),"",IF(('Quantification_Results'!AY517=""),IF(ISNUMBER('Quantification_Results'!AX517),IF(('Quantification_Results'!AX517&lt;'Quantification_Config'!$S$19),"",IF(('Quantification_Results'!AX517&gt;'Quantification_Config'!$T$19),"",'Quantification_Results'!AX517)),""),IF(ISNUMBER('Quantification_Results'!AY517),IF(('Quantification_Results'!AY517&lt;'Quantification_Config'!$S$19),"",IF(('Quantification_Results'!AY517&gt;'Quantification_Config'!$T$19),"",'Quantification_Results'!AY517)),"")))</x:f>
        <x:v>5</x:v>
      </x:c>
      <x:c r="BA517" t="n">
        <x:f>IF(ISNUMBER('Quantification_Results'!AZ517),IFERROR(ROUND(((('Quantification_Results'!AZ517-'Quantification_Config'!$S$19)/('Quantification_Config'!$T$19-'Quantification_Config'!$S$19))*100),'Quantification_Config'!$U$2),""),"")</x:f>
        <x:v>50</x:v>
      </x:c>
      <x:c r="BB517" t="inlineStr">
        <x:is>
          <x:t xml:space="preserve">SYSTEM-TEST-ONLY-NO-NETWORK-NOT-AN-EDUCATIONAL-EVALUATION</x:t>
        </x:is>
      </x:c>
      <x:c r="BC517" t="inlineStr">
        <x:is>
          <x:t xml:space="preserve"/>
        </x:is>
      </x:c>
      <x:c r="BD517" t="inlineStr">
        <x:is>
          <x:t xml:space="preserve">NONE</x:t>
        </x:is>
      </x:c>
      <x:c r="BE517" t="inlineStr">
        <x:is>
          <x:t xml:space="preserve"/>
        </x:is>
      </x:c>
      <x:c r="BF517" t="inlineStr">
        <x:is>
          <x:t xml:space="preserve">SUCCESS</x:t>
        </x:is>
      </x:c>
      <x:c r="BG517" t="n">
        <x:f>IF((COUNT('Quantification_Results'!BA517)=1),IFERROR(ROUND((SUM(('Quantification_Results'!BA517*'Quantification_Config'!$R$19))/SUM('Quantification_Config'!$R$19)),'Quantification_Config'!$U$2),""),"")</x:f>
        <x:v>50</x:v>
      </x:c>
      <x:c r="BH517" t="n">
        <x:f>IF((COUNT('Quantification_Results'!BG517)=1),IFERROR(ROUND((SUM(('Quantification_Results'!BG517*'Quantification_Config'!$R$18))/SUM('Quantification_Config'!$R$18)),'Quantification_Config'!$U$2),""),"")</x:f>
        <x:v>50</x:v>
      </x:c>
      <x:c r="BI517">
        <x:f>IF((COUNT('Quantification_Results'!L517,'Quantification_Results'!X517,'Quantification_Results'!AJ517,'Quantification_Results'!AV517,'Quantification_Results'!BH517)=5),IFERROR(ROUND((SUM(('Quantification_Results'!L517*'Quantification_Config'!$R$4),('Quantification_Results'!X517*'Quantification_Config'!$R$7),('Quantification_Results'!AJ517*'Quantification_Config'!$R$10),('Quantification_Results'!AV517*'Quantification_Config'!$R$13),('Quantification_Results'!BH517*'Quantification_Config'!$R$16))/SUM('Quantification_Config'!$R$4,'Quantification_Config'!$R$7,'Quantification_Config'!$R$10,'Quantification_Config'!$R$13,'Quantification_Config'!$R$16)),'Quantification_Config'!$U$2),""),"")</x:f>
      </x:c>
    </x:row>
    <x:row r="518">
      <x:c r="A518" t="n">
        <x:v>1</x:v>
      </x:c>
      <x:c r="B518" t="n">
        <x:v>5</x:v>
      </x:c>
      <x:c r="C518"/>
      <x:c r="D518" t="n">
        <x:f>IF(('Quantification_Results'!A518&lt;&gt;1),"",IF(('Quantification_Results'!C518=""),IF(ISNUMBER('Quantification_Results'!B518),IF(('Quantification_Results'!B518&lt;'Quantification_Config'!$S$6),"",IF(('Quantification_Results'!B518&gt;'Quantification_Config'!$T$6),"",'Quantification_Results'!B518)),""),IF(ISNUMBER('Quantification_Results'!C518),IF(('Quantification_Results'!C518&lt;'Quantification_Config'!$S$6),"",IF(('Quantification_Results'!C518&gt;'Quantification_Config'!$T$6),"",'Quantification_Results'!C518)),"")))</x:f>
        <x:v>5</x:v>
      </x:c>
      <x:c r="E518" t="n">
        <x:f>IF(ISNUMBER('Quantification_Results'!D518),IFERROR(ROUND(((('Quantification_Results'!D518-'Quantification_Config'!$S$6)/('Quantification_Config'!$T$6-'Quantification_Config'!$S$6))*100),'Quantification_Config'!$U$2),""),"")</x:f>
        <x:v>50</x:v>
      </x:c>
      <x:c r="F518" t="inlineStr">
        <x:is>
          <x:t xml:space="preserve">SYSTEM-TEST-ONLY-NO-NETWORK-NOT-AN-EDUCATIONAL-EVALUATION</x:t>
        </x:is>
      </x:c>
      <x:c r="G518" t="inlineStr">
        <x:is>
          <x:t xml:space="preserve"/>
        </x:is>
      </x:c>
      <x:c r="H518" t="inlineStr">
        <x:is>
          <x:t xml:space="preserve">NONE</x:t>
        </x:is>
      </x:c>
      <x:c r="I518" t="inlineStr">
        <x:is>
          <x:t xml:space="preserve"/>
        </x:is>
      </x:c>
      <x:c r="J518" t="inlineStr">
        <x:is>
          <x:t xml:space="preserve">SUCCESS</x:t>
        </x:is>
      </x:c>
      <x:c r="K518" t="n">
        <x:f>IF((COUNT('Quantification_Results'!E518)=1),IFERROR(ROUND((SUM(('Quantification_Results'!E518*'Quantification_Config'!$R$6))/SUM('Quantification_Config'!$R$6)),'Quantification_Config'!$U$2),""),"")</x:f>
        <x:v>50</x:v>
      </x:c>
      <x:c r="L518" t="n">
        <x:f>IF((COUNT('Quantification_Results'!K518)=1),IFERROR(ROUND((SUM(('Quantification_Results'!K518*'Quantification_Config'!$R$5))/SUM('Quantification_Config'!$R$5)),'Quantification_Config'!$U$2),""),"")</x:f>
        <x:v>50</x:v>
      </x:c>
      <x:c r="M518" t="n">
        <x:v>1</x:v>
      </x:c>
      <x:c r="N518" t="n">
        <x:v>5</x:v>
      </x:c>
      <x:c r="O518"/>
      <x:c r="P518" t="n">
        <x:f>IF(('Quantification_Results'!M518&lt;&gt;1),"",IF(('Quantification_Results'!O518=""),IF(ISNUMBER('Quantification_Results'!N518),IF(('Quantification_Results'!N518&lt;'Quantification_Config'!$S$9),"",IF(('Quantification_Results'!N518&gt;'Quantification_Config'!$T$9),"",'Quantification_Results'!N518)),""),IF(ISNUMBER('Quantification_Results'!O518),IF(('Quantification_Results'!O518&lt;'Quantification_Config'!$S$9),"",IF(('Quantification_Results'!O518&gt;'Quantification_Config'!$T$9),"",'Quantification_Results'!O518)),"")))</x:f>
        <x:v>5</x:v>
      </x:c>
      <x:c r="Q518" t="n">
        <x:f>IF(ISNUMBER('Quantification_Results'!P518),IFERROR(ROUND(((('Quantification_Results'!P518-'Quantification_Config'!$S$9)/('Quantification_Config'!$T$9-'Quantification_Config'!$S$9))*100),'Quantification_Config'!$U$2),""),"")</x:f>
        <x:v>50</x:v>
      </x:c>
      <x:c r="R518" t="inlineStr">
        <x:is>
          <x:t xml:space="preserve">SYSTEM-TEST-ONLY-NO-NETWORK-NOT-AN-EDUCATIONAL-EVALUATION</x:t>
        </x:is>
      </x:c>
      <x:c r="S518" t="inlineStr">
        <x:is>
          <x:t xml:space="preserve"/>
        </x:is>
      </x:c>
      <x:c r="T518" t="inlineStr">
        <x:is>
          <x:t xml:space="preserve">NONE</x:t>
        </x:is>
      </x:c>
      <x:c r="U518" t="inlineStr">
        <x:is>
          <x:t xml:space="preserve"/>
        </x:is>
      </x:c>
      <x:c r="V518" t="inlineStr">
        <x:is>
          <x:t xml:space="preserve">SUCCESS</x:t>
        </x:is>
      </x:c>
      <x:c r="W518" t="n">
        <x:f>IF((COUNT('Quantification_Results'!Q518)=1),IFERROR(ROUND((SUM(('Quantification_Results'!Q518*'Quantification_Config'!$R$9))/SUM('Quantification_Config'!$R$9)),'Quantification_Config'!$U$2),""),"")</x:f>
        <x:v>50</x:v>
      </x:c>
      <x:c r="X518" t="n">
        <x:f>IF((COUNT('Quantification_Results'!W518)=1),IFERROR(ROUND((SUM(('Quantification_Results'!W518*'Quantification_Config'!$R$8))/SUM('Quantification_Config'!$R$8)),'Quantification_Config'!$U$2),""),"")</x:f>
        <x:v>50</x:v>
      </x:c>
      <x:c r="Y518" t="n">
        <x:v>0</x:v>
      </x:c>
      <x:c r="Z518"/>
      <x:c r="AA518"/>
      <x:c r="AB518">
        <x:f>IF(('Quantification_Results'!Y518&lt;&gt;1),"",IF(('Quantification_Results'!AA518=""),IF(ISNUMBER('Quantification_Results'!Z518),IF(('Quantification_Results'!Z518&lt;'Quantification_Config'!$S$12),"",IF(('Quantification_Results'!Z518&gt;'Quantification_Config'!$T$12),"",'Quantification_Results'!Z518)),""),IF(ISNUMBER('Quantification_Results'!AA518),IF(('Quantification_Results'!AA518&lt;'Quantification_Config'!$S$12),"",IF(('Quantification_Results'!AA518&gt;'Quantification_Config'!$T$12),"",'Quantification_Results'!AA518)),"")))</x:f>
      </x:c>
      <x:c r="AC518">
        <x:f>IF(ISNUMBER('Quantification_Results'!AB518),IFERROR(ROUND(((('Quantification_Results'!AB518-'Quantification_Config'!$S$12)/('Quantification_Config'!$T$12-'Quantification_Config'!$S$12))*100),'Quantification_Config'!$U$2),""),"")</x:f>
      </x:c>
      <x:c r="AD518" t="inlineStr">
        <x:is>
          <x:t xml:space="preserve"/>
        </x:is>
      </x:c>
      <x:c r="AE518" t="inlineStr">
        <x:is>
          <x:t xml:space="preserve"/>
        </x:is>
      </x:c>
      <x:c r="AF518" t="inlineStr">
        <x:is>
          <x:t xml:space="preserve"/>
        </x:is>
      </x:c>
      <x:c r="AG518" t="inlineStr">
        <x:is>
          <x:t xml:space="preserve"/>
        </x:is>
      </x:c>
      <x:c r="AH518" t="inlineStr">
        <x:is>
          <x:t xml:space="preserve">EMPTY</x:t>
        </x:is>
      </x:c>
      <x:c r="AI518">
        <x:f>IF((COUNT('Quantification_Results'!AC518)=1),IFERROR(ROUND((SUM(('Quantification_Results'!AC518*'Quantification_Config'!$R$12))/SUM('Quantification_Config'!$R$12)),'Quantification_Config'!$U$2),""),"")</x:f>
      </x:c>
      <x:c r="AJ518">
        <x:f>IF((COUNT('Quantification_Results'!AI518)=1),IFERROR(ROUND((SUM(('Quantification_Results'!AI518*'Quantification_Config'!$R$11))/SUM('Quantification_Config'!$R$11)),'Quantification_Config'!$U$2),""),"")</x:f>
      </x:c>
      <x:c r="AK518" t="n">
        <x:v>1</x:v>
      </x:c>
      <x:c r="AL518" t="n">
        <x:v>5</x:v>
      </x:c>
      <x:c r="AM518"/>
      <x:c r="AN518" t="n">
        <x:f>IF(('Quantification_Results'!AK518&lt;&gt;1),"",IF(('Quantification_Results'!AM518=""),IF(ISNUMBER('Quantification_Results'!AL518),IF(('Quantification_Results'!AL518&lt;'Quantification_Config'!$S$15),"",IF(('Quantification_Results'!AL518&gt;'Quantification_Config'!$T$15),"",'Quantification_Results'!AL518)),""),IF(ISNUMBER('Quantification_Results'!AM518),IF(('Quantification_Results'!AM518&lt;'Quantification_Config'!$S$15),"",IF(('Quantification_Results'!AM518&gt;'Quantification_Config'!$T$15),"",'Quantification_Results'!AM518)),"")))</x:f>
        <x:v>5</x:v>
      </x:c>
      <x:c r="AO518" t="n">
        <x:f>IF(ISNUMBER('Quantification_Results'!AN518),IFERROR(ROUND(((('Quantification_Results'!AN518-'Quantification_Config'!$S$15)/('Quantification_Config'!$T$15-'Quantification_Config'!$S$15))*100),'Quantification_Config'!$U$2),""),"")</x:f>
        <x:v>50</x:v>
      </x:c>
      <x:c r="AP518" t="inlineStr">
        <x:is>
          <x:t xml:space="preserve">SYSTEM-TEST-ONLY-NO-NETWORK-NOT-AN-EDUCATIONAL-EVALUATION</x:t>
        </x:is>
      </x:c>
      <x:c r="AQ518" t="inlineStr">
        <x:is>
          <x:t xml:space="preserve"/>
        </x:is>
      </x:c>
      <x:c r="AR518" t="inlineStr">
        <x:is>
          <x:t xml:space="preserve">NONE</x:t>
        </x:is>
      </x:c>
      <x:c r="AS518" t="inlineStr">
        <x:is>
          <x:t xml:space="preserve"/>
        </x:is>
      </x:c>
      <x:c r="AT518" t="inlineStr">
        <x:is>
          <x:t xml:space="preserve">SUCCESS</x:t>
        </x:is>
      </x:c>
      <x:c r="AU518" t="n">
        <x:f>IF((COUNT('Quantification_Results'!AO518)=1),IFERROR(ROUND((SUM(('Quantification_Results'!AO518*'Quantification_Config'!$R$15))/SUM('Quantification_Config'!$R$15)),'Quantification_Config'!$U$2),""),"")</x:f>
        <x:v>50</x:v>
      </x:c>
      <x:c r="AV518" t="n">
        <x:f>IF((COUNT('Quantification_Results'!AU518)=1),IFERROR(ROUND((SUM(('Quantification_Results'!AU518*'Quantification_Config'!$R$14))/SUM('Quantification_Config'!$R$14)),'Quantification_Config'!$U$2),""),"")</x:f>
        <x:v>50</x:v>
      </x:c>
      <x:c r="AW518" t="n">
        <x:v>1</x:v>
      </x:c>
      <x:c r="AX518" t="n">
        <x:v>5</x:v>
      </x:c>
      <x:c r="AY518"/>
      <x:c r="AZ518" t="n">
        <x:f>IF(('Quantification_Results'!AW518&lt;&gt;1),"",IF(('Quantification_Results'!AY518=""),IF(ISNUMBER('Quantification_Results'!AX518),IF(('Quantification_Results'!AX518&lt;'Quantification_Config'!$S$19),"",IF(('Quantification_Results'!AX518&gt;'Quantification_Config'!$T$19),"",'Quantification_Results'!AX518)),""),IF(ISNUMBER('Quantification_Results'!AY518),IF(('Quantification_Results'!AY518&lt;'Quantification_Config'!$S$19),"",IF(('Quantification_Results'!AY518&gt;'Quantification_Config'!$T$19),"",'Quantification_Results'!AY518)),"")))</x:f>
        <x:v>5</x:v>
      </x:c>
      <x:c r="BA518" t="n">
        <x:f>IF(ISNUMBER('Quantification_Results'!AZ518),IFERROR(ROUND(((('Quantification_Results'!AZ518-'Quantification_Config'!$S$19)/('Quantification_Config'!$T$19-'Quantification_Config'!$S$19))*100),'Quantification_Config'!$U$2),""),"")</x:f>
        <x:v>50</x:v>
      </x:c>
      <x:c r="BB518" t="inlineStr">
        <x:is>
          <x:t xml:space="preserve">SYSTEM-TEST-ONLY-NO-NETWORK-NOT-AN-EDUCATIONAL-EVALUATION</x:t>
        </x:is>
      </x:c>
      <x:c r="BC518" t="inlineStr">
        <x:is>
          <x:t xml:space="preserve"/>
        </x:is>
      </x:c>
      <x:c r="BD518" t="inlineStr">
        <x:is>
          <x:t xml:space="preserve">NONE</x:t>
        </x:is>
      </x:c>
      <x:c r="BE518" t="inlineStr">
        <x:is>
          <x:t xml:space="preserve"/>
        </x:is>
      </x:c>
      <x:c r="BF518" t="inlineStr">
        <x:is>
          <x:t xml:space="preserve">SUCCESS</x:t>
        </x:is>
      </x:c>
      <x:c r="BG518" t="n">
        <x:f>IF((COUNT('Quantification_Results'!BA518)=1),IFERROR(ROUND((SUM(('Quantification_Results'!BA518*'Quantification_Config'!$R$19))/SUM('Quantification_Config'!$R$19)),'Quantification_Config'!$U$2),""),"")</x:f>
        <x:v>50</x:v>
      </x:c>
      <x:c r="BH518" t="n">
        <x:f>IF((COUNT('Quantification_Results'!BG518)=1),IFERROR(ROUND((SUM(('Quantification_Results'!BG518*'Quantification_Config'!$R$18))/SUM('Quantification_Config'!$R$18)),'Quantification_Config'!$U$2),""),"")</x:f>
        <x:v>50</x:v>
      </x:c>
      <x:c r="BI518">
        <x:f>IF((COUNT('Quantification_Results'!L518,'Quantification_Results'!X518,'Quantification_Results'!AJ518,'Quantification_Results'!AV518,'Quantification_Results'!BH518)=5),IFERROR(ROUND((SUM(('Quantification_Results'!L518*'Quantification_Config'!$R$4),('Quantification_Results'!X518*'Quantification_Config'!$R$7),('Quantification_Results'!AJ518*'Quantification_Config'!$R$10),('Quantification_Results'!AV518*'Quantification_Config'!$R$13),('Quantification_Results'!BH518*'Quantification_Config'!$R$16))/SUM('Quantification_Config'!$R$4,'Quantification_Config'!$R$7,'Quantification_Config'!$R$10,'Quantification_Config'!$R$13,'Quantification_Config'!$R$16)),'Quantification_Config'!$U$2),""),"")</x:f>
      </x:c>
    </x:row>
    <x:row r="519">
      <x:c r="A519" t="n">
        <x:v>1</x:v>
      </x:c>
      <x:c r="B519" t="n">
        <x:v>5</x:v>
      </x:c>
      <x:c r="C519"/>
      <x:c r="D519" t="n">
        <x:f>IF(('Quantification_Results'!A519&lt;&gt;1),"",IF(('Quantification_Results'!C519=""),IF(ISNUMBER('Quantification_Results'!B519),IF(('Quantification_Results'!B519&lt;'Quantification_Config'!$S$6),"",IF(('Quantification_Results'!B519&gt;'Quantification_Config'!$T$6),"",'Quantification_Results'!B519)),""),IF(ISNUMBER('Quantification_Results'!C519),IF(('Quantification_Results'!C519&lt;'Quantification_Config'!$S$6),"",IF(('Quantification_Results'!C519&gt;'Quantification_Config'!$T$6),"",'Quantification_Results'!C519)),"")))</x:f>
        <x:v>5</x:v>
      </x:c>
      <x:c r="E519" t="n">
        <x:f>IF(ISNUMBER('Quantification_Results'!D519),IFERROR(ROUND(((('Quantification_Results'!D519-'Quantification_Config'!$S$6)/('Quantification_Config'!$T$6-'Quantification_Config'!$S$6))*100),'Quantification_Config'!$U$2),""),"")</x:f>
        <x:v>50</x:v>
      </x:c>
      <x:c r="F519" t="inlineStr">
        <x:is>
          <x:t xml:space="preserve">SYSTEM-TEST-ONLY-NO-NETWORK-NOT-AN-EDUCATIONAL-EVALUATION</x:t>
        </x:is>
      </x:c>
      <x:c r="G519" t="inlineStr">
        <x:is>
          <x:t xml:space="preserve"/>
        </x:is>
      </x:c>
      <x:c r="H519" t="inlineStr">
        <x:is>
          <x:t xml:space="preserve">NONE</x:t>
        </x:is>
      </x:c>
      <x:c r="I519" t="inlineStr">
        <x:is>
          <x:t xml:space="preserve"/>
        </x:is>
      </x:c>
      <x:c r="J519" t="inlineStr">
        <x:is>
          <x:t xml:space="preserve">SUCCESS</x:t>
        </x:is>
      </x:c>
      <x:c r="K519" t="n">
        <x:f>IF((COUNT('Quantification_Results'!E519)=1),IFERROR(ROUND((SUM(('Quantification_Results'!E519*'Quantification_Config'!$R$6))/SUM('Quantification_Config'!$R$6)),'Quantification_Config'!$U$2),""),"")</x:f>
        <x:v>50</x:v>
      </x:c>
      <x:c r="L519" t="n">
        <x:f>IF((COUNT('Quantification_Results'!K519)=1),IFERROR(ROUND((SUM(('Quantification_Results'!K519*'Quantification_Config'!$R$5))/SUM('Quantification_Config'!$R$5)),'Quantification_Config'!$U$2),""),"")</x:f>
        <x:v>50</x:v>
      </x:c>
      <x:c r="M519" t="n">
        <x:v>0</x:v>
      </x:c>
      <x:c r="N519"/>
      <x:c r="O519"/>
      <x:c r="P519">
        <x:f>IF(('Quantification_Results'!M519&lt;&gt;1),"",IF(('Quantification_Results'!O519=""),IF(ISNUMBER('Quantification_Results'!N519),IF(('Quantification_Results'!N519&lt;'Quantification_Config'!$S$9),"",IF(('Quantification_Results'!N519&gt;'Quantification_Config'!$T$9),"",'Quantification_Results'!N519)),""),IF(ISNUMBER('Quantification_Results'!O519),IF(('Quantification_Results'!O519&lt;'Quantification_Config'!$S$9),"",IF(('Quantification_Results'!O519&gt;'Quantification_Config'!$T$9),"",'Quantification_Results'!O519)),"")))</x:f>
      </x:c>
      <x:c r="Q519">
        <x:f>IF(ISNUMBER('Quantification_Results'!P519),IFERROR(ROUND(((('Quantification_Results'!P519-'Quantification_Config'!$S$9)/('Quantification_Config'!$T$9-'Quantification_Config'!$S$9))*100),'Quantification_Config'!$U$2),""),"")</x:f>
      </x:c>
      <x:c r="R519" t="inlineStr">
        <x:is>
          <x:t xml:space="preserve"/>
        </x:is>
      </x:c>
      <x:c r="S519" t="inlineStr">
        <x:is>
          <x:t xml:space="preserve"/>
        </x:is>
      </x:c>
      <x:c r="T519" t="inlineStr">
        <x:is>
          <x:t xml:space="preserve"/>
        </x:is>
      </x:c>
      <x:c r="U519" t="inlineStr">
        <x:is>
          <x:t xml:space="preserve"/>
        </x:is>
      </x:c>
      <x:c r="V519" t="inlineStr">
        <x:is>
          <x:t xml:space="preserve">EMPTY</x:t>
        </x:is>
      </x:c>
      <x:c r="W519">
        <x:f>IF((COUNT('Quantification_Results'!Q519)=1),IFERROR(ROUND((SUM(('Quantification_Results'!Q519*'Quantification_Config'!$R$9))/SUM('Quantification_Config'!$R$9)),'Quantification_Config'!$U$2),""),"")</x:f>
      </x:c>
      <x:c r="X519">
        <x:f>IF((COUNT('Quantification_Results'!W519)=1),IFERROR(ROUND((SUM(('Quantification_Results'!W519*'Quantification_Config'!$R$8))/SUM('Quantification_Config'!$R$8)),'Quantification_Config'!$U$2),""),"")</x:f>
      </x:c>
      <x:c r="Y519" t="n">
        <x:v>0</x:v>
      </x:c>
      <x:c r="Z519"/>
      <x:c r="AA519"/>
      <x:c r="AB519">
        <x:f>IF(('Quantification_Results'!Y519&lt;&gt;1),"",IF(('Quantification_Results'!AA519=""),IF(ISNUMBER('Quantification_Results'!Z519),IF(('Quantification_Results'!Z519&lt;'Quantification_Config'!$S$12),"",IF(('Quantification_Results'!Z519&gt;'Quantification_Config'!$T$12),"",'Quantification_Results'!Z519)),""),IF(ISNUMBER('Quantification_Results'!AA519),IF(('Quantification_Results'!AA519&lt;'Quantification_Config'!$S$12),"",IF(('Quantification_Results'!AA519&gt;'Quantification_Config'!$T$12),"",'Quantification_Results'!AA519)),"")))</x:f>
      </x:c>
      <x:c r="AC519">
        <x:f>IF(ISNUMBER('Quantification_Results'!AB519),IFERROR(ROUND(((('Quantification_Results'!AB519-'Quantification_Config'!$S$12)/('Quantification_Config'!$T$12-'Quantification_Config'!$S$12))*100),'Quantification_Config'!$U$2),""),"")</x:f>
      </x:c>
      <x:c r="AD519" t="inlineStr">
        <x:is>
          <x:t xml:space="preserve"/>
        </x:is>
      </x:c>
      <x:c r="AE519" t="inlineStr">
        <x:is>
          <x:t xml:space="preserve"/>
        </x:is>
      </x:c>
      <x:c r="AF519" t="inlineStr">
        <x:is>
          <x:t xml:space="preserve"/>
        </x:is>
      </x:c>
      <x:c r="AG519" t="inlineStr">
        <x:is>
          <x:t xml:space="preserve"/>
        </x:is>
      </x:c>
      <x:c r="AH519" t="inlineStr">
        <x:is>
          <x:t xml:space="preserve">EMPTY</x:t>
        </x:is>
      </x:c>
      <x:c r="AI519">
        <x:f>IF((COUNT('Quantification_Results'!AC519)=1),IFERROR(ROUND((SUM(('Quantification_Results'!AC519*'Quantification_Config'!$R$12))/SUM('Quantification_Config'!$R$12)),'Quantification_Config'!$U$2),""),"")</x:f>
      </x:c>
      <x:c r="AJ519">
        <x:f>IF((COUNT('Quantification_Results'!AI519)=1),IFERROR(ROUND((SUM(('Quantification_Results'!AI519*'Quantification_Config'!$R$11))/SUM('Quantification_Config'!$R$11)),'Quantification_Config'!$U$2),""),"")</x:f>
      </x:c>
      <x:c r="AK519" t="n">
        <x:v>1</x:v>
      </x:c>
      <x:c r="AL519" t="n">
        <x:v>5</x:v>
      </x:c>
      <x:c r="AM519"/>
      <x:c r="AN519" t="n">
        <x:f>IF(('Quantification_Results'!AK519&lt;&gt;1),"",IF(('Quantification_Results'!AM519=""),IF(ISNUMBER('Quantification_Results'!AL519),IF(('Quantification_Results'!AL519&lt;'Quantification_Config'!$S$15),"",IF(('Quantification_Results'!AL519&gt;'Quantification_Config'!$T$15),"",'Quantification_Results'!AL519)),""),IF(ISNUMBER('Quantification_Results'!AM519),IF(('Quantification_Results'!AM519&lt;'Quantification_Config'!$S$15),"",IF(('Quantification_Results'!AM519&gt;'Quantification_Config'!$T$15),"",'Quantification_Results'!AM519)),"")))</x:f>
        <x:v>5</x:v>
      </x:c>
      <x:c r="AO519" t="n">
        <x:f>IF(ISNUMBER('Quantification_Results'!AN519),IFERROR(ROUND(((('Quantification_Results'!AN519-'Quantification_Config'!$S$15)/('Quantification_Config'!$T$15-'Quantification_Config'!$S$15))*100),'Quantification_Config'!$U$2),""),"")</x:f>
        <x:v>50</x:v>
      </x:c>
      <x:c r="AP519" t="inlineStr">
        <x:is>
          <x:t xml:space="preserve">SYSTEM-TEST-ONLY-NO-NETWORK-NOT-AN-EDUCATIONAL-EVALUATION</x:t>
        </x:is>
      </x:c>
      <x:c r="AQ519" t="inlineStr">
        <x:is>
          <x:t xml:space="preserve"/>
        </x:is>
      </x:c>
      <x:c r="AR519" t="inlineStr">
        <x:is>
          <x:t xml:space="preserve">NONE</x:t>
        </x:is>
      </x:c>
      <x:c r="AS519" t="inlineStr">
        <x:is>
          <x:t xml:space="preserve"/>
        </x:is>
      </x:c>
      <x:c r="AT519" t="inlineStr">
        <x:is>
          <x:t xml:space="preserve">SUCCESS</x:t>
        </x:is>
      </x:c>
      <x:c r="AU519" t="n">
        <x:f>IF((COUNT('Quantification_Results'!AO519)=1),IFERROR(ROUND((SUM(('Quantification_Results'!AO519*'Quantification_Config'!$R$15))/SUM('Quantification_Config'!$R$15)),'Quantification_Config'!$U$2),""),"")</x:f>
        <x:v>50</x:v>
      </x:c>
      <x:c r="AV519" t="n">
        <x:f>IF((COUNT('Quantification_Results'!AU519)=1),IFERROR(ROUND((SUM(('Quantification_Results'!AU519*'Quantification_Config'!$R$14))/SUM('Quantification_Config'!$R$14)),'Quantification_Config'!$U$2),""),"")</x:f>
        <x:v>50</x:v>
      </x:c>
      <x:c r="AW519" t="n">
        <x:v>0</x:v>
      </x:c>
      <x:c r="AX519"/>
      <x:c r="AY519"/>
      <x:c r="AZ519">
        <x:f>IF(('Quantification_Results'!AW519&lt;&gt;1),"",IF(('Quantification_Results'!AY519=""),IF(ISNUMBER('Quantification_Results'!AX519),IF(('Quantification_Results'!AX519&lt;'Quantification_Config'!$S$19),"",IF(('Quantification_Results'!AX519&gt;'Quantification_Config'!$T$19),"",'Quantification_Results'!AX519)),""),IF(ISNUMBER('Quantification_Results'!AY519),IF(('Quantification_Results'!AY519&lt;'Quantification_Config'!$S$19),"",IF(('Quantification_Results'!AY519&gt;'Quantification_Config'!$T$19),"",'Quantification_Results'!AY519)),"")))</x:f>
      </x:c>
      <x:c r="BA519">
        <x:f>IF(ISNUMBER('Quantification_Results'!AZ519),IFERROR(ROUND(((('Quantification_Results'!AZ519-'Quantification_Config'!$S$19)/('Quantification_Config'!$T$19-'Quantification_Config'!$S$19))*100),'Quantification_Config'!$U$2),""),"")</x:f>
      </x:c>
      <x:c r="BB519" t="inlineStr">
        <x:is>
          <x:t xml:space="preserve"/>
        </x:is>
      </x:c>
      <x:c r="BC519" t="inlineStr">
        <x:is>
          <x:t xml:space="preserve"/>
        </x:is>
      </x:c>
      <x:c r="BD519" t="inlineStr">
        <x:is>
          <x:t xml:space="preserve"/>
        </x:is>
      </x:c>
      <x:c r="BE519" t="inlineStr">
        <x:is>
          <x:t xml:space="preserve"/>
        </x:is>
      </x:c>
      <x:c r="BF519" t="inlineStr">
        <x:is>
          <x:t xml:space="preserve">EMPTY</x:t>
        </x:is>
      </x:c>
      <x:c r="BG519">
        <x:f>IF((COUNT('Quantification_Results'!BA519)=1),IFERROR(ROUND((SUM(('Quantification_Results'!BA519*'Quantification_Config'!$R$19))/SUM('Quantification_Config'!$R$19)),'Quantification_Config'!$U$2),""),"")</x:f>
      </x:c>
      <x:c r="BH519">
        <x:f>IF((COUNT('Quantification_Results'!BG519)=1),IFERROR(ROUND((SUM(('Quantification_Results'!BG519*'Quantification_Config'!$R$18))/SUM('Quantification_Config'!$R$18)),'Quantification_Config'!$U$2),""),"")</x:f>
      </x:c>
      <x:c r="BI519">
        <x:f>IF((COUNT('Quantification_Results'!L519,'Quantification_Results'!X519,'Quantification_Results'!AJ519,'Quantification_Results'!AV519,'Quantification_Results'!BH519)=5),IFERROR(ROUND((SUM(('Quantification_Results'!L519*'Quantification_Config'!$R$4),('Quantification_Results'!X519*'Quantification_Config'!$R$7),('Quantification_Results'!AJ519*'Quantification_Config'!$R$10),('Quantification_Results'!AV519*'Quantification_Config'!$R$13),('Quantification_Results'!BH519*'Quantification_Config'!$R$16))/SUM('Quantification_Config'!$R$4,'Quantification_Config'!$R$7,'Quantification_Config'!$R$10,'Quantification_Config'!$R$13,'Quantification_Config'!$R$16)),'Quantification_Config'!$U$2),""),"")</x:f>
      </x:c>
    </x:row>
    <x:row r="520">
      <x:c r="A520" t="n">
        <x:v>1</x:v>
      </x:c>
      <x:c r="B520" t="n">
        <x:v>5</x:v>
      </x:c>
      <x:c r="C520"/>
      <x:c r="D520" t="n">
        <x:f>IF(('Quantification_Results'!A520&lt;&gt;1),"",IF(('Quantification_Results'!C520=""),IF(ISNUMBER('Quantification_Results'!B520),IF(('Quantification_Results'!B520&lt;'Quantification_Config'!$S$6),"",IF(('Quantification_Results'!B520&gt;'Quantification_Config'!$T$6),"",'Quantification_Results'!B520)),""),IF(ISNUMBER('Quantification_Results'!C520),IF(('Quantification_Results'!C520&lt;'Quantification_Config'!$S$6),"",IF(('Quantification_Results'!C520&gt;'Quantification_Config'!$T$6),"",'Quantification_Results'!C520)),"")))</x:f>
        <x:v>5</x:v>
      </x:c>
      <x:c r="E520" t="n">
        <x:f>IF(ISNUMBER('Quantification_Results'!D520),IFERROR(ROUND(((('Quantification_Results'!D520-'Quantification_Config'!$S$6)/('Quantification_Config'!$T$6-'Quantification_Config'!$S$6))*100),'Quantification_Config'!$U$2),""),"")</x:f>
        <x:v>50</x:v>
      </x:c>
      <x:c r="F520" t="inlineStr">
        <x:is>
          <x:t xml:space="preserve">SYSTEM-TEST-ONLY-NO-NETWORK-NOT-AN-EDUCATIONAL-EVALUATION</x:t>
        </x:is>
      </x:c>
      <x:c r="G520" t="inlineStr">
        <x:is>
          <x:t xml:space="preserve"/>
        </x:is>
      </x:c>
      <x:c r="H520" t="inlineStr">
        <x:is>
          <x:t xml:space="preserve">NONE</x:t>
        </x:is>
      </x:c>
      <x:c r="I520" t="inlineStr">
        <x:is>
          <x:t xml:space="preserve"/>
        </x:is>
      </x:c>
      <x:c r="J520" t="inlineStr">
        <x:is>
          <x:t xml:space="preserve">SUCCESS</x:t>
        </x:is>
      </x:c>
      <x:c r="K520" t="n">
        <x:f>IF((COUNT('Quantification_Results'!E520)=1),IFERROR(ROUND((SUM(('Quantification_Results'!E520*'Quantification_Config'!$R$6))/SUM('Quantification_Config'!$R$6)),'Quantification_Config'!$U$2),""),"")</x:f>
        <x:v>50</x:v>
      </x:c>
      <x:c r="L520" t="n">
        <x:f>IF((COUNT('Quantification_Results'!K520)=1),IFERROR(ROUND((SUM(('Quantification_Results'!K520*'Quantification_Config'!$R$5))/SUM('Quantification_Config'!$R$5)),'Quantification_Config'!$U$2),""),"")</x:f>
        <x:v>50</x:v>
      </x:c>
      <x:c r="M520" t="n">
        <x:v>1</x:v>
      </x:c>
      <x:c r="N520" t="n">
        <x:v>5</x:v>
      </x:c>
      <x:c r="O520"/>
      <x:c r="P520" t="n">
        <x:f>IF(('Quantification_Results'!M520&lt;&gt;1),"",IF(('Quantification_Results'!O520=""),IF(ISNUMBER('Quantification_Results'!N520),IF(('Quantification_Results'!N520&lt;'Quantification_Config'!$S$9),"",IF(('Quantification_Results'!N520&gt;'Quantification_Config'!$T$9),"",'Quantification_Results'!N520)),""),IF(ISNUMBER('Quantification_Results'!O520),IF(('Quantification_Results'!O520&lt;'Quantification_Config'!$S$9),"",IF(('Quantification_Results'!O520&gt;'Quantification_Config'!$T$9),"",'Quantification_Results'!O520)),"")))</x:f>
        <x:v>5</x:v>
      </x:c>
      <x:c r="Q520" t="n">
        <x:f>IF(ISNUMBER('Quantification_Results'!P520),IFERROR(ROUND(((('Quantification_Results'!P520-'Quantification_Config'!$S$9)/('Quantification_Config'!$T$9-'Quantification_Config'!$S$9))*100),'Quantification_Config'!$U$2),""),"")</x:f>
        <x:v>50</x:v>
      </x:c>
      <x:c r="R520" t="inlineStr">
        <x:is>
          <x:t xml:space="preserve">SYSTEM-TEST-ONLY-NO-NETWORK-NOT-AN-EDUCATIONAL-EVALUATION</x:t>
        </x:is>
      </x:c>
      <x:c r="S520" t="inlineStr">
        <x:is>
          <x:t xml:space="preserve"/>
        </x:is>
      </x:c>
      <x:c r="T520" t="inlineStr">
        <x:is>
          <x:t xml:space="preserve">NONE</x:t>
        </x:is>
      </x:c>
      <x:c r="U520" t="inlineStr">
        <x:is>
          <x:t xml:space="preserve"/>
        </x:is>
      </x:c>
      <x:c r="V520" t="inlineStr">
        <x:is>
          <x:t xml:space="preserve">SUCCESS</x:t>
        </x:is>
      </x:c>
      <x:c r="W520" t="n">
        <x:f>IF((COUNT('Quantification_Results'!Q520)=1),IFERROR(ROUND((SUM(('Quantification_Results'!Q520*'Quantification_Config'!$R$9))/SUM('Quantification_Config'!$R$9)),'Quantification_Config'!$U$2),""),"")</x:f>
        <x:v>50</x:v>
      </x:c>
      <x:c r="X520" t="n">
        <x:f>IF((COUNT('Quantification_Results'!W520)=1),IFERROR(ROUND((SUM(('Quantification_Results'!W520*'Quantification_Config'!$R$8))/SUM('Quantification_Config'!$R$8)),'Quantification_Config'!$U$2),""),"")</x:f>
        <x:v>50</x:v>
      </x:c>
      <x:c r="Y520" t="n">
        <x:v>1</x:v>
      </x:c>
      <x:c r="Z520" t="n">
        <x:v>5</x:v>
      </x:c>
      <x:c r="AA520"/>
      <x:c r="AB520" t="n">
        <x:f>IF(('Quantification_Results'!Y520&lt;&gt;1),"",IF(('Quantification_Results'!AA520=""),IF(ISNUMBER('Quantification_Results'!Z520),IF(('Quantification_Results'!Z520&lt;'Quantification_Config'!$S$12),"",IF(('Quantification_Results'!Z520&gt;'Quantification_Config'!$T$12),"",'Quantification_Results'!Z520)),""),IF(ISNUMBER('Quantification_Results'!AA520),IF(('Quantification_Results'!AA520&lt;'Quantification_Config'!$S$12),"",IF(('Quantification_Results'!AA520&gt;'Quantification_Config'!$T$12),"",'Quantification_Results'!AA520)),"")))</x:f>
        <x:v>5</x:v>
      </x:c>
      <x:c r="AC520" t="n">
        <x:f>IF(ISNUMBER('Quantification_Results'!AB520),IFERROR(ROUND(((('Quantification_Results'!AB520-'Quantification_Config'!$S$12)/('Quantification_Config'!$T$12-'Quantification_Config'!$S$12))*100),'Quantification_Config'!$U$2),""),"")</x:f>
        <x:v>50</x:v>
      </x:c>
      <x:c r="AD520" t="inlineStr">
        <x:is>
          <x:t xml:space="preserve">SYSTEM-TEST-ONLY-NO-NETWORK-NOT-AN-EDUCATIONAL-EVALUATION</x:t>
        </x:is>
      </x:c>
      <x:c r="AE520" t="inlineStr">
        <x:is>
          <x:t xml:space="preserve"/>
        </x:is>
      </x:c>
      <x:c r="AF520" t="inlineStr">
        <x:is>
          <x:t xml:space="preserve">NONE</x:t>
        </x:is>
      </x:c>
      <x:c r="AG520" t="inlineStr">
        <x:is>
          <x:t xml:space="preserve"/>
        </x:is>
      </x:c>
      <x:c r="AH520" t="inlineStr">
        <x:is>
          <x:t xml:space="preserve">SUCCESS</x:t>
        </x:is>
      </x:c>
      <x:c r="AI520" t="n">
        <x:f>IF((COUNT('Quantification_Results'!AC520)=1),IFERROR(ROUND((SUM(('Quantification_Results'!AC520*'Quantification_Config'!$R$12))/SUM('Quantification_Config'!$R$12)),'Quantification_Config'!$U$2),""),"")</x:f>
        <x:v>50</x:v>
      </x:c>
      <x:c r="AJ520" t="n">
        <x:f>IF((COUNT('Quantification_Results'!AI520)=1),IFERROR(ROUND((SUM(('Quantification_Results'!AI520*'Quantification_Config'!$R$11))/SUM('Quantification_Config'!$R$11)),'Quantification_Config'!$U$2),""),"")</x:f>
        <x:v>50</x:v>
      </x:c>
      <x:c r="AK520" t="n">
        <x:v>1</x:v>
      </x:c>
      <x:c r="AL520" t="n">
        <x:v>5</x:v>
      </x:c>
      <x:c r="AM520"/>
      <x:c r="AN520" t="n">
        <x:f>IF(('Quantification_Results'!AK520&lt;&gt;1),"",IF(('Quantification_Results'!AM520=""),IF(ISNUMBER('Quantification_Results'!AL520),IF(('Quantification_Results'!AL520&lt;'Quantification_Config'!$S$15),"",IF(('Quantification_Results'!AL520&gt;'Quantification_Config'!$T$15),"",'Quantification_Results'!AL520)),""),IF(ISNUMBER('Quantification_Results'!AM520),IF(('Quantification_Results'!AM520&lt;'Quantification_Config'!$S$15),"",IF(('Quantification_Results'!AM520&gt;'Quantification_Config'!$T$15),"",'Quantification_Results'!AM520)),"")))</x:f>
        <x:v>5</x:v>
      </x:c>
      <x:c r="AO520" t="n">
        <x:f>IF(ISNUMBER('Quantification_Results'!AN520),IFERROR(ROUND(((('Quantification_Results'!AN520-'Quantification_Config'!$S$15)/('Quantification_Config'!$T$15-'Quantification_Config'!$S$15))*100),'Quantification_Config'!$U$2),""),"")</x:f>
        <x:v>50</x:v>
      </x:c>
      <x:c r="AP520" t="inlineStr">
        <x:is>
          <x:t xml:space="preserve">SYSTEM-TEST-ONLY-NO-NETWORK-NOT-AN-EDUCATIONAL-EVALUATION</x:t>
        </x:is>
      </x:c>
      <x:c r="AQ520" t="inlineStr">
        <x:is>
          <x:t xml:space="preserve"/>
        </x:is>
      </x:c>
      <x:c r="AR520" t="inlineStr">
        <x:is>
          <x:t xml:space="preserve">NONE</x:t>
        </x:is>
      </x:c>
      <x:c r="AS520" t="inlineStr">
        <x:is>
          <x:t xml:space="preserve"/>
        </x:is>
      </x:c>
      <x:c r="AT520" t="inlineStr">
        <x:is>
          <x:t xml:space="preserve">SUCCESS</x:t>
        </x:is>
      </x:c>
      <x:c r="AU520" t="n">
        <x:f>IF((COUNT('Quantification_Results'!AO520)=1),IFERROR(ROUND((SUM(('Quantification_Results'!AO520*'Quantification_Config'!$R$15))/SUM('Quantification_Config'!$R$15)),'Quantification_Config'!$U$2),""),"")</x:f>
        <x:v>50</x:v>
      </x:c>
      <x:c r="AV520" t="n">
        <x:f>IF((COUNT('Quantification_Results'!AU520)=1),IFERROR(ROUND((SUM(('Quantification_Results'!AU520*'Quantification_Config'!$R$14))/SUM('Quantification_Config'!$R$14)),'Quantification_Config'!$U$2),""),"")</x:f>
        <x:v>50</x:v>
      </x:c>
      <x:c r="AW520" t="n">
        <x:v>1</x:v>
      </x:c>
      <x:c r="AX520" t="n">
        <x:v>5</x:v>
      </x:c>
      <x:c r="AY520"/>
      <x:c r="AZ520" t="n">
        <x:f>IF(('Quantification_Results'!AW520&lt;&gt;1),"",IF(('Quantification_Results'!AY520=""),IF(ISNUMBER('Quantification_Results'!AX520),IF(('Quantification_Results'!AX520&lt;'Quantification_Config'!$S$19),"",IF(('Quantification_Results'!AX520&gt;'Quantification_Config'!$T$19),"",'Quantification_Results'!AX520)),""),IF(ISNUMBER('Quantification_Results'!AY520),IF(('Quantification_Results'!AY520&lt;'Quantification_Config'!$S$19),"",IF(('Quantification_Results'!AY520&gt;'Quantification_Config'!$T$19),"",'Quantification_Results'!AY520)),"")))</x:f>
        <x:v>5</x:v>
      </x:c>
      <x:c r="BA520" t="n">
        <x:f>IF(ISNUMBER('Quantification_Results'!AZ520),IFERROR(ROUND(((('Quantification_Results'!AZ520-'Quantification_Config'!$S$19)/('Quantification_Config'!$T$19-'Quantification_Config'!$S$19))*100),'Quantification_Config'!$U$2),""),"")</x:f>
        <x:v>50</x:v>
      </x:c>
      <x:c r="BB520" t="inlineStr">
        <x:is>
          <x:t xml:space="preserve">SYSTEM-TEST-ONLY-NO-NETWORK-NOT-AN-EDUCATIONAL-EVALUATION</x:t>
        </x:is>
      </x:c>
      <x:c r="BC520" t="inlineStr">
        <x:is>
          <x:t xml:space="preserve"/>
        </x:is>
      </x:c>
      <x:c r="BD520" t="inlineStr">
        <x:is>
          <x:t xml:space="preserve">NONE</x:t>
        </x:is>
      </x:c>
      <x:c r="BE520" t="inlineStr">
        <x:is>
          <x:t xml:space="preserve"/>
        </x:is>
      </x:c>
      <x:c r="BF520" t="inlineStr">
        <x:is>
          <x:t xml:space="preserve">SUCCESS</x:t>
        </x:is>
      </x:c>
      <x:c r="BG520" t="n">
        <x:f>IF((COUNT('Quantification_Results'!BA520)=1),IFERROR(ROUND((SUM(('Quantification_Results'!BA520*'Quantification_Config'!$R$19))/SUM('Quantification_Config'!$R$19)),'Quantification_Config'!$U$2),""),"")</x:f>
        <x:v>50</x:v>
      </x:c>
      <x:c r="BH520" t="n">
        <x:f>IF((COUNT('Quantification_Results'!BG520)=1),IFERROR(ROUND((SUM(('Quantification_Results'!BG520*'Quantification_Config'!$R$18))/SUM('Quantification_Config'!$R$18)),'Quantification_Config'!$U$2),""),"")</x:f>
        <x:v>50</x:v>
      </x:c>
      <x:c r="BI520" t="n">
        <x:f>IF((COUNT('Quantification_Results'!L520,'Quantification_Results'!X520,'Quantification_Results'!AJ520,'Quantification_Results'!AV520,'Quantification_Results'!BH520)=5),IFERROR(ROUND((SUM(('Quantification_Results'!L520*'Quantification_Config'!$R$4),('Quantification_Results'!X520*'Quantification_Config'!$R$7),('Quantification_Results'!AJ520*'Quantification_Config'!$R$10),('Quantification_Results'!AV520*'Quantification_Config'!$R$13),('Quantification_Results'!BH520*'Quantification_Config'!$R$16))/SUM('Quantification_Config'!$R$4,'Quantification_Config'!$R$7,'Quantification_Config'!$R$10,'Quantification_Config'!$R$13,'Quantification_Config'!$R$16)),'Quantification_Config'!$U$2),""),"")</x:f>
        <x:v>50</x:v>
      </x:c>
    </x:row>
    <x:row r="521">
      <x:c r="A521" t="n">
        <x:v>1</x:v>
      </x:c>
      <x:c r="B521" t="n">
        <x:v>5</x:v>
      </x:c>
      <x:c r="C521"/>
      <x:c r="D521" t="n">
        <x:f>IF(('Quantification_Results'!A521&lt;&gt;1),"",IF(('Quantification_Results'!C521=""),IF(ISNUMBER('Quantification_Results'!B521),IF(('Quantification_Results'!B521&lt;'Quantification_Config'!$S$6),"",IF(('Quantification_Results'!B521&gt;'Quantification_Config'!$T$6),"",'Quantification_Results'!B521)),""),IF(ISNUMBER('Quantification_Results'!C521),IF(('Quantification_Results'!C521&lt;'Quantification_Config'!$S$6),"",IF(('Quantification_Results'!C521&gt;'Quantification_Config'!$T$6),"",'Quantification_Results'!C521)),"")))</x:f>
        <x:v>5</x:v>
      </x:c>
      <x:c r="E521" t="n">
        <x:f>IF(ISNUMBER('Quantification_Results'!D521),IFERROR(ROUND(((('Quantification_Results'!D521-'Quantification_Config'!$S$6)/('Quantification_Config'!$T$6-'Quantification_Config'!$S$6))*100),'Quantification_Config'!$U$2),""),"")</x:f>
        <x:v>50</x:v>
      </x:c>
      <x:c r="F521" t="inlineStr">
        <x:is>
          <x:t xml:space="preserve">SYSTEM-TEST-ONLY-NO-NETWORK-NOT-AN-EDUCATIONAL-EVALUATION</x:t>
        </x:is>
      </x:c>
      <x:c r="G521" t="inlineStr">
        <x:is>
          <x:t xml:space="preserve"/>
        </x:is>
      </x:c>
      <x:c r="H521" t="inlineStr">
        <x:is>
          <x:t xml:space="preserve">NONE</x:t>
        </x:is>
      </x:c>
      <x:c r="I521" t="inlineStr">
        <x:is>
          <x:t xml:space="preserve"/>
        </x:is>
      </x:c>
      <x:c r="J521" t="inlineStr">
        <x:is>
          <x:t xml:space="preserve">SUCCESS</x:t>
        </x:is>
      </x:c>
      <x:c r="K521" t="n">
        <x:f>IF((COUNT('Quantification_Results'!E521)=1),IFERROR(ROUND((SUM(('Quantification_Results'!E521*'Quantification_Config'!$R$6))/SUM('Quantification_Config'!$R$6)),'Quantification_Config'!$U$2),""),"")</x:f>
        <x:v>50</x:v>
      </x:c>
      <x:c r="L521" t="n">
        <x:f>IF((COUNT('Quantification_Results'!K521)=1),IFERROR(ROUND((SUM(('Quantification_Results'!K521*'Quantification_Config'!$R$5))/SUM('Quantification_Config'!$R$5)),'Quantification_Config'!$U$2),""),"")</x:f>
        <x:v>50</x:v>
      </x:c>
      <x:c r="M521" t="n">
        <x:v>1</x:v>
      </x:c>
      <x:c r="N521" t="n">
        <x:v>5</x:v>
      </x:c>
      <x:c r="O521"/>
      <x:c r="P521" t="n">
        <x:f>IF(('Quantification_Results'!M521&lt;&gt;1),"",IF(('Quantification_Results'!O521=""),IF(ISNUMBER('Quantification_Results'!N521),IF(('Quantification_Results'!N521&lt;'Quantification_Config'!$S$9),"",IF(('Quantification_Results'!N521&gt;'Quantification_Config'!$T$9),"",'Quantification_Results'!N521)),""),IF(ISNUMBER('Quantification_Results'!O521),IF(('Quantification_Results'!O521&lt;'Quantification_Config'!$S$9),"",IF(('Quantification_Results'!O521&gt;'Quantification_Config'!$T$9),"",'Quantification_Results'!O521)),"")))</x:f>
        <x:v>5</x:v>
      </x:c>
      <x:c r="Q521" t="n">
        <x:f>IF(ISNUMBER('Quantification_Results'!P521),IFERROR(ROUND(((('Quantification_Results'!P521-'Quantification_Config'!$S$9)/('Quantification_Config'!$T$9-'Quantification_Config'!$S$9))*100),'Quantification_Config'!$U$2),""),"")</x:f>
        <x:v>50</x:v>
      </x:c>
      <x:c r="R521" t="inlineStr">
        <x:is>
          <x:t xml:space="preserve">SYSTEM-TEST-ONLY-NO-NETWORK-NOT-AN-EDUCATIONAL-EVALUATION</x:t>
        </x:is>
      </x:c>
      <x:c r="S521" t="inlineStr">
        <x:is>
          <x:t xml:space="preserve"/>
        </x:is>
      </x:c>
      <x:c r="T521" t="inlineStr">
        <x:is>
          <x:t xml:space="preserve">NONE</x:t>
        </x:is>
      </x:c>
      <x:c r="U521" t="inlineStr">
        <x:is>
          <x:t xml:space="preserve"/>
        </x:is>
      </x:c>
      <x:c r="V521" t="inlineStr">
        <x:is>
          <x:t xml:space="preserve">SUCCESS</x:t>
        </x:is>
      </x:c>
      <x:c r="W521" t="n">
        <x:f>IF((COUNT('Quantification_Results'!Q521)=1),IFERROR(ROUND((SUM(('Quantification_Results'!Q521*'Quantification_Config'!$R$9))/SUM('Quantification_Config'!$R$9)),'Quantification_Config'!$U$2),""),"")</x:f>
        <x:v>50</x:v>
      </x:c>
      <x:c r="X521" t="n">
        <x:f>IF((COUNT('Quantification_Results'!W521)=1),IFERROR(ROUND((SUM(('Quantification_Results'!W521*'Quantification_Config'!$R$8))/SUM('Quantification_Config'!$R$8)),'Quantification_Config'!$U$2),""),"")</x:f>
        <x:v>50</x:v>
      </x:c>
      <x:c r="Y521" t="n">
        <x:v>0</x:v>
      </x:c>
      <x:c r="Z521"/>
      <x:c r="AA521"/>
      <x:c r="AB521">
        <x:f>IF(('Quantification_Results'!Y521&lt;&gt;1),"",IF(('Quantification_Results'!AA521=""),IF(ISNUMBER('Quantification_Results'!Z521),IF(('Quantification_Results'!Z521&lt;'Quantification_Config'!$S$12),"",IF(('Quantification_Results'!Z521&gt;'Quantification_Config'!$T$12),"",'Quantification_Results'!Z521)),""),IF(ISNUMBER('Quantification_Results'!AA521),IF(('Quantification_Results'!AA521&lt;'Quantification_Config'!$S$12),"",IF(('Quantification_Results'!AA521&gt;'Quantification_Config'!$T$12),"",'Quantification_Results'!AA521)),"")))</x:f>
      </x:c>
      <x:c r="AC521">
        <x:f>IF(ISNUMBER('Quantification_Results'!AB521),IFERROR(ROUND(((('Quantification_Results'!AB521-'Quantification_Config'!$S$12)/('Quantification_Config'!$T$12-'Quantification_Config'!$S$12))*100),'Quantification_Config'!$U$2),""),"")</x:f>
      </x:c>
      <x:c r="AD521" t="inlineStr">
        <x:is>
          <x:t xml:space="preserve"/>
        </x:is>
      </x:c>
      <x:c r="AE521" t="inlineStr">
        <x:is>
          <x:t xml:space="preserve"/>
        </x:is>
      </x:c>
      <x:c r="AF521" t="inlineStr">
        <x:is>
          <x:t xml:space="preserve"/>
        </x:is>
      </x:c>
      <x:c r="AG521" t="inlineStr">
        <x:is>
          <x:t xml:space="preserve"/>
        </x:is>
      </x:c>
      <x:c r="AH521" t="inlineStr">
        <x:is>
          <x:t xml:space="preserve">EMPTY</x:t>
        </x:is>
      </x:c>
      <x:c r="AI521">
        <x:f>IF((COUNT('Quantification_Results'!AC521)=1),IFERROR(ROUND((SUM(('Quantification_Results'!AC521*'Quantification_Config'!$R$12))/SUM('Quantification_Config'!$R$12)),'Quantification_Config'!$U$2),""),"")</x:f>
      </x:c>
      <x:c r="AJ521">
        <x:f>IF((COUNT('Quantification_Results'!AI521)=1),IFERROR(ROUND((SUM(('Quantification_Results'!AI521*'Quantification_Config'!$R$11))/SUM('Quantification_Config'!$R$11)),'Quantification_Config'!$U$2),""),"")</x:f>
      </x:c>
      <x:c r="AK521" t="n">
        <x:v>1</x:v>
      </x:c>
      <x:c r="AL521" t="n">
        <x:v>5</x:v>
      </x:c>
      <x:c r="AM521"/>
      <x:c r="AN521" t="n">
        <x:f>IF(('Quantification_Results'!AK521&lt;&gt;1),"",IF(('Quantification_Results'!AM521=""),IF(ISNUMBER('Quantification_Results'!AL521),IF(('Quantification_Results'!AL521&lt;'Quantification_Config'!$S$15),"",IF(('Quantification_Results'!AL521&gt;'Quantification_Config'!$T$15),"",'Quantification_Results'!AL521)),""),IF(ISNUMBER('Quantification_Results'!AM521),IF(('Quantification_Results'!AM521&lt;'Quantification_Config'!$S$15),"",IF(('Quantification_Results'!AM521&gt;'Quantification_Config'!$T$15),"",'Quantification_Results'!AM521)),"")))</x:f>
        <x:v>5</x:v>
      </x:c>
      <x:c r="AO521" t="n">
        <x:f>IF(ISNUMBER('Quantification_Results'!AN521),IFERROR(ROUND(((('Quantification_Results'!AN521-'Quantification_Config'!$S$15)/('Quantification_Config'!$T$15-'Quantification_Config'!$S$15))*100),'Quantification_Config'!$U$2),""),"")</x:f>
        <x:v>50</x:v>
      </x:c>
      <x:c r="AP521" t="inlineStr">
        <x:is>
          <x:t xml:space="preserve">SYSTEM-TEST-ONLY-NO-NETWORK-NOT-AN-EDUCATIONAL-EVALUATION</x:t>
        </x:is>
      </x:c>
      <x:c r="AQ521" t="inlineStr">
        <x:is>
          <x:t xml:space="preserve"/>
        </x:is>
      </x:c>
      <x:c r="AR521" t="inlineStr">
        <x:is>
          <x:t xml:space="preserve">NONE</x:t>
        </x:is>
      </x:c>
      <x:c r="AS521" t="inlineStr">
        <x:is>
          <x:t xml:space="preserve"/>
        </x:is>
      </x:c>
      <x:c r="AT521" t="inlineStr">
        <x:is>
          <x:t xml:space="preserve">SUCCESS</x:t>
        </x:is>
      </x:c>
      <x:c r="AU521" t="n">
        <x:f>IF((COUNT('Quantification_Results'!AO521)=1),IFERROR(ROUND((SUM(('Quantification_Results'!AO521*'Quantification_Config'!$R$15))/SUM('Quantification_Config'!$R$15)),'Quantification_Config'!$U$2),""),"")</x:f>
        <x:v>50</x:v>
      </x:c>
      <x:c r="AV521" t="n">
        <x:f>IF((COUNT('Quantification_Results'!AU521)=1),IFERROR(ROUND((SUM(('Quantification_Results'!AU521*'Quantification_Config'!$R$14))/SUM('Quantification_Config'!$R$14)),'Quantification_Config'!$U$2),""),"")</x:f>
        <x:v>50</x:v>
      </x:c>
      <x:c r="AW521" t="n">
        <x:v>1</x:v>
      </x:c>
      <x:c r="AX521" t="n">
        <x:v>5</x:v>
      </x:c>
      <x:c r="AY521"/>
      <x:c r="AZ521" t="n">
        <x:f>IF(('Quantification_Results'!AW521&lt;&gt;1),"",IF(('Quantification_Results'!AY521=""),IF(ISNUMBER('Quantification_Results'!AX521),IF(('Quantification_Results'!AX521&lt;'Quantification_Config'!$S$19),"",IF(('Quantification_Results'!AX521&gt;'Quantification_Config'!$T$19),"",'Quantification_Results'!AX521)),""),IF(ISNUMBER('Quantification_Results'!AY521),IF(('Quantification_Results'!AY521&lt;'Quantification_Config'!$S$19),"",IF(('Quantification_Results'!AY521&gt;'Quantification_Config'!$T$19),"",'Quantification_Results'!AY521)),"")))</x:f>
        <x:v>5</x:v>
      </x:c>
      <x:c r="BA521" t="n">
        <x:f>IF(ISNUMBER('Quantification_Results'!AZ521),IFERROR(ROUND(((('Quantification_Results'!AZ521-'Quantification_Config'!$S$19)/('Quantification_Config'!$T$19-'Quantification_Config'!$S$19))*100),'Quantification_Config'!$U$2),""),"")</x:f>
        <x:v>50</x:v>
      </x:c>
      <x:c r="BB521" t="inlineStr">
        <x:is>
          <x:t xml:space="preserve">SYSTEM-TEST-ONLY-NO-NETWORK-NOT-AN-EDUCATIONAL-EVALUATION</x:t>
        </x:is>
      </x:c>
      <x:c r="BC521" t="inlineStr">
        <x:is>
          <x:t xml:space="preserve"/>
        </x:is>
      </x:c>
      <x:c r="BD521" t="inlineStr">
        <x:is>
          <x:t xml:space="preserve">NONE</x:t>
        </x:is>
      </x:c>
      <x:c r="BE521" t="inlineStr">
        <x:is>
          <x:t xml:space="preserve"/>
        </x:is>
      </x:c>
      <x:c r="BF521" t="inlineStr">
        <x:is>
          <x:t xml:space="preserve">SUCCESS</x:t>
        </x:is>
      </x:c>
      <x:c r="BG521" t="n">
        <x:f>IF((COUNT('Quantification_Results'!BA521)=1),IFERROR(ROUND((SUM(('Quantification_Results'!BA521*'Quantification_Config'!$R$19))/SUM('Quantification_Config'!$R$19)),'Quantification_Config'!$U$2),""),"")</x:f>
        <x:v>50</x:v>
      </x:c>
      <x:c r="BH521" t="n">
        <x:f>IF((COUNT('Quantification_Results'!BG521)=1),IFERROR(ROUND((SUM(('Quantification_Results'!BG521*'Quantification_Config'!$R$18))/SUM('Quantification_Config'!$R$18)),'Quantification_Config'!$U$2),""),"")</x:f>
        <x:v>50</x:v>
      </x:c>
      <x:c r="BI521">
        <x:f>IF((COUNT('Quantification_Results'!L521,'Quantification_Results'!X521,'Quantification_Results'!AJ521,'Quantification_Results'!AV521,'Quantification_Results'!BH521)=5),IFERROR(ROUND((SUM(('Quantification_Results'!L521*'Quantification_Config'!$R$4),('Quantification_Results'!X521*'Quantification_Config'!$R$7),('Quantification_Results'!AJ521*'Quantification_Config'!$R$10),('Quantification_Results'!AV521*'Quantification_Config'!$R$13),('Quantification_Results'!BH521*'Quantification_Config'!$R$16))/SUM('Quantification_Config'!$R$4,'Quantification_Config'!$R$7,'Quantification_Config'!$R$10,'Quantification_Config'!$R$13,'Quantification_Config'!$R$16)),'Quantification_Config'!$U$2),""),"")</x:f>
      </x:c>
    </x:row>
    <x:row r="522">
      <x:c r="A522" t="n">
        <x:v>1</x:v>
      </x:c>
      <x:c r="B522" t="n">
        <x:v>5</x:v>
      </x:c>
      <x:c r="C522"/>
      <x:c r="D522" t="n">
        <x:f>IF(('Quantification_Results'!A522&lt;&gt;1),"",IF(('Quantification_Results'!C522=""),IF(ISNUMBER('Quantification_Results'!B522),IF(('Quantification_Results'!B522&lt;'Quantification_Config'!$S$6),"",IF(('Quantification_Results'!B522&gt;'Quantification_Config'!$T$6),"",'Quantification_Results'!B522)),""),IF(ISNUMBER('Quantification_Results'!C522),IF(('Quantification_Results'!C522&lt;'Quantification_Config'!$S$6),"",IF(('Quantification_Results'!C522&gt;'Quantification_Config'!$T$6),"",'Quantification_Results'!C522)),"")))</x:f>
        <x:v>5</x:v>
      </x:c>
      <x:c r="E522" t="n">
        <x:f>IF(ISNUMBER('Quantification_Results'!D522),IFERROR(ROUND(((('Quantification_Results'!D522-'Quantification_Config'!$S$6)/('Quantification_Config'!$T$6-'Quantification_Config'!$S$6))*100),'Quantification_Config'!$U$2),""),"")</x:f>
        <x:v>50</x:v>
      </x:c>
      <x:c r="F522" t="inlineStr">
        <x:is>
          <x:t xml:space="preserve">SYSTEM-TEST-ONLY-NO-NETWORK-NOT-AN-EDUCATIONAL-EVALUATION</x:t>
        </x:is>
      </x:c>
      <x:c r="G522" t="inlineStr">
        <x:is>
          <x:t xml:space="preserve"/>
        </x:is>
      </x:c>
      <x:c r="H522" t="inlineStr">
        <x:is>
          <x:t xml:space="preserve">NONE</x:t>
        </x:is>
      </x:c>
      <x:c r="I522" t="inlineStr">
        <x:is>
          <x:t xml:space="preserve"/>
        </x:is>
      </x:c>
      <x:c r="J522" t="inlineStr">
        <x:is>
          <x:t xml:space="preserve">SUCCESS</x:t>
        </x:is>
      </x:c>
      <x:c r="K522" t="n">
        <x:f>IF((COUNT('Quantification_Results'!E522)=1),IFERROR(ROUND((SUM(('Quantification_Results'!E522*'Quantification_Config'!$R$6))/SUM('Quantification_Config'!$R$6)),'Quantification_Config'!$U$2),""),"")</x:f>
        <x:v>50</x:v>
      </x:c>
      <x:c r="L522" t="n">
        <x:f>IF((COUNT('Quantification_Results'!K522)=1),IFERROR(ROUND((SUM(('Quantification_Results'!K522*'Quantification_Config'!$R$5))/SUM('Quantification_Config'!$R$5)),'Quantification_Config'!$U$2),""),"")</x:f>
        <x:v>50</x:v>
      </x:c>
      <x:c r="M522" t="n">
        <x:v>1</x:v>
      </x:c>
      <x:c r="N522" t="n">
        <x:v>5</x:v>
      </x:c>
      <x:c r="O522"/>
      <x:c r="P522" t="n">
        <x:f>IF(('Quantification_Results'!M522&lt;&gt;1),"",IF(('Quantification_Results'!O522=""),IF(ISNUMBER('Quantification_Results'!N522),IF(('Quantification_Results'!N522&lt;'Quantification_Config'!$S$9),"",IF(('Quantification_Results'!N522&gt;'Quantification_Config'!$T$9),"",'Quantification_Results'!N522)),""),IF(ISNUMBER('Quantification_Results'!O522),IF(('Quantification_Results'!O522&lt;'Quantification_Config'!$S$9),"",IF(('Quantification_Results'!O522&gt;'Quantification_Config'!$T$9),"",'Quantification_Results'!O522)),"")))</x:f>
        <x:v>5</x:v>
      </x:c>
      <x:c r="Q522" t="n">
        <x:f>IF(ISNUMBER('Quantification_Results'!P522),IFERROR(ROUND(((('Quantification_Results'!P522-'Quantification_Config'!$S$9)/('Quantification_Config'!$T$9-'Quantification_Config'!$S$9))*100),'Quantification_Config'!$U$2),""),"")</x:f>
        <x:v>50</x:v>
      </x:c>
      <x:c r="R522" t="inlineStr">
        <x:is>
          <x:t xml:space="preserve">SYSTEM-TEST-ONLY-NO-NETWORK-NOT-AN-EDUCATIONAL-EVALUATION</x:t>
        </x:is>
      </x:c>
      <x:c r="S522" t="inlineStr">
        <x:is>
          <x:t xml:space="preserve"/>
        </x:is>
      </x:c>
      <x:c r="T522" t="inlineStr">
        <x:is>
          <x:t xml:space="preserve">NONE</x:t>
        </x:is>
      </x:c>
      <x:c r="U522" t="inlineStr">
        <x:is>
          <x:t xml:space="preserve"/>
        </x:is>
      </x:c>
      <x:c r="V522" t="inlineStr">
        <x:is>
          <x:t xml:space="preserve">SUCCESS</x:t>
        </x:is>
      </x:c>
      <x:c r="W522" t="n">
        <x:f>IF((COUNT('Quantification_Results'!Q522)=1),IFERROR(ROUND((SUM(('Quantification_Results'!Q522*'Quantification_Config'!$R$9))/SUM('Quantification_Config'!$R$9)),'Quantification_Config'!$U$2),""),"")</x:f>
        <x:v>50</x:v>
      </x:c>
      <x:c r="X522" t="n">
        <x:f>IF((COUNT('Quantification_Results'!W522)=1),IFERROR(ROUND((SUM(('Quantification_Results'!W522*'Quantification_Config'!$R$8))/SUM('Quantification_Config'!$R$8)),'Quantification_Config'!$U$2),""),"")</x:f>
        <x:v>50</x:v>
      </x:c>
      <x:c r="Y522" t="n">
        <x:v>0</x:v>
      </x:c>
      <x:c r="Z522"/>
      <x:c r="AA522"/>
      <x:c r="AB522">
        <x:f>IF(('Quantification_Results'!Y522&lt;&gt;1),"",IF(('Quantification_Results'!AA522=""),IF(ISNUMBER('Quantification_Results'!Z522),IF(('Quantification_Results'!Z522&lt;'Quantification_Config'!$S$12),"",IF(('Quantification_Results'!Z522&gt;'Quantification_Config'!$T$12),"",'Quantification_Results'!Z522)),""),IF(ISNUMBER('Quantification_Results'!AA522),IF(('Quantification_Results'!AA522&lt;'Quantification_Config'!$S$12),"",IF(('Quantification_Results'!AA522&gt;'Quantification_Config'!$T$12),"",'Quantification_Results'!AA522)),"")))</x:f>
      </x:c>
      <x:c r="AC522">
        <x:f>IF(ISNUMBER('Quantification_Results'!AB522),IFERROR(ROUND(((('Quantification_Results'!AB522-'Quantification_Config'!$S$12)/('Quantification_Config'!$T$12-'Quantification_Config'!$S$12))*100),'Quantification_Config'!$U$2),""),"")</x:f>
      </x:c>
      <x:c r="AD522" t="inlineStr">
        <x:is>
          <x:t xml:space="preserve"/>
        </x:is>
      </x:c>
      <x:c r="AE522" t="inlineStr">
        <x:is>
          <x:t xml:space="preserve"/>
        </x:is>
      </x:c>
      <x:c r="AF522" t="inlineStr">
        <x:is>
          <x:t xml:space="preserve"/>
        </x:is>
      </x:c>
      <x:c r="AG522" t="inlineStr">
        <x:is>
          <x:t xml:space="preserve"/>
        </x:is>
      </x:c>
      <x:c r="AH522" t="inlineStr">
        <x:is>
          <x:t xml:space="preserve">EMPTY</x:t>
        </x:is>
      </x:c>
      <x:c r="AI522">
        <x:f>IF((COUNT('Quantification_Results'!AC522)=1),IFERROR(ROUND((SUM(('Quantification_Results'!AC522*'Quantification_Config'!$R$12))/SUM('Quantification_Config'!$R$12)),'Quantification_Config'!$U$2),""),"")</x:f>
      </x:c>
      <x:c r="AJ522">
        <x:f>IF((COUNT('Quantification_Results'!AI522)=1),IFERROR(ROUND((SUM(('Quantification_Results'!AI522*'Quantification_Config'!$R$11))/SUM('Quantification_Config'!$R$11)),'Quantification_Config'!$U$2),""),"")</x:f>
      </x:c>
      <x:c r="AK522" t="n">
        <x:v>1</x:v>
      </x:c>
      <x:c r="AL522" t="n">
        <x:v>5</x:v>
      </x:c>
      <x:c r="AM522"/>
      <x:c r="AN522" t="n">
        <x:f>IF(('Quantification_Results'!AK522&lt;&gt;1),"",IF(('Quantification_Results'!AM522=""),IF(ISNUMBER('Quantification_Results'!AL522),IF(('Quantification_Results'!AL522&lt;'Quantification_Config'!$S$15),"",IF(('Quantification_Results'!AL522&gt;'Quantification_Config'!$T$15),"",'Quantification_Results'!AL522)),""),IF(ISNUMBER('Quantification_Results'!AM522),IF(('Quantification_Results'!AM522&lt;'Quantification_Config'!$S$15),"",IF(('Quantification_Results'!AM522&gt;'Quantification_Config'!$T$15),"",'Quantification_Results'!AM522)),"")))</x:f>
        <x:v>5</x:v>
      </x:c>
      <x:c r="AO522" t="n">
        <x:f>IF(ISNUMBER('Quantification_Results'!AN522),IFERROR(ROUND(((('Quantification_Results'!AN522-'Quantification_Config'!$S$15)/('Quantification_Config'!$T$15-'Quantification_Config'!$S$15))*100),'Quantification_Config'!$U$2),""),"")</x:f>
        <x:v>50</x:v>
      </x:c>
      <x:c r="AP522" t="inlineStr">
        <x:is>
          <x:t xml:space="preserve">SYSTEM-TEST-ONLY-NO-NETWORK-NOT-AN-EDUCATIONAL-EVALUATION</x:t>
        </x:is>
      </x:c>
      <x:c r="AQ522" t="inlineStr">
        <x:is>
          <x:t xml:space="preserve"/>
        </x:is>
      </x:c>
      <x:c r="AR522" t="inlineStr">
        <x:is>
          <x:t xml:space="preserve">NONE</x:t>
        </x:is>
      </x:c>
      <x:c r="AS522" t="inlineStr">
        <x:is>
          <x:t xml:space="preserve"/>
        </x:is>
      </x:c>
      <x:c r="AT522" t="inlineStr">
        <x:is>
          <x:t xml:space="preserve">SUCCESS</x:t>
        </x:is>
      </x:c>
      <x:c r="AU522" t="n">
        <x:f>IF((COUNT('Quantification_Results'!AO522)=1),IFERROR(ROUND((SUM(('Quantification_Results'!AO522*'Quantification_Config'!$R$15))/SUM('Quantification_Config'!$R$15)),'Quantification_Config'!$U$2),""),"")</x:f>
        <x:v>50</x:v>
      </x:c>
      <x:c r="AV522" t="n">
        <x:f>IF((COUNT('Quantification_Results'!AU522)=1),IFERROR(ROUND((SUM(('Quantification_Results'!AU522*'Quantification_Config'!$R$14))/SUM('Quantification_Config'!$R$14)),'Quantification_Config'!$U$2),""),"")</x:f>
        <x:v>50</x:v>
      </x:c>
      <x:c r="AW522" t="n">
        <x:v>1</x:v>
      </x:c>
      <x:c r="AX522" t="n">
        <x:v>5</x:v>
      </x:c>
      <x:c r="AY522"/>
      <x:c r="AZ522" t="n">
        <x:f>IF(('Quantification_Results'!AW522&lt;&gt;1),"",IF(('Quantification_Results'!AY522=""),IF(ISNUMBER('Quantification_Results'!AX522),IF(('Quantification_Results'!AX522&lt;'Quantification_Config'!$S$19),"",IF(('Quantification_Results'!AX522&gt;'Quantification_Config'!$T$19),"",'Quantification_Results'!AX522)),""),IF(ISNUMBER('Quantification_Results'!AY522),IF(('Quantification_Results'!AY522&lt;'Quantification_Config'!$S$19),"",IF(('Quantification_Results'!AY522&gt;'Quantification_Config'!$T$19),"",'Quantification_Results'!AY522)),"")))</x:f>
        <x:v>5</x:v>
      </x:c>
      <x:c r="BA522" t="n">
        <x:f>IF(ISNUMBER('Quantification_Results'!AZ522),IFERROR(ROUND(((('Quantification_Results'!AZ522-'Quantification_Config'!$S$19)/('Quantification_Config'!$T$19-'Quantification_Config'!$S$19))*100),'Quantification_Config'!$U$2),""),"")</x:f>
        <x:v>50</x:v>
      </x:c>
      <x:c r="BB522" t="inlineStr">
        <x:is>
          <x:t xml:space="preserve">SYSTEM-TEST-ONLY-NO-NETWORK-NOT-AN-EDUCATIONAL-EVALUATION</x:t>
        </x:is>
      </x:c>
      <x:c r="BC522" t="inlineStr">
        <x:is>
          <x:t xml:space="preserve"/>
        </x:is>
      </x:c>
      <x:c r="BD522" t="inlineStr">
        <x:is>
          <x:t xml:space="preserve">NONE</x:t>
        </x:is>
      </x:c>
      <x:c r="BE522" t="inlineStr">
        <x:is>
          <x:t xml:space="preserve"/>
        </x:is>
      </x:c>
      <x:c r="BF522" t="inlineStr">
        <x:is>
          <x:t xml:space="preserve">SUCCESS</x:t>
        </x:is>
      </x:c>
      <x:c r="BG522" t="n">
        <x:f>IF((COUNT('Quantification_Results'!BA522)=1),IFERROR(ROUND((SUM(('Quantification_Results'!BA522*'Quantification_Config'!$R$19))/SUM('Quantification_Config'!$R$19)),'Quantification_Config'!$U$2),""),"")</x:f>
        <x:v>50</x:v>
      </x:c>
      <x:c r="BH522" t="n">
        <x:f>IF((COUNT('Quantification_Results'!BG522)=1),IFERROR(ROUND((SUM(('Quantification_Results'!BG522*'Quantification_Config'!$R$18))/SUM('Quantification_Config'!$R$18)),'Quantification_Config'!$U$2),""),"")</x:f>
        <x:v>50</x:v>
      </x:c>
      <x:c r="BI522">
        <x:f>IF((COUNT('Quantification_Results'!L522,'Quantification_Results'!X522,'Quantification_Results'!AJ522,'Quantification_Results'!AV522,'Quantification_Results'!BH522)=5),IFERROR(ROUND((SUM(('Quantification_Results'!L522*'Quantification_Config'!$R$4),('Quantification_Results'!X522*'Quantification_Config'!$R$7),('Quantification_Results'!AJ522*'Quantification_Config'!$R$10),('Quantification_Results'!AV522*'Quantification_Config'!$R$13),('Quantification_Results'!BH522*'Quantification_Config'!$R$16))/SUM('Quantification_Config'!$R$4,'Quantification_Config'!$R$7,'Quantification_Config'!$R$10,'Quantification_Config'!$R$13,'Quantification_Config'!$R$16)),'Quantification_Config'!$U$2),""),"")</x:f>
      </x:c>
    </x:row>
    <x:row r="523">
      <x:c r="A523" t="n">
        <x:v>1</x:v>
      </x:c>
      <x:c r="B523" t="n">
        <x:v>5</x:v>
      </x:c>
      <x:c r="C523"/>
      <x:c r="D523" t="n">
        <x:f>IF(('Quantification_Results'!A523&lt;&gt;1),"",IF(('Quantification_Results'!C523=""),IF(ISNUMBER('Quantification_Results'!B523),IF(('Quantification_Results'!B523&lt;'Quantification_Config'!$S$6),"",IF(('Quantification_Results'!B523&gt;'Quantification_Config'!$T$6),"",'Quantification_Results'!B523)),""),IF(ISNUMBER('Quantification_Results'!C523),IF(('Quantification_Results'!C523&lt;'Quantification_Config'!$S$6),"",IF(('Quantification_Results'!C523&gt;'Quantification_Config'!$T$6),"",'Quantification_Results'!C523)),"")))</x:f>
        <x:v>5</x:v>
      </x:c>
      <x:c r="E523" t="n">
        <x:f>IF(ISNUMBER('Quantification_Results'!D523),IFERROR(ROUND(((('Quantification_Results'!D523-'Quantification_Config'!$S$6)/('Quantification_Config'!$T$6-'Quantification_Config'!$S$6))*100),'Quantification_Config'!$U$2),""),"")</x:f>
        <x:v>50</x:v>
      </x:c>
      <x:c r="F523" t="inlineStr">
        <x:is>
          <x:t xml:space="preserve">SYSTEM-TEST-ONLY-NO-NETWORK-NOT-AN-EDUCATIONAL-EVALUATION</x:t>
        </x:is>
      </x:c>
      <x:c r="G523" t="inlineStr">
        <x:is>
          <x:t xml:space="preserve"/>
        </x:is>
      </x:c>
      <x:c r="H523" t="inlineStr">
        <x:is>
          <x:t xml:space="preserve">NONE</x:t>
        </x:is>
      </x:c>
      <x:c r="I523" t="inlineStr">
        <x:is>
          <x:t xml:space="preserve"/>
        </x:is>
      </x:c>
      <x:c r="J523" t="inlineStr">
        <x:is>
          <x:t xml:space="preserve">SUCCESS</x:t>
        </x:is>
      </x:c>
      <x:c r="K523" t="n">
        <x:f>IF((COUNT('Quantification_Results'!E523)=1),IFERROR(ROUND((SUM(('Quantification_Results'!E523*'Quantification_Config'!$R$6))/SUM('Quantification_Config'!$R$6)),'Quantification_Config'!$U$2),""),"")</x:f>
        <x:v>50</x:v>
      </x:c>
      <x:c r="L523" t="n">
        <x:f>IF((COUNT('Quantification_Results'!K523)=1),IFERROR(ROUND((SUM(('Quantification_Results'!K523*'Quantification_Config'!$R$5))/SUM('Quantification_Config'!$R$5)),'Quantification_Config'!$U$2),""),"")</x:f>
        <x:v>50</x:v>
      </x:c>
      <x:c r="M523" t="n">
        <x:v>1</x:v>
      </x:c>
      <x:c r="N523" t="n">
        <x:v>5</x:v>
      </x:c>
      <x:c r="O523"/>
      <x:c r="P523" t="n">
        <x:f>IF(('Quantification_Results'!M523&lt;&gt;1),"",IF(('Quantification_Results'!O523=""),IF(ISNUMBER('Quantification_Results'!N523),IF(('Quantification_Results'!N523&lt;'Quantification_Config'!$S$9),"",IF(('Quantification_Results'!N523&gt;'Quantification_Config'!$T$9),"",'Quantification_Results'!N523)),""),IF(ISNUMBER('Quantification_Results'!O523),IF(('Quantification_Results'!O523&lt;'Quantification_Config'!$S$9),"",IF(('Quantification_Results'!O523&gt;'Quantification_Config'!$T$9),"",'Quantification_Results'!O523)),"")))</x:f>
        <x:v>5</x:v>
      </x:c>
      <x:c r="Q523" t="n">
        <x:f>IF(ISNUMBER('Quantification_Results'!P523),IFERROR(ROUND(((('Quantification_Results'!P523-'Quantification_Config'!$S$9)/('Quantification_Config'!$T$9-'Quantification_Config'!$S$9))*100),'Quantification_Config'!$U$2),""),"")</x:f>
        <x:v>50</x:v>
      </x:c>
      <x:c r="R523" t="inlineStr">
        <x:is>
          <x:t xml:space="preserve">SYSTEM-TEST-ONLY-NO-NETWORK-NOT-AN-EDUCATIONAL-EVALUATION</x:t>
        </x:is>
      </x:c>
      <x:c r="S523" t="inlineStr">
        <x:is>
          <x:t xml:space="preserve"/>
        </x:is>
      </x:c>
      <x:c r="T523" t="inlineStr">
        <x:is>
          <x:t xml:space="preserve">NONE</x:t>
        </x:is>
      </x:c>
      <x:c r="U523" t="inlineStr">
        <x:is>
          <x:t xml:space="preserve"/>
        </x:is>
      </x:c>
      <x:c r="V523" t="inlineStr">
        <x:is>
          <x:t xml:space="preserve">SUCCESS</x:t>
        </x:is>
      </x:c>
      <x:c r="W523" t="n">
        <x:f>IF((COUNT('Quantification_Results'!Q523)=1),IFERROR(ROUND((SUM(('Quantification_Results'!Q523*'Quantification_Config'!$R$9))/SUM('Quantification_Config'!$R$9)),'Quantification_Config'!$U$2),""),"")</x:f>
        <x:v>50</x:v>
      </x:c>
      <x:c r="X523" t="n">
        <x:f>IF((COUNT('Quantification_Results'!W523)=1),IFERROR(ROUND((SUM(('Quantification_Results'!W523*'Quantification_Config'!$R$8))/SUM('Quantification_Config'!$R$8)),'Quantification_Config'!$U$2),""),"")</x:f>
        <x:v>50</x:v>
      </x:c>
      <x:c r="Y523" t="n">
        <x:v>0</x:v>
      </x:c>
      <x:c r="Z523"/>
      <x:c r="AA523"/>
      <x:c r="AB523">
        <x:f>IF(('Quantification_Results'!Y523&lt;&gt;1),"",IF(('Quantification_Results'!AA523=""),IF(ISNUMBER('Quantification_Results'!Z523),IF(('Quantification_Results'!Z523&lt;'Quantification_Config'!$S$12),"",IF(('Quantification_Results'!Z523&gt;'Quantification_Config'!$T$12),"",'Quantification_Results'!Z523)),""),IF(ISNUMBER('Quantification_Results'!AA523),IF(('Quantification_Results'!AA523&lt;'Quantification_Config'!$S$12),"",IF(('Quantification_Results'!AA523&gt;'Quantification_Config'!$T$12),"",'Quantification_Results'!AA523)),"")))</x:f>
      </x:c>
      <x:c r="AC523">
        <x:f>IF(ISNUMBER('Quantification_Results'!AB523),IFERROR(ROUND(((('Quantification_Results'!AB523-'Quantification_Config'!$S$12)/('Quantification_Config'!$T$12-'Quantification_Config'!$S$12))*100),'Quantification_Config'!$U$2),""),"")</x:f>
      </x:c>
      <x:c r="AD523" t="inlineStr">
        <x:is>
          <x:t xml:space="preserve"/>
        </x:is>
      </x:c>
      <x:c r="AE523" t="inlineStr">
        <x:is>
          <x:t xml:space="preserve"/>
        </x:is>
      </x:c>
      <x:c r="AF523" t="inlineStr">
        <x:is>
          <x:t xml:space="preserve"/>
        </x:is>
      </x:c>
      <x:c r="AG523" t="inlineStr">
        <x:is>
          <x:t xml:space="preserve"/>
        </x:is>
      </x:c>
      <x:c r="AH523" t="inlineStr">
        <x:is>
          <x:t xml:space="preserve">EMPTY</x:t>
        </x:is>
      </x:c>
      <x:c r="AI523">
        <x:f>IF((COUNT('Quantification_Results'!AC523)=1),IFERROR(ROUND((SUM(('Quantification_Results'!AC523*'Quantification_Config'!$R$12))/SUM('Quantification_Config'!$R$12)),'Quantification_Config'!$U$2),""),"")</x:f>
      </x:c>
      <x:c r="AJ523">
        <x:f>IF((COUNT('Quantification_Results'!AI523)=1),IFERROR(ROUND((SUM(('Quantification_Results'!AI523*'Quantification_Config'!$R$11))/SUM('Quantification_Config'!$R$11)),'Quantification_Config'!$U$2),""),"")</x:f>
      </x:c>
      <x:c r="AK523" t="n">
        <x:v>1</x:v>
      </x:c>
      <x:c r="AL523" t="n">
        <x:v>5</x:v>
      </x:c>
      <x:c r="AM523"/>
      <x:c r="AN523" t="n">
        <x:f>IF(('Quantification_Results'!AK523&lt;&gt;1),"",IF(('Quantification_Results'!AM523=""),IF(ISNUMBER('Quantification_Results'!AL523),IF(('Quantification_Results'!AL523&lt;'Quantification_Config'!$S$15),"",IF(('Quantification_Results'!AL523&gt;'Quantification_Config'!$T$15),"",'Quantification_Results'!AL523)),""),IF(ISNUMBER('Quantification_Results'!AM523),IF(('Quantification_Results'!AM523&lt;'Quantification_Config'!$S$15),"",IF(('Quantification_Results'!AM523&gt;'Quantification_Config'!$T$15),"",'Quantification_Results'!AM523)),"")))</x:f>
        <x:v>5</x:v>
      </x:c>
      <x:c r="AO523" t="n">
        <x:f>IF(ISNUMBER('Quantification_Results'!AN523),IFERROR(ROUND(((('Quantification_Results'!AN523-'Quantification_Config'!$S$15)/('Quantification_Config'!$T$15-'Quantification_Config'!$S$15))*100),'Quantification_Config'!$U$2),""),"")</x:f>
        <x:v>50</x:v>
      </x:c>
      <x:c r="AP523" t="inlineStr">
        <x:is>
          <x:t xml:space="preserve">SYSTEM-TEST-ONLY-NO-NETWORK-NOT-AN-EDUCATIONAL-EVALUATION</x:t>
        </x:is>
      </x:c>
      <x:c r="AQ523" t="inlineStr">
        <x:is>
          <x:t xml:space="preserve"/>
        </x:is>
      </x:c>
      <x:c r="AR523" t="inlineStr">
        <x:is>
          <x:t xml:space="preserve">NONE</x:t>
        </x:is>
      </x:c>
      <x:c r="AS523" t="inlineStr">
        <x:is>
          <x:t xml:space="preserve"/>
        </x:is>
      </x:c>
      <x:c r="AT523" t="inlineStr">
        <x:is>
          <x:t xml:space="preserve">SUCCESS</x:t>
        </x:is>
      </x:c>
      <x:c r="AU523" t="n">
        <x:f>IF((COUNT('Quantification_Results'!AO523)=1),IFERROR(ROUND((SUM(('Quantification_Results'!AO523*'Quantification_Config'!$R$15))/SUM('Quantification_Config'!$R$15)),'Quantification_Config'!$U$2),""),"")</x:f>
        <x:v>50</x:v>
      </x:c>
      <x:c r="AV523" t="n">
        <x:f>IF((COUNT('Quantification_Results'!AU523)=1),IFERROR(ROUND((SUM(('Quantification_Results'!AU523*'Quantification_Config'!$R$14))/SUM('Quantification_Config'!$R$14)),'Quantification_Config'!$U$2),""),"")</x:f>
        <x:v>50</x:v>
      </x:c>
      <x:c r="AW523" t="n">
        <x:v>0</x:v>
      </x:c>
      <x:c r="AX523"/>
      <x:c r="AY523"/>
      <x:c r="AZ523">
        <x:f>IF(('Quantification_Results'!AW523&lt;&gt;1),"",IF(('Quantification_Results'!AY523=""),IF(ISNUMBER('Quantification_Results'!AX523),IF(('Quantification_Results'!AX523&lt;'Quantification_Config'!$S$19),"",IF(('Quantification_Results'!AX523&gt;'Quantification_Config'!$T$19),"",'Quantification_Results'!AX523)),""),IF(ISNUMBER('Quantification_Results'!AY523),IF(('Quantification_Results'!AY523&lt;'Quantification_Config'!$S$19),"",IF(('Quantification_Results'!AY523&gt;'Quantification_Config'!$T$19),"",'Quantification_Results'!AY523)),"")))</x:f>
      </x:c>
      <x:c r="BA523">
        <x:f>IF(ISNUMBER('Quantification_Results'!AZ523),IFERROR(ROUND(((('Quantification_Results'!AZ523-'Quantification_Config'!$S$19)/('Quantification_Config'!$T$19-'Quantification_Config'!$S$19))*100),'Quantification_Config'!$U$2),""),"")</x:f>
      </x:c>
      <x:c r="BB523" t="inlineStr">
        <x:is>
          <x:t xml:space="preserve"/>
        </x:is>
      </x:c>
      <x:c r="BC523" t="inlineStr">
        <x:is>
          <x:t xml:space="preserve"/>
        </x:is>
      </x:c>
      <x:c r="BD523" t="inlineStr">
        <x:is>
          <x:t xml:space="preserve"/>
        </x:is>
      </x:c>
      <x:c r="BE523" t="inlineStr">
        <x:is>
          <x:t xml:space="preserve"/>
        </x:is>
      </x:c>
      <x:c r="BF523" t="inlineStr">
        <x:is>
          <x:t xml:space="preserve">EMPTY</x:t>
        </x:is>
      </x:c>
      <x:c r="BG523">
        <x:f>IF((COUNT('Quantification_Results'!BA523)=1),IFERROR(ROUND((SUM(('Quantification_Results'!BA523*'Quantification_Config'!$R$19))/SUM('Quantification_Config'!$R$19)),'Quantification_Config'!$U$2),""),"")</x:f>
      </x:c>
      <x:c r="BH523">
        <x:f>IF((COUNT('Quantification_Results'!BG523)=1),IFERROR(ROUND((SUM(('Quantification_Results'!BG523*'Quantification_Config'!$R$18))/SUM('Quantification_Config'!$R$18)),'Quantification_Config'!$U$2),""),"")</x:f>
      </x:c>
      <x:c r="BI523">
        <x:f>IF((COUNT('Quantification_Results'!L523,'Quantification_Results'!X523,'Quantification_Results'!AJ523,'Quantification_Results'!AV523,'Quantification_Results'!BH523)=5),IFERROR(ROUND((SUM(('Quantification_Results'!L523*'Quantification_Config'!$R$4),('Quantification_Results'!X523*'Quantification_Config'!$R$7),('Quantification_Results'!AJ523*'Quantification_Config'!$R$10),('Quantification_Results'!AV523*'Quantification_Config'!$R$13),('Quantification_Results'!BH523*'Quantification_Config'!$R$16))/SUM('Quantification_Config'!$R$4,'Quantification_Config'!$R$7,'Quantification_Config'!$R$10,'Quantification_Config'!$R$13,'Quantification_Config'!$R$16)),'Quantification_Config'!$U$2),""),"")</x:f>
      </x:c>
    </x:row>
    <x:row r="524">
      <x:c r="A524" t="n">
        <x:v>1</x:v>
      </x:c>
      <x:c r="B524" t="n">
        <x:v>5</x:v>
      </x:c>
      <x:c r="C524"/>
      <x:c r="D524" t="n">
        <x:f>IF(('Quantification_Results'!A524&lt;&gt;1),"",IF(('Quantification_Results'!C524=""),IF(ISNUMBER('Quantification_Results'!B524),IF(('Quantification_Results'!B524&lt;'Quantification_Config'!$S$6),"",IF(('Quantification_Results'!B524&gt;'Quantification_Config'!$T$6),"",'Quantification_Results'!B524)),""),IF(ISNUMBER('Quantification_Results'!C524),IF(('Quantification_Results'!C524&lt;'Quantification_Config'!$S$6),"",IF(('Quantification_Results'!C524&gt;'Quantification_Config'!$T$6),"",'Quantification_Results'!C524)),"")))</x:f>
        <x:v>5</x:v>
      </x:c>
      <x:c r="E524" t="n">
        <x:f>IF(ISNUMBER('Quantification_Results'!D524),IFERROR(ROUND(((('Quantification_Results'!D524-'Quantification_Config'!$S$6)/('Quantification_Config'!$T$6-'Quantification_Config'!$S$6))*100),'Quantification_Config'!$U$2),""),"")</x:f>
        <x:v>50</x:v>
      </x:c>
      <x:c r="F524" t="inlineStr">
        <x:is>
          <x:t xml:space="preserve">SYSTEM-TEST-ONLY-NO-NETWORK-NOT-AN-EDUCATIONAL-EVALUATION</x:t>
        </x:is>
      </x:c>
      <x:c r="G524" t="inlineStr">
        <x:is>
          <x:t xml:space="preserve"/>
        </x:is>
      </x:c>
      <x:c r="H524" t="inlineStr">
        <x:is>
          <x:t xml:space="preserve">NONE</x:t>
        </x:is>
      </x:c>
      <x:c r="I524" t="inlineStr">
        <x:is>
          <x:t xml:space="preserve"/>
        </x:is>
      </x:c>
      <x:c r="J524" t="inlineStr">
        <x:is>
          <x:t xml:space="preserve">SUCCESS</x:t>
        </x:is>
      </x:c>
      <x:c r="K524" t="n">
        <x:f>IF((COUNT('Quantification_Results'!E524)=1),IFERROR(ROUND((SUM(('Quantification_Results'!E524*'Quantification_Config'!$R$6))/SUM('Quantification_Config'!$R$6)),'Quantification_Config'!$U$2),""),"")</x:f>
        <x:v>50</x:v>
      </x:c>
      <x:c r="L524" t="n">
        <x:f>IF((COUNT('Quantification_Results'!K524)=1),IFERROR(ROUND((SUM(('Quantification_Results'!K524*'Quantification_Config'!$R$5))/SUM('Quantification_Config'!$R$5)),'Quantification_Config'!$U$2),""),"")</x:f>
        <x:v>50</x:v>
      </x:c>
      <x:c r="M524" t="n">
        <x:v>1</x:v>
      </x:c>
      <x:c r="N524" t="n">
        <x:v>5</x:v>
      </x:c>
      <x:c r="O524"/>
      <x:c r="P524" t="n">
        <x:f>IF(('Quantification_Results'!M524&lt;&gt;1),"",IF(('Quantification_Results'!O524=""),IF(ISNUMBER('Quantification_Results'!N524),IF(('Quantification_Results'!N524&lt;'Quantification_Config'!$S$9),"",IF(('Quantification_Results'!N524&gt;'Quantification_Config'!$T$9),"",'Quantification_Results'!N524)),""),IF(ISNUMBER('Quantification_Results'!O524),IF(('Quantification_Results'!O524&lt;'Quantification_Config'!$S$9),"",IF(('Quantification_Results'!O524&gt;'Quantification_Config'!$T$9),"",'Quantification_Results'!O524)),"")))</x:f>
        <x:v>5</x:v>
      </x:c>
      <x:c r="Q524" t="n">
        <x:f>IF(ISNUMBER('Quantification_Results'!P524),IFERROR(ROUND(((('Quantification_Results'!P524-'Quantification_Config'!$S$9)/('Quantification_Config'!$T$9-'Quantification_Config'!$S$9))*100),'Quantification_Config'!$U$2),""),"")</x:f>
        <x:v>50</x:v>
      </x:c>
      <x:c r="R524" t="inlineStr">
        <x:is>
          <x:t xml:space="preserve">SYSTEM-TEST-ONLY-NO-NETWORK-NOT-AN-EDUCATIONAL-EVALUATION</x:t>
        </x:is>
      </x:c>
      <x:c r="S524" t="inlineStr">
        <x:is>
          <x:t xml:space="preserve"/>
        </x:is>
      </x:c>
      <x:c r="T524" t="inlineStr">
        <x:is>
          <x:t xml:space="preserve">NONE</x:t>
        </x:is>
      </x:c>
      <x:c r="U524" t="inlineStr">
        <x:is>
          <x:t xml:space="preserve"/>
        </x:is>
      </x:c>
      <x:c r="V524" t="inlineStr">
        <x:is>
          <x:t xml:space="preserve">SUCCESS</x:t>
        </x:is>
      </x:c>
      <x:c r="W524" t="n">
        <x:f>IF((COUNT('Quantification_Results'!Q524)=1),IFERROR(ROUND((SUM(('Quantification_Results'!Q524*'Quantification_Config'!$R$9))/SUM('Quantification_Config'!$R$9)),'Quantification_Config'!$U$2),""),"")</x:f>
        <x:v>50</x:v>
      </x:c>
      <x:c r="X524" t="n">
        <x:f>IF((COUNT('Quantification_Results'!W524)=1),IFERROR(ROUND((SUM(('Quantification_Results'!W524*'Quantification_Config'!$R$8))/SUM('Quantification_Config'!$R$8)),'Quantification_Config'!$U$2),""),"")</x:f>
        <x:v>50</x:v>
      </x:c>
      <x:c r="Y524" t="n">
        <x:v>0</x:v>
      </x:c>
      <x:c r="Z524"/>
      <x:c r="AA524"/>
      <x:c r="AB524">
        <x:f>IF(('Quantification_Results'!Y524&lt;&gt;1),"",IF(('Quantification_Results'!AA524=""),IF(ISNUMBER('Quantification_Results'!Z524),IF(('Quantification_Results'!Z524&lt;'Quantification_Config'!$S$12),"",IF(('Quantification_Results'!Z524&gt;'Quantification_Config'!$T$12),"",'Quantification_Results'!Z524)),""),IF(ISNUMBER('Quantification_Results'!AA524),IF(('Quantification_Results'!AA524&lt;'Quantification_Config'!$S$12),"",IF(('Quantification_Results'!AA524&gt;'Quantification_Config'!$T$12),"",'Quantification_Results'!AA524)),"")))</x:f>
      </x:c>
      <x:c r="AC524">
        <x:f>IF(ISNUMBER('Quantification_Results'!AB524),IFERROR(ROUND(((('Quantification_Results'!AB524-'Quantification_Config'!$S$12)/('Quantification_Config'!$T$12-'Quantification_Config'!$S$12))*100),'Quantification_Config'!$U$2),""),"")</x:f>
      </x:c>
      <x:c r="AD524" t="inlineStr">
        <x:is>
          <x:t xml:space="preserve"/>
        </x:is>
      </x:c>
      <x:c r="AE524" t="inlineStr">
        <x:is>
          <x:t xml:space="preserve"/>
        </x:is>
      </x:c>
      <x:c r="AF524" t="inlineStr">
        <x:is>
          <x:t xml:space="preserve"/>
        </x:is>
      </x:c>
      <x:c r="AG524" t="inlineStr">
        <x:is>
          <x:t xml:space="preserve"/>
        </x:is>
      </x:c>
      <x:c r="AH524" t="inlineStr">
        <x:is>
          <x:t xml:space="preserve">EMPTY</x:t>
        </x:is>
      </x:c>
      <x:c r="AI524">
        <x:f>IF((COUNT('Quantification_Results'!AC524)=1),IFERROR(ROUND((SUM(('Quantification_Results'!AC524*'Quantification_Config'!$R$12))/SUM('Quantification_Config'!$R$12)),'Quantification_Config'!$U$2),""),"")</x:f>
      </x:c>
      <x:c r="AJ524">
        <x:f>IF((COUNT('Quantification_Results'!AI524)=1),IFERROR(ROUND((SUM(('Quantification_Results'!AI524*'Quantification_Config'!$R$11))/SUM('Quantification_Config'!$R$11)),'Quantification_Config'!$U$2),""),"")</x:f>
      </x:c>
      <x:c r="AK524" t="n">
        <x:v>1</x:v>
      </x:c>
      <x:c r="AL524" t="n">
        <x:v>5</x:v>
      </x:c>
      <x:c r="AM524"/>
      <x:c r="AN524" t="n">
        <x:f>IF(('Quantification_Results'!AK524&lt;&gt;1),"",IF(('Quantification_Results'!AM524=""),IF(ISNUMBER('Quantification_Results'!AL524),IF(('Quantification_Results'!AL524&lt;'Quantification_Config'!$S$15),"",IF(('Quantification_Results'!AL524&gt;'Quantification_Config'!$T$15),"",'Quantification_Results'!AL524)),""),IF(ISNUMBER('Quantification_Results'!AM524),IF(('Quantification_Results'!AM524&lt;'Quantification_Config'!$S$15),"",IF(('Quantification_Results'!AM524&gt;'Quantification_Config'!$T$15),"",'Quantification_Results'!AM524)),"")))</x:f>
        <x:v>5</x:v>
      </x:c>
      <x:c r="AO524" t="n">
        <x:f>IF(ISNUMBER('Quantification_Results'!AN524),IFERROR(ROUND(((('Quantification_Results'!AN524-'Quantification_Config'!$S$15)/('Quantification_Config'!$T$15-'Quantification_Config'!$S$15))*100),'Quantification_Config'!$U$2),""),"")</x:f>
        <x:v>50</x:v>
      </x:c>
      <x:c r="AP524" t="inlineStr">
        <x:is>
          <x:t xml:space="preserve">SYSTEM-TEST-ONLY-NO-NETWORK-NOT-AN-EDUCATIONAL-EVALUATION</x:t>
        </x:is>
      </x:c>
      <x:c r="AQ524" t="inlineStr">
        <x:is>
          <x:t xml:space="preserve"/>
        </x:is>
      </x:c>
      <x:c r="AR524" t="inlineStr">
        <x:is>
          <x:t xml:space="preserve">NONE</x:t>
        </x:is>
      </x:c>
      <x:c r="AS524" t="inlineStr">
        <x:is>
          <x:t xml:space="preserve"/>
        </x:is>
      </x:c>
      <x:c r="AT524" t="inlineStr">
        <x:is>
          <x:t xml:space="preserve">SUCCESS</x:t>
        </x:is>
      </x:c>
      <x:c r="AU524" t="n">
        <x:f>IF((COUNT('Quantification_Results'!AO524)=1),IFERROR(ROUND((SUM(('Quantification_Results'!AO524*'Quantification_Config'!$R$15))/SUM('Quantification_Config'!$R$15)),'Quantification_Config'!$U$2),""),"")</x:f>
        <x:v>50</x:v>
      </x:c>
      <x:c r="AV524" t="n">
        <x:f>IF((COUNT('Quantification_Results'!AU524)=1),IFERROR(ROUND((SUM(('Quantification_Results'!AU524*'Quantification_Config'!$R$14))/SUM('Quantification_Config'!$R$14)),'Quantification_Config'!$U$2),""),"")</x:f>
        <x:v>50</x:v>
      </x:c>
      <x:c r="AW524" t="n">
        <x:v>1</x:v>
      </x:c>
      <x:c r="AX524" t="n">
        <x:v>5</x:v>
      </x:c>
      <x:c r="AY524"/>
      <x:c r="AZ524" t="n">
        <x:f>IF(('Quantification_Results'!AW524&lt;&gt;1),"",IF(('Quantification_Results'!AY524=""),IF(ISNUMBER('Quantification_Results'!AX524),IF(('Quantification_Results'!AX524&lt;'Quantification_Config'!$S$19),"",IF(('Quantification_Results'!AX524&gt;'Quantification_Config'!$T$19),"",'Quantification_Results'!AX524)),""),IF(ISNUMBER('Quantification_Results'!AY524),IF(('Quantification_Results'!AY524&lt;'Quantification_Config'!$S$19),"",IF(('Quantification_Results'!AY524&gt;'Quantification_Config'!$T$19),"",'Quantification_Results'!AY524)),"")))</x:f>
        <x:v>5</x:v>
      </x:c>
      <x:c r="BA524" t="n">
        <x:f>IF(ISNUMBER('Quantification_Results'!AZ524),IFERROR(ROUND(((('Quantification_Results'!AZ524-'Quantification_Config'!$S$19)/('Quantification_Config'!$T$19-'Quantification_Config'!$S$19))*100),'Quantification_Config'!$U$2),""),"")</x:f>
        <x:v>50</x:v>
      </x:c>
      <x:c r="BB524" t="inlineStr">
        <x:is>
          <x:t xml:space="preserve">SYSTEM-TEST-ONLY-NO-NETWORK-NOT-AN-EDUCATIONAL-EVALUATION</x:t>
        </x:is>
      </x:c>
      <x:c r="BC524" t="inlineStr">
        <x:is>
          <x:t xml:space="preserve"/>
        </x:is>
      </x:c>
      <x:c r="BD524" t="inlineStr">
        <x:is>
          <x:t xml:space="preserve">NONE</x:t>
        </x:is>
      </x:c>
      <x:c r="BE524" t="inlineStr">
        <x:is>
          <x:t xml:space="preserve"/>
        </x:is>
      </x:c>
      <x:c r="BF524" t="inlineStr">
        <x:is>
          <x:t xml:space="preserve">SUCCESS</x:t>
        </x:is>
      </x:c>
      <x:c r="BG524" t="n">
        <x:f>IF((COUNT('Quantification_Results'!BA524)=1),IFERROR(ROUND((SUM(('Quantification_Results'!BA524*'Quantification_Config'!$R$19))/SUM('Quantification_Config'!$R$19)),'Quantification_Config'!$U$2),""),"")</x:f>
        <x:v>50</x:v>
      </x:c>
      <x:c r="BH524" t="n">
        <x:f>IF((COUNT('Quantification_Results'!BG524)=1),IFERROR(ROUND((SUM(('Quantification_Results'!BG524*'Quantification_Config'!$R$18))/SUM('Quantification_Config'!$R$18)),'Quantification_Config'!$U$2),""),"")</x:f>
        <x:v>50</x:v>
      </x:c>
      <x:c r="BI524">
        <x:f>IF((COUNT('Quantification_Results'!L524,'Quantification_Results'!X524,'Quantification_Results'!AJ524,'Quantification_Results'!AV524,'Quantification_Results'!BH524)=5),IFERROR(ROUND((SUM(('Quantification_Results'!L524*'Quantification_Config'!$R$4),('Quantification_Results'!X524*'Quantification_Config'!$R$7),('Quantification_Results'!AJ524*'Quantification_Config'!$R$10),('Quantification_Results'!AV524*'Quantification_Config'!$R$13),('Quantification_Results'!BH524*'Quantification_Config'!$R$16))/SUM('Quantification_Config'!$R$4,'Quantification_Config'!$R$7,'Quantification_Config'!$R$10,'Quantification_Config'!$R$13,'Quantification_Config'!$R$16)),'Quantification_Config'!$U$2),""),"")</x:f>
      </x:c>
    </x:row>
    <x:row r="525">
      <x:c r="A525" t="n">
        <x:v>1</x:v>
      </x:c>
      <x:c r="B525" t="n">
        <x:v>5</x:v>
      </x:c>
      <x:c r="C525"/>
      <x:c r="D525" t="n">
        <x:f>IF(('Quantification_Results'!A525&lt;&gt;1),"",IF(('Quantification_Results'!C525=""),IF(ISNUMBER('Quantification_Results'!B525),IF(('Quantification_Results'!B525&lt;'Quantification_Config'!$S$6),"",IF(('Quantification_Results'!B525&gt;'Quantification_Config'!$T$6),"",'Quantification_Results'!B525)),""),IF(ISNUMBER('Quantification_Results'!C525),IF(('Quantification_Results'!C525&lt;'Quantification_Config'!$S$6),"",IF(('Quantification_Results'!C525&gt;'Quantification_Config'!$T$6),"",'Quantification_Results'!C525)),"")))</x:f>
        <x:v>5</x:v>
      </x:c>
      <x:c r="E525" t="n">
        <x:f>IF(ISNUMBER('Quantification_Results'!D525),IFERROR(ROUND(((('Quantification_Results'!D525-'Quantification_Config'!$S$6)/('Quantification_Config'!$T$6-'Quantification_Config'!$S$6))*100),'Quantification_Config'!$U$2),""),"")</x:f>
        <x:v>50</x:v>
      </x:c>
      <x:c r="F525" t="inlineStr">
        <x:is>
          <x:t xml:space="preserve">SYSTEM-TEST-ONLY-NO-NETWORK-NOT-AN-EDUCATIONAL-EVALUATION</x:t>
        </x:is>
      </x:c>
      <x:c r="G525" t="inlineStr">
        <x:is>
          <x:t xml:space="preserve"/>
        </x:is>
      </x:c>
      <x:c r="H525" t="inlineStr">
        <x:is>
          <x:t xml:space="preserve">NONE</x:t>
        </x:is>
      </x:c>
      <x:c r="I525" t="inlineStr">
        <x:is>
          <x:t xml:space="preserve"/>
        </x:is>
      </x:c>
      <x:c r="J525" t="inlineStr">
        <x:is>
          <x:t xml:space="preserve">SUCCESS</x:t>
        </x:is>
      </x:c>
      <x:c r="K525" t="n">
        <x:f>IF((COUNT('Quantification_Results'!E525)=1),IFERROR(ROUND((SUM(('Quantification_Results'!E525*'Quantification_Config'!$R$6))/SUM('Quantification_Config'!$R$6)),'Quantification_Config'!$U$2),""),"")</x:f>
        <x:v>50</x:v>
      </x:c>
      <x:c r="L525" t="n">
        <x:f>IF((COUNT('Quantification_Results'!K525)=1),IFERROR(ROUND((SUM(('Quantification_Results'!K525*'Quantification_Config'!$R$5))/SUM('Quantification_Config'!$R$5)),'Quantification_Config'!$U$2),""),"")</x:f>
        <x:v>50</x:v>
      </x:c>
      <x:c r="M525" t="n">
        <x:v>0</x:v>
      </x:c>
      <x:c r="N525"/>
      <x:c r="O525"/>
      <x:c r="P525">
        <x:f>IF(('Quantification_Results'!M525&lt;&gt;1),"",IF(('Quantification_Results'!O525=""),IF(ISNUMBER('Quantification_Results'!N525),IF(('Quantification_Results'!N525&lt;'Quantification_Config'!$S$9),"",IF(('Quantification_Results'!N525&gt;'Quantification_Config'!$T$9),"",'Quantification_Results'!N525)),""),IF(ISNUMBER('Quantification_Results'!O525),IF(('Quantification_Results'!O525&lt;'Quantification_Config'!$S$9),"",IF(('Quantification_Results'!O525&gt;'Quantification_Config'!$T$9),"",'Quantification_Results'!O525)),"")))</x:f>
      </x:c>
      <x:c r="Q525">
        <x:f>IF(ISNUMBER('Quantification_Results'!P525),IFERROR(ROUND(((('Quantification_Results'!P525-'Quantification_Config'!$S$9)/('Quantification_Config'!$T$9-'Quantification_Config'!$S$9))*100),'Quantification_Config'!$U$2),""),"")</x:f>
      </x:c>
      <x:c r="R525" t="inlineStr">
        <x:is>
          <x:t xml:space="preserve"/>
        </x:is>
      </x:c>
      <x:c r="S525" t="inlineStr">
        <x:is>
          <x:t xml:space="preserve"/>
        </x:is>
      </x:c>
      <x:c r="T525" t="inlineStr">
        <x:is>
          <x:t xml:space="preserve"/>
        </x:is>
      </x:c>
      <x:c r="U525" t="inlineStr">
        <x:is>
          <x:t xml:space="preserve"/>
        </x:is>
      </x:c>
      <x:c r="V525" t="inlineStr">
        <x:is>
          <x:t xml:space="preserve">EMPTY</x:t>
        </x:is>
      </x:c>
      <x:c r="W525">
        <x:f>IF((COUNT('Quantification_Results'!Q525)=1),IFERROR(ROUND((SUM(('Quantification_Results'!Q525*'Quantification_Config'!$R$9))/SUM('Quantification_Config'!$R$9)),'Quantification_Config'!$U$2),""),"")</x:f>
      </x:c>
      <x:c r="X525">
        <x:f>IF((COUNT('Quantification_Results'!W525)=1),IFERROR(ROUND((SUM(('Quantification_Results'!W525*'Quantification_Config'!$R$8))/SUM('Quantification_Config'!$R$8)),'Quantification_Config'!$U$2),""),"")</x:f>
      </x:c>
      <x:c r="Y525" t="n">
        <x:v>0</x:v>
      </x:c>
      <x:c r="Z525"/>
      <x:c r="AA525"/>
      <x:c r="AB525">
        <x:f>IF(('Quantification_Results'!Y525&lt;&gt;1),"",IF(('Quantification_Results'!AA525=""),IF(ISNUMBER('Quantification_Results'!Z525),IF(('Quantification_Results'!Z525&lt;'Quantification_Config'!$S$12),"",IF(('Quantification_Results'!Z525&gt;'Quantification_Config'!$T$12),"",'Quantification_Results'!Z525)),""),IF(ISNUMBER('Quantification_Results'!AA525),IF(('Quantification_Results'!AA525&lt;'Quantification_Config'!$S$12),"",IF(('Quantification_Results'!AA525&gt;'Quantification_Config'!$T$12),"",'Quantification_Results'!AA525)),"")))</x:f>
      </x:c>
      <x:c r="AC525">
        <x:f>IF(ISNUMBER('Quantification_Results'!AB525),IFERROR(ROUND(((('Quantification_Results'!AB525-'Quantification_Config'!$S$12)/('Quantification_Config'!$T$12-'Quantification_Config'!$S$12))*100),'Quantification_Config'!$U$2),""),"")</x:f>
      </x:c>
      <x:c r="AD525" t="inlineStr">
        <x:is>
          <x:t xml:space="preserve"/>
        </x:is>
      </x:c>
      <x:c r="AE525" t="inlineStr">
        <x:is>
          <x:t xml:space="preserve"/>
        </x:is>
      </x:c>
      <x:c r="AF525" t="inlineStr">
        <x:is>
          <x:t xml:space="preserve"/>
        </x:is>
      </x:c>
      <x:c r="AG525" t="inlineStr">
        <x:is>
          <x:t xml:space="preserve"/>
        </x:is>
      </x:c>
      <x:c r="AH525" t="inlineStr">
        <x:is>
          <x:t xml:space="preserve">EMPTY</x:t>
        </x:is>
      </x:c>
      <x:c r="AI525">
        <x:f>IF((COUNT('Quantification_Results'!AC525)=1),IFERROR(ROUND((SUM(('Quantification_Results'!AC525*'Quantification_Config'!$R$12))/SUM('Quantification_Config'!$R$12)),'Quantification_Config'!$U$2),""),"")</x:f>
      </x:c>
      <x:c r="AJ525">
        <x:f>IF((COUNT('Quantification_Results'!AI525)=1),IFERROR(ROUND((SUM(('Quantification_Results'!AI525*'Quantification_Config'!$R$11))/SUM('Quantification_Config'!$R$11)),'Quantification_Config'!$U$2),""),"")</x:f>
      </x:c>
      <x:c r="AK525" t="n">
        <x:v>1</x:v>
      </x:c>
      <x:c r="AL525" t="n">
        <x:v>5</x:v>
      </x:c>
      <x:c r="AM525"/>
      <x:c r="AN525" t="n">
        <x:f>IF(('Quantification_Results'!AK525&lt;&gt;1),"",IF(('Quantification_Results'!AM525=""),IF(ISNUMBER('Quantification_Results'!AL525),IF(('Quantification_Results'!AL525&lt;'Quantification_Config'!$S$15),"",IF(('Quantification_Results'!AL525&gt;'Quantification_Config'!$T$15),"",'Quantification_Results'!AL525)),""),IF(ISNUMBER('Quantification_Results'!AM525),IF(('Quantification_Results'!AM525&lt;'Quantification_Config'!$S$15),"",IF(('Quantification_Results'!AM525&gt;'Quantification_Config'!$T$15),"",'Quantification_Results'!AM525)),"")))</x:f>
        <x:v>5</x:v>
      </x:c>
      <x:c r="AO525" t="n">
        <x:f>IF(ISNUMBER('Quantification_Results'!AN525),IFERROR(ROUND(((('Quantification_Results'!AN525-'Quantification_Config'!$S$15)/('Quantification_Config'!$T$15-'Quantification_Config'!$S$15))*100),'Quantification_Config'!$U$2),""),"")</x:f>
        <x:v>50</x:v>
      </x:c>
      <x:c r="AP525" t="inlineStr">
        <x:is>
          <x:t xml:space="preserve">SYSTEM-TEST-ONLY-NO-NETWORK-NOT-AN-EDUCATIONAL-EVALUATION</x:t>
        </x:is>
      </x:c>
      <x:c r="AQ525" t="inlineStr">
        <x:is>
          <x:t xml:space="preserve"/>
        </x:is>
      </x:c>
      <x:c r="AR525" t="inlineStr">
        <x:is>
          <x:t xml:space="preserve">NONE</x:t>
        </x:is>
      </x:c>
      <x:c r="AS525" t="inlineStr">
        <x:is>
          <x:t xml:space="preserve"/>
        </x:is>
      </x:c>
      <x:c r="AT525" t="inlineStr">
        <x:is>
          <x:t xml:space="preserve">SUCCESS</x:t>
        </x:is>
      </x:c>
      <x:c r="AU525" t="n">
        <x:f>IF((COUNT('Quantification_Results'!AO525)=1),IFERROR(ROUND((SUM(('Quantification_Results'!AO525*'Quantification_Config'!$R$15))/SUM('Quantification_Config'!$R$15)),'Quantification_Config'!$U$2),""),"")</x:f>
        <x:v>50</x:v>
      </x:c>
      <x:c r="AV525" t="n">
        <x:f>IF((COUNT('Quantification_Results'!AU525)=1),IFERROR(ROUND((SUM(('Quantification_Results'!AU525*'Quantification_Config'!$R$14))/SUM('Quantification_Config'!$R$14)),'Quantification_Config'!$U$2),""),"")</x:f>
        <x:v>50</x:v>
      </x:c>
      <x:c r="AW525" t="n">
        <x:v>0</x:v>
      </x:c>
      <x:c r="AX525"/>
      <x:c r="AY525"/>
      <x:c r="AZ525">
        <x:f>IF(('Quantification_Results'!AW525&lt;&gt;1),"",IF(('Quantification_Results'!AY525=""),IF(ISNUMBER('Quantification_Results'!AX525),IF(('Quantification_Results'!AX525&lt;'Quantification_Config'!$S$19),"",IF(('Quantification_Results'!AX525&gt;'Quantification_Config'!$T$19),"",'Quantification_Results'!AX525)),""),IF(ISNUMBER('Quantification_Results'!AY525),IF(('Quantification_Results'!AY525&lt;'Quantification_Config'!$S$19),"",IF(('Quantification_Results'!AY525&gt;'Quantification_Config'!$T$19),"",'Quantification_Results'!AY525)),"")))</x:f>
      </x:c>
      <x:c r="BA525">
        <x:f>IF(ISNUMBER('Quantification_Results'!AZ525),IFERROR(ROUND(((('Quantification_Results'!AZ525-'Quantification_Config'!$S$19)/('Quantification_Config'!$T$19-'Quantification_Config'!$S$19))*100),'Quantification_Config'!$U$2),""),"")</x:f>
      </x:c>
      <x:c r="BB525" t="inlineStr">
        <x:is>
          <x:t xml:space="preserve"/>
        </x:is>
      </x:c>
      <x:c r="BC525" t="inlineStr">
        <x:is>
          <x:t xml:space="preserve"/>
        </x:is>
      </x:c>
      <x:c r="BD525" t="inlineStr">
        <x:is>
          <x:t xml:space="preserve"/>
        </x:is>
      </x:c>
      <x:c r="BE525" t="inlineStr">
        <x:is>
          <x:t xml:space="preserve"/>
        </x:is>
      </x:c>
      <x:c r="BF525" t="inlineStr">
        <x:is>
          <x:t xml:space="preserve">EMPTY</x:t>
        </x:is>
      </x:c>
      <x:c r="BG525">
        <x:f>IF((COUNT('Quantification_Results'!BA525)=1),IFERROR(ROUND((SUM(('Quantification_Results'!BA525*'Quantification_Config'!$R$19))/SUM('Quantification_Config'!$R$19)),'Quantification_Config'!$U$2),""),"")</x:f>
      </x:c>
      <x:c r="BH525">
        <x:f>IF((COUNT('Quantification_Results'!BG525)=1),IFERROR(ROUND((SUM(('Quantification_Results'!BG525*'Quantification_Config'!$R$18))/SUM('Quantification_Config'!$R$18)),'Quantification_Config'!$U$2),""),"")</x:f>
      </x:c>
      <x:c r="BI525">
        <x:f>IF((COUNT('Quantification_Results'!L525,'Quantification_Results'!X525,'Quantification_Results'!AJ525,'Quantification_Results'!AV525,'Quantification_Results'!BH525)=5),IFERROR(ROUND((SUM(('Quantification_Results'!L525*'Quantification_Config'!$R$4),('Quantification_Results'!X525*'Quantification_Config'!$R$7),('Quantification_Results'!AJ525*'Quantification_Config'!$R$10),('Quantification_Results'!AV525*'Quantification_Config'!$R$13),('Quantification_Results'!BH525*'Quantification_Config'!$R$16))/SUM('Quantification_Config'!$R$4,'Quantification_Config'!$R$7,'Quantification_Config'!$R$10,'Quantification_Config'!$R$13,'Quantification_Config'!$R$16)),'Quantification_Config'!$U$2),""),"")</x:f>
      </x:c>
    </x:row>
    <x:row r="526">
      <x:c r="A526" t="n">
        <x:v>1</x:v>
      </x:c>
      <x:c r="B526" t="n">
        <x:v>5</x:v>
      </x:c>
      <x:c r="C526"/>
      <x:c r="D526" t="n">
        <x:f>IF(('Quantification_Results'!A526&lt;&gt;1),"",IF(('Quantification_Results'!C526=""),IF(ISNUMBER('Quantification_Results'!B526),IF(('Quantification_Results'!B526&lt;'Quantification_Config'!$S$6),"",IF(('Quantification_Results'!B526&gt;'Quantification_Config'!$T$6),"",'Quantification_Results'!B526)),""),IF(ISNUMBER('Quantification_Results'!C526),IF(('Quantification_Results'!C526&lt;'Quantification_Config'!$S$6),"",IF(('Quantification_Results'!C526&gt;'Quantification_Config'!$T$6),"",'Quantification_Results'!C526)),"")))</x:f>
        <x:v>5</x:v>
      </x:c>
      <x:c r="E526" t="n">
        <x:f>IF(ISNUMBER('Quantification_Results'!D526),IFERROR(ROUND(((('Quantification_Results'!D526-'Quantification_Config'!$S$6)/('Quantification_Config'!$T$6-'Quantification_Config'!$S$6))*100),'Quantification_Config'!$U$2),""),"")</x:f>
        <x:v>50</x:v>
      </x:c>
      <x:c r="F526" t="inlineStr">
        <x:is>
          <x:t xml:space="preserve">SYSTEM-TEST-ONLY-NO-NETWORK-NOT-AN-EDUCATIONAL-EVALUATION</x:t>
        </x:is>
      </x:c>
      <x:c r="G526" t="inlineStr">
        <x:is>
          <x:t xml:space="preserve"/>
        </x:is>
      </x:c>
      <x:c r="H526" t="inlineStr">
        <x:is>
          <x:t xml:space="preserve">NONE</x:t>
        </x:is>
      </x:c>
      <x:c r="I526" t="inlineStr">
        <x:is>
          <x:t xml:space="preserve"/>
        </x:is>
      </x:c>
      <x:c r="J526" t="inlineStr">
        <x:is>
          <x:t xml:space="preserve">SUCCESS</x:t>
        </x:is>
      </x:c>
      <x:c r="K526" t="n">
        <x:f>IF((COUNT('Quantification_Results'!E526)=1),IFERROR(ROUND((SUM(('Quantification_Results'!E526*'Quantification_Config'!$R$6))/SUM('Quantification_Config'!$R$6)),'Quantification_Config'!$U$2),""),"")</x:f>
        <x:v>50</x:v>
      </x:c>
      <x:c r="L526" t="n">
        <x:f>IF((COUNT('Quantification_Results'!K526)=1),IFERROR(ROUND((SUM(('Quantification_Results'!K526*'Quantification_Config'!$R$5))/SUM('Quantification_Config'!$R$5)),'Quantification_Config'!$U$2),""),"")</x:f>
        <x:v>50</x:v>
      </x:c>
      <x:c r="M526" t="n">
        <x:v>1</x:v>
      </x:c>
      <x:c r="N526" t="n">
        <x:v>5</x:v>
      </x:c>
      <x:c r="O526"/>
      <x:c r="P526" t="n">
        <x:f>IF(('Quantification_Results'!M526&lt;&gt;1),"",IF(('Quantification_Results'!O526=""),IF(ISNUMBER('Quantification_Results'!N526),IF(('Quantification_Results'!N526&lt;'Quantification_Config'!$S$9),"",IF(('Quantification_Results'!N526&gt;'Quantification_Config'!$T$9),"",'Quantification_Results'!N526)),""),IF(ISNUMBER('Quantification_Results'!O526),IF(('Quantification_Results'!O526&lt;'Quantification_Config'!$S$9),"",IF(('Quantification_Results'!O526&gt;'Quantification_Config'!$T$9),"",'Quantification_Results'!O526)),"")))</x:f>
        <x:v>5</x:v>
      </x:c>
      <x:c r="Q526" t="n">
        <x:f>IF(ISNUMBER('Quantification_Results'!P526),IFERROR(ROUND(((('Quantification_Results'!P526-'Quantification_Config'!$S$9)/('Quantification_Config'!$T$9-'Quantification_Config'!$S$9))*100),'Quantification_Config'!$U$2),""),"")</x:f>
        <x:v>50</x:v>
      </x:c>
      <x:c r="R526" t="inlineStr">
        <x:is>
          <x:t xml:space="preserve">SYSTEM-TEST-ONLY-NO-NETWORK-NOT-AN-EDUCATIONAL-EVALUATION</x:t>
        </x:is>
      </x:c>
      <x:c r="S526" t="inlineStr">
        <x:is>
          <x:t xml:space="preserve"/>
        </x:is>
      </x:c>
      <x:c r="T526" t="inlineStr">
        <x:is>
          <x:t xml:space="preserve">NONE</x:t>
        </x:is>
      </x:c>
      <x:c r="U526" t="inlineStr">
        <x:is>
          <x:t xml:space="preserve"/>
        </x:is>
      </x:c>
      <x:c r="V526" t="inlineStr">
        <x:is>
          <x:t xml:space="preserve">SUCCESS</x:t>
        </x:is>
      </x:c>
      <x:c r="W526" t="n">
        <x:f>IF((COUNT('Quantification_Results'!Q526)=1),IFERROR(ROUND((SUM(('Quantification_Results'!Q526*'Quantification_Config'!$R$9))/SUM('Quantification_Config'!$R$9)),'Quantification_Config'!$U$2),""),"")</x:f>
        <x:v>50</x:v>
      </x:c>
      <x:c r="X526" t="n">
        <x:f>IF((COUNT('Quantification_Results'!W526)=1),IFERROR(ROUND((SUM(('Quantification_Results'!W526*'Quantification_Config'!$R$8))/SUM('Quantification_Config'!$R$8)),'Quantification_Config'!$U$2),""),"")</x:f>
        <x:v>50</x:v>
      </x:c>
      <x:c r="Y526" t="n">
        <x:v>0</x:v>
      </x:c>
      <x:c r="Z526"/>
      <x:c r="AA526"/>
      <x:c r="AB526">
        <x:f>IF(('Quantification_Results'!Y526&lt;&gt;1),"",IF(('Quantification_Results'!AA526=""),IF(ISNUMBER('Quantification_Results'!Z526),IF(('Quantification_Results'!Z526&lt;'Quantification_Config'!$S$12),"",IF(('Quantification_Results'!Z526&gt;'Quantification_Config'!$T$12),"",'Quantification_Results'!Z526)),""),IF(ISNUMBER('Quantification_Results'!AA526),IF(('Quantification_Results'!AA526&lt;'Quantification_Config'!$S$12),"",IF(('Quantification_Results'!AA526&gt;'Quantification_Config'!$T$12),"",'Quantification_Results'!AA526)),"")))</x:f>
      </x:c>
      <x:c r="AC526">
        <x:f>IF(ISNUMBER('Quantification_Results'!AB526),IFERROR(ROUND(((('Quantification_Results'!AB526-'Quantification_Config'!$S$12)/('Quantification_Config'!$T$12-'Quantification_Config'!$S$12))*100),'Quantification_Config'!$U$2),""),"")</x:f>
      </x:c>
      <x:c r="AD526" t="inlineStr">
        <x:is>
          <x:t xml:space="preserve"/>
        </x:is>
      </x:c>
      <x:c r="AE526" t="inlineStr">
        <x:is>
          <x:t xml:space="preserve"/>
        </x:is>
      </x:c>
      <x:c r="AF526" t="inlineStr">
        <x:is>
          <x:t xml:space="preserve"/>
        </x:is>
      </x:c>
      <x:c r="AG526" t="inlineStr">
        <x:is>
          <x:t xml:space="preserve"/>
        </x:is>
      </x:c>
      <x:c r="AH526" t="inlineStr">
        <x:is>
          <x:t xml:space="preserve">EMPTY</x:t>
        </x:is>
      </x:c>
      <x:c r="AI526">
        <x:f>IF((COUNT('Quantification_Results'!AC526)=1),IFERROR(ROUND((SUM(('Quantification_Results'!AC526*'Quantification_Config'!$R$12))/SUM('Quantification_Config'!$R$12)),'Quantification_Config'!$U$2),""),"")</x:f>
      </x:c>
      <x:c r="AJ526">
        <x:f>IF((COUNT('Quantification_Results'!AI526)=1),IFERROR(ROUND((SUM(('Quantification_Results'!AI526*'Quantification_Config'!$R$11))/SUM('Quantification_Config'!$R$11)),'Quantification_Config'!$U$2),""),"")</x:f>
      </x:c>
      <x:c r="AK526" t="n">
        <x:v>1</x:v>
      </x:c>
      <x:c r="AL526" t="n">
        <x:v>5</x:v>
      </x:c>
      <x:c r="AM526"/>
      <x:c r="AN526" t="n">
        <x:f>IF(('Quantification_Results'!AK526&lt;&gt;1),"",IF(('Quantification_Results'!AM526=""),IF(ISNUMBER('Quantification_Results'!AL526),IF(('Quantification_Results'!AL526&lt;'Quantification_Config'!$S$15),"",IF(('Quantification_Results'!AL526&gt;'Quantification_Config'!$T$15),"",'Quantification_Results'!AL526)),""),IF(ISNUMBER('Quantification_Results'!AM526),IF(('Quantification_Results'!AM526&lt;'Quantification_Config'!$S$15),"",IF(('Quantification_Results'!AM526&gt;'Quantification_Config'!$T$15),"",'Quantification_Results'!AM526)),"")))</x:f>
        <x:v>5</x:v>
      </x:c>
      <x:c r="AO526" t="n">
        <x:f>IF(ISNUMBER('Quantification_Results'!AN526),IFERROR(ROUND(((('Quantification_Results'!AN526-'Quantification_Config'!$S$15)/('Quantification_Config'!$T$15-'Quantification_Config'!$S$15))*100),'Quantification_Config'!$U$2),""),"")</x:f>
        <x:v>50</x:v>
      </x:c>
      <x:c r="AP526" t="inlineStr">
        <x:is>
          <x:t xml:space="preserve">SYSTEM-TEST-ONLY-NO-NETWORK-NOT-AN-EDUCATIONAL-EVALUATION</x:t>
        </x:is>
      </x:c>
      <x:c r="AQ526" t="inlineStr">
        <x:is>
          <x:t xml:space="preserve"/>
        </x:is>
      </x:c>
      <x:c r="AR526" t="inlineStr">
        <x:is>
          <x:t xml:space="preserve">NONE</x:t>
        </x:is>
      </x:c>
      <x:c r="AS526" t="inlineStr">
        <x:is>
          <x:t xml:space="preserve"/>
        </x:is>
      </x:c>
      <x:c r="AT526" t="inlineStr">
        <x:is>
          <x:t xml:space="preserve">SUCCESS</x:t>
        </x:is>
      </x:c>
      <x:c r="AU526" t="n">
        <x:f>IF((COUNT('Quantification_Results'!AO526)=1),IFERROR(ROUND((SUM(('Quantification_Results'!AO526*'Quantification_Config'!$R$15))/SUM('Quantification_Config'!$R$15)),'Quantification_Config'!$U$2),""),"")</x:f>
        <x:v>50</x:v>
      </x:c>
      <x:c r="AV526" t="n">
        <x:f>IF((COUNT('Quantification_Results'!AU526)=1),IFERROR(ROUND((SUM(('Quantification_Results'!AU526*'Quantification_Config'!$R$14))/SUM('Quantification_Config'!$R$14)),'Quantification_Config'!$U$2),""),"")</x:f>
        <x:v>50</x:v>
      </x:c>
      <x:c r="AW526" t="n">
        <x:v>1</x:v>
      </x:c>
      <x:c r="AX526" t="n">
        <x:v>5</x:v>
      </x:c>
      <x:c r="AY526"/>
      <x:c r="AZ526" t="n">
        <x:f>IF(('Quantification_Results'!AW526&lt;&gt;1),"",IF(('Quantification_Results'!AY526=""),IF(ISNUMBER('Quantification_Results'!AX526),IF(('Quantification_Results'!AX526&lt;'Quantification_Config'!$S$19),"",IF(('Quantification_Results'!AX526&gt;'Quantification_Config'!$T$19),"",'Quantification_Results'!AX526)),""),IF(ISNUMBER('Quantification_Results'!AY526),IF(('Quantification_Results'!AY526&lt;'Quantification_Config'!$S$19),"",IF(('Quantification_Results'!AY526&gt;'Quantification_Config'!$T$19),"",'Quantification_Results'!AY526)),"")))</x:f>
        <x:v>5</x:v>
      </x:c>
      <x:c r="BA526" t="n">
        <x:f>IF(ISNUMBER('Quantification_Results'!AZ526),IFERROR(ROUND(((('Quantification_Results'!AZ526-'Quantification_Config'!$S$19)/('Quantification_Config'!$T$19-'Quantification_Config'!$S$19))*100),'Quantification_Config'!$U$2),""),"")</x:f>
        <x:v>50</x:v>
      </x:c>
      <x:c r="BB526" t="inlineStr">
        <x:is>
          <x:t xml:space="preserve">SYSTEM-TEST-ONLY-NO-NETWORK-NOT-AN-EDUCATIONAL-EVALUATION</x:t>
        </x:is>
      </x:c>
      <x:c r="BC526" t="inlineStr">
        <x:is>
          <x:t xml:space="preserve"/>
        </x:is>
      </x:c>
      <x:c r="BD526" t="inlineStr">
        <x:is>
          <x:t xml:space="preserve">NONE</x:t>
        </x:is>
      </x:c>
      <x:c r="BE526" t="inlineStr">
        <x:is>
          <x:t xml:space="preserve"/>
        </x:is>
      </x:c>
      <x:c r="BF526" t="inlineStr">
        <x:is>
          <x:t xml:space="preserve">SUCCESS</x:t>
        </x:is>
      </x:c>
      <x:c r="BG526" t="n">
        <x:f>IF((COUNT('Quantification_Results'!BA526)=1),IFERROR(ROUND((SUM(('Quantification_Results'!BA526*'Quantification_Config'!$R$19))/SUM('Quantification_Config'!$R$19)),'Quantification_Config'!$U$2),""),"")</x:f>
        <x:v>50</x:v>
      </x:c>
      <x:c r="BH526" t="n">
        <x:f>IF((COUNT('Quantification_Results'!BG526)=1),IFERROR(ROUND((SUM(('Quantification_Results'!BG526*'Quantification_Config'!$R$18))/SUM('Quantification_Config'!$R$18)),'Quantification_Config'!$U$2),""),"")</x:f>
        <x:v>50</x:v>
      </x:c>
      <x:c r="BI526">
        <x:f>IF((COUNT('Quantification_Results'!L526,'Quantification_Results'!X526,'Quantification_Results'!AJ526,'Quantification_Results'!AV526,'Quantification_Results'!BH526)=5),IFERROR(ROUND((SUM(('Quantification_Results'!L526*'Quantification_Config'!$R$4),('Quantification_Results'!X526*'Quantification_Config'!$R$7),('Quantification_Results'!AJ526*'Quantification_Config'!$R$10),('Quantification_Results'!AV526*'Quantification_Config'!$R$13),('Quantification_Results'!BH526*'Quantification_Config'!$R$16))/SUM('Quantification_Config'!$R$4,'Quantification_Config'!$R$7,'Quantification_Config'!$R$10,'Quantification_Config'!$R$13,'Quantification_Config'!$R$16)),'Quantification_Config'!$U$2),""),"")</x:f>
      </x:c>
    </x:row>
    <x:row r="527">
      <x:c r="A527" t="n">
        <x:v>1</x:v>
      </x:c>
      <x:c r="B527" t="n">
        <x:v>5</x:v>
      </x:c>
      <x:c r="C527"/>
      <x:c r="D527" t="n">
        <x:f>IF(('Quantification_Results'!A527&lt;&gt;1),"",IF(('Quantification_Results'!C527=""),IF(ISNUMBER('Quantification_Results'!B527),IF(('Quantification_Results'!B527&lt;'Quantification_Config'!$S$6),"",IF(('Quantification_Results'!B527&gt;'Quantification_Config'!$T$6),"",'Quantification_Results'!B527)),""),IF(ISNUMBER('Quantification_Results'!C527),IF(('Quantification_Results'!C527&lt;'Quantification_Config'!$S$6),"",IF(('Quantification_Results'!C527&gt;'Quantification_Config'!$T$6),"",'Quantification_Results'!C527)),"")))</x:f>
        <x:v>5</x:v>
      </x:c>
      <x:c r="E527" t="n">
        <x:f>IF(ISNUMBER('Quantification_Results'!D527),IFERROR(ROUND(((('Quantification_Results'!D527-'Quantification_Config'!$S$6)/('Quantification_Config'!$T$6-'Quantification_Config'!$S$6))*100),'Quantification_Config'!$U$2),""),"")</x:f>
        <x:v>50</x:v>
      </x:c>
      <x:c r="F527" t="inlineStr">
        <x:is>
          <x:t xml:space="preserve">SYSTEM-TEST-ONLY-NO-NETWORK-NOT-AN-EDUCATIONAL-EVALUATION</x:t>
        </x:is>
      </x:c>
      <x:c r="G527" t="inlineStr">
        <x:is>
          <x:t xml:space="preserve"/>
        </x:is>
      </x:c>
      <x:c r="H527" t="inlineStr">
        <x:is>
          <x:t xml:space="preserve">NONE</x:t>
        </x:is>
      </x:c>
      <x:c r="I527" t="inlineStr">
        <x:is>
          <x:t xml:space="preserve"/>
        </x:is>
      </x:c>
      <x:c r="J527" t="inlineStr">
        <x:is>
          <x:t xml:space="preserve">SUCCESS</x:t>
        </x:is>
      </x:c>
      <x:c r="K527" t="n">
        <x:f>IF((COUNT('Quantification_Results'!E527)=1),IFERROR(ROUND((SUM(('Quantification_Results'!E527*'Quantification_Config'!$R$6))/SUM('Quantification_Config'!$R$6)),'Quantification_Config'!$U$2),""),"")</x:f>
        <x:v>50</x:v>
      </x:c>
      <x:c r="L527" t="n">
        <x:f>IF((COUNT('Quantification_Results'!K527)=1),IFERROR(ROUND((SUM(('Quantification_Results'!K527*'Quantification_Config'!$R$5))/SUM('Quantification_Config'!$R$5)),'Quantification_Config'!$U$2),""),"")</x:f>
        <x:v>50</x:v>
      </x:c>
      <x:c r="M527" t="n">
        <x:v>1</x:v>
      </x:c>
      <x:c r="N527" t="n">
        <x:v>5</x:v>
      </x:c>
      <x:c r="O527"/>
      <x:c r="P527" t="n">
        <x:f>IF(('Quantification_Results'!M527&lt;&gt;1),"",IF(('Quantification_Results'!O527=""),IF(ISNUMBER('Quantification_Results'!N527),IF(('Quantification_Results'!N527&lt;'Quantification_Config'!$S$9),"",IF(('Quantification_Results'!N527&gt;'Quantification_Config'!$T$9),"",'Quantification_Results'!N527)),""),IF(ISNUMBER('Quantification_Results'!O527),IF(('Quantification_Results'!O527&lt;'Quantification_Config'!$S$9),"",IF(('Quantification_Results'!O527&gt;'Quantification_Config'!$T$9),"",'Quantification_Results'!O527)),"")))</x:f>
        <x:v>5</x:v>
      </x:c>
      <x:c r="Q527" t="n">
        <x:f>IF(ISNUMBER('Quantification_Results'!P527),IFERROR(ROUND(((('Quantification_Results'!P527-'Quantification_Config'!$S$9)/('Quantification_Config'!$T$9-'Quantification_Config'!$S$9))*100),'Quantification_Config'!$U$2),""),"")</x:f>
        <x:v>50</x:v>
      </x:c>
      <x:c r="R527" t="inlineStr">
        <x:is>
          <x:t xml:space="preserve">SYSTEM-TEST-ONLY-NO-NETWORK-NOT-AN-EDUCATIONAL-EVALUATION</x:t>
        </x:is>
      </x:c>
      <x:c r="S527" t="inlineStr">
        <x:is>
          <x:t xml:space="preserve"/>
        </x:is>
      </x:c>
      <x:c r="T527" t="inlineStr">
        <x:is>
          <x:t xml:space="preserve">NONE</x:t>
        </x:is>
      </x:c>
      <x:c r="U527" t="inlineStr">
        <x:is>
          <x:t xml:space="preserve"/>
        </x:is>
      </x:c>
      <x:c r="V527" t="inlineStr">
        <x:is>
          <x:t xml:space="preserve">SUCCESS</x:t>
        </x:is>
      </x:c>
      <x:c r="W527" t="n">
        <x:f>IF((COUNT('Quantification_Results'!Q527)=1),IFERROR(ROUND((SUM(('Quantification_Results'!Q527*'Quantification_Config'!$R$9))/SUM('Quantification_Config'!$R$9)),'Quantification_Config'!$U$2),""),"")</x:f>
        <x:v>50</x:v>
      </x:c>
      <x:c r="X527" t="n">
        <x:f>IF((COUNT('Quantification_Results'!W527)=1),IFERROR(ROUND((SUM(('Quantification_Results'!W527*'Quantification_Config'!$R$8))/SUM('Quantification_Config'!$R$8)),'Quantification_Config'!$U$2),""),"")</x:f>
        <x:v>50</x:v>
      </x:c>
      <x:c r="Y527" t="n">
        <x:v>1</x:v>
      </x:c>
      <x:c r="Z527" t="n">
        <x:v>5</x:v>
      </x:c>
      <x:c r="AA527"/>
      <x:c r="AB527" t="n">
        <x:f>IF(('Quantification_Results'!Y527&lt;&gt;1),"",IF(('Quantification_Results'!AA527=""),IF(ISNUMBER('Quantification_Results'!Z527),IF(('Quantification_Results'!Z527&lt;'Quantification_Config'!$S$12),"",IF(('Quantification_Results'!Z527&gt;'Quantification_Config'!$T$12),"",'Quantification_Results'!Z527)),""),IF(ISNUMBER('Quantification_Results'!AA527),IF(('Quantification_Results'!AA527&lt;'Quantification_Config'!$S$12),"",IF(('Quantification_Results'!AA527&gt;'Quantification_Config'!$T$12),"",'Quantification_Results'!AA527)),"")))</x:f>
        <x:v>5</x:v>
      </x:c>
      <x:c r="AC527" t="n">
        <x:f>IF(ISNUMBER('Quantification_Results'!AB527),IFERROR(ROUND(((('Quantification_Results'!AB527-'Quantification_Config'!$S$12)/('Quantification_Config'!$T$12-'Quantification_Config'!$S$12))*100),'Quantification_Config'!$U$2),""),"")</x:f>
        <x:v>50</x:v>
      </x:c>
      <x:c r="AD527" t="inlineStr">
        <x:is>
          <x:t xml:space="preserve">SYSTEM-TEST-ONLY-NO-NETWORK-NOT-AN-EDUCATIONAL-EVALUATION</x:t>
        </x:is>
      </x:c>
      <x:c r="AE527" t="inlineStr">
        <x:is>
          <x:t xml:space="preserve"/>
        </x:is>
      </x:c>
      <x:c r="AF527" t="inlineStr">
        <x:is>
          <x:t xml:space="preserve">NONE</x:t>
        </x:is>
      </x:c>
      <x:c r="AG527" t="inlineStr">
        <x:is>
          <x:t xml:space="preserve"/>
        </x:is>
      </x:c>
      <x:c r="AH527" t="inlineStr">
        <x:is>
          <x:t xml:space="preserve">SUCCESS</x:t>
        </x:is>
      </x:c>
      <x:c r="AI527" t="n">
        <x:f>IF((COUNT('Quantification_Results'!AC527)=1),IFERROR(ROUND((SUM(('Quantification_Results'!AC527*'Quantification_Config'!$R$12))/SUM('Quantification_Config'!$R$12)),'Quantification_Config'!$U$2),""),"")</x:f>
        <x:v>50</x:v>
      </x:c>
      <x:c r="AJ527" t="n">
        <x:f>IF((COUNT('Quantification_Results'!AI527)=1),IFERROR(ROUND((SUM(('Quantification_Results'!AI527*'Quantification_Config'!$R$11))/SUM('Quantification_Config'!$R$11)),'Quantification_Config'!$U$2),""),"")</x:f>
        <x:v>50</x:v>
      </x:c>
      <x:c r="AK527" t="n">
        <x:v>1</x:v>
      </x:c>
      <x:c r="AL527" t="n">
        <x:v>5</x:v>
      </x:c>
      <x:c r="AM527"/>
      <x:c r="AN527" t="n">
        <x:f>IF(('Quantification_Results'!AK527&lt;&gt;1),"",IF(('Quantification_Results'!AM527=""),IF(ISNUMBER('Quantification_Results'!AL527),IF(('Quantification_Results'!AL527&lt;'Quantification_Config'!$S$15),"",IF(('Quantification_Results'!AL527&gt;'Quantification_Config'!$T$15),"",'Quantification_Results'!AL527)),""),IF(ISNUMBER('Quantification_Results'!AM527),IF(('Quantification_Results'!AM527&lt;'Quantification_Config'!$S$15),"",IF(('Quantification_Results'!AM527&gt;'Quantification_Config'!$T$15),"",'Quantification_Results'!AM527)),"")))</x:f>
        <x:v>5</x:v>
      </x:c>
      <x:c r="AO527" t="n">
        <x:f>IF(ISNUMBER('Quantification_Results'!AN527),IFERROR(ROUND(((('Quantification_Results'!AN527-'Quantification_Config'!$S$15)/('Quantification_Config'!$T$15-'Quantification_Config'!$S$15))*100),'Quantification_Config'!$U$2),""),"")</x:f>
        <x:v>50</x:v>
      </x:c>
      <x:c r="AP527" t="inlineStr">
        <x:is>
          <x:t xml:space="preserve">SYSTEM-TEST-ONLY-NO-NETWORK-NOT-AN-EDUCATIONAL-EVALUATION</x:t>
        </x:is>
      </x:c>
      <x:c r="AQ527" t="inlineStr">
        <x:is>
          <x:t xml:space="preserve"/>
        </x:is>
      </x:c>
      <x:c r="AR527" t="inlineStr">
        <x:is>
          <x:t xml:space="preserve">NONE</x:t>
        </x:is>
      </x:c>
      <x:c r="AS527" t="inlineStr">
        <x:is>
          <x:t xml:space="preserve"/>
        </x:is>
      </x:c>
      <x:c r="AT527" t="inlineStr">
        <x:is>
          <x:t xml:space="preserve">SUCCESS</x:t>
        </x:is>
      </x:c>
      <x:c r="AU527" t="n">
        <x:f>IF((COUNT('Quantification_Results'!AO527)=1),IFERROR(ROUND((SUM(('Quantification_Results'!AO527*'Quantification_Config'!$R$15))/SUM('Quantification_Config'!$R$15)),'Quantification_Config'!$U$2),""),"")</x:f>
        <x:v>50</x:v>
      </x:c>
      <x:c r="AV527" t="n">
        <x:f>IF((COUNT('Quantification_Results'!AU527)=1),IFERROR(ROUND((SUM(('Quantification_Results'!AU527*'Quantification_Config'!$R$14))/SUM('Quantification_Config'!$R$14)),'Quantification_Config'!$U$2),""),"")</x:f>
        <x:v>50</x:v>
      </x:c>
      <x:c r="AW527" t="n">
        <x:v>0</x:v>
      </x:c>
      <x:c r="AX527"/>
      <x:c r="AY527"/>
      <x:c r="AZ527">
        <x:f>IF(('Quantification_Results'!AW527&lt;&gt;1),"",IF(('Quantification_Results'!AY527=""),IF(ISNUMBER('Quantification_Results'!AX527),IF(('Quantification_Results'!AX527&lt;'Quantification_Config'!$S$19),"",IF(('Quantification_Results'!AX527&gt;'Quantification_Config'!$T$19),"",'Quantification_Results'!AX527)),""),IF(ISNUMBER('Quantification_Results'!AY527),IF(('Quantification_Results'!AY527&lt;'Quantification_Config'!$S$19),"",IF(('Quantification_Results'!AY527&gt;'Quantification_Config'!$T$19),"",'Quantification_Results'!AY527)),"")))</x:f>
      </x:c>
      <x:c r="BA527">
        <x:f>IF(ISNUMBER('Quantification_Results'!AZ527),IFERROR(ROUND(((('Quantification_Results'!AZ527-'Quantification_Config'!$S$19)/('Quantification_Config'!$T$19-'Quantification_Config'!$S$19))*100),'Quantification_Config'!$U$2),""),"")</x:f>
      </x:c>
      <x:c r="BB527" t="inlineStr">
        <x:is>
          <x:t xml:space="preserve"/>
        </x:is>
      </x:c>
      <x:c r="BC527" t="inlineStr">
        <x:is>
          <x:t xml:space="preserve"/>
        </x:is>
      </x:c>
      <x:c r="BD527" t="inlineStr">
        <x:is>
          <x:t xml:space="preserve"/>
        </x:is>
      </x:c>
      <x:c r="BE527" t="inlineStr">
        <x:is>
          <x:t xml:space="preserve"/>
        </x:is>
      </x:c>
      <x:c r="BF527" t="inlineStr">
        <x:is>
          <x:t xml:space="preserve">EMPTY</x:t>
        </x:is>
      </x:c>
      <x:c r="BG527">
        <x:f>IF((COUNT('Quantification_Results'!BA527)=1),IFERROR(ROUND((SUM(('Quantification_Results'!BA527*'Quantification_Config'!$R$19))/SUM('Quantification_Config'!$R$19)),'Quantification_Config'!$U$2),""),"")</x:f>
      </x:c>
      <x:c r="BH527">
        <x:f>IF((COUNT('Quantification_Results'!BG527)=1),IFERROR(ROUND((SUM(('Quantification_Results'!BG527*'Quantification_Config'!$R$18))/SUM('Quantification_Config'!$R$18)),'Quantification_Config'!$U$2),""),"")</x:f>
      </x:c>
      <x:c r="BI527">
        <x:f>IF((COUNT('Quantification_Results'!L527,'Quantification_Results'!X527,'Quantification_Results'!AJ527,'Quantification_Results'!AV527,'Quantification_Results'!BH527)=5),IFERROR(ROUND((SUM(('Quantification_Results'!L527*'Quantification_Config'!$R$4),('Quantification_Results'!X527*'Quantification_Config'!$R$7),('Quantification_Results'!AJ527*'Quantification_Config'!$R$10),('Quantification_Results'!AV527*'Quantification_Config'!$R$13),('Quantification_Results'!BH527*'Quantification_Config'!$R$16))/SUM('Quantification_Config'!$R$4,'Quantification_Config'!$R$7,'Quantification_Config'!$R$10,'Quantification_Config'!$R$13,'Quantification_Config'!$R$16)),'Quantification_Config'!$U$2),""),"")</x:f>
      </x:c>
    </x:row>
    <x:row r="528">
      <x:c r="A528" t="n">
        <x:v>1</x:v>
      </x:c>
      <x:c r="B528" t="n">
        <x:v>5</x:v>
      </x:c>
      <x:c r="C528"/>
      <x:c r="D528" t="n">
        <x:f>IF(('Quantification_Results'!A528&lt;&gt;1),"",IF(('Quantification_Results'!C528=""),IF(ISNUMBER('Quantification_Results'!B528),IF(('Quantification_Results'!B528&lt;'Quantification_Config'!$S$6),"",IF(('Quantification_Results'!B528&gt;'Quantification_Config'!$T$6),"",'Quantification_Results'!B528)),""),IF(ISNUMBER('Quantification_Results'!C528),IF(('Quantification_Results'!C528&lt;'Quantification_Config'!$S$6),"",IF(('Quantification_Results'!C528&gt;'Quantification_Config'!$T$6),"",'Quantification_Results'!C528)),"")))</x:f>
        <x:v>5</x:v>
      </x:c>
      <x:c r="E528" t="n">
        <x:f>IF(ISNUMBER('Quantification_Results'!D528),IFERROR(ROUND(((('Quantification_Results'!D528-'Quantification_Config'!$S$6)/('Quantification_Config'!$T$6-'Quantification_Config'!$S$6))*100),'Quantification_Config'!$U$2),""),"")</x:f>
        <x:v>50</x:v>
      </x:c>
      <x:c r="F528" t="inlineStr">
        <x:is>
          <x:t xml:space="preserve">SYSTEM-TEST-ONLY-NO-NETWORK-NOT-AN-EDUCATIONAL-EVALUATION</x:t>
        </x:is>
      </x:c>
      <x:c r="G528" t="inlineStr">
        <x:is>
          <x:t xml:space="preserve"/>
        </x:is>
      </x:c>
      <x:c r="H528" t="inlineStr">
        <x:is>
          <x:t xml:space="preserve">NONE</x:t>
        </x:is>
      </x:c>
      <x:c r="I528" t="inlineStr">
        <x:is>
          <x:t xml:space="preserve"/>
        </x:is>
      </x:c>
      <x:c r="J528" t="inlineStr">
        <x:is>
          <x:t xml:space="preserve">SUCCESS</x:t>
        </x:is>
      </x:c>
      <x:c r="K528" t="n">
        <x:f>IF((COUNT('Quantification_Results'!E528)=1),IFERROR(ROUND((SUM(('Quantification_Results'!E528*'Quantification_Config'!$R$6))/SUM('Quantification_Config'!$R$6)),'Quantification_Config'!$U$2),""),"")</x:f>
        <x:v>50</x:v>
      </x:c>
      <x:c r="L528" t="n">
        <x:f>IF((COUNT('Quantification_Results'!K528)=1),IFERROR(ROUND((SUM(('Quantification_Results'!K528*'Quantification_Config'!$R$5))/SUM('Quantification_Config'!$R$5)),'Quantification_Config'!$U$2),""),"")</x:f>
        <x:v>50</x:v>
      </x:c>
      <x:c r="M528" t="n">
        <x:v>1</x:v>
      </x:c>
      <x:c r="N528" t="n">
        <x:v>5</x:v>
      </x:c>
      <x:c r="O528"/>
      <x:c r="P528" t="n">
        <x:f>IF(('Quantification_Results'!M528&lt;&gt;1),"",IF(('Quantification_Results'!O528=""),IF(ISNUMBER('Quantification_Results'!N528),IF(('Quantification_Results'!N528&lt;'Quantification_Config'!$S$9),"",IF(('Quantification_Results'!N528&gt;'Quantification_Config'!$T$9),"",'Quantification_Results'!N528)),""),IF(ISNUMBER('Quantification_Results'!O528),IF(('Quantification_Results'!O528&lt;'Quantification_Config'!$S$9),"",IF(('Quantification_Results'!O528&gt;'Quantification_Config'!$T$9),"",'Quantification_Results'!O528)),"")))</x:f>
        <x:v>5</x:v>
      </x:c>
      <x:c r="Q528" t="n">
        <x:f>IF(ISNUMBER('Quantification_Results'!P528),IFERROR(ROUND(((('Quantification_Results'!P528-'Quantification_Config'!$S$9)/('Quantification_Config'!$T$9-'Quantification_Config'!$S$9))*100),'Quantification_Config'!$U$2),""),"")</x:f>
        <x:v>50</x:v>
      </x:c>
      <x:c r="R528" t="inlineStr">
        <x:is>
          <x:t xml:space="preserve">SYSTEM-TEST-ONLY-NO-NETWORK-NOT-AN-EDUCATIONAL-EVALUATION</x:t>
        </x:is>
      </x:c>
      <x:c r="S528" t="inlineStr">
        <x:is>
          <x:t xml:space="preserve"/>
        </x:is>
      </x:c>
      <x:c r="T528" t="inlineStr">
        <x:is>
          <x:t xml:space="preserve">NONE</x:t>
        </x:is>
      </x:c>
      <x:c r="U528" t="inlineStr">
        <x:is>
          <x:t xml:space="preserve"/>
        </x:is>
      </x:c>
      <x:c r="V528" t="inlineStr">
        <x:is>
          <x:t xml:space="preserve">SUCCESS</x:t>
        </x:is>
      </x:c>
      <x:c r="W528" t="n">
        <x:f>IF((COUNT('Quantification_Results'!Q528)=1),IFERROR(ROUND((SUM(('Quantification_Results'!Q528*'Quantification_Config'!$R$9))/SUM('Quantification_Config'!$R$9)),'Quantification_Config'!$U$2),""),"")</x:f>
        <x:v>50</x:v>
      </x:c>
      <x:c r="X528" t="n">
        <x:f>IF((COUNT('Quantification_Results'!W528)=1),IFERROR(ROUND((SUM(('Quantification_Results'!W528*'Quantification_Config'!$R$8))/SUM('Quantification_Config'!$R$8)),'Quantification_Config'!$U$2),""),"")</x:f>
        <x:v>50</x:v>
      </x:c>
      <x:c r="Y528" t="n">
        <x:v>1</x:v>
      </x:c>
      <x:c r="Z528" t="n">
        <x:v>5</x:v>
      </x:c>
      <x:c r="AA528"/>
      <x:c r="AB528" t="n">
        <x:f>IF(('Quantification_Results'!Y528&lt;&gt;1),"",IF(('Quantification_Results'!AA528=""),IF(ISNUMBER('Quantification_Results'!Z528),IF(('Quantification_Results'!Z528&lt;'Quantification_Config'!$S$12),"",IF(('Quantification_Results'!Z528&gt;'Quantification_Config'!$T$12),"",'Quantification_Results'!Z528)),""),IF(ISNUMBER('Quantification_Results'!AA528),IF(('Quantification_Results'!AA528&lt;'Quantification_Config'!$S$12),"",IF(('Quantification_Results'!AA528&gt;'Quantification_Config'!$T$12),"",'Quantification_Results'!AA528)),"")))</x:f>
        <x:v>5</x:v>
      </x:c>
      <x:c r="AC528" t="n">
        <x:f>IF(ISNUMBER('Quantification_Results'!AB528),IFERROR(ROUND(((('Quantification_Results'!AB528-'Quantification_Config'!$S$12)/('Quantification_Config'!$T$12-'Quantification_Config'!$S$12))*100),'Quantification_Config'!$U$2),""),"")</x:f>
        <x:v>50</x:v>
      </x:c>
      <x:c r="AD528" t="inlineStr">
        <x:is>
          <x:t xml:space="preserve">SYSTEM-TEST-ONLY-NO-NETWORK-NOT-AN-EDUCATIONAL-EVALUATION</x:t>
        </x:is>
      </x:c>
      <x:c r="AE528" t="inlineStr">
        <x:is>
          <x:t xml:space="preserve"/>
        </x:is>
      </x:c>
      <x:c r="AF528" t="inlineStr">
        <x:is>
          <x:t xml:space="preserve">NONE</x:t>
        </x:is>
      </x:c>
      <x:c r="AG528" t="inlineStr">
        <x:is>
          <x:t xml:space="preserve"/>
        </x:is>
      </x:c>
      <x:c r="AH528" t="inlineStr">
        <x:is>
          <x:t xml:space="preserve">SUCCESS</x:t>
        </x:is>
      </x:c>
      <x:c r="AI528" t="n">
        <x:f>IF((COUNT('Quantification_Results'!AC528)=1),IFERROR(ROUND((SUM(('Quantification_Results'!AC528*'Quantification_Config'!$R$12))/SUM('Quantification_Config'!$R$12)),'Quantification_Config'!$U$2),""),"")</x:f>
        <x:v>50</x:v>
      </x:c>
      <x:c r="AJ528" t="n">
        <x:f>IF((COUNT('Quantification_Results'!AI528)=1),IFERROR(ROUND((SUM(('Quantification_Results'!AI528*'Quantification_Config'!$R$11))/SUM('Quantification_Config'!$R$11)),'Quantification_Config'!$U$2),""),"")</x:f>
        <x:v>50</x:v>
      </x:c>
      <x:c r="AK528" t="n">
        <x:v>1</x:v>
      </x:c>
      <x:c r="AL528" t="n">
        <x:v>5</x:v>
      </x:c>
      <x:c r="AM528"/>
      <x:c r="AN528" t="n">
        <x:f>IF(('Quantification_Results'!AK528&lt;&gt;1),"",IF(('Quantification_Results'!AM528=""),IF(ISNUMBER('Quantification_Results'!AL528),IF(('Quantification_Results'!AL528&lt;'Quantification_Config'!$S$15),"",IF(('Quantification_Results'!AL528&gt;'Quantification_Config'!$T$15),"",'Quantification_Results'!AL528)),""),IF(ISNUMBER('Quantification_Results'!AM528),IF(('Quantification_Results'!AM528&lt;'Quantification_Config'!$S$15),"",IF(('Quantification_Results'!AM528&gt;'Quantification_Config'!$T$15),"",'Quantification_Results'!AM528)),"")))</x:f>
        <x:v>5</x:v>
      </x:c>
      <x:c r="AO528" t="n">
        <x:f>IF(ISNUMBER('Quantification_Results'!AN528),IFERROR(ROUND(((('Quantification_Results'!AN528-'Quantification_Config'!$S$15)/('Quantification_Config'!$T$15-'Quantification_Config'!$S$15))*100),'Quantification_Config'!$U$2),""),"")</x:f>
        <x:v>50</x:v>
      </x:c>
      <x:c r="AP528" t="inlineStr">
        <x:is>
          <x:t xml:space="preserve">SYSTEM-TEST-ONLY-NO-NETWORK-NOT-AN-EDUCATIONAL-EVALUATION</x:t>
        </x:is>
      </x:c>
      <x:c r="AQ528" t="inlineStr">
        <x:is>
          <x:t xml:space="preserve"/>
        </x:is>
      </x:c>
      <x:c r="AR528" t="inlineStr">
        <x:is>
          <x:t xml:space="preserve">NONE</x:t>
        </x:is>
      </x:c>
      <x:c r="AS528" t="inlineStr">
        <x:is>
          <x:t xml:space="preserve"/>
        </x:is>
      </x:c>
      <x:c r="AT528" t="inlineStr">
        <x:is>
          <x:t xml:space="preserve">SUCCESS</x:t>
        </x:is>
      </x:c>
      <x:c r="AU528" t="n">
        <x:f>IF((COUNT('Quantification_Results'!AO528)=1),IFERROR(ROUND((SUM(('Quantification_Results'!AO528*'Quantification_Config'!$R$15))/SUM('Quantification_Config'!$R$15)),'Quantification_Config'!$U$2),""),"")</x:f>
        <x:v>50</x:v>
      </x:c>
      <x:c r="AV528" t="n">
        <x:f>IF((COUNT('Quantification_Results'!AU528)=1),IFERROR(ROUND((SUM(('Quantification_Results'!AU528*'Quantification_Config'!$R$14))/SUM('Quantification_Config'!$R$14)),'Quantification_Config'!$U$2),""),"")</x:f>
        <x:v>50</x:v>
      </x:c>
      <x:c r="AW528" t="n">
        <x:v>1</x:v>
      </x:c>
      <x:c r="AX528" t="n">
        <x:v>5</x:v>
      </x:c>
      <x:c r="AY528"/>
      <x:c r="AZ528" t="n">
        <x:f>IF(('Quantification_Results'!AW528&lt;&gt;1),"",IF(('Quantification_Results'!AY528=""),IF(ISNUMBER('Quantification_Results'!AX528),IF(('Quantification_Results'!AX528&lt;'Quantification_Config'!$S$19),"",IF(('Quantification_Results'!AX528&gt;'Quantification_Config'!$T$19),"",'Quantification_Results'!AX528)),""),IF(ISNUMBER('Quantification_Results'!AY528),IF(('Quantification_Results'!AY528&lt;'Quantification_Config'!$S$19),"",IF(('Quantification_Results'!AY528&gt;'Quantification_Config'!$T$19),"",'Quantification_Results'!AY528)),"")))</x:f>
        <x:v>5</x:v>
      </x:c>
      <x:c r="BA528" t="n">
        <x:f>IF(ISNUMBER('Quantification_Results'!AZ528),IFERROR(ROUND(((('Quantification_Results'!AZ528-'Quantification_Config'!$S$19)/('Quantification_Config'!$T$19-'Quantification_Config'!$S$19))*100),'Quantification_Config'!$U$2),""),"")</x:f>
        <x:v>50</x:v>
      </x:c>
      <x:c r="BB528" t="inlineStr">
        <x:is>
          <x:t xml:space="preserve">SYSTEM-TEST-ONLY-NO-NETWORK-NOT-AN-EDUCATIONAL-EVALUATION</x:t>
        </x:is>
      </x:c>
      <x:c r="BC528" t="inlineStr">
        <x:is>
          <x:t xml:space="preserve"/>
        </x:is>
      </x:c>
      <x:c r="BD528" t="inlineStr">
        <x:is>
          <x:t xml:space="preserve">NONE</x:t>
        </x:is>
      </x:c>
      <x:c r="BE528" t="inlineStr">
        <x:is>
          <x:t xml:space="preserve"/>
        </x:is>
      </x:c>
      <x:c r="BF528" t="inlineStr">
        <x:is>
          <x:t xml:space="preserve">SUCCESS</x:t>
        </x:is>
      </x:c>
      <x:c r="BG528" t="n">
        <x:f>IF((COUNT('Quantification_Results'!BA528)=1),IFERROR(ROUND((SUM(('Quantification_Results'!BA528*'Quantification_Config'!$R$19))/SUM('Quantification_Config'!$R$19)),'Quantification_Config'!$U$2),""),"")</x:f>
        <x:v>50</x:v>
      </x:c>
      <x:c r="BH528" t="n">
        <x:f>IF((COUNT('Quantification_Results'!BG528)=1),IFERROR(ROUND((SUM(('Quantification_Results'!BG528*'Quantification_Config'!$R$18))/SUM('Quantification_Config'!$R$18)),'Quantification_Config'!$U$2),""),"")</x:f>
        <x:v>50</x:v>
      </x:c>
      <x:c r="BI528" t="n">
        <x:f>IF((COUNT('Quantification_Results'!L528,'Quantification_Results'!X528,'Quantification_Results'!AJ528,'Quantification_Results'!AV528,'Quantification_Results'!BH528)=5),IFERROR(ROUND((SUM(('Quantification_Results'!L528*'Quantification_Config'!$R$4),('Quantification_Results'!X528*'Quantification_Config'!$R$7),('Quantification_Results'!AJ528*'Quantification_Config'!$R$10),('Quantification_Results'!AV528*'Quantification_Config'!$R$13),('Quantification_Results'!BH528*'Quantification_Config'!$R$16))/SUM('Quantification_Config'!$R$4,'Quantification_Config'!$R$7,'Quantification_Config'!$R$10,'Quantification_Config'!$R$13,'Quantification_Config'!$R$16)),'Quantification_Config'!$U$2),""),"")</x:f>
        <x:v>50</x:v>
      </x:c>
    </x:row>
    <x:row r="529">
      <x:c r="A529" t="n">
        <x:v>1</x:v>
      </x:c>
      <x:c r="B529" t="n">
        <x:v>5</x:v>
      </x:c>
      <x:c r="C529"/>
      <x:c r="D529" t="n">
        <x:f>IF(('Quantification_Results'!A529&lt;&gt;1),"",IF(('Quantification_Results'!C529=""),IF(ISNUMBER('Quantification_Results'!B529),IF(('Quantification_Results'!B529&lt;'Quantification_Config'!$S$6),"",IF(('Quantification_Results'!B529&gt;'Quantification_Config'!$T$6),"",'Quantification_Results'!B529)),""),IF(ISNUMBER('Quantification_Results'!C529),IF(('Quantification_Results'!C529&lt;'Quantification_Config'!$S$6),"",IF(('Quantification_Results'!C529&gt;'Quantification_Config'!$T$6),"",'Quantification_Results'!C529)),"")))</x:f>
        <x:v>5</x:v>
      </x:c>
      <x:c r="E529" t="n">
        <x:f>IF(ISNUMBER('Quantification_Results'!D529),IFERROR(ROUND(((('Quantification_Results'!D529-'Quantification_Config'!$S$6)/('Quantification_Config'!$T$6-'Quantification_Config'!$S$6))*100),'Quantification_Config'!$U$2),""),"")</x:f>
        <x:v>50</x:v>
      </x:c>
      <x:c r="F529" t="inlineStr">
        <x:is>
          <x:t xml:space="preserve">SYSTEM-TEST-ONLY-NO-NETWORK-NOT-AN-EDUCATIONAL-EVALUATION</x:t>
        </x:is>
      </x:c>
      <x:c r="G529" t="inlineStr">
        <x:is>
          <x:t xml:space="preserve"/>
        </x:is>
      </x:c>
      <x:c r="H529" t="inlineStr">
        <x:is>
          <x:t xml:space="preserve">NONE</x:t>
        </x:is>
      </x:c>
      <x:c r="I529" t="inlineStr">
        <x:is>
          <x:t xml:space="preserve"/>
        </x:is>
      </x:c>
      <x:c r="J529" t="inlineStr">
        <x:is>
          <x:t xml:space="preserve">SUCCESS</x:t>
        </x:is>
      </x:c>
      <x:c r="K529" t="n">
        <x:f>IF((COUNT('Quantification_Results'!E529)=1),IFERROR(ROUND((SUM(('Quantification_Results'!E529*'Quantification_Config'!$R$6))/SUM('Quantification_Config'!$R$6)),'Quantification_Config'!$U$2),""),"")</x:f>
        <x:v>50</x:v>
      </x:c>
      <x:c r="L529" t="n">
        <x:f>IF((COUNT('Quantification_Results'!K529)=1),IFERROR(ROUND((SUM(('Quantification_Results'!K529*'Quantification_Config'!$R$5))/SUM('Quantification_Config'!$R$5)),'Quantification_Config'!$U$2),""),"")</x:f>
        <x:v>50</x:v>
      </x:c>
      <x:c r="M529" t="n">
        <x:v>1</x:v>
      </x:c>
      <x:c r="N529" t="n">
        <x:v>5</x:v>
      </x:c>
      <x:c r="O529"/>
      <x:c r="P529" t="n">
        <x:f>IF(('Quantification_Results'!M529&lt;&gt;1),"",IF(('Quantification_Results'!O529=""),IF(ISNUMBER('Quantification_Results'!N529),IF(('Quantification_Results'!N529&lt;'Quantification_Config'!$S$9),"",IF(('Quantification_Results'!N529&gt;'Quantification_Config'!$T$9),"",'Quantification_Results'!N529)),""),IF(ISNUMBER('Quantification_Results'!O529),IF(('Quantification_Results'!O529&lt;'Quantification_Config'!$S$9),"",IF(('Quantification_Results'!O529&gt;'Quantification_Config'!$T$9),"",'Quantification_Results'!O529)),"")))</x:f>
        <x:v>5</x:v>
      </x:c>
      <x:c r="Q529" t="n">
        <x:f>IF(ISNUMBER('Quantification_Results'!P529),IFERROR(ROUND(((('Quantification_Results'!P529-'Quantification_Config'!$S$9)/('Quantification_Config'!$T$9-'Quantification_Config'!$S$9))*100),'Quantification_Config'!$U$2),""),"")</x:f>
        <x:v>50</x:v>
      </x:c>
      <x:c r="R529" t="inlineStr">
        <x:is>
          <x:t xml:space="preserve">SYSTEM-TEST-ONLY-NO-NETWORK-NOT-AN-EDUCATIONAL-EVALUATION</x:t>
        </x:is>
      </x:c>
      <x:c r="S529" t="inlineStr">
        <x:is>
          <x:t xml:space="preserve"/>
        </x:is>
      </x:c>
      <x:c r="T529" t="inlineStr">
        <x:is>
          <x:t xml:space="preserve">NONE</x:t>
        </x:is>
      </x:c>
      <x:c r="U529" t="inlineStr">
        <x:is>
          <x:t xml:space="preserve"/>
        </x:is>
      </x:c>
      <x:c r="V529" t="inlineStr">
        <x:is>
          <x:t xml:space="preserve">SUCCESS</x:t>
        </x:is>
      </x:c>
      <x:c r="W529" t="n">
        <x:f>IF((COUNT('Quantification_Results'!Q529)=1),IFERROR(ROUND((SUM(('Quantification_Results'!Q529*'Quantification_Config'!$R$9))/SUM('Quantification_Config'!$R$9)),'Quantification_Config'!$U$2),""),"")</x:f>
        <x:v>50</x:v>
      </x:c>
      <x:c r="X529" t="n">
        <x:f>IF((COUNT('Quantification_Results'!W529)=1),IFERROR(ROUND((SUM(('Quantification_Results'!W529*'Quantification_Config'!$R$8))/SUM('Quantification_Config'!$R$8)),'Quantification_Config'!$U$2),""),"")</x:f>
        <x:v>50</x:v>
      </x:c>
      <x:c r="Y529" t="n">
        <x:v>0</x:v>
      </x:c>
      <x:c r="Z529"/>
      <x:c r="AA529"/>
      <x:c r="AB529">
        <x:f>IF(('Quantification_Results'!Y529&lt;&gt;1),"",IF(('Quantification_Results'!AA529=""),IF(ISNUMBER('Quantification_Results'!Z529),IF(('Quantification_Results'!Z529&lt;'Quantification_Config'!$S$12),"",IF(('Quantification_Results'!Z529&gt;'Quantification_Config'!$T$12),"",'Quantification_Results'!Z529)),""),IF(ISNUMBER('Quantification_Results'!AA529),IF(('Quantification_Results'!AA529&lt;'Quantification_Config'!$S$12),"",IF(('Quantification_Results'!AA529&gt;'Quantification_Config'!$T$12),"",'Quantification_Results'!AA529)),"")))</x:f>
      </x:c>
      <x:c r="AC529">
        <x:f>IF(ISNUMBER('Quantification_Results'!AB529),IFERROR(ROUND(((('Quantification_Results'!AB529-'Quantification_Config'!$S$12)/('Quantification_Config'!$T$12-'Quantification_Config'!$S$12))*100),'Quantification_Config'!$U$2),""),"")</x:f>
      </x:c>
      <x:c r="AD529" t="inlineStr">
        <x:is>
          <x:t xml:space="preserve"/>
        </x:is>
      </x:c>
      <x:c r="AE529" t="inlineStr">
        <x:is>
          <x:t xml:space="preserve"/>
        </x:is>
      </x:c>
      <x:c r="AF529" t="inlineStr">
        <x:is>
          <x:t xml:space="preserve"/>
        </x:is>
      </x:c>
      <x:c r="AG529" t="inlineStr">
        <x:is>
          <x:t xml:space="preserve"/>
        </x:is>
      </x:c>
      <x:c r="AH529" t="inlineStr">
        <x:is>
          <x:t xml:space="preserve">EMPTY</x:t>
        </x:is>
      </x:c>
      <x:c r="AI529">
        <x:f>IF((COUNT('Quantification_Results'!AC529)=1),IFERROR(ROUND((SUM(('Quantification_Results'!AC529*'Quantification_Config'!$R$12))/SUM('Quantification_Config'!$R$12)),'Quantification_Config'!$U$2),""),"")</x:f>
      </x:c>
      <x:c r="AJ529">
        <x:f>IF((COUNT('Quantification_Results'!AI529)=1),IFERROR(ROUND((SUM(('Quantification_Results'!AI529*'Quantification_Config'!$R$11))/SUM('Quantification_Config'!$R$11)),'Quantification_Config'!$U$2),""),"")</x:f>
      </x:c>
      <x:c r="AK529" t="n">
        <x:v>1</x:v>
      </x:c>
      <x:c r="AL529" t="n">
        <x:v>5</x:v>
      </x:c>
      <x:c r="AM529"/>
      <x:c r="AN529" t="n">
        <x:f>IF(('Quantification_Results'!AK529&lt;&gt;1),"",IF(('Quantification_Results'!AM529=""),IF(ISNUMBER('Quantification_Results'!AL529),IF(('Quantification_Results'!AL529&lt;'Quantification_Config'!$S$15),"",IF(('Quantification_Results'!AL529&gt;'Quantification_Config'!$T$15),"",'Quantification_Results'!AL529)),""),IF(ISNUMBER('Quantification_Results'!AM529),IF(('Quantification_Results'!AM529&lt;'Quantification_Config'!$S$15),"",IF(('Quantification_Results'!AM529&gt;'Quantification_Config'!$T$15),"",'Quantification_Results'!AM529)),"")))</x:f>
        <x:v>5</x:v>
      </x:c>
      <x:c r="AO529" t="n">
        <x:f>IF(ISNUMBER('Quantification_Results'!AN529),IFERROR(ROUND(((('Quantification_Results'!AN529-'Quantification_Config'!$S$15)/('Quantification_Config'!$T$15-'Quantification_Config'!$S$15))*100),'Quantification_Config'!$U$2),""),"")</x:f>
        <x:v>50</x:v>
      </x:c>
      <x:c r="AP529" t="inlineStr">
        <x:is>
          <x:t xml:space="preserve">SYSTEM-TEST-ONLY-NO-NETWORK-NOT-AN-EDUCATIONAL-EVALUATION</x:t>
        </x:is>
      </x:c>
      <x:c r="AQ529" t="inlineStr">
        <x:is>
          <x:t xml:space="preserve"/>
        </x:is>
      </x:c>
      <x:c r="AR529" t="inlineStr">
        <x:is>
          <x:t xml:space="preserve">NONE</x:t>
        </x:is>
      </x:c>
      <x:c r="AS529" t="inlineStr">
        <x:is>
          <x:t xml:space="preserve"/>
        </x:is>
      </x:c>
      <x:c r="AT529" t="inlineStr">
        <x:is>
          <x:t xml:space="preserve">SUCCESS</x:t>
        </x:is>
      </x:c>
      <x:c r="AU529" t="n">
        <x:f>IF((COUNT('Quantification_Results'!AO529)=1),IFERROR(ROUND((SUM(('Quantification_Results'!AO529*'Quantification_Config'!$R$15))/SUM('Quantification_Config'!$R$15)),'Quantification_Config'!$U$2),""),"")</x:f>
        <x:v>50</x:v>
      </x:c>
      <x:c r="AV529" t="n">
        <x:f>IF((COUNT('Quantification_Results'!AU529)=1),IFERROR(ROUND((SUM(('Quantification_Results'!AU529*'Quantification_Config'!$R$14))/SUM('Quantification_Config'!$R$14)),'Quantification_Config'!$U$2),""),"")</x:f>
        <x:v>50</x:v>
      </x:c>
      <x:c r="AW529" t="n">
        <x:v>1</x:v>
      </x:c>
      <x:c r="AX529" t="n">
        <x:v>5</x:v>
      </x:c>
      <x:c r="AY529"/>
      <x:c r="AZ529" t="n">
        <x:f>IF(('Quantification_Results'!AW529&lt;&gt;1),"",IF(('Quantification_Results'!AY529=""),IF(ISNUMBER('Quantification_Results'!AX529),IF(('Quantification_Results'!AX529&lt;'Quantification_Config'!$S$19),"",IF(('Quantification_Results'!AX529&gt;'Quantification_Config'!$T$19),"",'Quantification_Results'!AX529)),""),IF(ISNUMBER('Quantification_Results'!AY529),IF(('Quantification_Results'!AY529&lt;'Quantification_Config'!$S$19),"",IF(('Quantification_Results'!AY529&gt;'Quantification_Config'!$T$19),"",'Quantification_Results'!AY529)),"")))</x:f>
        <x:v>5</x:v>
      </x:c>
      <x:c r="BA529" t="n">
        <x:f>IF(ISNUMBER('Quantification_Results'!AZ529),IFERROR(ROUND(((('Quantification_Results'!AZ529-'Quantification_Config'!$S$19)/('Quantification_Config'!$T$19-'Quantification_Config'!$S$19))*100),'Quantification_Config'!$U$2),""),"")</x:f>
        <x:v>50</x:v>
      </x:c>
      <x:c r="BB529" t="inlineStr">
        <x:is>
          <x:t xml:space="preserve">SYSTEM-TEST-ONLY-NO-NETWORK-NOT-AN-EDUCATIONAL-EVALUATION</x:t>
        </x:is>
      </x:c>
      <x:c r="BC529" t="inlineStr">
        <x:is>
          <x:t xml:space="preserve"/>
        </x:is>
      </x:c>
      <x:c r="BD529" t="inlineStr">
        <x:is>
          <x:t xml:space="preserve">NONE</x:t>
        </x:is>
      </x:c>
      <x:c r="BE529" t="inlineStr">
        <x:is>
          <x:t xml:space="preserve"/>
        </x:is>
      </x:c>
      <x:c r="BF529" t="inlineStr">
        <x:is>
          <x:t xml:space="preserve">SUCCESS</x:t>
        </x:is>
      </x:c>
      <x:c r="BG529" t="n">
        <x:f>IF((COUNT('Quantification_Results'!BA529)=1),IFERROR(ROUND((SUM(('Quantification_Results'!BA529*'Quantification_Config'!$R$19))/SUM('Quantification_Config'!$R$19)),'Quantification_Config'!$U$2),""),"")</x:f>
        <x:v>50</x:v>
      </x:c>
      <x:c r="BH529" t="n">
        <x:f>IF((COUNT('Quantification_Results'!BG529)=1),IFERROR(ROUND((SUM(('Quantification_Results'!BG529*'Quantification_Config'!$R$18))/SUM('Quantification_Config'!$R$18)),'Quantification_Config'!$U$2),""),"")</x:f>
        <x:v>50</x:v>
      </x:c>
      <x:c r="BI529">
        <x:f>IF((COUNT('Quantification_Results'!L529,'Quantification_Results'!X529,'Quantification_Results'!AJ529,'Quantification_Results'!AV529,'Quantification_Results'!BH529)=5),IFERROR(ROUND((SUM(('Quantification_Results'!L529*'Quantification_Config'!$R$4),('Quantification_Results'!X529*'Quantification_Config'!$R$7),('Quantification_Results'!AJ529*'Quantification_Config'!$R$10),('Quantification_Results'!AV529*'Quantification_Config'!$R$13),('Quantification_Results'!BH529*'Quantification_Config'!$R$16))/SUM('Quantification_Config'!$R$4,'Quantification_Config'!$R$7,'Quantification_Config'!$R$10,'Quantification_Config'!$R$13,'Quantification_Config'!$R$16)),'Quantification_Config'!$U$2),""),"")</x:f>
      </x:c>
    </x:row>
    <x:row r="530">
      <x:c r="A530" t="n">
        <x:v>1</x:v>
      </x:c>
      <x:c r="B530" t="n">
        <x:v>5</x:v>
      </x:c>
      <x:c r="C530"/>
      <x:c r="D530" t="n">
        <x:f>IF(('Quantification_Results'!A530&lt;&gt;1),"",IF(('Quantification_Results'!C530=""),IF(ISNUMBER('Quantification_Results'!B530),IF(('Quantification_Results'!B530&lt;'Quantification_Config'!$S$6),"",IF(('Quantification_Results'!B530&gt;'Quantification_Config'!$T$6),"",'Quantification_Results'!B530)),""),IF(ISNUMBER('Quantification_Results'!C530),IF(('Quantification_Results'!C530&lt;'Quantification_Config'!$S$6),"",IF(('Quantification_Results'!C530&gt;'Quantification_Config'!$T$6),"",'Quantification_Results'!C530)),"")))</x:f>
        <x:v>5</x:v>
      </x:c>
      <x:c r="E530" t="n">
        <x:f>IF(ISNUMBER('Quantification_Results'!D530),IFERROR(ROUND(((('Quantification_Results'!D530-'Quantification_Config'!$S$6)/('Quantification_Config'!$T$6-'Quantification_Config'!$S$6))*100),'Quantification_Config'!$U$2),""),"")</x:f>
        <x:v>50</x:v>
      </x:c>
      <x:c r="F530" t="inlineStr">
        <x:is>
          <x:t xml:space="preserve">SYSTEM-TEST-ONLY-NO-NETWORK-NOT-AN-EDUCATIONAL-EVALUATION</x:t>
        </x:is>
      </x:c>
      <x:c r="G530" t="inlineStr">
        <x:is>
          <x:t xml:space="preserve"/>
        </x:is>
      </x:c>
      <x:c r="H530" t="inlineStr">
        <x:is>
          <x:t xml:space="preserve">NONE</x:t>
        </x:is>
      </x:c>
      <x:c r="I530" t="inlineStr">
        <x:is>
          <x:t xml:space="preserve"/>
        </x:is>
      </x:c>
      <x:c r="J530" t="inlineStr">
        <x:is>
          <x:t xml:space="preserve">SUCCESS</x:t>
        </x:is>
      </x:c>
      <x:c r="K530" t="n">
        <x:f>IF((COUNT('Quantification_Results'!E530)=1),IFERROR(ROUND((SUM(('Quantification_Results'!E530*'Quantification_Config'!$R$6))/SUM('Quantification_Config'!$R$6)),'Quantification_Config'!$U$2),""),"")</x:f>
        <x:v>50</x:v>
      </x:c>
      <x:c r="L530" t="n">
        <x:f>IF((COUNT('Quantification_Results'!K530)=1),IFERROR(ROUND((SUM(('Quantification_Results'!K530*'Quantification_Config'!$R$5))/SUM('Quantification_Config'!$R$5)),'Quantification_Config'!$U$2),""),"")</x:f>
        <x:v>50</x:v>
      </x:c>
      <x:c r="M530" t="n">
        <x:v>1</x:v>
      </x:c>
      <x:c r="N530" t="n">
        <x:v>5</x:v>
      </x:c>
      <x:c r="O530"/>
      <x:c r="P530" t="n">
        <x:f>IF(('Quantification_Results'!M530&lt;&gt;1),"",IF(('Quantification_Results'!O530=""),IF(ISNUMBER('Quantification_Results'!N530),IF(('Quantification_Results'!N530&lt;'Quantification_Config'!$S$9),"",IF(('Quantification_Results'!N530&gt;'Quantification_Config'!$T$9),"",'Quantification_Results'!N530)),""),IF(ISNUMBER('Quantification_Results'!O530),IF(('Quantification_Results'!O530&lt;'Quantification_Config'!$S$9),"",IF(('Quantification_Results'!O530&gt;'Quantification_Config'!$T$9),"",'Quantification_Results'!O530)),"")))</x:f>
        <x:v>5</x:v>
      </x:c>
      <x:c r="Q530" t="n">
        <x:f>IF(ISNUMBER('Quantification_Results'!P530),IFERROR(ROUND(((('Quantification_Results'!P530-'Quantification_Config'!$S$9)/('Quantification_Config'!$T$9-'Quantification_Config'!$S$9))*100),'Quantification_Config'!$U$2),""),"")</x:f>
        <x:v>50</x:v>
      </x:c>
      <x:c r="R530" t="inlineStr">
        <x:is>
          <x:t xml:space="preserve">SYSTEM-TEST-ONLY-NO-NETWORK-NOT-AN-EDUCATIONAL-EVALUATION</x:t>
        </x:is>
      </x:c>
      <x:c r="S530" t="inlineStr">
        <x:is>
          <x:t xml:space="preserve"/>
        </x:is>
      </x:c>
      <x:c r="T530" t="inlineStr">
        <x:is>
          <x:t xml:space="preserve">NONE</x:t>
        </x:is>
      </x:c>
      <x:c r="U530" t="inlineStr">
        <x:is>
          <x:t xml:space="preserve"/>
        </x:is>
      </x:c>
      <x:c r="V530" t="inlineStr">
        <x:is>
          <x:t xml:space="preserve">SUCCESS</x:t>
        </x:is>
      </x:c>
      <x:c r="W530" t="n">
        <x:f>IF((COUNT('Quantification_Results'!Q530)=1),IFERROR(ROUND((SUM(('Quantification_Results'!Q530*'Quantification_Config'!$R$9))/SUM('Quantification_Config'!$R$9)),'Quantification_Config'!$U$2),""),"")</x:f>
        <x:v>50</x:v>
      </x:c>
      <x:c r="X530" t="n">
        <x:f>IF((COUNT('Quantification_Results'!W530)=1),IFERROR(ROUND((SUM(('Quantification_Results'!W530*'Quantification_Config'!$R$8))/SUM('Quantification_Config'!$R$8)),'Quantification_Config'!$U$2),""),"")</x:f>
        <x:v>50</x:v>
      </x:c>
      <x:c r="Y530" t="n">
        <x:v>0</x:v>
      </x:c>
      <x:c r="Z530"/>
      <x:c r="AA530"/>
      <x:c r="AB530">
        <x:f>IF(('Quantification_Results'!Y530&lt;&gt;1),"",IF(('Quantification_Results'!AA530=""),IF(ISNUMBER('Quantification_Results'!Z530),IF(('Quantification_Results'!Z530&lt;'Quantification_Config'!$S$12),"",IF(('Quantification_Results'!Z530&gt;'Quantification_Config'!$T$12),"",'Quantification_Results'!Z530)),""),IF(ISNUMBER('Quantification_Results'!AA530),IF(('Quantification_Results'!AA530&lt;'Quantification_Config'!$S$12),"",IF(('Quantification_Results'!AA530&gt;'Quantification_Config'!$T$12),"",'Quantification_Results'!AA530)),"")))</x:f>
      </x:c>
      <x:c r="AC530">
        <x:f>IF(ISNUMBER('Quantification_Results'!AB530),IFERROR(ROUND(((('Quantification_Results'!AB530-'Quantification_Config'!$S$12)/('Quantification_Config'!$T$12-'Quantification_Config'!$S$12))*100),'Quantification_Config'!$U$2),""),"")</x:f>
      </x:c>
      <x:c r="AD530" t="inlineStr">
        <x:is>
          <x:t xml:space="preserve"/>
        </x:is>
      </x:c>
      <x:c r="AE530" t="inlineStr">
        <x:is>
          <x:t xml:space="preserve"/>
        </x:is>
      </x:c>
      <x:c r="AF530" t="inlineStr">
        <x:is>
          <x:t xml:space="preserve"/>
        </x:is>
      </x:c>
      <x:c r="AG530" t="inlineStr">
        <x:is>
          <x:t xml:space="preserve"/>
        </x:is>
      </x:c>
      <x:c r="AH530" t="inlineStr">
        <x:is>
          <x:t xml:space="preserve">EMPTY</x:t>
        </x:is>
      </x:c>
      <x:c r="AI530">
        <x:f>IF((COUNT('Quantification_Results'!AC530)=1),IFERROR(ROUND((SUM(('Quantification_Results'!AC530*'Quantification_Config'!$R$12))/SUM('Quantification_Config'!$R$12)),'Quantification_Config'!$U$2),""),"")</x:f>
      </x:c>
      <x:c r="AJ530">
        <x:f>IF((COUNT('Quantification_Results'!AI530)=1),IFERROR(ROUND((SUM(('Quantification_Results'!AI530*'Quantification_Config'!$R$11))/SUM('Quantification_Config'!$R$11)),'Quantification_Config'!$U$2),""),"")</x:f>
      </x:c>
      <x:c r="AK530" t="n">
        <x:v>1</x:v>
      </x:c>
      <x:c r="AL530" t="n">
        <x:v>5</x:v>
      </x:c>
      <x:c r="AM530"/>
      <x:c r="AN530" t="n">
        <x:f>IF(('Quantification_Results'!AK530&lt;&gt;1),"",IF(('Quantification_Results'!AM530=""),IF(ISNUMBER('Quantification_Results'!AL530),IF(('Quantification_Results'!AL530&lt;'Quantification_Config'!$S$15),"",IF(('Quantification_Results'!AL530&gt;'Quantification_Config'!$T$15),"",'Quantification_Results'!AL530)),""),IF(ISNUMBER('Quantification_Results'!AM530),IF(('Quantification_Results'!AM530&lt;'Quantification_Config'!$S$15),"",IF(('Quantification_Results'!AM530&gt;'Quantification_Config'!$T$15),"",'Quantification_Results'!AM530)),"")))</x:f>
        <x:v>5</x:v>
      </x:c>
      <x:c r="AO530" t="n">
        <x:f>IF(ISNUMBER('Quantification_Results'!AN530),IFERROR(ROUND(((('Quantification_Results'!AN530-'Quantification_Config'!$S$15)/('Quantification_Config'!$T$15-'Quantification_Config'!$S$15))*100),'Quantification_Config'!$U$2),""),"")</x:f>
        <x:v>50</x:v>
      </x:c>
      <x:c r="AP530" t="inlineStr">
        <x:is>
          <x:t xml:space="preserve">SYSTEM-TEST-ONLY-NO-NETWORK-NOT-AN-EDUCATIONAL-EVALUATION</x:t>
        </x:is>
      </x:c>
      <x:c r="AQ530" t="inlineStr">
        <x:is>
          <x:t xml:space="preserve"/>
        </x:is>
      </x:c>
      <x:c r="AR530" t="inlineStr">
        <x:is>
          <x:t xml:space="preserve">NONE</x:t>
        </x:is>
      </x:c>
      <x:c r="AS530" t="inlineStr">
        <x:is>
          <x:t xml:space="preserve"/>
        </x:is>
      </x:c>
      <x:c r="AT530" t="inlineStr">
        <x:is>
          <x:t xml:space="preserve">SUCCESS</x:t>
        </x:is>
      </x:c>
      <x:c r="AU530" t="n">
        <x:f>IF((COUNT('Quantification_Results'!AO530)=1),IFERROR(ROUND((SUM(('Quantification_Results'!AO530*'Quantification_Config'!$R$15))/SUM('Quantification_Config'!$R$15)),'Quantification_Config'!$U$2),""),"")</x:f>
        <x:v>50</x:v>
      </x:c>
      <x:c r="AV530" t="n">
        <x:f>IF((COUNT('Quantification_Results'!AU530)=1),IFERROR(ROUND((SUM(('Quantification_Results'!AU530*'Quantification_Config'!$R$14))/SUM('Quantification_Config'!$R$14)),'Quantification_Config'!$U$2),""),"")</x:f>
        <x:v>50</x:v>
      </x:c>
      <x:c r="AW530" t="n">
        <x:v>1</x:v>
      </x:c>
      <x:c r="AX530" t="n">
        <x:v>5</x:v>
      </x:c>
      <x:c r="AY530"/>
      <x:c r="AZ530" t="n">
        <x:f>IF(('Quantification_Results'!AW530&lt;&gt;1),"",IF(('Quantification_Results'!AY530=""),IF(ISNUMBER('Quantification_Results'!AX530),IF(('Quantification_Results'!AX530&lt;'Quantification_Config'!$S$19),"",IF(('Quantification_Results'!AX530&gt;'Quantification_Config'!$T$19),"",'Quantification_Results'!AX530)),""),IF(ISNUMBER('Quantification_Results'!AY530),IF(('Quantification_Results'!AY530&lt;'Quantification_Config'!$S$19),"",IF(('Quantification_Results'!AY530&gt;'Quantification_Config'!$T$19),"",'Quantification_Results'!AY530)),"")))</x:f>
        <x:v>5</x:v>
      </x:c>
      <x:c r="BA530" t="n">
        <x:f>IF(ISNUMBER('Quantification_Results'!AZ530),IFERROR(ROUND(((('Quantification_Results'!AZ530-'Quantification_Config'!$S$19)/('Quantification_Config'!$T$19-'Quantification_Config'!$S$19))*100),'Quantification_Config'!$U$2),""),"")</x:f>
        <x:v>50</x:v>
      </x:c>
      <x:c r="BB530" t="inlineStr">
        <x:is>
          <x:t xml:space="preserve">SYSTEM-TEST-ONLY-NO-NETWORK-NOT-AN-EDUCATIONAL-EVALUATION</x:t>
        </x:is>
      </x:c>
      <x:c r="BC530" t="inlineStr">
        <x:is>
          <x:t xml:space="preserve"/>
        </x:is>
      </x:c>
      <x:c r="BD530" t="inlineStr">
        <x:is>
          <x:t xml:space="preserve">NONE</x:t>
        </x:is>
      </x:c>
      <x:c r="BE530" t="inlineStr">
        <x:is>
          <x:t xml:space="preserve"/>
        </x:is>
      </x:c>
      <x:c r="BF530" t="inlineStr">
        <x:is>
          <x:t xml:space="preserve">SUCCESS</x:t>
        </x:is>
      </x:c>
      <x:c r="BG530" t="n">
        <x:f>IF((COUNT('Quantification_Results'!BA530)=1),IFERROR(ROUND((SUM(('Quantification_Results'!BA530*'Quantification_Config'!$R$19))/SUM('Quantification_Config'!$R$19)),'Quantification_Config'!$U$2),""),"")</x:f>
        <x:v>50</x:v>
      </x:c>
      <x:c r="BH530" t="n">
        <x:f>IF((COUNT('Quantification_Results'!BG530)=1),IFERROR(ROUND((SUM(('Quantification_Results'!BG530*'Quantification_Config'!$R$18))/SUM('Quantification_Config'!$R$18)),'Quantification_Config'!$U$2),""),"")</x:f>
        <x:v>50</x:v>
      </x:c>
      <x:c r="BI530">
        <x:f>IF((COUNT('Quantification_Results'!L530,'Quantification_Results'!X530,'Quantification_Results'!AJ530,'Quantification_Results'!AV530,'Quantification_Results'!BH530)=5),IFERROR(ROUND((SUM(('Quantification_Results'!L530*'Quantification_Config'!$R$4),('Quantification_Results'!X530*'Quantification_Config'!$R$7),('Quantification_Results'!AJ530*'Quantification_Config'!$R$10),('Quantification_Results'!AV530*'Quantification_Config'!$R$13),('Quantification_Results'!BH530*'Quantification_Config'!$R$16))/SUM('Quantification_Config'!$R$4,'Quantification_Config'!$R$7,'Quantification_Config'!$R$10,'Quantification_Config'!$R$13,'Quantification_Config'!$R$16)),'Quantification_Config'!$U$2),""),"")</x:f>
      </x:c>
    </x:row>
    <x:row r="531">
      <x:c r="A531" t="n">
        <x:v>1</x:v>
      </x:c>
      <x:c r="B531" t="n">
        <x:v>5</x:v>
      </x:c>
      <x:c r="C531"/>
      <x:c r="D531" t="n">
        <x:f>IF(('Quantification_Results'!A531&lt;&gt;1),"",IF(('Quantification_Results'!C531=""),IF(ISNUMBER('Quantification_Results'!B531),IF(('Quantification_Results'!B531&lt;'Quantification_Config'!$S$6),"",IF(('Quantification_Results'!B531&gt;'Quantification_Config'!$T$6),"",'Quantification_Results'!B531)),""),IF(ISNUMBER('Quantification_Results'!C531),IF(('Quantification_Results'!C531&lt;'Quantification_Config'!$S$6),"",IF(('Quantification_Results'!C531&gt;'Quantification_Config'!$T$6),"",'Quantification_Results'!C531)),"")))</x:f>
        <x:v>5</x:v>
      </x:c>
      <x:c r="E531" t="n">
        <x:f>IF(ISNUMBER('Quantification_Results'!D531),IFERROR(ROUND(((('Quantification_Results'!D531-'Quantification_Config'!$S$6)/('Quantification_Config'!$T$6-'Quantification_Config'!$S$6))*100),'Quantification_Config'!$U$2),""),"")</x:f>
        <x:v>50</x:v>
      </x:c>
      <x:c r="F531" t="inlineStr">
        <x:is>
          <x:t xml:space="preserve">SYSTEM-TEST-ONLY-NO-NETWORK-NOT-AN-EDUCATIONAL-EVALUATION</x:t>
        </x:is>
      </x:c>
      <x:c r="G531" t="inlineStr">
        <x:is>
          <x:t xml:space="preserve"/>
        </x:is>
      </x:c>
      <x:c r="H531" t="inlineStr">
        <x:is>
          <x:t xml:space="preserve">NONE</x:t>
        </x:is>
      </x:c>
      <x:c r="I531" t="inlineStr">
        <x:is>
          <x:t xml:space="preserve"/>
        </x:is>
      </x:c>
      <x:c r="J531" t="inlineStr">
        <x:is>
          <x:t xml:space="preserve">SUCCESS</x:t>
        </x:is>
      </x:c>
      <x:c r="K531" t="n">
        <x:f>IF((COUNT('Quantification_Results'!E531)=1),IFERROR(ROUND((SUM(('Quantification_Results'!E531*'Quantification_Config'!$R$6))/SUM('Quantification_Config'!$R$6)),'Quantification_Config'!$U$2),""),"")</x:f>
        <x:v>50</x:v>
      </x:c>
      <x:c r="L531" t="n">
        <x:f>IF((COUNT('Quantification_Results'!K531)=1),IFERROR(ROUND((SUM(('Quantification_Results'!K531*'Quantification_Config'!$R$5))/SUM('Quantification_Config'!$R$5)),'Quantification_Config'!$U$2),""),"")</x:f>
        <x:v>50</x:v>
      </x:c>
      <x:c r="M531" t="n">
        <x:v>1</x:v>
      </x:c>
      <x:c r="N531" t="n">
        <x:v>5</x:v>
      </x:c>
      <x:c r="O531"/>
      <x:c r="P531" t="n">
        <x:f>IF(('Quantification_Results'!M531&lt;&gt;1),"",IF(('Quantification_Results'!O531=""),IF(ISNUMBER('Quantification_Results'!N531),IF(('Quantification_Results'!N531&lt;'Quantification_Config'!$S$9),"",IF(('Quantification_Results'!N531&gt;'Quantification_Config'!$T$9),"",'Quantification_Results'!N531)),""),IF(ISNUMBER('Quantification_Results'!O531),IF(('Quantification_Results'!O531&lt;'Quantification_Config'!$S$9),"",IF(('Quantification_Results'!O531&gt;'Quantification_Config'!$T$9),"",'Quantification_Results'!O531)),"")))</x:f>
        <x:v>5</x:v>
      </x:c>
      <x:c r="Q531" t="n">
        <x:f>IF(ISNUMBER('Quantification_Results'!P531),IFERROR(ROUND(((('Quantification_Results'!P531-'Quantification_Config'!$S$9)/('Quantification_Config'!$T$9-'Quantification_Config'!$S$9))*100),'Quantification_Config'!$U$2),""),"")</x:f>
        <x:v>50</x:v>
      </x:c>
      <x:c r="R531" t="inlineStr">
        <x:is>
          <x:t xml:space="preserve">SYSTEM-TEST-ONLY-NO-NETWORK-NOT-AN-EDUCATIONAL-EVALUATION</x:t>
        </x:is>
      </x:c>
      <x:c r="S531" t="inlineStr">
        <x:is>
          <x:t xml:space="preserve"/>
        </x:is>
      </x:c>
      <x:c r="T531" t="inlineStr">
        <x:is>
          <x:t xml:space="preserve">NONE</x:t>
        </x:is>
      </x:c>
      <x:c r="U531" t="inlineStr">
        <x:is>
          <x:t xml:space="preserve"/>
        </x:is>
      </x:c>
      <x:c r="V531" t="inlineStr">
        <x:is>
          <x:t xml:space="preserve">SUCCESS</x:t>
        </x:is>
      </x:c>
      <x:c r="W531" t="n">
        <x:f>IF((COUNT('Quantification_Results'!Q531)=1),IFERROR(ROUND((SUM(('Quantification_Results'!Q531*'Quantification_Config'!$R$9))/SUM('Quantification_Config'!$R$9)),'Quantification_Config'!$U$2),""),"")</x:f>
        <x:v>50</x:v>
      </x:c>
      <x:c r="X531" t="n">
        <x:f>IF((COUNT('Quantification_Results'!W531)=1),IFERROR(ROUND((SUM(('Quantification_Results'!W531*'Quantification_Config'!$R$8))/SUM('Quantification_Config'!$R$8)),'Quantification_Config'!$U$2),""),"")</x:f>
        <x:v>50</x:v>
      </x:c>
      <x:c r="Y531" t="n">
        <x:v>1</x:v>
      </x:c>
      <x:c r="Z531" t="n">
        <x:v>5</x:v>
      </x:c>
      <x:c r="AA531"/>
      <x:c r="AB531" t="n">
        <x:f>IF(('Quantification_Results'!Y531&lt;&gt;1),"",IF(('Quantification_Results'!AA531=""),IF(ISNUMBER('Quantification_Results'!Z531),IF(('Quantification_Results'!Z531&lt;'Quantification_Config'!$S$12),"",IF(('Quantification_Results'!Z531&gt;'Quantification_Config'!$T$12),"",'Quantification_Results'!Z531)),""),IF(ISNUMBER('Quantification_Results'!AA531),IF(('Quantification_Results'!AA531&lt;'Quantification_Config'!$S$12),"",IF(('Quantification_Results'!AA531&gt;'Quantification_Config'!$T$12),"",'Quantification_Results'!AA531)),"")))</x:f>
        <x:v>5</x:v>
      </x:c>
      <x:c r="AC531" t="n">
        <x:f>IF(ISNUMBER('Quantification_Results'!AB531),IFERROR(ROUND(((('Quantification_Results'!AB531-'Quantification_Config'!$S$12)/('Quantification_Config'!$T$12-'Quantification_Config'!$S$12))*100),'Quantification_Config'!$U$2),""),"")</x:f>
        <x:v>50</x:v>
      </x:c>
      <x:c r="AD531" t="inlineStr">
        <x:is>
          <x:t xml:space="preserve">SYSTEM-TEST-ONLY-NO-NETWORK-NOT-AN-EDUCATIONAL-EVALUATION</x:t>
        </x:is>
      </x:c>
      <x:c r="AE531" t="inlineStr">
        <x:is>
          <x:t xml:space="preserve"/>
        </x:is>
      </x:c>
      <x:c r="AF531" t="inlineStr">
        <x:is>
          <x:t xml:space="preserve">NONE</x:t>
        </x:is>
      </x:c>
      <x:c r="AG531" t="inlineStr">
        <x:is>
          <x:t xml:space="preserve"/>
        </x:is>
      </x:c>
      <x:c r="AH531" t="inlineStr">
        <x:is>
          <x:t xml:space="preserve">SUCCESS</x:t>
        </x:is>
      </x:c>
      <x:c r="AI531" t="n">
        <x:f>IF((COUNT('Quantification_Results'!AC531)=1),IFERROR(ROUND((SUM(('Quantification_Results'!AC531*'Quantification_Config'!$R$12))/SUM('Quantification_Config'!$R$12)),'Quantification_Config'!$U$2),""),"")</x:f>
        <x:v>50</x:v>
      </x:c>
      <x:c r="AJ531" t="n">
        <x:f>IF((COUNT('Quantification_Results'!AI531)=1),IFERROR(ROUND((SUM(('Quantification_Results'!AI531*'Quantification_Config'!$R$11))/SUM('Quantification_Config'!$R$11)),'Quantification_Config'!$U$2),""),"")</x:f>
        <x:v>50</x:v>
      </x:c>
      <x:c r="AK531" t="n">
        <x:v>1</x:v>
      </x:c>
      <x:c r="AL531" t="n">
        <x:v>5</x:v>
      </x:c>
      <x:c r="AM531"/>
      <x:c r="AN531" t="n">
        <x:f>IF(('Quantification_Results'!AK531&lt;&gt;1),"",IF(('Quantification_Results'!AM531=""),IF(ISNUMBER('Quantification_Results'!AL531),IF(('Quantification_Results'!AL531&lt;'Quantification_Config'!$S$15),"",IF(('Quantification_Results'!AL531&gt;'Quantification_Config'!$T$15),"",'Quantification_Results'!AL531)),""),IF(ISNUMBER('Quantification_Results'!AM531),IF(('Quantification_Results'!AM531&lt;'Quantification_Config'!$S$15),"",IF(('Quantification_Results'!AM531&gt;'Quantification_Config'!$T$15),"",'Quantification_Results'!AM531)),"")))</x:f>
        <x:v>5</x:v>
      </x:c>
      <x:c r="AO531" t="n">
        <x:f>IF(ISNUMBER('Quantification_Results'!AN531),IFERROR(ROUND(((('Quantification_Results'!AN531-'Quantification_Config'!$S$15)/('Quantification_Config'!$T$15-'Quantification_Config'!$S$15))*100),'Quantification_Config'!$U$2),""),"")</x:f>
        <x:v>50</x:v>
      </x:c>
      <x:c r="AP531" t="inlineStr">
        <x:is>
          <x:t xml:space="preserve">SYSTEM-TEST-ONLY-NO-NETWORK-NOT-AN-EDUCATIONAL-EVALUATION</x:t>
        </x:is>
      </x:c>
      <x:c r="AQ531" t="inlineStr">
        <x:is>
          <x:t xml:space="preserve"/>
        </x:is>
      </x:c>
      <x:c r="AR531" t="inlineStr">
        <x:is>
          <x:t xml:space="preserve">NONE</x:t>
        </x:is>
      </x:c>
      <x:c r="AS531" t="inlineStr">
        <x:is>
          <x:t xml:space="preserve"/>
        </x:is>
      </x:c>
      <x:c r="AT531" t="inlineStr">
        <x:is>
          <x:t xml:space="preserve">SUCCESS</x:t>
        </x:is>
      </x:c>
      <x:c r="AU531" t="n">
        <x:f>IF((COUNT('Quantification_Results'!AO531)=1),IFERROR(ROUND((SUM(('Quantification_Results'!AO531*'Quantification_Config'!$R$15))/SUM('Quantification_Config'!$R$15)),'Quantification_Config'!$U$2),""),"")</x:f>
        <x:v>50</x:v>
      </x:c>
      <x:c r="AV531" t="n">
        <x:f>IF((COUNT('Quantification_Results'!AU531)=1),IFERROR(ROUND((SUM(('Quantification_Results'!AU531*'Quantification_Config'!$R$14))/SUM('Quantification_Config'!$R$14)),'Quantification_Config'!$U$2),""),"")</x:f>
        <x:v>50</x:v>
      </x:c>
      <x:c r="AW531" t="n">
        <x:v>0</x:v>
      </x:c>
      <x:c r="AX531"/>
      <x:c r="AY531"/>
      <x:c r="AZ531">
        <x:f>IF(('Quantification_Results'!AW531&lt;&gt;1),"",IF(('Quantification_Results'!AY531=""),IF(ISNUMBER('Quantification_Results'!AX531),IF(('Quantification_Results'!AX531&lt;'Quantification_Config'!$S$19),"",IF(('Quantification_Results'!AX531&gt;'Quantification_Config'!$T$19),"",'Quantification_Results'!AX531)),""),IF(ISNUMBER('Quantification_Results'!AY531),IF(('Quantification_Results'!AY531&lt;'Quantification_Config'!$S$19),"",IF(('Quantification_Results'!AY531&gt;'Quantification_Config'!$T$19),"",'Quantification_Results'!AY531)),"")))</x:f>
      </x:c>
      <x:c r="BA531">
        <x:f>IF(ISNUMBER('Quantification_Results'!AZ531),IFERROR(ROUND(((('Quantification_Results'!AZ531-'Quantification_Config'!$S$19)/('Quantification_Config'!$T$19-'Quantification_Config'!$S$19))*100),'Quantification_Config'!$U$2),""),"")</x:f>
      </x:c>
      <x:c r="BB531" t="inlineStr">
        <x:is>
          <x:t xml:space="preserve"/>
        </x:is>
      </x:c>
      <x:c r="BC531" t="inlineStr">
        <x:is>
          <x:t xml:space="preserve"/>
        </x:is>
      </x:c>
      <x:c r="BD531" t="inlineStr">
        <x:is>
          <x:t xml:space="preserve"/>
        </x:is>
      </x:c>
      <x:c r="BE531" t="inlineStr">
        <x:is>
          <x:t xml:space="preserve"/>
        </x:is>
      </x:c>
      <x:c r="BF531" t="inlineStr">
        <x:is>
          <x:t xml:space="preserve">EMPTY</x:t>
        </x:is>
      </x:c>
      <x:c r="BG531">
        <x:f>IF((COUNT('Quantification_Results'!BA531)=1),IFERROR(ROUND((SUM(('Quantification_Results'!BA531*'Quantification_Config'!$R$19))/SUM('Quantification_Config'!$R$19)),'Quantification_Config'!$U$2),""),"")</x:f>
      </x:c>
      <x:c r="BH531">
        <x:f>IF((COUNT('Quantification_Results'!BG531)=1),IFERROR(ROUND((SUM(('Quantification_Results'!BG531*'Quantification_Config'!$R$18))/SUM('Quantification_Config'!$R$18)),'Quantification_Config'!$U$2),""),"")</x:f>
      </x:c>
      <x:c r="BI531">
        <x:f>IF((COUNT('Quantification_Results'!L531,'Quantification_Results'!X531,'Quantification_Results'!AJ531,'Quantification_Results'!AV531,'Quantification_Results'!BH531)=5),IFERROR(ROUND((SUM(('Quantification_Results'!L531*'Quantification_Config'!$R$4),('Quantification_Results'!X531*'Quantification_Config'!$R$7),('Quantification_Results'!AJ531*'Quantification_Config'!$R$10),('Quantification_Results'!AV531*'Quantification_Config'!$R$13),('Quantification_Results'!BH531*'Quantification_Config'!$R$16))/SUM('Quantification_Config'!$R$4,'Quantification_Config'!$R$7,'Quantification_Config'!$R$10,'Quantification_Config'!$R$13,'Quantification_Config'!$R$16)),'Quantification_Config'!$U$2),""),"")</x:f>
      </x:c>
    </x:row>
  </x:sheetData>
  <x:dataValidations count="2650">
    <x:dataValidation type="decimal" errorStyle="stop" operator="between" allowBlank="1" showErrorMessage="1" errorTitle="Invalid override" error="Enter a number within the configured range or leave the cell blank." sqref="C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
      <x:formula1>('Quantification_Results'!AA2="")</x:formula1>
    </x:dataValidation>
    <x:dataValidation type="decimal" errorStyle="stop" operator="between" allowBlank="1" showErrorMessage="1" errorTitle="Invalid override" error="Enter a number within the configured range or leave the cell blank." sqref="AM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
      <x:formula1>('Quantification_Results'!AA3="")</x:formula1>
    </x:dataValidation>
    <x:dataValidation type="decimal" errorStyle="stop" operator="between" allowBlank="1" showErrorMessage="1" errorTitle="Invalid override" error="Enter a number within the configured range or leave the cell blank." sqref="AM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
      <x:formula1>('Quantification_Results'!AA4="")</x:formula1>
    </x:dataValidation>
    <x:dataValidation type="decimal" errorStyle="stop" operator="between" allowBlank="1" showErrorMessage="1" errorTitle="Invalid override" error="Enter a number within the configured range or leave the cell blank." sqref="AM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
      <x:formula1>('Quantification_Results'!AA5="")</x:formula1>
    </x:dataValidation>
    <x:dataValidation type="decimal" errorStyle="stop" operator="between" allowBlank="1" showErrorMessage="1" errorTitle="Invalid override" error="Enter a number within the configured range or leave the cell blank." sqref="AM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
      <x:formula1>'Quantification_Config'!$S$6</x:formula1>
      <x:formula2>'Quantification_Config'!$T$6</x:formula2>
    </x:dataValidation>
    <x:dataValidation type="custom" errorStyle="stop" allowBlank="1" showErrorMessage="1" errorTitle="Invalid override" error="This override must remain blank because the source answer is empty." sqref="O6">
      <x:formula1>('Quantification_Results'!O6="")</x:formula1>
    </x:dataValidation>
    <x:dataValidation type="decimal" errorStyle="stop" operator="between" allowBlank="1" showErrorMessage="1" errorTitle="Invalid override" error="Enter a number within the configured range or leave the cell blank." sqref="AA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6">
      <x:formula1>('Quantification_Results'!AY6="")</x:formula1>
    </x:dataValidation>
    <x:dataValidation type="decimal" errorStyle="stop" operator="between" allowBlank="1" showErrorMessage="1" errorTitle="Invalid override" error="Enter a number within the configured range or leave the cell blank." sqref="C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
      <x:formula1>('Quantification_Results'!AA7="")</x:formula1>
    </x:dataValidation>
    <x:dataValidation type="decimal" errorStyle="stop" operator="between" allowBlank="1" showErrorMessage="1" errorTitle="Invalid override" error="Enter a number within the configured range or leave the cell blank." sqref="AM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
      <x:formula1>('Quantification_Results'!AA8="")</x:formula1>
    </x:dataValidation>
    <x:dataValidation type="decimal" errorStyle="stop" operator="between" allowBlank="1" showErrorMessage="1" errorTitle="Invalid override" error="Enter a number within the configured range or leave the cell blank." sqref="AM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
      <x:formula1>('Quantification_Results'!AA9="")</x:formula1>
    </x:dataValidation>
    <x:dataValidation type="decimal" errorStyle="stop" operator="between" allowBlank="1" showErrorMessage="1" errorTitle="Invalid override" error="Enter a number within the configured range or leave the cell blank." sqref="AM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
      <x:formula1>('Quantification_Results'!AA10="")</x:formula1>
    </x:dataValidation>
    <x:dataValidation type="decimal" errorStyle="stop" operator="between" allowBlank="1" showErrorMessage="1" errorTitle="Invalid override" error="Enter a number within the configured range or leave the cell blank." sqref="AM1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
      <x:formula1>('Quantification_Results'!AA11="")</x:formula1>
    </x:dataValidation>
    <x:dataValidation type="decimal" errorStyle="stop" operator="between" allowBlank="1" showErrorMessage="1" errorTitle="Invalid override" error="Enter a number within the configured range or leave the cell blank." sqref="AM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
      <x:formula1>('Quantification_Results'!AA12="")</x:formula1>
    </x:dataValidation>
    <x:dataValidation type="decimal" errorStyle="stop" operator="between" allowBlank="1" showErrorMessage="1" errorTitle="Invalid override" error="Enter a number within the configured range or leave the cell blank." sqref="AM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3">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
      <x:formula1>('Quantification_Results'!AA15="")</x:formula1>
    </x:dataValidation>
    <x:dataValidation type="decimal" errorStyle="stop" operator="between" allowBlank="1" showErrorMessage="1" errorTitle="Invalid override" error="Enter a number within the configured range or leave the cell blank." sqref="AM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
      <x:formula1>('Quantification_Results'!AA17="")</x:formula1>
    </x:dataValidation>
    <x:dataValidation type="decimal" errorStyle="stop" operator="between" allowBlank="1" showErrorMessage="1" errorTitle="Invalid override" error="Enter a number within the configured range or leave the cell blank." sqref="AM1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
      <x:formula1>('Quantification_Results'!AA18="")</x:formula1>
    </x:dataValidation>
    <x:dataValidation type="decimal" errorStyle="stop" operator="between" allowBlank="1" showErrorMessage="1" errorTitle="Invalid override" error="Enter a number within the configured range or leave the cell blank." sqref="AM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
      <x:formula1>('Quantification_Results'!AA19="")</x:formula1>
    </x:dataValidation>
    <x:dataValidation type="decimal" errorStyle="stop" operator="between" allowBlank="1" showErrorMessage="1" errorTitle="Invalid override" error="Enter a number within the configured range or leave the cell blank." sqref="AM1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
      <x:formula1>('Quantification_Results'!AA20="")</x:formula1>
    </x:dataValidation>
    <x:dataValidation type="decimal" errorStyle="stop" operator="between" allowBlank="1" showErrorMessage="1" errorTitle="Invalid override" error="Enter a number within the configured range or leave the cell blank." sqref="AM2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
      <x:formula1>'Quantification_Config'!$S$6</x:formula1>
      <x:formula2>'Quantification_Config'!$T$6</x:formula2>
    </x:dataValidation>
    <x:dataValidation type="custom" errorStyle="stop" allowBlank="1" showErrorMessage="1" errorTitle="Invalid override" error="This override must remain blank because the source answer is empty." sqref="O21">
      <x:formula1>('Quantification_Results'!O21="")</x:formula1>
    </x:dataValidation>
    <x:dataValidation type="custom" errorStyle="stop" allowBlank="1" showErrorMessage="1" errorTitle="Invalid override" error="This override must remain blank because the source answer is empty." sqref="AA21">
      <x:formula1>('Quantification_Results'!AA21="")</x:formula1>
    </x:dataValidation>
    <x:dataValidation type="decimal" errorStyle="stop" operator="between" allowBlank="1" showErrorMessage="1" errorTitle="Invalid override" error="Enter a number within the configured range or leave the cell blank." sqref="AM2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1">
      <x:formula1>('Quantification_Results'!AY21="")</x:formula1>
    </x:dataValidation>
    <x:dataValidation type="decimal" errorStyle="stop" operator="between" allowBlank="1" showErrorMessage="1" errorTitle="Invalid override" error="Enter a number within the configured range or leave the cell blank." sqref="C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
      <x:formula1>('Quantification_Results'!AA22="")</x:formula1>
    </x:dataValidation>
    <x:dataValidation type="decimal" errorStyle="stop" operator="between" allowBlank="1" showErrorMessage="1" errorTitle="Invalid override" error="Enter a number within the configured range or leave the cell blank." sqref="AM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
      <x:formula1>('Quantification_Results'!AA23="")</x:formula1>
    </x:dataValidation>
    <x:dataValidation type="decimal" errorStyle="stop" operator="between" allowBlank="1" showErrorMessage="1" errorTitle="Invalid override" error="Enter a number within the configured range or leave the cell blank." sqref="AM2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
      <x:formula1>('Quantification_Results'!AA24="")</x:formula1>
    </x:dataValidation>
    <x:dataValidation type="decimal" errorStyle="stop" operator="between" allowBlank="1" showErrorMessage="1" errorTitle="Invalid override" error="Enter a number within the configured range or leave the cell blank." sqref="AM2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4">
      <x:formula1>('Quantification_Results'!AY24="")</x:formula1>
    </x:dataValidation>
    <x:dataValidation type="decimal" errorStyle="stop" operator="between" allowBlank="1" showErrorMessage="1" errorTitle="Invalid override" error="Enter a number within the configured range or leave the cell blank." sqref="C2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
      <x:formula1>('Quantification_Results'!AA25="")</x:formula1>
    </x:dataValidation>
    <x:dataValidation type="decimal" errorStyle="stop" operator="between" allowBlank="1" showErrorMessage="1" errorTitle="Invalid override" error="Enter a number within the configured range or leave the cell blank." sqref="AM2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
      <x:formula1>('Quantification_Results'!AA26="")</x:formula1>
    </x:dataValidation>
    <x:dataValidation type="decimal" errorStyle="stop" operator="between" allowBlank="1" showErrorMessage="1" errorTitle="Invalid override" error="Enter a number within the configured range or leave the cell blank." sqref="AM2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7">
      <x:formula1>('Quantification_Results'!AA27="")</x:formula1>
    </x:dataValidation>
    <x:dataValidation type="decimal" errorStyle="stop" operator="between" allowBlank="1" showErrorMessage="1" errorTitle="Invalid override" error="Enter a number within the configured range or leave the cell blank." sqref="AM2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
      <x:formula1>'Quantification_Config'!$S$6</x:formula1>
      <x:formula2>'Quantification_Config'!$T$6</x:formula2>
    </x:dataValidation>
    <x:dataValidation type="custom" errorStyle="stop" allowBlank="1" showErrorMessage="1" errorTitle="Invalid override" error="This override must remain blank because the source answer is empty." sqref="O28">
      <x:formula1>('Quantification_Results'!O28="")</x:formula1>
    </x:dataValidation>
    <x:dataValidation type="custom" errorStyle="stop" allowBlank="1" showErrorMessage="1" errorTitle="Invalid override" error="This override must remain blank because the source answer is empty." sqref="AA28">
      <x:formula1>('Quantification_Results'!AA28="")</x:formula1>
    </x:dataValidation>
    <x:dataValidation type="decimal" errorStyle="stop" operator="between" allowBlank="1" showErrorMessage="1" errorTitle="Invalid override" error="Enter a number within the configured range or leave the cell blank." sqref="AM2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8">
      <x:formula1>('Quantification_Results'!AY28="")</x:formula1>
    </x:dataValidation>
    <x:dataValidation type="decimal" errorStyle="stop" operator="between" allowBlank="1" showErrorMessage="1" errorTitle="Invalid override" error="Enter a number within the configured range or leave the cell blank." sqref="C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
      <x:formula1>('Quantification_Results'!AA29="")</x:formula1>
    </x:dataValidation>
    <x:dataValidation type="decimal" errorStyle="stop" operator="between" allowBlank="1" showErrorMessage="1" errorTitle="Invalid override" error="Enter a number within the configured range or leave the cell blank." sqref="AM2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
      <x:formula1>('Quantification_Results'!AA30="")</x:formula1>
    </x:dataValidation>
    <x:dataValidation type="decimal" errorStyle="stop" operator="between" allowBlank="1" showErrorMessage="1" errorTitle="Invalid override" error="Enter a number within the configured range or leave the cell blank." sqref="AM3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
      <x:formula1>'Quantification_Config'!$S$6</x:formula1>
      <x:formula2>'Quantification_Config'!$T$6</x:formula2>
    </x:dataValidation>
    <x:dataValidation type="custom" errorStyle="stop" allowBlank="1" showErrorMessage="1" errorTitle="Invalid override" error="This override must remain blank because the source answer is empty." sqref="O32">
      <x:formula1>('Quantification_Results'!O32="")</x:formula1>
    </x:dataValidation>
    <x:dataValidation type="custom" errorStyle="stop" allowBlank="1" showErrorMessage="1" errorTitle="Invalid override" error="This override must remain blank because the source answer is empty." sqref="AA32">
      <x:formula1>('Quantification_Results'!AA32="")</x:formula1>
    </x:dataValidation>
    <x:dataValidation type="decimal" errorStyle="stop" operator="between" allowBlank="1" showErrorMessage="1" errorTitle="Invalid override" error="Enter a number within the configured range or leave the cell blank." sqref="AM3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
      <x:formula1>'Quantification_Config'!$S$6</x:formula1>
      <x:formula2>'Quantification_Config'!$T$6</x:formula2>
    </x:dataValidation>
    <x:dataValidation type="custom" errorStyle="stop" allowBlank="1" showErrorMessage="1" errorTitle="Invalid override" error="This override must remain blank because the source answer is empty." sqref="O33">
      <x:formula1>('Quantification_Results'!O33="")</x:formula1>
    </x:dataValidation>
    <x:dataValidation type="custom" errorStyle="stop" allowBlank="1" showErrorMessage="1" errorTitle="Invalid override" error="This override must remain blank because the source answer is empty." sqref="AA33">
      <x:formula1>('Quantification_Results'!AA33="")</x:formula1>
    </x:dataValidation>
    <x:dataValidation type="decimal" errorStyle="stop" operator="between" allowBlank="1" showErrorMessage="1" errorTitle="Invalid override" error="Enter a number within the configured range or leave the cell blank." sqref="AM3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3">
      <x:formula1>('Quantification_Results'!AY33="")</x:formula1>
    </x:dataValidation>
    <x:dataValidation type="decimal" errorStyle="stop" operator="between" allowBlank="1" showErrorMessage="1" errorTitle="Invalid override" error="Enter a number within the configured range or leave the cell blank." sqref="C34">
      <x:formula1>'Quantification_Config'!$S$6</x:formula1>
      <x:formula2>'Quantification_Config'!$T$6</x:formula2>
    </x:dataValidation>
    <x:dataValidation type="custom" errorStyle="stop" allowBlank="1" showErrorMessage="1" errorTitle="Invalid override" error="This override must remain blank because the source answer is empty." sqref="O34">
      <x:formula1>('Quantification_Results'!O34="")</x:formula1>
    </x:dataValidation>
    <x:dataValidation type="custom" errorStyle="stop" allowBlank="1" showErrorMessage="1" errorTitle="Invalid override" error="This override must remain blank because the source answer is empty." sqref="AA34">
      <x:formula1>('Quantification_Results'!AA34="")</x:formula1>
    </x:dataValidation>
    <x:dataValidation type="decimal" errorStyle="stop" operator="between" allowBlank="1" showErrorMessage="1" errorTitle="Invalid override" error="Enter a number within the configured range or leave the cell blank." sqref="AM3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4">
      <x:formula1>('Quantification_Results'!AY34="")</x:formula1>
    </x:dataValidation>
    <x:dataValidation type="decimal" errorStyle="stop" operator="between" allowBlank="1" showErrorMessage="1" errorTitle="Invalid override" error="Enter a number within the configured range or leave the cell blank." sqref="C3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
      <x:formula1>('Quantification_Results'!AA35="")</x:formula1>
    </x:dataValidation>
    <x:dataValidation type="decimal" errorStyle="stop" operator="between" allowBlank="1" showErrorMessage="1" errorTitle="Invalid override" error="Enter a number within the configured range or leave the cell blank." sqref="AM3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
      <x:formula1>('Quantification_Results'!AA36="")</x:formula1>
    </x:dataValidation>
    <x:dataValidation type="decimal" errorStyle="stop" operator="between" allowBlank="1" showErrorMessage="1" errorTitle="Invalid override" error="Enter a number within the configured range or leave the cell blank." sqref="AM3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
      <x:formula1>('Quantification_Results'!AA37="")</x:formula1>
    </x:dataValidation>
    <x:dataValidation type="decimal" errorStyle="stop" operator="between" allowBlank="1" showErrorMessage="1" errorTitle="Invalid override" error="Enter a number within the configured range or leave the cell blank." sqref="AM3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
      <x:formula1>('Quantification_Results'!AA38="")</x:formula1>
    </x:dataValidation>
    <x:dataValidation type="decimal" errorStyle="stop" operator="between" allowBlank="1" showErrorMessage="1" errorTitle="Invalid override" error="Enter a number within the configured range or leave the cell blank." sqref="AM3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
      <x:formula1>('Quantification_Results'!AA39="")</x:formula1>
    </x:dataValidation>
    <x:dataValidation type="decimal" errorStyle="stop" operator="between" allowBlank="1" showErrorMessage="1" errorTitle="Invalid override" error="Enter a number within the configured range or leave the cell blank." sqref="AM3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
      <x:formula1>('Quantification_Results'!AA40="")</x:formula1>
    </x:dataValidation>
    <x:dataValidation type="decimal" errorStyle="stop" operator="between" allowBlank="1" showErrorMessage="1" errorTitle="Invalid override" error="Enter a number within the configured range or leave the cell blank." sqref="AM4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
      <x:formula1>('Quantification_Results'!AA41="")</x:formula1>
    </x:dataValidation>
    <x:dataValidation type="decimal" errorStyle="stop" operator="between" allowBlank="1" showErrorMessage="1" errorTitle="Invalid override" error="Enter a number within the configured range or leave the cell blank." sqref="AM4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
      <x:formula1>('Quantification_Results'!AA42="")</x:formula1>
    </x:dataValidation>
    <x:dataValidation type="decimal" errorStyle="stop" operator="between" allowBlank="1" showErrorMessage="1" errorTitle="Invalid override" error="Enter a number within the configured range or leave the cell blank." sqref="AM4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2">
      <x:formula1>('Quantification_Results'!AY42="")</x:formula1>
    </x:dataValidation>
    <x:dataValidation type="decimal" errorStyle="stop" operator="between" allowBlank="1" showErrorMessage="1" errorTitle="Invalid override" error="Enter a number within the configured range or leave the cell blank." sqref="C4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3">
      <x:formula1>('Quantification_Results'!AA43="")</x:formula1>
    </x:dataValidation>
    <x:dataValidation type="decimal" errorStyle="stop" operator="between" allowBlank="1" showErrorMessage="1" errorTitle="Invalid override" error="Enter a number within the configured range or leave the cell blank." sqref="AM4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3">
      <x:formula1>('Quantification_Results'!AY43="")</x:formula1>
    </x:dataValidation>
    <x:dataValidation type="decimal" errorStyle="stop" operator="between" allowBlank="1" showErrorMessage="1" errorTitle="Invalid override" error="Enter a number within the configured range or leave the cell blank." sqref="C4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
      <x:formula1>('Quantification_Results'!AA44="")</x:formula1>
    </x:dataValidation>
    <x:dataValidation type="decimal" errorStyle="stop" operator="between" allowBlank="1" showErrorMessage="1" errorTitle="Invalid override" error="Enter a number within the configured range or leave the cell blank." sqref="AM4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
      <x:formula1>'Quantification_Config'!$S$6</x:formula1>
      <x:formula2>'Quantification_Config'!$T$6</x:formula2>
    </x:dataValidation>
    <x:dataValidation type="custom" errorStyle="stop" allowBlank="1" showErrorMessage="1" errorTitle="Invalid override" error="This override must remain blank because the source answer is empty." sqref="O45">
      <x:formula1>('Quantification_Results'!O45="")</x:formula1>
    </x:dataValidation>
    <x:dataValidation type="custom" errorStyle="stop" allowBlank="1" showErrorMessage="1" errorTitle="Invalid override" error="This override must remain blank because the source answer is empty." sqref="AA45">
      <x:formula1>('Quantification_Results'!AA45="")</x:formula1>
    </x:dataValidation>
    <x:dataValidation type="decimal" errorStyle="stop" operator="between" allowBlank="1" showErrorMessage="1" errorTitle="Invalid override" error="Enter a number within the configured range or leave the cell blank." sqref="AM4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5">
      <x:formula1>('Quantification_Results'!AY45="")</x:formula1>
    </x:dataValidation>
    <x:dataValidation type="decimal" errorStyle="stop" operator="between" allowBlank="1" showErrorMessage="1" errorTitle="Invalid override" error="Enter a number within the configured range or leave the cell blank." sqref="C46">
      <x:formula1>'Quantification_Config'!$S$6</x:formula1>
      <x:formula2>'Quantification_Config'!$T$6</x:formula2>
    </x:dataValidation>
    <x:dataValidation type="custom" errorStyle="stop" allowBlank="1" showErrorMessage="1" errorTitle="Invalid override" error="This override must remain blank because the source answer is empty." sqref="O46">
      <x:formula1>('Quantification_Results'!O46="")</x:formula1>
    </x:dataValidation>
    <x:dataValidation type="custom" errorStyle="stop" allowBlank="1" showErrorMessage="1" errorTitle="Invalid override" error="This override must remain blank because the source answer is empty." sqref="AA46">
      <x:formula1>('Quantification_Results'!AA46="")</x:formula1>
    </x:dataValidation>
    <x:dataValidation type="decimal" errorStyle="stop" operator="between" allowBlank="1" showErrorMessage="1" errorTitle="Invalid override" error="Enter a number within the configured range or leave the cell blank." sqref="AM4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6">
      <x:formula1>('Quantification_Results'!AY46="")</x:formula1>
    </x:dataValidation>
    <x:dataValidation type="decimal" errorStyle="stop" operator="between" allowBlank="1" showErrorMessage="1" errorTitle="Invalid override" error="Enter a number within the configured range or leave the cell blank." sqref="C4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
      <x:formula1>('Quantification_Results'!AA47="")</x:formula1>
    </x:dataValidation>
    <x:dataValidation type="decimal" errorStyle="stop" operator="between" allowBlank="1" showErrorMessage="1" errorTitle="Invalid override" error="Enter a number within the configured range or leave the cell blank." sqref="AM4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
      <x:formula1>('Quantification_Results'!AA48="")</x:formula1>
    </x:dataValidation>
    <x:dataValidation type="decimal" errorStyle="stop" operator="between" allowBlank="1" showErrorMessage="1" errorTitle="Invalid override" error="Enter a number within the configured range or leave the cell blank." sqref="AM4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
      <x:formula1>('Quantification_Results'!AA49="")</x:formula1>
    </x:dataValidation>
    <x:dataValidation type="decimal" errorStyle="stop" operator="between" allowBlank="1" showErrorMessage="1" errorTitle="Invalid override" error="Enter a number within the configured range or leave the cell blank." sqref="AM4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
      <x:formula1>('Quantification_Results'!AA51="")</x:formula1>
    </x:dataValidation>
    <x:dataValidation type="decimal" errorStyle="stop" operator="between" allowBlank="1" showErrorMessage="1" errorTitle="Invalid override" error="Enter a number within the configured range or leave the cell blank." sqref="AM5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3">
      <x:formula1>('Quantification_Results'!AA53="")</x:formula1>
    </x:dataValidation>
    <x:dataValidation type="decimal" errorStyle="stop" operator="between" allowBlank="1" showErrorMessage="1" errorTitle="Invalid override" error="Enter a number within the configured range or leave the cell blank." sqref="AM5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4">
      <x:formula1>'Quantification_Config'!$S$6</x:formula1>
      <x:formula2>'Quantification_Config'!$T$6</x:formula2>
    </x:dataValidation>
    <x:dataValidation type="custom" errorStyle="stop" allowBlank="1" showErrorMessage="1" errorTitle="Invalid override" error="This override must remain blank because the source answer is empty." sqref="O54">
      <x:formula1>('Quantification_Results'!O54="")</x:formula1>
    </x:dataValidation>
    <x:dataValidation type="custom" errorStyle="stop" allowBlank="1" showErrorMessage="1" errorTitle="Invalid override" error="This override must remain blank because the source answer is empty." sqref="AA54">
      <x:formula1>('Quantification_Results'!AA54="")</x:formula1>
    </x:dataValidation>
    <x:dataValidation type="decimal" errorStyle="stop" operator="between" allowBlank="1" showErrorMessage="1" errorTitle="Invalid override" error="Enter a number within the configured range or leave the cell blank." sqref="AM5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4">
      <x:formula1>('Quantification_Results'!AY54="")</x:formula1>
    </x:dataValidation>
    <x:dataValidation type="decimal" errorStyle="stop" operator="between" allowBlank="1" showErrorMessage="1" errorTitle="Invalid override" error="Enter a number within the configured range or leave the cell blank." sqref="C5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5">
      <x:formula1>('Quantification_Results'!AA55="")</x:formula1>
    </x:dataValidation>
    <x:dataValidation type="decimal" errorStyle="stop" operator="between" allowBlank="1" showErrorMessage="1" errorTitle="Invalid override" error="Enter a number within the configured range or leave the cell blank." sqref="AM5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7">
      <x:formula1>('Quantification_Results'!AA57="")</x:formula1>
    </x:dataValidation>
    <x:dataValidation type="decimal" errorStyle="stop" operator="between" allowBlank="1" showErrorMessage="1" errorTitle="Invalid override" error="Enter a number within the configured range or leave the cell blank." sqref="AM5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8">
      <x:formula1>('Quantification_Results'!AA58="")</x:formula1>
    </x:dataValidation>
    <x:dataValidation type="decimal" errorStyle="stop" operator="between" allowBlank="1" showErrorMessage="1" errorTitle="Invalid override" error="Enter a number within the configured range or leave the cell blank." sqref="AM5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9">
      <x:formula1>('Quantification_Results'!AA59="")</x:formula1>
    </x:dataValidation>
    <x:dataValidation type="decimal" errorStyle="stop" operator="between" allowBlank="1" showErrorMessage="1" errorTitle="Invalid override" error="Enter a number within the configured range or leave the cell blank." sqref="AM5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0">
      <x:formula1>('Quantification_Results'!AA60="")</x:formula1>
    </x:dataValidation>
    <x:dataValidation type="decimal" errorStyle="stop" operator="between" allowBlank="1" showErrorMessage="1" errorTitle="Invalid override" error="Enter a number within the configured range or leave the cell blank." sqref="AM6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6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6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61">
      <x:formula1>('Quantification_Results'!AY61="")</x:formula1>
    </x:dataValidation>
    <x:dataValidation type="decimal" errorStyle="stop" operator="between" allowBlank="1" showErrorMessage="1" errorTitle="Invalid override" error="Enter a number within the configured range or leave the cell blank." sqref="C6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2">
      <x:formula1>('Quantification_Results'!AA62="")</x:formula1>
    </x:dataValidation>
    <x:dataValidation type="decimal" errorStyle="stop" operator="between" allowBlank="1" showErrorMessage="1" errorTitle="Invalid override" error="Enter a number within the configured range or leave the cell blank." sqref="AM6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3">
      <x:formula1>('Quantification_Results'!AA63="")</x:formula1>
    </x:dataValidation>
    <x:dataValidation type="decimal" errorStyle="stop" operator="between" allowBlank="1" showErrorMessage="1" errorTitle="Invalid override" error="Enter a number within the configured range or leave the cell blank." sqref="AM6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4">
      <x:formula1>('Quantification_Results'!AA64="")</x:formula1>
    </x:dataValidation>
    <x:dataValidation type="decimal" errorStyle="stop" operator="between" allowBlank="1" showErrorMessage="1" errorTitle="Invalid override" error="Enter a number within the configured range or leave the cell blank." sqref="AM6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5">
      <x:formula1>('Quantification_Results'!AA65="")</x:formula1>
    </x:dataValidation>
    <x:dataValidation type="decimal" errorStyle="stop" operator="between" allowBlank="1" showErrorMessage="1" errorTitle="Invalid override" error="Enter a number within the configured range or leave the cell blank." sqref="AM6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6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6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67">
      <x:formula1>('Quantification_Results'!AA67="")</x:formula1>
    </x:dataValidation>
    <x:dataValidation type="decimal" errorStyle="stop" operator="between" allowBlank="1" showErrorMessage="1" errorTitle="Invalid override" error="Enter a number within the configured range or leave the cell blank." sqref="AM6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6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6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6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6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6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6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6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0">
      <x:formula1>('Quantification_Results'!AA70="")</x:formula1>
    </x:dataValidation>
    <x:dataValidation type="decimal" errorStyle="stop" operator="between" allowBlank="1" showErrorMessage="1" errorTitle="Invalid override" error="Enter a number within the configured range or leave the cell blank." sqref="AM7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1">
      <x:formula1>('Quantification_Results'!AA71="")</x:formula1>
    </x:dataValidation>
    <x:dataValidation type="decimal" errorStyle="stop" operator="between" allowBlank="1" showErrorMessage="1" errorTitle="Invalid override" error="Enter a number within the configured range or leave the cell blank." sqref="AM7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2">
      <x:formula1>'Quantification_Config'!$S$6</x:formula1>
      <x:formula2>'Quantification_Config'!$T$6</x:formula2>
    </x:dataValidation>
    <x:dataValidation type="custom" errorStyle="stop" allowBlank="1" showErrorMessage="1" errorTitle="Invalid override" error="This override must remain blank because the source answer is empty." sqref="O72">
      <x:formula1>('Quantification_Results'!O72="")</x:formula1>
    </x:dataValidation>
    <x:dataValidation type="custom" errorStyle="stop" allowBlank="1" showErrorMessage="1" errorTitle="Invalid override" error="This override must remain blank because the source answer is empty." sqref="AA72">
      <x:formula1>('Quantification_Results'!AA72="")</x:formula1>
    </x:dataValidation>
    <x:dataValidation type="decimal" errorStyle="stop" operator="between" allowBlank="1" showErrorMessage="1" errorTitle="Invalid override" error="Enter a number within the configured range or leave the cell blank." sqref="AM7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72">
      <x:formula1>('Quantification_Results'!AY72="")</x:formula1>
    </x:dataValidation>
    <x:dataValidation type="decimal" errorStyle="stop" operator="between" allowBlank="1" showErrorMessage="1" errorTitle="Invalid override" error="Enter a number within the configured range or leave the cell blank." sqref="C7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3">
      <x:formula1>('Quantification_Results'!AA73="")</x:formula1>
    </x:dataValidation>
    <x:dataValidation type="decimal" errorStyle="stop" operator="between" allowBlank="1" showErrorMessage="1" errorTitle="Invalid override" error="Enter a number within the configured range or leave the cell blank." sqref="AM7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7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7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5">
      <x:formula1>('Quantification_Results'!AA75="")</x:formula1>
    </x:dataValidation>
    <x:dataValidation type="decimal" errorStyle="stop" operator="between" allowBlank="1" showErrorMessage="1" errorTitle="Invalid override" error="Enter a number within the configured range or leave the cell blank." sqref="AM7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6">
      <x:formula1>('Quantification_Results'!AA76="")</x:formula1>
    </x:dataValidation>
    <x:dataValidation type="decimal" errorStyle="stop" operator="between" allowBlank="1" showErrorMessage="1" errorTitle="Invalid override" error="Enter a number within the configured range or leave the cell blank." sqref="AM7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7">
      <x:formula1>('Quantification_Results'!AA77="")</x:formula1>
    </x:dataValidation>
    <x:dataValidation type="decimal" errorStyle="stop" operator="between" allowBlank="1" showErrorMessage="1" errorTitle="Invalid override" error="Enter a number within the configured range or leave the cell blank." sqref="AM7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8">
      <x:formula1>('Quantification_Results'!AA78="")</x:formula1>
    </x:dataValidation>
    <x:dataValidation type="decimal" errorStyle="stop" operator="between" allowBlank="1" showErrorMessage="1" errorTitle="Invalid override" error="Enter a number within the configured range or leave the cell blank." sqref="AM7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7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7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79">
      <x:formula1>('Quantification_Results'!AA79="")</x:formula1>
    </x:dataValidation>
    <x:dataValidation type="decimal" errorStyle="stop" operator="between" allowBlank="1" showErrorMessage="1" errorTitle="Invalid override" error="Enter a number within the configured range or leave the cell blank." sqref="AM7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7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0">
      <x:formula1>('Quantification_Results'!AA80="")</x:formula1>
    </x:dataValidation>
    <x:dataValidation type="decimal" errorStyle="stop" operator="between" allowBlank="1" showErrorMessage="1" errorTitle="Invalid override" error="Enter a number within the configured range or leave the cell blank." sqref="AM8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80">
      <x:formula1>('Quantification_Results'!AY80="")</x:formula1>
    </x:dataValidation>
    <x:dataValidation type="decimal" errorStyle="stop" operator="between" allowBlank="1" showErrorMessage="1" errorTitle="Invalid override" error="Enter a number within the configured range or leave the cell blank." sqref="C8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1">
      <x:formula1>('Quantification_Results'!AA81="")</x:formula1>
    </x:dataValidation>
    <x:dataValidation type="decimal" errorStyle="stop" operator="between" allowBlank="1" showErrorMessage="1" errorTitle="Invalid override" error="Enter a number within the configured range or leave the cell blank." sqref="AM8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2">
      <x:formula1>('Quantification_Results'!AA82="")</x:formula1>
    </x:dataValidation>
    <x:dataValidation type="decimal" errorStyle="stop" operator="between" allowBlank="1" showErrorMessage="1" errorTitle="Invalid override" error="Enter a number within the configured range or leave the cell blank." sqref="AM8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3">
      <x:formula1>('Quantification_Results'!AA83="")</x:formula1>
    </x:dataValidation>
    <x:dataValidation type="decimal" errorStyle="stop" operator="between" allowBlank="1" showErrorMessage="1" errorTitle="Invalid override" error="Enter a number within the configured range or leave the cell blank." sqref="AM8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4">
      <x:formula1>('Quantification_Results'!AA84="")</x:formula1>
    </x:dataValidation>
    <x:dataValidation type="decimal" errorStyle="stop" operator="between" allowBlank="1" showErrorMessage="1" errorTitle="Invalid override" error="Enter a number within the configured range or leave the cell blank." sqref="AM8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8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8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8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8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7">
      <x:formula1>('Quantification_Results'!AA87="")</x:formula1>
    </x:dataValidation>
    <x:dataValidation type="decimal" errorStyle="stop" operator="between" allowBlank="1" showErrorMessage="1" errorTitle="Invalid override" error="Enter a number within the configured range or leave the cell blank." sqref="AM8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8">
      <x:formula1>('Quantification_Results'!AA88="")</x:formula1>
    </x:dataValidation>
    <x:dataValidation type="decimal" errorStyle="stop" operator="between" allowBlank="1" showErrorMessage="1" errorTitle="Invalid override" error="Enter a number within the configured range or leave the cell blank." sqref="AM8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8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8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89">
      <x:formula1>('Quantification_Results'!AA89="")</x:formula1>
    </x:dataValidation>
    <x:dataValidation type="decimal" errorStyle="stop" operator="between" allowBlank="1" showErrorMessage="1" errorTitle="Invalid override" error="Enter a number within the configured range or leave the cell blank." sqref="AM8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8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0">
      <x:formula1>('Quantification_Results'!AA90="")</x:formula1>
    </x:dataValidation>
    <x:dataValidation type="decimal" errorStyle="stop" operator="between" allowBlank="1" showErrorMessage="1" errorTitle="Invalid override" error="Enter a number within the configured range or leave the cell blank." sqref="AM9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90">
      <x:formula1>('Quantification_Results'!AY90="")</x:formula1>
    </x:dataValidation>
    <x:dataValidation type="decimal" errorStyle="stop" operator="between" allowBlank="1" showErrorMessage="1" errorTitle="Invalid override" error="Enter a number within the configured range or leave the cell blank." sqref="C9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1">
      <x:formula1>('Quantification_Results'!AA91="")</x:formula1>
    </x:dataValidation>
    <x:dataValidation type="decimal" errorStyle="stop" operator="between" allowBlank="1" showErrorMessage="1" errorTitle="Invalid override" error="Enter a number within the configured range or leave the cell blank." sqref="AM9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2">
      <x:formula1>('Quantification_Results'!AA92="")</x:formula1>
    </x:dataValidation>
    <x:dataValidation type="decimal" errorStyle="stop" operator="between" allowBlank="1" showErrorMessage="1" errorTitle="Invalid override" error="Enter a number within the configured range or leave the cell blank." sqref="AM9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3">
      <x:formula1>('Quantification_Results'!AA93="")</x:formula1>
    </x:dataValidation>
    <x:dataValidation type="decimal" errorStyle="stop" operator="between" allowBlank="1" showErrorMessage="1" errorTitle="Invalid override" error="Enter a number within the configured range or leave the cell blank." sqref="AM9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9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9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5">
      <x:formula1>'Quantification_Config'!$S$6</x:formula1>
      <x:formula2>'Quantification_Config'!$T$6</x:formula2>
    </x:dataValidation>
    <x:dataValidation type="custom" errorStyle="stop" allowBlank="1" showErrorMessage="1" errorTitle="Invalid override" error="This override must remain blank because the source answer is empty." sqref="O95">
      <x:formula1>('Quantification_Results'!O95="")</x:formula1>
    </x:dataValidation>
    <x:dataValidation type="custom" errorStyle="stop" allowBlank="1" showErrorMessage="1" errorTitle="Invalid override" error="This override must remain blank because the source answer is empty." sqref="AA95">
      <x:formula1>('Quantification_Results'!AA95="")</x:formula1>
    </x:dataValidation>
    <x:dataValidation type="decimal" errorStyle="stop" operator="between" allowBlank="1" showErrorMessage="1" errorTitle="Invalid override" error="Enter a number within the configured range or leave the cell blank." sqref="AM9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95">
      <x:formula1>('Quantification_Results'!AY95="")</x:formula1>
    </x:dataValidation>
    <x:dataValidation type="decimal" errorStyle="stop" operator="between" allowBlank="1" showErrorMessage="1" errorTitle="Invalid override" error="Enter a number within the configured range or leave the cell blank." sqref="C9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6">
      <x:formula1>('Quantification_Results'!AA96="")</x:formula1>
    </x:dataValidation>
    <x:dataValidation type="decimal" errorStyle="stop" operator="between" allowBlank="1" showErrorMessage="1" errorTitle="Invalid override" error="Enter a number within the configured range or leave the cell blank." sqref="AM9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7">
      <x:formula1>('Quantification_Results'!AA97="")</x:formula1>
    </x:dataValidation>
    <x:dataValidation type="decimal" errorStyle="stop" operator="between" allowBlank="1" showErrorMessage="1" errorTitle="Invalid override" error="Enter a number within the configured range or leave the cell blank." sqref="AM9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98">
      <x:formula1>('Quantification_Results'!AA98="")</x:formula1>
    </x:dataValidation>
    <x:dataValidation type="decimal" errorStyle="stop" operator="between" allowBlank="1" showErrorMessage="1" errorTitle="Invalid override" error="Enter a number within the configured range or leave the cell blank." sqref="AM9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9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9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9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9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9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0">
      <x:formula1>('Quantification_Results'!AA100="")</x:formula1>
    </x:dataValidation>
    <x:dataValidation type="decimal" errorStyle="stop" operator="between" allowBlank="1" showErrorMessage="1" errorTitle="Invalid override" error="Enter a number within the configured range or leave the cell blank." sqref="AM10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1">
      <x:formula1>('Quantification_Results'!AA101="")</x:formula1>
    </x:dataValidation>
    <x:dataValidation type="decimal" errorStyle="stop" operator="between" allowBlank="1" showErrorMessage="1" errorTitle="Invalid override" error="Enter a number within the configured range or leave the cell blank." sqref="AM10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2">
      <x:formula1>('Quantification_Results'!AA102="")</x:formula1>
    </x:dataValidation>
    <x:dataValidation type="decimal" errorStyle="stop" operator="between" allowBlank="1" showErrorMessage="1" errorTitle="Invalid override" error="Enter a number within the configured range or leave the cell blank." sqref="AM10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3">
      <x:formula1>('Quantification_Results'!AA103="")</x:formula1>
    </x:dataValidation>
    <x:dataValidation type="decimal" errorStyle="stop" operator="between" allowBlank="1" showErrorMessage="1" errorTitle="Invalid override" error="Enter a number within the configured range or leave the cell blank." sqref="AM10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4">
      <x:formula1>('Quantification_Results'!AA104="")</x:formula1>
    </x:dataValidation>
    <x:dataValidation type="decimal" errorStyle="stop" operator="between" allowBlank="1" showErrorMessage="1" errorTitle="Invalid override" error="Enter a number within the configured range or leave the cell blank." sqref="AM10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5">
      <x:formula1>('Quantification_Results'!AA105="")</x:formula1>
    </x:dataValidation>
    <x:dataValidation type="decimal" errorStyle="stop" operator="between" allowBlank="1" showErrorMessage="1" errorTitle="Invalid override" error="Enter a number within the configured range or leave the cell blank." sqref="AM10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6">
      <x:formula1>('Quantification_Results'!AA106="")</x:formula1>
    </x:dataValidation>
    <x:dataValidation type="decimal" errorStyle="stop" operator="between" allowBlank="1" showErrorMessage="1" errorTitle="Invalid override" error="Enter a number within the configured range or leave the cell blank." sqref="AM10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7">
      <x:formula1>('Quantification_Results'!AA107="")</x:formula1>
    </x:dataValidation>
    <x:dataValidation type="decimal" errorStyle="stop" operator="between" allowBlank="1" showErrorMessage="1" errorTitle="Invalid override" error="Enter a number within the configured range or leave the cell blank." sqref="AM10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8">
      <x:formula1>('Quantification_Results'!AA108="")</x:formula1>
    </x:dataValidation>
    <x:dataValidation type="decimal" errorStyle="stop" operator="between" allowBlank="1" showErrorMessage="1" errorTitle="Invalid override" error="Enter a number within the configured range or leave the cell blank." sqref="AM10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0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0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09">
      <x:formula1>('Quantification_Results'!AA109="")</x:formula1>
    </x:dataValidation>
    <x:dataValidation type="decimal" errorStyle="stop" operator="between" allowBlank="1" showErrorMessage="1" errorTitle="Invalid override" error="Enter a number within the configured range or leave the cell blank." sqref="AM10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0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0">
      <x:formula1>('Quantification_Results'!AA110="")</x:formula1>
    </x:dataValidation>
    <x:dataValidation type="decimal" errorStyle="stop" operator="between" allowBlank="1" showErrorMessage="1" errorTitle="Invalid override" error="Enter a number within the configured range or leave the cell blank." sqref="AM11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1">
      <x:formula1>('Quantification_Results'!AA111="")</x:formula1>
    </x:dataValidation>
    <x:dataValidation type="decimal" errorStyle="stop" operator="between" allowBlank="1" showErrorMessage="1" errorTitle="Invalid override" error="Enter a number within the configured range or leave the cell blank." sqref="AM1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2">
      <x:formula1>('Quantification_Results'!AA112="")</x:formula1>
    </x:dataValidation>
    <x:dataValidation type="decimal" errorStyle="stop" operator="between" allowBlank="1" showErrorMessage="1" errorTitle="Invalid override" error="Enter a number within the configured range or leave the cell blank." sqref="AM1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3">
      <x:formula1>'Quantification_Config'!$S$6</x:formula1>
      <x:formula2>'Quantification_Config'!$T$6</x:formula2>
    </x:dataValidation>
    <x:dataValidation type="custom" errorStyle="stop" allowBlank="1" showErrorMessage="1" errorTitle="Invalid override" error="This override must remain blank because the source answer is empty." sqref="O113">
      <x:formula1>('Quantification_Results'!O113="")</x:formula1>
    </x:dataValidation>
    <x:dataValidation type="custom" errorStyle="stop" allowBlank="1" showErrorMessage="1" errorTitle="Invalid override" error="This override must remain blank because the source answer is empty." sqref="AA113">
      <x:formula1>('Quantification_Results'!AA113="")</x:formula1>
    </x:dataValidation>
    <x:dataValidation type="decimal" errorStyle="stop" operator="between" allowBlank="1" showErrorMessage="1" errorTitle="Invalid override" error="Enter a number within the configured range or leave the cell blank." sqref="AM11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13">
      <x:formula1>('Quantification_Results'!AY113="")</x:formula1>
    </x:dataValidation>
    <x:dataValidation type="decimal" errorStyle="stop" operator="between" allowBlank="1" showErrorMessage="1" errorTitle="Invalid override" error="Enter a number within the configured range or leave the cell blank." sqref="C11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1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1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5">
      <x:formula1>'Quantification_Config'!$S$6</x:formula1>
      <x:formula2>'Quantification_Config'!$T$6</x:formula2>
    </x:dataValidation>
    <x:dataValidation type="custom" errorStyle="stop" allowBlank="1" showErrorMessage="1" errorTitle="Invalid override" error="This override must remain blank because the source answer is empty." sqref="O115">
      <x:formula1>('Quantification_Results'!O115="")</x:formula1>
    </x:dataValidation>
    <x:dataValidation type="custom" errorStyle="stop" allowBlank="1" showErrorMessage="1" errorTitle="Invalid override" error="This override must remain blank because the source answer is empty." sqref="AA115">
      <x:formula1>('Quantification_Results'!AA115="")</x:formula1>
    </x:dataValidation>
    <x:dataValidation type="decimal" errorStyle="stop" operator="between" allowBlank="1" showErrorMessage="1" errorTitle="Invalid override" error="Enter a number within the configured range or leave the cell blank." sqref="AM1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6">
      <x:formula1>('Quantification_Results'!AA116="")</x:formula1>
    </x:dataValidation>
    <x:dataValidation type="decimal" errorStyle="stop" operator="between" allowBlank="1" showErrorMessage="1" errorTitle="Invalid override" error="Enter a number within the configured range or leave the cell blank." sqref="AM1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7">
      <x:formula1>('Quantification_Results'!AA117="")</x:formula1>
    </x:dataValidation>
    <x:dataValidation type="decimal" errorStyle="stop" operator="between" allowBlank="1" showErrorMessage="1" errorTitle="Invalid override" error="Enter a number within the configured range or leave the cell blank." sqref="AM11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8">
      <x:formula1>('Quantification_Results'!AA118="")</x:formula1>
    </x:dataValidation>
    <x:dataValidation type="decimal" errorStyle="stop" operator="between" allowBlank="1" showErrorMessage="1" errorTitle="Invalid override" error="Enter a number within the configured range or leave the cell blank." sqref="AM1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1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1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19">
      <x:formula1>('Quantification_Results'!AA119="")</x:formula1>
    </x:dataValidation>
    <x:dataValidation type="decimal" errorStyle="stop" operator="between" allowBlank="1" showErrorMessage="1" errorTitle="Invalid override" error="Enter a number within the configured range or leave the cell blank." sqref="AM11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1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0">
      <x:formula1>('Quantification_Results'!AA120="")</x:formula1>
    </x:dataValidation>
    <x:dataValidation type="decimal" errorStyle="stop" operator="between" allowBlank="1" showErrorMessage="1" errorTitle="Invalid override" error="Enter a number within the configured range or leave the cell blank." sqref="AM12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1">
      <x:formula1>('Quantification_Results'!AA121="")</x:formula1>
    </x:dataValidation>
    <x:dataValidation type="decimal" errorStyle="stop" operator="between" allowBlank="1" showErrorMessage="1" errorTitle="Invalid override" error="Enter a number within the configured range or leave the cell blank." sqref="AM12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21">
      <x:formula1>('Quantification_Results'!AY121="")</x:formula1>
    </x:dataValidation>
    <x:dataValidation type="decimal" errorStyle="stop" operator="between" allowBlank="1" showErrorMessage="1" errorTitle="Invalid override" error="Enter a number within the configured range or leave the cell blank." sqref="C1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2">
      <x:formula1>('Quantification_Results'!AA122="")</x:formula1>
    </x:dataValidation>
    <x:dataValidation type="decimal" errorStyle="stop" operator="between" allowBlank="1" showErrorMessage="1" errorTitle="Invalid override" error="Enter a number within the configured range or leave the cell blank." sqref="AM1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3">
      <x:formula1>('Quantification_Results'!AA123="")</x:formula1>
    </x:dataValidation>
    <x:dataValidation type="decimal" errorStyle="stop" operator="between" allowBlank="1" showErrorMessage="1" errorTitle="Invalid override" error="Enter a number within the configured range or leave the cell blank." sqref="AM12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4">
      <x:formula1>('Quantification_Results'!AA124="")</x:formula1>
    </x:dataValidation>
    <x:dataValidation type="decimal" errorStyle="stop" operator="between" allowBlank="1" showErrorMessage="1" errorTitle="Invalid override" error="Enter a number within the configured range or leave the cell blank." sqref="AM12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2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2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6">
      <x:formula1>('Quantification_Results'!AA126="")</x:formula1>
    </x:dataValidation>
    <x:dataValidation type="decimal" errorStyle="stop" operator="between" allowBlank="1" showErrorMessage="1" errorTitle="Invalid override" error="Enter a number within the configured range or leave the cell blank." sqref="AM12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7">
      <x:formula1>('Quantification_Results'!AA127="")</x:formula1>
    </x:dataValidation>
    <x:dataValidation type="decimal" errorStyle="stop" operator="between" allowBlank="1" showErrorMessage="1" errorTitle="Invalid override" error="Enter a number within the configured range or leave the cell blank." sqref="AM12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8">
      <x:formula1>('Quantification_Results'!AA128="")</x:formula1>
    </x:dataValidation>
    <x:dataValidation type="decimal" errorStyle="stop" operator="between" allowBlank="1" showErrorMessage="1" errorTitle="Invalid override" error="Enter a number within the configured range or leave the cell blank." sqref="AM12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2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29">
      <x:formula1>('Quantification_Results'!AA129="")</x:formula1>
    </x:dataValidation>
    <x:dataValidation type="decimal" errorStyle="stop" operator="between" allowBlank="1" showErrorMessage="1" errorTitle="Invalid override" error="Enter a number within the configured range or leave the cell blank." sqref="AM12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29">
      <x:formula1>('Quantification_Results'!AY129="")</x:formula1>
    </x:dataValidation>
    <x:dataValidation type="decimal" errorStyle="stop" operator="between" allowBlank="1" showErrorMessage="1" errorTitle="Invalid override" error="Enter a number within the configured range or leave the cell blank." sqref="C1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3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3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30">
      <x:formula1>('Quantification_Results'!AY130="")</x:formula1>
    </x:dataValidation>
    <x:dataValidation type="decimal" errorStyle="stop" operator="between" allowBlank="1" showErrorMessage="1" errorTitle="Invalid override" error="Enter a number within the configured range or leave the cell blank." sqref="C13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3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3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2">
      <x:formula1>'Quantification_Config'!$S$6</x:formula1>
      <x:formula2>'Quantification_Config'!$T$6</x:formula2>
    </x:dataValidation>
    <x:dataValidation type="custom" errorStyle="stop" allowBlank="1" showErrorMessage="1" errorTitle="Invalid override" error="This override must remain blank because the source answer is empty." sqref="O132">
      <x:formula1>('Quantification_Results'!O132="")</x:formula1>
    </x:dataValidation>
    <x:dataValidation type="custom" errorStyle="stop" allowBlank="1" showErrorMessage="1" errorTitle="Invalid override" error="This override must remain blank because the source answer is empty." sqref="AA132">
      <x:formula1>('Quantification_Results'!AA132="")</x:formula1>
    </x:dataValidation>
    <x:dataValidation type="decimal" errorStyle="stop" operator="between" allowBlank="1" showErrorMessage="1" errorTitle="Invalid override" error="Enter a number within the configured range or leave the cell blank." sqref="AM13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32">
      <x:formula1>('Quantification_Results'!AY132="")</x:formula1>
    </x:dataValidation>
    <x:dataValidation type="decimal" errorStyle="stop" operator="between" allowBlank="1" showErrorMessage="1" errorTitle="Invalid override" error="Enter a number within the configured range or leave the cell blank." sqref="C13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33">
      <x:formula1>('Quantification_Results'!AA133="")</x:formula1>
    </x:dataValidation>
    <x:dataValidation type="decimal" errorStyle="stop" operator="between" allowBlank="1" showErrorMessage="1" errorTitle="Invalid override" error="Enter a number within the configured range or leave the cell blank." sqref="AM13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34">
      <x:formula1>('Quantification_Results'!AA134="")</x:formula1>
    </x:dataValidation>
    <x:dataValidation type="decimal" errorStyle="stop" operator="between" allowBlank="1" showErrorMessage="1" errorTitle="Invalid override" error="Enter a number within the configured range or leave the cell blank." sqref="AM13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3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3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36">
      <x:formula1>('Quantification_Results'!AA136="")</x:formula1>
    </x:dataValidation>
    <x:dataValidation type="decimal" errorStyle="stop" operator="between" allowBlank="1" showErrorMessage="1" errorTitle="Invalid override" error="Enter a number within the configured range or leave the cell blank." sqref="AM13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37">
      <x:formula1>('Quantification_Results'!AA137="")</x:formula1>
    </x:dataValidation>
    <x:dataValidation type="decimal" errorStyle="stop" operator="between" allowBlank="1" showErrorMessage="1" errorTitle="Invalid override" error="Enter a number within the configured range or leave the cell blank." sqref="AM13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38">
      <x:formula1>'Quantification_Config'!$S$6</x:formula1>
      <x:formula2>'Quantification_Config'!$T$6</x:formula2>
    </x:dataValidation>
    <x:dataValidation type="custom" errorStyle="stop" allowBlank="1" showErrorMessage="1" errorTitle="Invalid override" error="This override must remain blank because the source answer is empty." sqref="O138">
      <x:formula1>('Quantification_Results'!O138="")</x:formula1>
    </x:dataValidation>
    <x:dataValidation type="custom" errorStyle="stop" allowBlank="1" showErrorMessage="1" errorTitle="Invalid override" error="This override must remain blank because the source answer is empty." sqref="AA138">
      <x:formula1>('Quantification_Results'!AA138="")</x:formula1>
    </x:dataValidation>
    <x:dataValidation type="decimal" errorStyle="stop" operator="between" allowBlank="1" showErrorMessage="1" errorTitle="Invalid override" error="Enter a number within the configured range or leave the cell blank." sqref="AM13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38">
      <x:formula1>('Quantification_Results'!AY138="")</x:formula1>
    </x:dataValidation>
    <x:dataValidation type="decimal" errorStyle="stop" operator="between" allowBlank="1" showErrorMessage="1" errorTitle="Invalid override" error="Enter a number within the configured range or leave the cell blank." sqref="C13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3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39">
      <x:formula1>('Quantification_Results'!AA139="")</x:formula1>
    </x:dataValidation>
    <x:dataValidation type="decimal" errorStyle="stop" operator="between" allowBlank="1" showErrorMessage="1" errorTitle="Invalid override" error="Enter a number within the configured range or leave the cell blank." sqref="AM13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3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0">
      <x:formula1>('Quantification_Results'!AA140="")</x:formula1>
    </x:dataValidation>
    <x:dataValidation type="decimal" errorStyle="stop" operator="between" allowBlank="1" showErrorMessage="1" errorTitle="Invalid override" error="Enter a number within the configured range or leave the cell blank." sqref="AM14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4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4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2">
      <x:formula1>('Quantification_Results'!AA142="")</x:formula1>
    </x:dataValidation>
    <x:dataValidation type="decimal" errorStyle="stop" operator="between" allowBlank="1" showErrorMessage="1" errorTitle="Invalid override" error="Enter a number within the configured range or leave the cell blank." sqref="AM14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3">
      <x:formula1>('Quantification_Results'!AA143="")</x:formula1>
    </x:dataValidation>
    <x:dataValidation type="decimal" errorStyle="stop" operator="between" allowBlank="1" showErrorMessage="1" errorTitle="Invalid override" error="Enter a number within the configured range or leave the cell blank." sqref="AM14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4">
      <x:formula1>('Quantification_Results'!AA144="")</x:formula1>
    </x:dataValidation>
    <x:dataValidation type="decimal" errorStyle="stop" operator="between" allowBlank="1" showErrorMessage="1" errorTitle="Invalid override" error="Enter a number within the configured range or leave the cell blank." sqref="AM14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5">
      <x:formula1>('Quantification_Results'!AA145="")</x:formula1>
    </x:dataValidation>
    <x:dataValidation type="decimal" errorStyle="stop" operator="between" allowBlank="1" showErrorMessage="1" errorTitle="Invalid override" error="Enter a number within the configured range or leave the cell blank." sqref="AM14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6">
      <x:formula1>'Quantification_Config'!$S$6</x:formula1>
      <x:formula2>'Quantification_Config'!$T$6</x:formula2>
    </x:dataValidation>
    <x:dataValidation type="custom" errorStyle="stop" allowBlank="1" showErrorMessage="1" errorTitle="Invalid override" error="This override must remain blank because the source answer is empty." sqref="O146">
      <x:formula1>('Quantification_Results'!O146="")</x:formula1>
    </x:dataValidation>
    <x:dataValidation type="custom" errorStyle="stop" allowBlank="1" showErrorMessage="1" errorTitle="Invalid override" error="This override must remain blank because the source answer is empty." sqref="AA146">
      <x:formula1>('Quantification_Results'!AA146="")</x:formula1>
    </x:dataValidation>
    <x:dataValidation type="decimal" errorStyle="stop" operator="between" allowBlank="1" showErrorMessage="1" errorTitle="Invalid override" error="Enter a number within the configured range or leave the cell blank." sqref="AM14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46">
      <x:formula1>('Quantification_Results'!AY146="")</x:formula1>
    </x:dataValidation>
    <x:dataValidation type="decimal" errorStyle="stop" operator="between" allowBlank="1" showErrorMessage="1" errorTitle="Invalid override" error="Enter a number within the configured range or leave the cell blank." sqref="C14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4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4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4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8">
      <x:formula1>('Quantification_Results'!AA148="")</x:formula1>
    </x:dataValidation>
    <x:dataValidation type="decimal" errorStyle="stop" operator="between" allowBlank="1" showErrorMessage="1" errorTitle="Invalid override" error="Enter a number within the configured range or leave the cell blank." sqref="AM14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48">
      <x:formula1>('Quantification_Results'!AY148="")</x:formula1>
    </x:dataValidation>
    <x:dataValidation type="decimal" errorStyle="stop" operator="between" allowBlank="1" showErrorMessage="1" errorTitle="Invalid override" error="Enter a number within the configured range or leave the cell blank." sqref="C14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4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49">
      <x:formula1>('Quantification_Results'!AA149="")</x:formula1>
    </x:dataValidation>
    <x:dataValidation type="decimal" errorStyle="stop" operator="between" allowBlank="1" showErrorMessage="1" errorTitle="Invalid override" error="Enter a number within the configured range or leave the cell blank." sqref="AM14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4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0">
      <x:formula1>('Quantification_Results'!AA150="")</x:formula1>
    </x:dataValidation>
    <x:dataValidation type="decimal" errorStyle="stop" operator="between" allowBlank="1" showErrorMessage="1" errorTitle="Invalid override" error="Enter a number within the configured range or leave the cell blank." sqref="AM15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1">
      <x:formula1>('Quantification_Results'!AA151="")</x:formula1>
    </x:dataValidation>
    <x:dataValidation type="decimal" errorStyle="stop" operator="between" allowBlank="1" showErrorMessage="1" errorTitle="Invalid override" error="Enter a number within the configured range or leave the cell blank." sqref="AM15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5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5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3">
      <x:formula1>'Quantification_Config'!$S$6</x:formula1>
      <x:formula2>'Quantification_Config'!$T$6</x:formula2>
    </x:dataValidation>
    <x:dataValidation type="custom" errorStyle="stop" allowBlank="1" showErrorMessage="1" errorTitle="Invalid override" error="This override must remain blank because the source answer is empty." sqref="O153">
      <x:formula1>('Quantification_Results'!O153="")</x:formula1>
    </x:dataValidation>
    <x:dataValidation type="custom" errorStyle="stop" allowBlank="1" showErrorMessage="1" errorTitle="Invalid override" error="This override must remain blank because the source answer is empty." sqref="AA153">
      <x:formula1>('Quantification_Results'!AA153="")</x:formula1>
    </x:dataValidation>
    <x:dataValidation type="decimal" errorStyle="stop" operator="between" allowBlank="1" showErrorMessage="1" errorTitle="Invalid override" error="Enter a number within the configured range or leave the cell blank." sqref="AM15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53">
      <x:formula1>('Quantification_Results'!AY153="")</x:formula1>
    </x:dataValidation>
    <x:dataValidation type="decimal" errorStyle="stop" operator="between" allowBlank="1" showErrorMessage="1" errorTitle="Invalid override" error="Enter a number within the configured range or leave the cell blank." sqref="C15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4">
      <x:formula1>('Quantification_Results'!AA154="")</x:formula1>
    </x:dataValidation>
    <x:dataValidation type="decimal" errorStyle="stop" operator="between" allowBlank="1" showErrorMessage="1" errorTitle="Invalid override" error="Enter a number within the configured range or leave the cell blank." sqref="AM15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5">
      <x:formula1>('Quantification_Results'!AA155="")</x:formula1>
    </x:dataValidation>
    <x:dataValidation type="decimal" errorStyle="stop" operator="between" allowBlank="1" showErrorMessage="1" errorTitle="Invalid override" error="Enter a number within the configured range or leave the cell blank." sqref="AM15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6">
      <x:formula1>('Quantification_Results'!AA156="")</x:formula1>
    </x:dataValidation>
    <x:dataValidation type="decimal" errorStyle="stop" operator="between" allowBlank="1" showErrorMessage="1" errorTitle="Invalid override" error="Enter a number within the configured range or leave the cell blank." sqref="AM15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7">
      <x:formula1>('Quantification_Results'!AA157="")</x:formula1>
    </x:dataValidation>
    <x:dataValidation type="decimal" errorStyle="stop" operator="between" allowBlank="1" showErrorMessage="1" errorTitle="Invalid override" error="Enter a number within the configured range or leave the cell blank." sqref="AM15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5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5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5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5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59">
      <x:formula1>('Quantification_Results'!AA159="")</x:formula1>
    </x:dataValidation>
    <x:dataValidation type="decimal" errorStyle="stop" operator="between" allowBlank="1" showErrorMessage="1" errorTitle="Invalid override" error="Enter a number within the configured range or leave the cell blank." sqref="AM15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5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6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6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1">
      <x:formula1>'Quantification_Config'!$S$6</x:formula1>
      <x:formula2>'Quantification_Config'!$T$6</x:formula2>
    </x:dataValidation>
    <x:dataValidation type="custom" errorStyle="stop" allowBlank="1" showErrorMessage="1" errorTitle="Invalid override" error="This override must remain blank because the source answer is empty." sqref="O161">
      <x:formula1>('Quantification_Results'!O161="")</x:formula1>
    </x:dataValidation>
    <x:dataValidation type="custom" errorStyle="stop" allowBlank="1" showErrorMessage="1" errorTitle="Invalid override" error="This override must remain blank because the source answer is empty." sqref="AA161">
      <x:formula1>('Quantification_Results'!AA161="")</x:formula1>
    </x:dataValidation>
    <x:dataValidation type="decimal" errorStyle="stop" operator="between" allowBlank="1" showErrorMessage="1" errorTitle="Invalid override" error="Enter a number within the configured range or leave the cell blank." sqref="AM16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61">
      <x:formula1>('Quantification_Results'!AY161="")</x:formula1>
    </x:dataValidation>
    <x:dataValidation type="decimal" errorStyle="stop" operator="between" allowBlank="1" showErrorMessage="1" errorTitle="Invalid override" error="Enter a number within the configured range or leave the cell blank." sqref="C16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2">
      <x:formula1>('Quantification_Results'!AA162="")</x:formula1>
    </x:dataValidation>
    <x:dataValidation type="decimal" errorStyle="stop" operator="between" allowBlank="1" showErrorMessage="1" errorTitle="Invalid override" error="Enter a number within the configured range or leave the cell blank." sqref="AM16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3">
      <x:formula1>'Quantification_Config'!$S$6</x:formula1>
      <x:formula2>'Quantification_Config'!$T$6</x:formula2>
    </x:dataValidation>
    <x:dataValidation type="custom" errorStyle="stop" allowBlank="1" showErrorMessage="1" errorTitle="Invalid override" error="This override must remain blank because the source answer is empty." sqref="O163">
      <x:formula1>('Quantification_Results'!O163="")</x:formula1>
    </x:dataValidation>
    <x:dataValidation type="custom" errorStyle="stop" allowBlank="1" showErrorMessage="1" errorTitle="Invalid override" error="This override must remain blank because the source answer is empty." sqref="AA163">
      <x:formula1>('Quantification_Results'!AA163="")</x:formula1>
    </x:dataValidation>
    <x:dataValidation type="decimal" errorStyle="stop" operator="between" allowBlank="1" showErrorMessage="1" errorTitle="Invalid override" error="Enter a number within the configured range or leave the cell blank." sqref="AM16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63">
      <x:formula1>('Quantification_Results'!AY163="")</x:formula1>
    </x:dataValidation>
    <x:dataValidation type="decimal" errorStyle="stop" operator="between" allowBlank="1" showErrorMessage="1" errorTitle="Invalid override" error="Enter a number within the configured range or leave the cell blank." sqref="C16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4">
      <x:formula1>('Quantification_Results'!AA164="")</x:formula1>
    </x:dataValidation>
    <x:dataValidation type="decimal" errorStyle="stop" operator="between" allowBlank="1" showErrorMessage="1" errorTitle="Invalid override" error="Enter a number within the configured range or leave the cell blank." sqref="AM16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5">
      <x:formula1>('Quantification_Results'!AA165="")</x:formula1>
    </x:dataValidation>
    <x:dataValidation type="decimal" errorStyle="stop" operator="between" allowBlank="1" showErrorMessage="1" errorTitle="Invalid override" error="Enter a number within the configured range or leave the cell blank." sqref="AM16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6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6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7">
      <x:formula1>('Quantification_Results'!AA167="")</x:formula1>
    </x:dataValidation>
    <x:dataValidation type="decimal" errorStyle="stop" operator="between" allowBlank="1" showErrorMessage="1" errorTitle="Invalid override" error="Enter a number within the configured range or leave the cell blank." sqref="AM16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8">
      <x:formula1>('Quantification_Results'!AA168="")</x:formula1>
    </x:dataValidation>
    <x:dataValidation type="decimal" errorStyle="stop" operator="between" allowBlank="1" showErrorMessage="1" errorTitle="Invalid override" error="Enter a number within the configured range or leave the cell blank." sqref="AM16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6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6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69">
      <x:formula1>('Quantification_Results'!AA169="")</x:formula1>
    </x:dataValidation>
    <x:dataValidation type="decimal" errorStyle="stop" operator="between" allowBlank="1" showErrorMessage="1" errorTitle="Invalid override" error="Enter a number within the configured range or leave the cell blank." sqref="AM16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6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0">
      <x:formula1>'Quantification_Config'!$S$6</x:formula1>
      <x:formula2>'Quantification_Config'!$T$6</x:formula2>
    </x:dataValidation>
    <x:dataValidation type="custom" errorStyle="stop" allowBlank="1" showErrorMessage="1" errorTitle="Invalid override" error="This override must remain blank because the source answer is empty." sqref="O170">
      <x:formula1>('Quantification_Results'!O170="")</x:formula1>
    </x:dataValidation>
    <x:dataValidation type="custom" errorStyle="stop" allowBlank="1" showErrorMessage="1" errorTitle="Invalid override" error="This override must remain blank because the source answer is empty." sqref="AA170">
      <x:formula1>('Quantification_Results'!AA170="")</x:formula1>
    </x:dataValidation>
    <x:dataValidation type="decimal" errorStyle="stop" operator="between" allowBlank="1" showErrorMessage="1" errorTitle="Invalid override" error="Enter a number within the configured range or leave the cell blank." sqref="AM17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7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7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7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7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3">
      <x:formula1>('Quantification_Results'!AA173="")</x:formula1>
    </x:dataValidation>
    <x:dataValidation type="decimal" errorStyle="stop" operator="between" allowBlank="1" showErrorMessage="1" errorTitle="Invalid override" error="Enter a number within the configured range or leave the cell blank." sqref="AM17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4">
      <x:formula1>('Quantification_Results'!AA174="")</x:formula1>
    </x:dataValidation>
    <x:dataValidation type="decimal" errorStyle="stop" operator="between" allowBlank="1" showErrorMessage="1" errorTitle="Invalid override" error="Enter a number within the configured range or leave the cell blank." sqref="AM17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5">
      <x:formula1>'Quantification_Config'!$S$6</x:formula1>
      <x:formula2>'Quantification_Config'!$T$6</x:formula2>
    </x:dataValidation>
    <x:dataValidation type="custom" errorStyle="stop" allowBlank="1" showErrorMessage="1" errorTitle="Invalid override" error="This override must remain blank because the source answer is empty." sqref="O175">
      <x:formula1>('Quantification_Results'!O175="")</x:formula1>
    </x:dataValidation>
    <x:dataValidation type="custom" errorStyle="stop" allowBlank="1" showErrorMessage="1" errorTitle="Invalid override" error="This override must remain blank because the source answer is empty." sqref="AA175">
      <x:formula1>('Quantification_Results'!AA175="")</x:formula1>
    </x:dataValidation>
    <x:dataValidation type="decimal" errorStyle="stop" operator="between" allowBlank="1" showErrorMessage="1" errorTitle="Invalid override" error="Enter a number within the configured range or leave the cell blank." sqref="AM17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75">
      <x:formula1>('Quantification_Results'!AY175="")</x:formula1>
    </x:dataValidation>
    <x:dataValidation type="decimal" errorStyle="stop" operator="between" allowBlank="1" showErrorMessage="1" errorTitle="Invalid override" error="Enter a number within the configured range or leave the cell blank." sqref="C17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6">
      <x:formula1>('Quantification_Results'!AA176="")</x:formula1>
    </x:dataValidation>
    <x:dataValidation type="decimal" errorStyle="stop" operator="between" allowBlank="1" showErrorMessage="1" errorTitle="Invalid override" error="Enter a number within the configured range or leave the cell blank." sqref="AM17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7">
      <x:formula1>('Quantification_Results'!AA177="")</x:formula1>
    </x:dataValidation>
    <x:dataValidation type="decimal" errorStyle="stop" operator="between" allowBlank="1" showErrorMessage="1" errorTitle="Invalid override" error="Enter a number within the configured range or leave the cell blank." sqref="AM17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7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78">
      <x:formula1>'Quantification_Config'!$S$6</x:formula1>
      <x:formula2>'Quantification_Config'!$T$6</x:formula2>
    </x:dataValidation>
    <x:dataValidation type="custom" errorStyle="stop" allowBlank="1" showErrorMessage="1" errorTitle="Invalid override" error="This override must remain blank because the source answer is empty." sqref="O178">
      <x:formula1>('Quantification_Results'!O178="")</x:formula1>
    </x:dataValidation>
    <x:dataValidation type="custom" errorStyle="stop" allowBlank="1" showErrorMessage="1" errorTitle="Invalid override" error="This override must remain blank because the source answer is empty." sqref="AA178">
      <x:formula1>('Quantification_Results'!AA178="")</x:formula1>
    </x:dataValidation>
    <x:dataValidation type="decimal" errorStyle="stop" operator="between" allowBlank="1" showErrorMessage="1" errorTitle="Invalid override" error="Enter a number within the configured range or leave the cell blank." sqref="AM17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78">
      <x:formula1>('Quantification_Results'!AY178="")</x:formula1>
    </x:dataValidation>
    <x:dataValidation type="decimal" errorStyle="stop" operator="between" allowBlank="1" showErrorMessage="1" errorTitle="Invalid override" error="Enter a number within the configured range or leave the cell blank." sqref="C17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7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79">
      <x:formula1>('Quantification_Results'!AA179="")</x:formula1>
    </x:dataValidation>
    <x:dataValidation type="decimal" errorStyle="stop" operator="between" allowBlank="1" showErrorMessage="1" errorTitle="Invalid override" error="Enter a number within the configured range or leave the cell blank." sqref="AM17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79">
      <x:formula1>('Quantification_Results'!AY179="")</x:formula1>
    </x:dataValidation>
    <x:dataValidation type="decimal" errorStyle="stop" operator="between" allowBlank="1" showErrorMessage="1" errorTitle="Invalid override" error="Enter a number within the configured range or leave the cell blank." sqref="C18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0">
      <x:formula1>('Quantification_Results'!AA180="")</x:formula1>
    </x:dataValidation>
    <x:dataValidation type="decimal" errorStyle="stop" operator="between" allowBlank="1" showErrorMessage="1" errorTitle="Invalid override" error="Enter a number within the configured range or leave the cell blank." sqref="AM18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80">
      <x:formula1>('Quantification_Results'!AY180="")</x:formula1>
    </x:dataValidation>
    <x:dataValidation type="decimal" errorStyle="stop" operator="between" allowBlank="1" showErrorMessage="1" errorTitle="Invalid override" error="Enter a number within the configured range or leave the cell blank." sqref="C18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8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8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2">
      <x:formula1>'Quantification_Config'!$S$6</x:formula1>
      <x:formula2>'Quantification_Config'!$T$6</x:formula2>
    </x:dataValidation>
    <x:dataValidation type="custom" errorStyle="stop" allowBlank="1" showErrorMessage="1" errorTitle="Invalid override" error="This override must remain blank because the source answer is empty." sqref="O182">
      <x:formula1>('Quantification_Results'!O182="")</x:formula1>
    </x:dataValidation>
    <x:dataValidation type="decimal" errorStyle="stop" operator="between" allowBlank="1" showErrorMessage="1" errorTitle="Invalid override" error="Enter a number within the configured range or leave the cell blank." sqref="AA18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8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82">
      <x:formula1>('Quantification_Results'!AY182="")</x:formula1>
    </x:dataValidation>
    <x:dataValidation type="decimal" errorStyle="stop" operator="between" allowBlank="1" showErrorMessage="1" errorTitle="Invalid override" error="Enter a number within the configured range or leave the cell blank." sqref="C18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3">
      <x:formula1>('Quantification_Results'!AA183="")</x:formula1>
    </x:dataValidation>
    <x:dataValidation type="decimal" errorStyle="stop" operator="between" allowBlank="1" showErrorMessage="1" errorTitle="Invalid override" error="Enter a number within the configured range or leave the cell blank." sqref="AM18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4">
      <x:formula1>('Quantification_Results'!AA184="")</x:formula1>
    </x:dataValidation>
    <x:dataValidation type="decimal" errorStyle="stop" operator="between" allowBlank="1" showErrorMessage="1" errorTitle="Invalid override" error="Enter a number within the configured range or leave the cell blank." sqref="AM18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8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8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6">
      <x:formula1>'Quantification_Config'!$S$6</x:formula1>
      <x:formula2>'Quantification_Config'!$T$6</x:formula2>
    </x:dataValidation>
    <x:dataValidation type="custom" errorStyle="stop" allowBlank="1" showErrorMessage="1" errorTitle="Invalid override" error="This override must remain blank because the source answer is empty." sqref="O186">
      <x:formula1>('Quantification_Results'!O186="")</x:formula1>
    </x:dataValidation>
    <x:dataValidation type="custom" errorStyle="stop" allowBlank="1" showErrorMessage="1" errorTitle="Invalid override" error="This override must remain blank because the source answer is empty." sqref="AA186">
      <x:formula1>('Quantification_Results'!AA186="")</x:formula1>
    </x:dataValidation>
    <x:dataValidation type="decimal" errorStyle="stop" operator="between" allowBlank="1" showErrorMessage="1" errorTitle="Invalid override" error="Enter a number within the configured range or leave the cell blank." sqref="AM18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86">
      <x:formula1>('Quantification_Results'!AY186="")</x:formula1>
    </x:dataValidation>
    <x:dataValidation type="decimal" errorStyle="stop" operator="between" allowBlank="1" showErrorMessage="1" errorTitle="Invalid override" error="Enter a number within the configured range or leave the cell blank." sqref="C18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7">
      <x:formula1>('Quantification_Results'!AA187="")</x:formula1>
    </x:dataValidation>
    <x:dataValidation type="decimal" errorStyle="stop" operator="between" allowBlank="1" showErrorMessage="1" errorTitle="Invalid override" error="Enter a number within the configured range or leave the cell blank." sqref="AM18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8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8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8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8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89">
      <x:formula1>('Quantification_Results'!AA189="")</x:formula1>
    </x:dataValidation>
    <x:dataValidation type="decimal" errorStyle="stop" operator="between" allowBlank="1" showErrorMessage="1" errorTitle="Invalid override" error="Enter a number within the configured range or leave the cell blank." sqref="AM18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8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0">
      <x:formula1>('Quantification_Results'!AA190="")</x:formula1>
    </x:dataValidation>
    <x:dataValidation type="decimal" errorStyle="stop" operator="between" allowBlank="1" showErrorMessage="1" errorTitle="Invalid override" error="Enter a number within the configured range or leave the cell blank." sqref="AM19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1">
      <x:formula1>('Quantification_Results'!AA191="")</x:formula1>
    </x:dataValidation>
    <x:dataValidation type="decimal" errorStyle="stop" operator="between" allowBlank="1" showErrorMessage="1" errorTitle="Invalid override" error="Enter a number within the configured range or leave the cell blank." sqref="AM19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91">
      <x:formula1>('Quantification_Results'!AY191="")</x:formula1>
    </x:dataValidation>
    <x:dataValidation type="decimal" errorStyle="stop" operator="between" allowBlank="1" showErrorMessage="1" errorTitle="Invalid override" error="Enter a number within the configured range or leave the cell blank." sqref="C19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2">
      <x:formula1>('Quantification_Results'!AA192="")</x:formula1>
    </x:dataValidation>
    <x:dataValidation type="decimal" errorStyle="stop" operator="between" allowBlank="1" showErrorMessage="1" errorTitle="Invalid override" error="Enter a number within the configured range or leave the cell blank." sqref="AM19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3">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93">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9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4">
      <x:formula1>('Quantification_Results'!AA194="")</x:formula1>
    </x:dataValidation>
    <x:dataValidation type="decimal" errorStyle="stop" operator="between" allowBlank="1" showErrorMessage="1" errorTitle="Invalid override" error="Enter a number within the configured range or leave the cell blank." sqref="AM19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5">
      <x:formula1>'Quantification_Config'!$S$6</x:formula1>
      <x:formula2>'Quantification_Config'!$T$6</x:formula2>
    </x:dataValidation>
    <x:dataValidation type="custom" errorStyle="stop" allowBlank="1" showErrorMessage="1" errorTitle="Invalid override" error="This override must remain blank because the source answer is empty." sqref="O195">
      <x:formula1>('Quantification_Results'!O195="")</x:formula1>
    </x:dataValidation>
    <x:dataValidation type="custom" errorStyle="stop" allowBlank="1" showErrorMessage="1" errorTitle="Invalid override" error="This override must remain blank because the source answer is empty." sqref="AA195">
      <x:formula1>('Quantification_Results'!AA195="")</x:formula1>
    </x:dataValidation>
    <x:dataValidation type="decimal" errorStyle="stop" operator="between" allowBlank="1" showErrorMessage="1" errorTitle="Invalid override" error="Enter a number within the configured range or leave the cell blank." sqref="AM19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95">
      <x:formula1>('Quantification_Results'!AY195="")</x:formula1>
    </x:dataValidation>
    <x:dataValidation type="decimal" errorStyle="stop" operator="between" allowBlank="1" showErrorMessage="1" errorTitle="Invalid override" error="Enter a number within the configured range or leave the cell blank." sqref="C196">
      <x:formula1>'Quantification_Config'!$S$6</x:formula1>
      <x:formula2>'Quantification_Config'!$T$6</x:formula2>
    </x:dataValidation>
    <x:dataValidation type="custom" errorStyle="stop" allowBlank="1" showErrorMessage="1" errorTitle="Invalid override" error="This override must remain blank because the source answer is empty." sqref="O196">
      <x:formula1>('Quantification_Results'!O196="")</x:formula1>
    </x:dataValidation>
    <x:dataValidation type="custom" errorStyle="stop" allowBlank="1" showErrorMessage="1" errorTitle="Invalid override" error="This override must remain blank because the source answer is empty." sqref="AA196">
      <x:formula1>('Quantification_Results'!AA196="")</x:formula1>
    </x:dataValidation>
    <x:dataValidation type="decimal" errorStyle="stop" operator="between" allowBlank="1" showErrorMessage="1" errorTitle="Invalid override" error="Enter a number within the configured range or leave the cell blank." sqref="AM19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96">
      <x:formula1>('Quantification_Results'!AY196="")</x:formula1>
    </x:dataValidation>
    <x:dataValidation type="decimal" errorStyle="stop" operator="between" allowBlank="1" showErrorMessage="1" errorTitle="Invalid override" error="Enter a number within the configured range or leave the cell blank." sqref="C197">
      <x:formula1>'Quantification_Config'!$S$6</x:formula1>
      <x:formula2>'Quantification_Config'!$T$6</x:formula2>
    </x:dataValidation>
    <x:dataValidation type="custom" errorStyle="stop" allowBlank="1" showErrorMessage="1" errorTitle="Invalid override" error="This override must remain blank because the source answer is empty." sqref="O197">
      <x:formula1>('Quantification_Results'!O197="")</x:formula1>
    </x:dataValidation>
    <x:dataValidation type="custom" errorStyle="stop" allowBlank="1" showErrorMessage="1" errorTitle="Invalid override" error="This override must remain blank because the source answer is empty." sqref="AA197">
      <x:formula1>('Quantification_Results'!AA197="")</x:formula1>
    </x:dataValidation>
    <x:dataValidation type="decimal" errorStyle="stop" operator="between" allowBlank="1" showErrorMessage="1" errorTitle="Invalid override" error="Enter a number within the configured range or leave the cell blank." sqref="AM19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197">
      <x:formula1>('Quantification_Results'!AY197="")</x:formula1>
    </x:dataValidation>
    <x:dataValidation type="decimal" errorStyle="stop" operator="between" allowBlank="1" showErrorMessage="1" errorTitle="Invalid override" error="Enter a number within the configured range or leave the cell blank." sqref="C19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19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19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19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19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199">
      <x:formula1>('Quantification_Results'!AA199="")</x:formula1>
    </x:dataValidation>
    <x:dataValidation type="decimal" errorStyle="stop" operator="between" allowBlank="1" showErrorMessage="1" errorTitle="Invalid override" error="Enter a number within the configured range or leave the cell blank." sqref="AM19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19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0">
      <x:formula1>('Quantification_Results'!AA200="")</x:formula1>
    </x:dataValidation>
    <x:dataValidation type="decimal" errorStyle="stop" operator="between" allowBlank="1" showErrorMessage="1" errorTitle="Invalid override" error="Enter a number within the configured range or leave the cell blank." sqref="AM20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1">
      <x:formula1>'Quantification_Config'!$S$6</x:formula1>
      <x:formula2>'Quantification_Config'!$T$6</x:formula2>
    </x:dataValidation>
    <x:dataValidation type="custom" errorStyle="stop" allowBlank="1" showErrorMessage="1" errorTitle="Invalid override" error="This override must remain blank because the source answer is empty." sqref="O201">
      <x:formula1>('Quantification_Results'!O201="")</x:formula1>
    </x:dataValidation>
    <x:dataValidation type="custom" errorStyle="stop" allowBlank="1" showErrorMessage="1" errorTitle="Invalid override" error="This override must remain blank because the source answer is empty." sqref="AA201">
      <x:formula1>('Quantification_Results'!AA201="")</x:formula1>
    </x:dataValidation>
    <x:dataValidation type="decimal" errorStyle="stop" operator="between" allowBlank="1" showErrorMessage="1" errorTitle="Invalid override" error="Enter a number within the configured range or leave the cell blank." sqref="AM20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01">
      <x:formula1>('Quantification_Results'!AY201="")</x:formula1>
    </x:dataValidation>
    <x:dataValidation type="decimal" errorStyle="stop" operator="between" allowBlank="1" showErrorMessage="1" errorTitle="Invalid override" error="Enter a number within the configured range or leave the cell blank." sqref="C20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2">
      <x:formula1>('Quantification_Results'!AA202="")</x:formula1>
    </x:dataValidation>
    <x:dataValidation type="decimal" errorStyle="stop" operator="between" allowBlank="1" showErrorMessage="1" errorTitle="Invalid override" error="Enter a number within the configured range or leave the cell blank." sqref="AM20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3">
      <x:formula1>('Quantification_Results'!AA203="")</x:formula1>
    </x:dataValidation>
    <x:dataValidation type="decimal" errorStyle="stop" operator="between" allowBlank="1" showErrorMessage="1" errorTitle="Invalid override" error="Enter a number within the configured range or leave the cell blank." sqref="AM20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0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0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5">
      <x:formula1>('Quantification_Results'!AA205="")</x:formula1>
    </x:dataValidation>
    <x:dataValidation type="decimal" errorStyle="stop" operator="between" allowBlank="1" showErrorMessage="1" errorTitle="Invalid override" error="Enter a number within the configured range or leave the cell blank." sqref="AM20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6">
      <x:formula1>('Quantification_Results'!AA206="")</x:formula1>
    </x:dataValidation>
    <x:dataValidation type="decimal" errorStyle="stop" operator="between" allowBlank="1" showErrorMessage="1" errorTitle="Invalid override" error="Enter a number within the configured range or leave the cell blank." sqref="AM20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0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0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07">
      <x:formula1>('Quantification_Results'!AY207="")</x:formula1>
    </x:dataValidation>
    <x:dataValidation type="decimal" errorStyle="stop" operator="between" allowBlank="1" showErrorMessage="1" errorTitle="Invalid override" error="Enter a number within the configured range or leave the cell blank." sqref="C208">
      <x:formula1>'Quantification_Config'!$S$6</x:formula1>
      <x:formula2>'Quantification_Config'!$T$6</x:formula2>
    </x:dataValidation>
    <x:dataValidation type="custom" errorStyle="stop" allowBlank="1" showErrorMessage="1" errorTitle="Invalid override" error="This override must remain blank because the source answer is empty." sqref="O208">
      <x:formula1>('Quantification_Results'!O208="")</x:formula1>
    </x:dataValidation>
    <x:dataValidation type="custom" errorStyle="stop" allowBlank="1" showErrorMessage="1" errorTitle="Invalid override" error="This override must remain blank because the source answer is empty." sqref="AA208">
      <x:formula1>('Quantification_Results'!AA208="")</x:formula1>
    </x:dataValidation>
    <x:dataValidation type="decimal" errorStyle="stop" operator="between" allowBlank="1" showErrorMessage="1" errorTitle="Invalid override" error="Enter a number within the configured range or leave the cell blank." sqref="AM20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0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0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09">
      <x:formula1>('Quantification_Results'!AA209="")</x:formula1>
    </x:dataValidation>
    <x:dataValidation type="decimal" errorStyle="stop" operator="between" allowBlank="1" showErrorMessage="1" errorTitle="Invalid override" error="Enter a number within the configured range or leave the cell blank." sqref="AM20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0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0">
      <x:formula1>'Quantification_Config'!$S$6</x:formula1>
      <x:formula2>'Quantification_Config'!$T$6</x:formula2>
    </x:dataValidation>
    <x:dataValidation type="custom" errorStyle="stop" allowBlank="1" showErrorMessage="1" errorTitle="Invalid override" error="This override must remain blank because the source answer is empty." sqref="O210">
      <x:formula1>('Quantification_Results'!O210="")</x:formula1>
    </x:dataValidation>
    <x:dataValidation type="custom" errorStyle="stop" allowBlank="1" showErrorMessage="1" errorTitle="Invalid override" error="This override must remain blank because the source answer is empty." sqref="AA210">
      <x:formula1>('Quantification_Results'!AA210="")</x:formula1>
    </x:dataValidation>
    <x:dataValidation type="decimal" errorStyle="stop" operator="between" allowBlank="1" showErrorMessage="1" errorTitle="Invalid override" error="Enter a number within the configured range or leave the cell blank." sqref="AM21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10">
      <x:formula1>('Quantification_Results'!AY210="")</x:formula1>
    </x:dataValidation>
    <x:dataValidation type="decimal" errorStyle="stop" operator="between" allowBlank="1" showErrorMessage="1" errorTitle="Invalid override" error="Enter a number within the configured range or leave the cell blank." sqref="C2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1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12">
      <x:formula1>('Quantification_Results'!AA212="")</x:formula1>
    </x:dataValidation>
    <x:dataValidation type="decimal" errorStyle="stop" operator="between" allowBlank="1" showErrorMessage="1" errorTitle="Invalid override" error="Enter a number within the configured range or leave the cell blank." sqref="AM2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13">
      <x:formula1>('Quantification_Results'!AA213="")</x:formula1>
    </x:dataValidation>
    <x:dataValidation type="decimal" errorStyle="stop" operator="between" allowBlank="1" showErrorMessage="1" errorTitle="Invalid override" error="Enter a number within the configured range or leave the cell blank." sqref="AM21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14">
      <x:formula1>('Quantification_Results'!AA214="")</x:formula1>
    </x:dataValidation>
    <x:dataValidation type="decimal" errorStyle="stop" operator="between" allowBlank="1" showErrorMessage="1" errorTitle="Invalid override" error="Enter a number within the configured range or leave the cell blank." sqref="AM21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1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1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7">
      <x:formula1>'Quantification_Config'!$S$6</x:formula1>
      <x:formula2>'Quantification_Config'!$T$6</x:formula2>
    </x:dataValidation>
    <x:dataValidation type="custom" errorStyle="stop" allowBlank="1" showErrorMessage="1" errorTitle="Invalid override" error="This override must remain blank because the source answer is empty." sqref="O217">
      <x:formula1>('Quantification_Results'!O217="")</x:formula1>
    </x:dataValidation>
    <x:dataValidation type="custom" errorStyle="stop" allowBlank="1" showErrorMessage="1" errorTitle="Invalid override" error="This override must remain blank because the source answer is empty." sqref="AA217">
      <x:formula1>('Quantification_Results'!AA217="")</x:formula1>
    </x:dataValidation>
    <x:dataValidation type="decimal" errorStyle="stop" operator="between" allowBlank="1" showErrorMessage="1" errorTitle="Invalid override" error="Enter a number within the configured range or leave the cell blank." sqref="AM21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18">
      <x:formula1>('Quantification_Results'!AA218="")</x:formula1>
    </x:dataValidation>
    <x:dataValidation type="decimal" errorStyle="stop" operator="between" allowBlank="1" showErrorMessage="1" errorTitle="Invalid override" error="Enter a number within the configured range or leave the cell blank." sqref="AM2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1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1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19">
      <x:formula1>('Quantification_Results'!AA219="")</x:formula1>
    </x:dataValidation>
    <x:dataValidation type="decimal" errorStyle="stop" operator="between" allowBlank="1" showErrorMessage="1" errorTitle="Invalid override" error="Enter a number within the configured range or leave the cell blank." sqref="AM21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1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2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2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1">
      <x:formula1>('Quantification_Results'!AA221="")</x:formula1>
    </x:dataValidation>
    <x:dataValidation type="decimal" errorStyle="stop" operator="between" allowBlank="1" showErrorMessage="1" errorTitle="Invalid override" error="Enter a number within the configured range or leave the cell blank." sqref="AM22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2">
      <x:formula1>('Quantification_Results'!AA222="")</x:formula1>
    </x:dataValidation>
    <x:dataValidation type="decimal" errorStyle="stop" operator="between" allowBlank="1" showErrorMessage="1" errorTitle="Invalid override" error="Enter a number within the configured range or leave the cell blank." sqref="AM2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3">
      <x:formula1>('Quantification_Results'!AA223="")</x:formula1>
    </x:dataValidation>
    <x:dataValidation type="decimal" errorStyle="stop" operator="between" allowBlank="1" showErrorMessage="1" errorTitle="Invalid override" error="Enter a number within the configured range or leave the cell blank." sqref="AM22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23">
      <x:formula1>('Quantification_Results'!AY223="")</x:formula1>
    </x:dataValidation>
    <x:dataValidation type="decimal" errorStyle="stop" operator="between" allowBlank="1" showErrorMessage="1" errorTitle="Invalid override" error="Enter a number within the configured range or leave the cell blank." sqref="C2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4">
      <x:formula1>('Quantification_Results'!AA224="")</x:formula1>
    </x:dataValidation>
    <x:dataValidation type="decimal" errorStyle="stop" operator="between" allowBlank="1" showErrorMessage="1" errorTitle="Invalid override" error="Enter a number within the configured range or leave the cell blank." sqref="AM22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5">
      <x:formula1>('Quantification_Results'!AA225="")</x:formula1>
    </x:dataValidation>
    <x:dataValidation type="decimal" errorStyle="stop" operator="between" allowBlank="1" showErrorMessage="1" errorTitle="Invalid override" error="Enter a number within the configured range or leave the cell blank." sqref="AM22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6">
      <x:formula1>('Quantification_Results'!AA226="")</x:formula1>
    </x:dataValidation>
    <x:dataValidation type="decimal" errorStyle="stop" operator="between" allowBlank="1" showErrorMessage="1" errorTitle="Invalid override" error="Enter a number within the configured range or leave the cell blank." sqref="AM22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7">
      <x:formula1>('Quantification_Results'!AA227="")</x:formula1>
    </x:dataValidation>
    <x:dataValidation type="decimal" errorStyle="stop" operator="between" allowBlank="1" showErrorMessage="1" errorTitle="Invalid override" error="Enter a number within the configured range or leave the cell blank." sqref="AM22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2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2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29">
      <x:formula1>('Quantification_Results'!AA229="")</x:formula1>
    </x:dataValidation>
    <x:dataValidation type="decimal" errorStyle="stop" operator="between" allowBlank="1" showErrorMessage="1" errorTitle="Invalid override" error="Enter a number within the configured range or leave the cell blank." sqref="AM22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2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0">
      <x:formula1>('Quantification_Results'!AA230="")</x:formula1>
    </x:dataValidation>
    <x:dataValidation type="decimal" errorStyle="stop" operator="between" allowBlank="1" showErrorMessage="1" errorTitle="Invalid override" error="Enter a number within the configured range or leave the cell blank." sqref="AM23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1">
      <x:formula1>('Quantification_Results'!AA231="")</x:formula1>
    </x:dataValidation>
    <x:dataValidation type="decimal" errorStyle="stop" operator="between" allowBlank="1" showErrorMessage="1" errorTitle="Invalid override" error="Enter a number within the configured range or leave the cell blank." sqref="AM23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2">
      <x:formula1>('Quantification_Results'!AA232="")</x:formula1>
    </x:dataValidation>
    <x:dataValidation type="decimal" errorStyle="stop" operator="between" allowBlank="1" showErrorMessage="1" errorTitle="Invalid override" error="Enter a number within the configured range or leave the cell blank." sqref="AM23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3">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33">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3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4">
      <x:formula1>('Quantification_Results'!AA234="")</x:formula1>
    </x:dataValidation>
    <x:dataValidation type="decimal" errorStyle="stop" operator="between" allowBlank="1" showErrorMessage="1" errorTitle="Invalid override" error="Enter a number within the configured range or leave the cell blank." sqref="AM23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5">
      <x:formula1>('Quantification_Results'!AA235="")</x:formula1>
    </x:dataValidation>
    <x:dataValidation type="decimal" errorStyle="stop" operator="between" allowBlank="1" showErrorMessage="1" errorTitle="Invalid override" error="Enter a number within the configured range or leave the cell blank." sqref="AM23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6">
      <x:formula1>('Quantification_Results'!AA236="")</x:formula1>
    </x:dataValidation>
    <x:dataValidation type="decimal" errorStyle="stop" operator="between" allowBlank="1" showErrorMessage="1" errorTitle="Invalid override" error="Enter a number within the configured range or leave the cell blank." sqref="AM23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7">
      <x:formula1>('Quantification_Results'!AA237="")</x:formula1>
    </x:dataValidation>
    <x:dataValidation type="decimal" errorStyle="stop" operator="between" allowBlank="1" showErrorMessage="1" errorTitle="Invalid override" error="Enter a number within the configured range or leave the cell blank." sqref="AM23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8">
      <x:formula1>('Quantification_Results'!AA238="")</x:formula1>
    </x:dataValidation>
    <x:dataValidation type="decimal" errorStyle="stop" operator="between" allowBlank="1" showErrorMessage="1" errorTitle="Invalid override" error="Enter a number within the configured range or leave the cell blank." sqref="AM23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3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3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39">
      <x:formula1>('Quantification_Results'!AA239="")</x:formula1>
    </x:dataValidation>
    <x:dataValidation type="decimal" errorStyle="stop" operator="between" allowBlank="1" showErrorMessage="1" errorTitle="Invalid override" error="Enter a number within the configured range or leave the cell blank." sqref="AM23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3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0">
      <x:formula1>('Quantification_Results'!AA240="")</x:formula1>
    </x:dataValidation>
    <x:dataValidation type="decimal" errorStyle="stop" operator="between" allowBlank="1" showErrorMessage="1" errorTitle="Invalid override" error="Enter a number within the configured range or leave the cell blank." sqref="AM24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1">
      <x:formula1>('Quantification_Results'!AA241="")</x:formula1>
    </x:dataValidation>
    <x:dataValidation type="decimal" errorStyle="stop" operator="between" allowBlank="1" showErrorMessage="1" errorTitle="Invalid override" error="Enter a number within the configured range or leave the cell blank." sqref="AM24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2">
      <x:formula1>('Quantification_Results'!AA242="")</x:formula1>
    </x:dataValidation>
    <x:dataValidation type="decimal" errorStyle="stop" operator="between" allowBlank="1" showErrorMessage="1" errorTitle="Invalid override" error="Enter a number within the configured range or leave the cell blank." sqref="AM24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3">
      <x:formula1>('Quantification_Results'!AA243="")</x:formula1>
    </x:dataValidation>
    <x:dataValidation type="decimal" errorStyle="stop" operator="between" allowBlank="1" showErrorMessage="1" errorTitle="Invalid override" error="Enter a number within the configured range or leave the cell blank." sqref="AM24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43">
      <x:formula1>('Quantification_Results'!AY243="")</x:formula1>
    </x:dataValidation>
    <x:dataValidation type="decimal" errorStyle="stop" operator="between" allowBlank="1" showErrorMessage="1" errorTitle="Invalid override" error="Enter a number within the configured range or leave the cell blank." sqref="C24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4">
      <x:formula1>('Quantification_Results'!AA244="")</x:formula1>
    </x:dataValidation>
    <x:dataValidation type="decimal" errorStyle="stop" operator="between" allowBlank="1" showErrorMessage="1" errorTitle="Invalid override" error="Enter a number within the configured range or leave the cell blank." sqref="AM24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5">
      <x:formula1>('Quantification_Results'!AA245="")</x:formula1>
    </x:dataValidation>
    <x:dataValidation type="decimal" errorStyle="stop" operator="between" allowBlank="1" showErrorMessage="1" errorTitle="Invalid override" error="Enter a number within the configured range or leave the cell blank." sqref="AM24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6">
      <x:formula1>('Quantification_Results'!AA246="")</x:formula1>
    </x:dataValidation>
    <x:dataValidation type="decimal" errorStyle="stop" operator="between" allowBlank="1" showErrorMessage="1" errorTitle="Invalid override" error="Enter a number within the configured range or leave the cell blank." sqref="AM24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4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4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8">
      <x:formula1>('Quantification_Results'!AA248="")</x:formula1>
    </x:dataValidation>
    <x:dataValidation type="decimal" errorStyle="stop" operator="between" allowBlank="1" showErrorMessage="1" errorTitle="Invalid override" error="Enter a number within the configured range or leave the cell blank." sqref="AM24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4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4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49">
      <x:formula1>('Quantification_Results'!AA249="")</x:formula1>
    </x:dataValidation>
    <x:dataValidation type="decimal" errorStyle="stop" operator="between" allowBlank="1" showErrorMessage="1" errorTitle="Invalid override" error="Enter a number within the configured range or leave the cell blank." sqref="AM24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4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0">
      <x:formula1>'Quantification_Config'!$S$6</x:formula1>
      <x:formula2>'Quantification_Config'!$T$6</x:formula2>
    </x:dataValidation>
    <x:dataValidation type="custom" errorStyle="stop" allowBlank="1" showErrorMessage="1" errorTitle="Invalid override" error="This override must remain blank because the source answer is empty." sqref="O250">
      <x:formula1>('Quantification_Results'!O250="")</x:formula1>
    </x:dataValidation>
    <x:dataValidation type="custom" errorStyle="stop" allowBlank="1" showErrorMessage="1" errorTitle="Invalid override" error="This override must remain blank because the source answer is empty." sqref="AA250">
      <x:formula1>('Quantification_Results'!AA250="")</x:formula1>
    </x:dataValidation>
    <x:dataValidation type="decimal" errorStyle="stop" operator="between" allowBlank="1" showErrorMessage="1" errorTitle="Invalid override" error="Enter a number within the configured range or leave the cell blank." sqref="AM25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50">
      <x:formula1>('Quantification_Results'!AY250="")</x:formula1>
    </x:dataValidation>
    <x:dataValidation type="decimal" errorStyle="stop" operator="between" allowBlank="1" showErrorMessage="1" errorTitle="Invalid override" error="Enter a number within the configured range or leave the cell blank." sqref="C25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1">
      <x:formula1>('Quantification_Results'!AA251="")</x:formula1>
    </x:dataValidation>
    <x:dataValidation type="decimal" errorStyle="stop" operator="between" allowBlank="1" showErrorMessage="1" errorTitle="Invalid override" error="Enter a number within the configured range or leave the cell blank." sqref="AM25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2">
      <x:formula1>('Quantification_Results'!AA252="")</x:formula1>
    </x:dataValidation>
    <x:dataValidation type="decimal" errorStyle="stop" operator="between" allowBlank="1" showErrorMessage="1" errorTitle="Invalid override" error="Enter a number within the configured range or leave the cell blank." sqref="AM25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52">
      <x:formula1>('Quantification_Results'!AY252="")</x:formula1>
    </x:dataValidation>
    <x:dataValidation type="decimal" errorStyle="stop" operator="between" allowBlank="1" showErrorMessage="1" errorTitle="Invalid override" error="Enter a number within the configured range or leave the cell blank." sqref="C253">
      <x:formula1>'Quantification_Config'!$S$6</x:formula1>
      <x:formula2>'Quantification_Config'!$T$6</x:formula2>
    </x:dataValidation>
    <x:dataValidation type="custom" errorStyle="stop" allowBlank="1" showErrorMessage="1" errorTitle="Invalid override" error="This override must remain blank because the source answer is empty." sqref="O253">
      <x:formula1>('Quantification_Results'!O253="")</x:formula1>
    </x:dataValidation>
    <x:dataValidation type="custom" errorStyle="stop" allowBlank="1" showErrorMessage="1" errorTitle="Invalid override" error="This override must remain blank because the source answer is empty." sqref="AA253">
      <x:formula1>('Quantification_Results'!AA253="")</x:formula1>
    </x:dataValidation>
    <x:dataValidation type="decimal" errorStyle="stop" operator="between" allowBlank="1" showErrorMessage="1" errorTitle="Invalid override" error="Enter a number within the configured range or leave the cell blank." sqref="AM25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4">
      <x:formula1>('Quantification_Results'!AA254="")</x:formula1>
    </x:dataValidation>
    <x:dataValidation type="decimal" errorStyle="stop" operator="between" allowBlank="1" showErrorMessage="1" errorTitle="Invalid override" error="Enter a number within the configured range or leave the cell blank." sqref="AM25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5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5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6">
      <x:formula1>('Quantification_Results'!AA256="")</x:formula1>
    </x:dataValidation>
    <x:dataValidation type="decimal" errorStyle="stop" operator="between" allowBlank="1" showErrorMessage="1" errorTitle="Invalid override" error="Enter a number within the configured range or leave the cell blank." sqref="AM25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5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5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8">
      <x:formula1>'Quantification_Config'!$S$6</x:formula1>
      <x:formula2>'Quantification_Config'!$T$6</x:formula2>
    </x:dataValidation>
    <x:dataValidation type="custom" errorStyle="stop" allowBlank="1" showErrorMessage="1" errorTitle="Invalid override" error="This override must remain blank because the source answer is empty." sqref="O258">
      <x:formula1>('Quantification_Results'!O258="")</x:formula1>
    </x:dataValidation>
    <x:dataValidation type="custom" errorStyle="stop" allowBlank="1" showErrorMessage="1" errorTitle="Invalid override" error="This override must remain blank because the source answer is empty." sqref="AA258">
      <x:formula1>('Quantification_Results'!AA258="")</x:formula1>
    </x:dataValidation>
    <x:dataValidation type="decimal" errorStyle="stop" operator="between" allowBlank="1" showErrorMessage="1" errorTitle="Invalid override" error="Enter a number within the configured range or leave the cell blank." sqref="AM25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5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5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59">
      <x:formula1>('Quantification_Results'!AA259="")</x:formula1>
    </x:dataValidation>
    <x:dataValidation type="decimal" errorStyle="stop" operator="between" allowBlank="1" showErrorMessage="1" errorTitle="Invalid override" error="Enter a number within the configured range or leave the cell blank." sqref="AM25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5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6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6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1">
      <x:formula1>('Quantification_Results'!AA261="")</x:formula1>
    </x:dataValidation>
    <x:dataValidation type="decimal" errorStyle="stop" operator="between" allowBlank="1" showErrorMessage="1" errorTitle="Invalid override" error="Enter a number within the configured range or leave the cell blank." sqref="AM26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2">
      <x:formula1>('Quantification_Results'!AA262="")</x:formula1>
    </x:dataValidation>
    <x:dataValidation type="decimal" errorStyle="stop" operator="between" allowBlank="1" showErrorMessage="1" errorTitle="Invalid override" error="Enter a number within the configured range or leave the cell blank." sqref="AM26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3">
      <x:formula1>('Quantification_Results'!AA263="")</x:formula1>
    </x:dataValidation>
    <x:dataValidation type="decimal" errorStyle="stop" operator="between" allowBlank="1" showErrorMessage="1" errorTitle="Invalid override" error="Enter a number within the configured range or leave the cell blank." sqref="AM26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4">
      <x:formula1>('Quantification_Results'!AA264="")</x:formula1>
    </x:dataValidation>
    <x:dataValidation type="decimal" errorStyle="stop" operator="between" allowBlank="1" showErrorMessage="1" errorTitle="Invalid override" error="Enter a number within the configured range or leave the cell blank." sqref="AM26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5">
      <x:formula1>'Quantification_Config'!$S$6</x:formula1>
      <x:formula2>'Quantification_Config'!$T$6</x:formula2>
    </x:dataValidation>
    <x:dataValidation type="custom" errorStyle="stop" allowBlank="1" showErrorMessage="1" errorTitle="Invalid override" error="This override must remain blank because the source answer is empty." sqref="O265">
      <x:formula1>('Quantification_Results'!O265="")</x:formula1>
    </x:dataValidation>
    <x:dataValidation type="custom" errorStyle="stop" allowBlank="1" showErrorMessage="1" errorTitle="Invalid override" error="This override must remain blank because the source answer is empty." sqref="AA265">
      <x:formula1>('Quantification_Results'!AA265="")</x:formula1>
    </x:dataValidation>
    <x:dataValidation type="decimal" errorStyle="stop" operator="between" allowBlank="1" showErrorMessage="1" errorTitle="Invalid override" error="Enter a number within the configured range or leave the cell blank." sqref="AM26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65">
      <x:formula1>('Quantification_Results'!AY265="")</x:formula1>
    </x:dataValidation>
    <x:dataValidation type="decimal" errorStyle="stop" operator="between" allowBlank="1" showErrorMessage="1" errorTitle="Invalid override" error="Enter a number within the configured range or leave the cell blank." sqref="C26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6">
      <x:formula1>('Quantification_Results'!AA266="")</x:formula1>
    </x:dataValidation>
    <x:dataValidation type="decimal" errorStyle="stop" operator="between" allowBlank="1" showErrorMessage="1" errorTitle="Invalid override" error="Enter a number within the configured range or leave the cell blank." sqref="AM26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7">
      <x:formula1>('Quantification_Results'!AA267="")</x:formula1>
    </x:dataValidation>
    <x:dataValidation type="decimal" errorStyle="stop" operator="between" allowBlank="1" showErrorMessage="1" errorTitle="Invalid override" error="Enter a number within the configured range or leave the cell blank." sqref="AM26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6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6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6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6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69">
      <x:formula1>('Quantification_Results'!AA269="")</x:formula1>
    </x:dataValidation>
    <x:dataValidation type="decimal" errorStyle="stop" operator="between" allowBlank="1" showErrorMessage="1" errorTitle="Invalid override" error="Enter a number within the configured range or leave the cell blank." sqref="AM26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6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7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7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71">
      <x:formula1>('Quantification_Results'!AA271="")</x:formula1>
    </x:dataValidation>
    <x:dataValidation type="decimal" errorStyle="stop" operator="between" allowBlank="1" showErrorMessage="1" errorTitle="Invalid override" error="Enter a number within the configured range or leave the cell blank." sqref="AM27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7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7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3">
      <x:formula1>'Quantification_Config'!$S$6</x:formula1>
      <x:formula2>'Quantification_Config'!$T$6</x:formula2>
    </x:dataValidation>
    <x:dataValidation type="custom" errorStyle="stop" allowBlank="1" showErrorMessage="1" errorTitle="Invalid override" error="This override must remain blank because the source answer is empty." sqref="O273">
      <x:formula1>('Quantification_Results'!O273="")</x:formula1>
    </x:dataValidation>
    <x:dataValidation type="custom" errorStyle="stop" allowBlank="1" showErrorMessage="1" errorTitle="Invalid override" error="This override must remain blank because the source answer is empty." sqref="AA273">
      <x:formula1>('Quantification_Results'!AA273="")</x:formula1>
    </x:dataValidation>
    <x:dataValidation type="decimal" errorStyle="stop" operator="between" allowBlank="1" showErrorMessage="1" errorTitle="Invalid override" error="Enter a number within the configured range or leave the cell blank." sqref="AM27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74">
      <x:formula1>('Quantification_Results'!AA274="")</x:formula1>
    </x:dataValidation>
    <x:dataValidation type="decimal" errorStyle="stop" operator="between" allowBlank="1" showErrorMessage="1" errorTitle="Invalid override" error="Enter a number within the configured range or leave the cell blank." sqref="AM27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5">
      <x:formula1>'Quantification_Config'!$S$6</x:formula1>
      <x:formula2>'Quantification_Config'!$T$6</x:formula2>
    </x:dataValidation>
    <x:dataValidation type="custom" errorStyle="stop" allowBlank="1" showErrorMessage="1" errorTitle="Invalid override" error="This override must remain blank because the source answer is empty." sqref="O275">
      <x:formula1>('Quantification_Results'!O275="")</x:formula1>
    </x:dataValidation>
    <x:dataValidation type="decimal" errorStyle="stop" operator="between" allowBlank="1" showErrorMessage="1" errorTitle="Invalid override" error="Enter a number within the configured range or leave the cell blank." sqref="AA27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7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76">
      <x:formula1>('Quantification_Results'!AA276="")</x:formula1>
    </x:dataValidation>
    <x:dataValidation type="decimal" errorStyle="stop" operator="between" allowBlank="1" showErrorMessage="1" errorTitle="Invalid override" error="Enter a number within the configured range or leave the cell blank." sqref="AM27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7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7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77">
      <x:formula1>('Quantification_Results'!AY277="")</x:formula1>
    </x:dataValidation>
    <x:dataValidation type="decimal" errorStyle="stop" operator="between" allowBlank="1" showErrorMessage="1" errorTitle="Invalid override" error="Enter a number within the configured range or leave the cell blank." sqref="C27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7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78">
      <x:formula1>('Quantification_Results'!AA278="")</x:formula1>
    </x:dataValidation>
    <x:dataValidation type="decimal" errorStyle="stop" operator="between" allowBlank="1" showErrorMessage="1" errorTitle="Invalid override" error="Enter a number within the configured range or leave the cell blank." sqref="AM27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7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79">
      <x:formula1>'Quantification_Config'!$S$6</x:formula1>
      <x:formula2>'Quantification_Config'!$T$6</x:formula2>
    </x:dataValidation>
    <x:dataValidation type="custom" errorStyle="stop" allowBlank="1" showErrorMessage="1" errorTitle="Invalid override" error="This override must remain blank because the source answer is empty." sqref="O279">
      <x:formula1>('Quantification_Results'!O279="")</x:formula1>
    </x:dataValidation>
    <x:dataValidation type="custom" errorStyle="stop" allowBlank="1" showErrorMessage="1" errorTitle="Invalid override" error="This override must remain blank because the source answer is empty." sqref="AA279">
      <x:formula1>('Quantification_Results'!AA279="")</x:formula1>
    </x:dataValidation>
    <x:dataValidation type="decimal" errorStyle="stop" operator="between" allowBlank="1" showErrorMessage="1" errorTitle="Invalid override" error="Enter a number within the configured range or leave the cell blank." sqref="AM27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79">
      <x:formula1>('Quantification_Results'!AY279="")</x:formula1>
    </x:dataValidation>
    <x:dataValidation type="decimal" errorStyle="stop" operator="between" allowBlank="1" showErrorMessage="1" errorTitle="Invalid override" error="Enter a number within the configured range or leave the cell blank." sqref="C28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8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8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1">
      <x:formula1>('Quantification_Results'!AA281="")</x:formula1>
    </x:dataValidation>
    <x:dataValidation type="decimal" errorStyle="stop" operator="between" allowBlank="1" showErrorMessage="1" errorTitle="Invalid override" error="Enter a number within the configured range or leave the cell blank." sqref="AM28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8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8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3">
      <x:formula1>('Quantification_Results'!AA283="")</x:formula1>
    </x:dataValidation>
    <x:dataValidation type="decimal" errorStyle="stop" operator="between" allowBlank="1" showErrorMessage="1" errorTitle="Invalid override" error="Enter a number within the configured range or leave the cell blank." sqref="AM28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4">
      <x:formula1>('Quantification_Results'!AA284="")</x:formula1>
    </x:dataValidation>
    <x:dataValidation type="decimal" errorStyle="stop" operator="between" allowBlank="1" showErrorMessage="1" errorTitle="Invalid override" error="Enter a number within the configured range or leave the cell blank." sqref="AM28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8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8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6">
      <x:formula1>('Quantification_Results'!AA286="")</x:formula1>
    </x:dataValidation>
    <x:dataValidation type="decimal" errorStyle="stop" operator="between" allowBlank="1" showErrorMessage="1" errorTitle="Invalid override" error="Enter a number within the configured range or leave the cell blank." sqref="AM28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7">
      <x:formula1>('Quantification_Results'!AA287="")</x:formula1>
    </x:dataValidation>
    <x:dataValidation type="decimal" errorStyle="stop" operator="between" allowBlank="1" showErrorMessage="1" errorTitle="Invalid override" error="Enter a number within the configured range or leave the cell blank." sqref="AM28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8">
      <x:formula1>('Quantification_Results'!AA288="")</x:formula1>
    </x:dataValidation>
    <x:dataValidation type="decimal" errorStyle="stop" operator="between" allowBlank="1" showErrorMessage="1" errorTitle="Invalid override" error="Enter a number within the configured range or leave the cell blank." sqref="AM28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8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8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89">
      <x:formula1>('Quantification_Results'!AA289="")</x:formula1>
    </x:dataValidation>
    <x:dataValidation type="decimal" errorStyle="stop" operator="between" allowBlank="1" showErrorMessage="1" errorTitle="Invalid override" error="Enter a number within the configured range or leave the cell blank." sqref="AM28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8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0">
      <x:formula1>('Quantification_Results'!AA290="")</x:formula1>
    </x:dataValidation>
    <x:dataValidation type="decimal" errorStyle="stop" operator="between" allowBlank="1" showErrorMessage="1" errorTitle="Invalid override" error="Enter a number within the configured range or leave the cell blank." sqref="AM29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1">
      <x:formula1>('Quantification_Results'!AA291="")</x:formula1>
    </x:dataValidation>
    <x:dataValidation type="decimal" errorStyle="stop" operator="between" allowBlank="1" showErrorMessage="1" errorTitle="Invalid override" error="Enter a number within the configured range or leave the cell blank." sqref="AM29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2">
      <x:formula1>('Quantification_Results'!AA292="")</x:formula1>
    </x:dataValidation>
    <x:dataValidation type="decimal" errorStyle="stop" operator="between" allowBlank="1" showErrorMessage="1" errorTitle="Invalid override" error="Enter a number within the configured range or leave the cell blank." sqref="AM29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3">
      <x:formula1>'Quantification_Config'!$S$6</x:formula1>
      <x:formula2>'Quantification_Config'!$T$6</x:formula2>
    </x:dataValidation>
    <x:dataValidation type="custom" errorStyle="stop" allowBlank="1" showErrorMessage="1" errorTitle="Invalid override" error="This override must remain blank because the source answer is empty." sqref="O293">
      <x:formula1>('Quantification_Results'!O293="")</x:formula1>
    </x:dataValidation>
    <x:dataValidation type="custom" errorStyle="stop" allowBlank="1" showErrorMessage="1" errorTitle="Invalid override" error="This override must remain blank because the source answer is empty." sqref="AA293">
      <x:formula1>('Quantification_Results'!AA293="")</x:formula1>
    </x:dataValidation>
    <x:dataValidation type="decimal" errorStyle="stop" operator="between" allowBlank="1" showErrorMessage="1" errorTitle="Invalid override" error="Enter a number within the configured range or leave the cell blank." sqref="AM29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293">
      <x:formula1>('Quantification_Results'!AY293="")</x:formula1>
    </x:dataValidation>
    <x:dataValidation type="decimal" errorStyle="stop" operator="between" allowBlank="1" showErrorMessage="1" errorTitle="Invalid override" error="Enter a number within the configured range or leave the cell blank." sqref="C29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4">
      <x:formula1>('Quantification_Results'!AA294="")</x:formula1>
    </x:dataValidation>
    <x:dataValidation type="decimal" errorStyle="stop" operator="between" allowBlank="1" showErrorMessage="1" errorTitle="Invalid override" error="Enter a number within the configured range or leave the cell blank." sqref="AM29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5">
      <x:formula1>('Quantification_Results'!AA295="")</x:formula1>
    </x:dataValidation>
    <x:dataValidation type="decimal" errorStyle="stop" operator="between" allowBlank="1" showErrorMessage="1" errorTitle="Invalid override" error="Enter a number within the configured range or leave the cell blank." sqref="AM29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6">
      <x:formula1>('Quantification_Results'!AA296="")</x:formula1>
    </x:dataValidation>
    <x:dataValidation type="decimal" errorStyle="stop" operator="between" allowBlank="1" showErrorMessage="1" errorTitle="Invalid override" error="Enter a number within the configured range or leave the cell blank." sqref="AM29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9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9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29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29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29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29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299">
      <x:formula1>('Quantification_Results'!AA299="")</x:formula1>
    </x:dataValidation>
    <x:dataValidation type="decimal" errorStyle="stop" operator="between" allowBlank="1" showErrorMessage="1" errorTitle="Invalid override" error="Enter a number within the configured range or leave the cell blank." sqref="AM29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29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0">
      <x:formula1>('Quantification_Results'!AA300="")</x:formula1>
    </x:dataValidation>
    <x:dataValidation type="decimal" errorStyle="stop" operator="between" allowBlank="1" showErrorMessage="1" errorTitle="Invalid override" error="Enter a number within the configured range or leave the cell blank." sqref="AM30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1">
      <x:formula1>('Quantification_Results'!AA301="")</x:formula1>
    </x:dataValidation>
    <x:dataValidation type="decimal" errorStyle="stop" operator="between" allowBlank="1" showErrorMessage="1" errorTitle="Invalid override" error="Enter a number within the configured range or leave the cell blank." sqref="AM30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0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0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3">
      <x:formula1>'Quantification_Config'!$S$6</x:formula1>
      <x:formula2>'Quantification_Config'!$T$6</x:formula2>
    </x:dataValidation>
    <x:dataValidation type="custom" errorStyle="stop" allowBlank="1" showErrorMessage="1" errorTitle="Invalid override" error="This override must remain blank because the source answer is empty." sqref="O303">
      <x:formula1>('Quantification_Results'!O303="")</x:formula1>
    </x:dataValidation>
    <x:dataValidation type="custom" errorStyle="stop" allowBlank="1" showErrorMessage="1" errorTitle="Invalid override" error="This override must remain blank because the source answer is empty." sqref="AA303">
      <x:formula1>('Quantification_Results'!AA303="")</x:formula1>
    </x:dataValidation>
    <x:dataValidation type="decimal" errorStyle="stop" operator="between" allowBlank="1" showErrorMessage="1" errorTitle="Invalid override" error="Enter a number within the configured range or leave the cell blank." sqref="AM30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03">
      <x:formula1>('Quantification_Results'!AY303="")</x:formula1>
    </x:dataValidation>
    <x:dataValidation type="decimal" errorStyle="stop" operator="between" allowBlank="1" showErrorMessage="1" errorTitle="Invalid override" error="Enter a number within the configured range or leave the cell blank." sqref="C30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0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0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5">
      <x:formula1>('Quantification_Results'!AA305="")</x:formula1>
    </x:dataValidation>
    <x:dataValidation type="decimal" errorStyle="stop" operator="between" allowBlank="1" showErrorMessage="1" errorTitle="Invalid override" error="Enter a number within the configured range or leave the cell blank." sqref="AM30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6">
      <x:formula1>('Quantification_Results'!AA306="")</x:formula1>
    </x:dataValidation>
    <x:dataValidation type="decimal" errorStyle="stop" operator="between" allowBlank="1" showErrorMessage="1" errorTitle="Invalid override" error="Enter a number within the configured range or leave the cell blank." sqref="AM30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7">
      <x:formula1>('Quantification_Results'!AA307="")</x:formula1>
    </x:dataValidation>
    <x:dataValidation type="decimal" errorStyle="stop" operator="between" allowBlank="1" showErrorMessage="1" errorTitle="Invalid override" error="Enter a number within the configured range or leave the cell blank." sqref="AM30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0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0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08">
      <x:formula1>('Quantification_Results'!AA308="")</x:formula1>
    </x:dataValidation>
    <x:dataValidation type="decimal" errorStyle="stop" operator="between" allowBlank="1" showErrorMessage="1" errorTitle="Invalid override" error="Enter a number within the configured range or leave the cell blank." sqref="AM30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08">
      <x:formula1>('Quantification_Results'!AY308="")</x:formula1>
    </x:dataValidation>
    <x:dataValidation type="decimal" errorStyle="stop" operator="between" allowBlank="1" showErrorMessage="1" errorTitle="Invalid override" error="Enter a number within the configured range or leave the cell blank." sqref="C30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0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0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0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09">
      <x:formula1>('Quantification_Results'!AY309="")</x:formula1>
    </x:dataValidation>
    <x:dataValidation type="decimal" errorStyle="stop" operator="between" allowBlank="1" showErrorMessage="1" errorTitle="Invalid override" error="Enter a number within the configured range or leave the cell blank." sqref="C31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0">
      <x:formula1>('Quantification_Results'!AA310="")</x:formula1>
    </x:dataValidation>
    <x:dataValidation type="decimal" errorStyle="stop" operator="between" allowBlank="1" showErrorMessage="1" errorTitle="Invalid override" error="Enter a number within the configured range or leave the cell blank." sqref="AM31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1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2">
      <x:formula1>('Quantification_Results'!AA312="")</x:formula1>
    </x:dataValidation>
    <x:dataValidation type="decimal" errorStyle="stop" operator="between" allowBlank="1" showErrorMessage="1" errorTitle="Invalid override" error="Enter a number within the configured range or leave the cell blank." sqref="AM3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3">
      <x:formula1>('Quantification_Results'!AA313="")</x:formula1>
    </x:dataValidation>
    <x:dataValidation type="decimal" errorStyle="stop" operator="between" allowBlank="1" showErrorMessage="1" errorTitle="Invalid override" error="Enter a number within the configured range or leave the cell blank." sqref="AM31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4">
      <x:formula1>('Quantification_Results'!AA314="")</x:formula1>
    </x:dataValidation>
    <x:dataValidation type="decimal" errorStyle="stop" operator="between" allowBlank="1" showErrorMessage="1" errorTitle="Invalid override" error="Enter a number within the configured range or leave the cell blank." sqref="AM31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14">
      <x:formula1>('Quantification_Results'!AY314="")</x:formula1>
    </x:dataValidation>
    <x:dataValidation type="decimal" errorStyle="stop" operator="between" allowBlank="1" showErrorMessage="1" errorTitle="Invalid override" error="Enter a number within the configured range or leave the cell blank." sqref="C31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5">
      <x:formula1>('Quantification_Results'!AA315="")</x:formula1>
    </x:dataValidation>
    <x:dataValidation type="decimal" errorStyle="stop" operator="between" allowBlank="1" showErrorMessage="1" errorTitle="Invalid override" error="Enter a number within the configured range or leave the cell blank." sqref="AM3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6">
      <x:formula1>('Quantification_Results'!AA316="")</x:formula1>
    </x:dataValidation>
    <x:dataValidation type="decimal" errorStyle="stop" operator="between" allowBlank="1" showErrorMessage="1" errorTitle="Invalid override" error="Enter a number within the configured range or leave the cell blank." sqref="AM3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7">
      <x:formula1>('Quantification_Results'!AA317="")</x:formula1>
    </x:dataValidation>
    <x:dataValidation type="decimal" errorStyle="stop" operator="between" allowBlank="1" showErrorMessage="1" errorTitle="Invalid override" error="Enter a number within the configured range or leave the cell blank." sqref="AM31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8">
      <x:formula1>('Quantification_Results'!AA318="")</x:formula1>
    </x:dataValidation>
    <x:dataValidation type="decimal" errorStyle="stop" operator="between" allowBlank="1" showErrorMessage="1" errorTitle="Invalid override" error="Enter a number within the configured range or leave the cell blank." sqref="AM3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1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1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19">
      <x:formula1>('Quantification_Results'!AA319="")</x:formula1>
    </x:dataValidation>
    <x:dataValidation type="decimal" errorStyle="stop" operator="between" allowBlank="1" showErrorMessage="1" errorTitle="Invalid override" error="Enter a number within the configured range or leave the cell blank." sqref="AM31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1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0">
      <x:formula1>'Quantification_Config'!$S$6</x:formula1>
      <x:formula2>'Quantification_Config'!$T$6</x:formula2>
    </x:dataValidation>
    <x:dataValidation type="custom" errorStyle="stop" allowBlank="1" showErrorMessage="1" errorTitle="Invalid override" error="This override must remain blank because the source answer is empty." sqref="O320">
      <x:formula1>('Quantification_Results'!O320="")</x:formula1>
    </x:dataValidation>
    <x:dataValidation type="custom" errorStyle="stop" allowBlank="1" showErrorMessage="1" errorTitle="Invalid override" error="This override must remain blank because the source answer is empty." sqref="AA320">
      <x:formula1>('Quantification_Results'!AA320="")</x:formula1>
    </x:dataValidation>
    <x:dataValidation type="decimal" errorStyle="stop" operator="between" allowBlank="1" showErrorMessage="1" errorTitle="Invalid override" error="Enter a number within the configured range or leave the cell blank." sqref="AM32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20">
      <x:formula1>('Quantification_Results'!AY320="")</x:formula1>
    </x:dataValidation>
    <x:dataValidation type="decimal" errorStyle="stop" operator="between" allowBlank="1" showErrorMessage="1" errorTitle="Invalid override" error="Enter a number within the configured range or leave the cell blank." sqref="C321">
      <x:formula1>'Quantification_Config'!$S$6</x:formula1>
      <x:formula2>'Quantification_Config'!$T$6</x:formula2>
    </x:dataValidation>
    <x:dataValidation type="custom" errorStyle="stop" allowBlank="1" showErrorMessage="1" errorTitle="Invalid override" error="This override must remain blank because the source answer is empty." sqref="O321">
      <x:formula1>('Quantification_Results'!O321="")</x:formula1>
    </x:dataValidation>
    <x:dataValidation type="custom" errorStyle="stop" allowBlank="1" showErrorMessage="1" errorTitle="Invalid override" error="This override must remain blank because the source answer is empty." sqref="AA321">
      <x:formula1>('Quantification_Results'!AA321="")</x:formula1>
    </x:dataValidation>
    <x:dataValidation type="decimal" errorStyle="stop" operator="between" allowBlank="1" showErrorMessage="1" errorTitle="Invalid override" error="Enter a number within the configured range or leave the cell blank." sqref="AM32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21">
      <x:formula1>('Quantification_Results'!AY321="")</x:formula1>
    </x:dataValidation>
    <x:dataValidation type="decimal" errorStyle="stop" operator="between" allowBlank="1" showErrorMessage="1" errorTitle="Invalid override" error="Enter a number within the configured range or leave the cell blank." sqref="C3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22">
      <x:formula1>('Quantification_Results'!AA322="")</x:formula1>
    </x:dataValidation>
    <x:dataValidation type="decimal" errorStyle="stop" operator="between" allowBlank="1" showErrorMessage="1" errorTitle="Invalid override" error="Enter a number within the configured range or leave the cell blank." sqref="AM3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23">
      <x:formula1>('Quantification_Results'!AA323="")</x:formula1>
    </x:dataValidation>
    <x:dataValidation type="decimal" errorStyle="stop" operator="between" allowBlank="1" showErrorMessage="1" errorTitle="Invalid override" error="Enter a number within the configured range or leave the cell blank." sqref="AM32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2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2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5">
      <x:formula1>'Quantification_Config'!$S$6</x:formula1>
      <x:formula2>'Quantification_Config'!$T$6</x:formula2>
    </x:dataValidation>
    <x:dataValidation type="custom" errorStyle="stop" allowBlank="1" showErrorMessage="1" errorTitle="Invalid override" error="This override must remain blank because the source answer is empty." sqref="O325">
      <x:formula1>('Quantification_Results'!O325="")</x:formula1>
    </x:dataValidation>
    <x:dataValidation type="custom" errorStyle="stop" allowBlank="1" showErrorMessage="1" errorTitle="Invalid override" error="This override must remain blank because the source answer is empty." sqref="AA325">
      <x:formula1>('Quantification_Results'!AA325="")</x:formula1>
    </x:dataValidation>
    <x:dataValidation type="decimal" errorStyle="stop" operator="between" allowBlank="1" showErrorMessage="1" errorTitle="Invalid override" error="Enter a number within the configured range or leave the cell blank." sqref="AM32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25">
      <x:formula1>('Quantification_Results'!AY325="")</x:formula1>
    </x:dataValidation>
    <x:dataValidation type="decimal" errorStyle="stop" operator="between" allowBlank="1" showErrorMessage="1" errorTitle="Invalid override" error="Enter a number within the configured range or leave the cell blank." sqref="C32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2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2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7">
      <x:formula1>'Quantification_Config'!$S$6</x:formula1>
      <x:formula2>'Quantification_Config'!$T$6</x:formula2>
    </x:dataValidation>
    <x:dataValidation type="custom" errorStyle="stop" allowBlank="1" showErrorMessage="1" errorTitle="Invalid override" error="This override must remain blank because the source answer is empty." sqref="O327">
      <x:formula1>('Quantification_Results'!O327="")</x:formula1>
    </x:dataValidation>
    <x:dataValidation type="custom" errorStyle="stop" allowBlank="1" showErrorMessage="1" errorTitle="Invalid override" error="This override must remain blank because the source answer is empty." sqref="AA327">
      <x:formula1>('Quantification_Results'!AA327="")</x:formula1>
    </x:dataValidation>
    <x:dataValidation type="decimal" errorStyle="stop" operator="between" allowBlank="1" showErrorMessage="1" errorTitle="Invalid override" error="Enter a number within the configured range or leave the cell blank." sqref="AM32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28">
      <x:formula1>('Quantification_Results'!AA328="")</x:formula1>
    </x:dataValidation>
    <x:dataValidation type="decimal" errorStyle="stop" operator="between" allowBlank="1" showErrorMessage="1" errorTitle="Invalid override" error="Enter a number within the configured range or leave the cell blank." sqref="AM32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29">
      <x:formula1>('Quantification_Results'!AA329="")</x:formula1>
    </x:dataValidation>
    <x:dataValidation type="decimal" errorStyle="stop" operator="between" allowBlank="1" showErrorMessage="1" errorTitle="Invalid override" error="Enter a number within the configured range or leave the cell blank." sqref="AM32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2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3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3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1">
      <x:formula1>'Quantification_Config'!$S$6</x:formula1>
      <x:formula2>'Quantification_Config'!$T$6</x:formula2>
    </x:dataValidation>
    <x:dataValidation type="custom" errorStyle="stop" allowBlank="1" showErrorMessage="1" errorTitle="Invalid override" error="This override must remain blank because the source answer is empty." sqref="O331">
      <x:formula1>('Quantification_Results'!O331="")</x:formula1>
    </x:dataValidation>
    <x:dataValidation type="decimal" errorStyle="stop" operator="between" allowBlank="1" showErrorMessage="1" errorTitle="Invalid override" error="Enter a number within the configured range or leave the cell blank." sqref="AA33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3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32">
      <x:formula1>('Quantification_Results'!AA332="")</x:formula1>
    </x:dataValidation>
    <x:dataValidation type="decimal" errorStyle="stop" operator="between" allowBlank="1" showErrorMessage="1" errorTitle="Invalid override" error="Enter a number within the configured range or leave the cell blank." sqref="AM33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32">
      <x:formula1>('Quantification_Results'!AY332="")</x:formula1>
    </x:dataValidation>
    <x:dataValidation type="decimal" errorStyle="stop" operator="between" allowBlank="1" showErrorMessage="1" errorTitle="Invalid override" error="Enter a number within the configured range or leave the cell blank." sqref="C33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3">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33">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3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34">
      <x:formula1>('Quantification_Results'!AA334="")</x:formula1>
    </x:dataValidation>
    <x:dataValidation type="decimal" errorStyle="stop" operator="between" allowBlank="1" showErrorMessage="1" errorTitle="Invalid override" error="Enter a number within the configured range or leave the cell blank." sqref="AM33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3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3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35">
      <x:formula1>('Quantification_Results'!AY335="")</x:formula1>
    </x:dataValidation>
    <x:dataValidation type="decimal" errorStyle="stop" operator="between" allowBlank="1" showErrorMessage="1" errorTitle="Invalid override" error="Enter a number within the configured range or leave the cell blank." sqref="C33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3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3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36">
      <x:formula1>('Quantification_Results'!AY336="")</x:formula1>
    </x:dataValidation>
    <x:dataValidation type="decimal" errorStyle="stop" operator="between" allowBlank="1" showErrorMessage="1" errorTitle="Invalid override" error="Enter a number within the configured range or leave the cell blank." sqref="C33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37">
      <x:formula1>('Quantification_Results'!AA337="")</x:formula1>
    </x:dataValidation>
    <x:dataValidation type="decimal" errorStyle="stop" operator="between" allowBlank="1" showErrorMessage="1" errorTitle="Invalid override" error="Enter a number within the configured range or leave the cell blank." sqref="AM33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8">
      <x:formula1>'Quantification_Config'!$S$6</x:formula1>
      <x:formula2>'Quantification_Config'!$T$6</x:formula2>
    </x:dataValidation>
    <x:dataValidation type="custom" errorStyle="stop" allowBlank="1" showErrorMessage="1" errorTitle="Invalid override" error="This override must remain blank because the source answer is empty." sqref="O338">
      <x:formula1>('Quantification_Results'!O338="")</x:formula1>
    </x:dataValidation>
    <x:dataValidation type="custom" errorStyle="stop" allowBlank="1" showErrorMessage="1" errorTitle="Invalid override" error="This override must remain blank because the source answer is empty." sqref="AA338">
      <x:formula1>('Quantification_Results'!AA338="")</x:formula1>
    </x:dataValidation>
    <x:dataValidation type="decimal" errorStyle="stop" operator="between" allowBlank="1" showErrorMessage="1" errorTitle="Invalid override" error="Enter a number within the configured range or leave the cell blank." sqref="AM33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3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3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39">
      <x:formula1>('Quantification_Results'!AA339="")</x:formula1>
    </x:dataValidation>
    <x:dataValidation type="decimal" errorStyle="stop" operator="between" allowBlank="1" showErrorMessage="1" errorTitle="Invalid override" error="Enter a number within the configured range or leave the cell blank." sqref="AM33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3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0">
      <x:formula1>('Quantification_Results'!AA340="")</x:formula1>
    </x:dataValidation>
    <x:dataValidation type="decimal" errorStyle="stop" operator="between" allowBlank="1" showErrorMessage="1" errorTitle="Invalid override" error="Enter a number within the configured range or leave the cell blank." sqref="AM34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1">
      <x:formula1>'Quantification_Config'!$S$6</x:formula1>
      <x:formula2>'Quantification_Config'!$T$6</x:formula2>
    </x:dataValidation>
    <x:dataValidation type="custom" errorStyle="stop" allowBlank="1" showErrorMessage="1" errorTitle="Invalid override" error="This override must remain blank because the source answer is empty." sqref="O341">
      <x:formula1>('Quantification_Results'!O341="")</x:formula1>
    </x:dataValidation>
    <x:dataValidation type="custom" errorStyle="stop" allowBlank="1" showErrorMessage="1" errorTitle="Invalid override" error="This override must remain blank because the source answer is empty." sqref="AA341">
      <x:formula1>('Quantification_Results'!AA341="")</x:formula1>
    </x:dataValidation>
    <x:dataValidation type="decimal" errorStyle="stop" operator="between" allowBlank="1" showErrorMessage="1" errorTitle="Invalid override" error="Enter a number within the configured range or leave the cell blank." sqref="AM34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41">
      <x:formula1>('Quantification_Results'!AY341="")</x:formula1>
    </x:dataValidation>
    <x:dataValidation type="decimal" errorStyle="stop" operator="between" allowBlank="1" showErrorMessage="1" errorTitle="Invalid override" error="Enter a number within the configured range or leave the cell blank." sqref="C34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2">
      <x:formula1>('Quantification_Results'!AA342="")</x:formula1>
    </x:dataValidation>
    <x:dataValidation type="decimal" errorStyle="stop" operator="between" allowBlank="1" showErrorMessage="1" errorTitle="Invalid override" error="Enter a number within the configured range or leave the cell blank." sqref="AM34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3">
      <x:formula1>('Quantification_Results'!AA343="")</x:formula1>
    </x:dataValidation>
    <x:dataValidation type="decimal" errorStyle="stop" operator="between" allowBlank="1" showErrorMessage="1" errorTitle="Invalid override" error="Enter a number within the configured range or leave the cell blank." sqref="AM34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4">
      <x:formula1>('Quantification_Results'!AA344="")</x:formula1>
    </x:dataValidation>
    <x:dataValidation type="decimal" errorStyle="stop" operator="between" allowBlank="1" showErrorMessage="1" errorTitle="Invalid override" error="Enter a number within the configured range or leave the cell blank." sqref="AM34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5">
      <x:formula1>('Quantification_Results'!AA345="")</x:formula1>
    </x:dataValidation>
    <x:dataValidation type="decimal" errorStyle="stop" operator="between" allowBlank="1" showErrorMessage="1" errorTitle="Invalid override" error="Enter a number within the configured range or leave the cell blank." sqref="AM34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6">
      <x:formula1>('Quantification_Results'!AA346="")</x:formula1>
    </x:dataValidation>
    <x:dataValidation type="decimal" errorStyle="stop" operator="between" allowBlank="1" showErrorMessage="1" errorTitle="Invalid override" error="Enter a number within the configured range or leave the cell blank." sqref="AM34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7">
      <x:formula1>'Quantification_Config'!$S$6</x:formula1>
      <x:formula2>'Quantification_Config'!$T$6</x:formula2>
    </x:dataValidation>
    <x:dataValidation type="custom" errorStyle="stop" allowBlank="1" showErrorMessage="1" errorTitle="Invalid override" error="This override must remain blank because the source answer is empty." sqref="O347">
      <x:formula1>('Quantification_Results'!O347="")</x:formula1>
    </x:dataValidation>
    <x:dataValidation type="custom" errorStyle="stop" allowBlank="1" showErrorMessage="1" errorTitle="Invalid override" error="This override must remain blank because the source answer is empty." sqref="AA347">
      <x:formula1>('Quantification_Results'!AA347="")</x:formula1>
    </x:dataValidation>
    <x:dataValidation type="decimal" errorStyle="stop" operator="between" allowBlank="1" showErrorMessage="1" errorTitle="Invalid override" error="Enter a number within the configured range or leave the cell blank." sqref="AM34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47">
      <x:formula1>('Quantification_Results'!AY347="")</x:formula1>
    </x:dataValidation>
    <x:dataValidation type="decimal" errorStyle="stop" operator="between" allowBlank="1" showErrorMessage="1" errorTitle="Invalid override" error="Enter a number within the configured range or leave the cell blank." sqref="C348">
      <x:formula1>'Quantification_Config'!$S$6</x:formula1>
      <x:formula2>'Quantification_Config'!$T$6</x:formula2>
    </x:dataValidation>
    <x:dataValidation type="custom" errorStyle="stop" allowBlank="1" showErrorMessage="1" errorTitle="Invalid override" error="This override must remain blank because the source answer is empty." sqref="O348">
      <x:formula1>('Quantification_Results'!O348="")</x:formula1>
    </x:dataValidation>
    <x:dataValidation type="custom" errorStyle="stop" allowBlank="1" showErrorMessage="1" errorTitle="Invalid override" error="This override must remain blank because the source answer is empty." sqref="AA348">
      <x:formula1>('Quantification_Results'!AA348="")</x:formula1>
    </x:dataValidation>
    <x:dataValidation type="decimal" errorStyle="stop" operator="between" allowBlank="1" showErrorMessage="1" errorTitle="Invalid override" error="Enter a number within the configured range or leave the cell blank." sqref="AM34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4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4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49">
      <x:formula1>('Quantification_Results'!AA349="")</x:formula1>
    </x:dataValidation>
    <x:dataValidation type="decimal" errorStyle="stop" operator="between" allowBlank="1" showErrorMessage="1" errorTitle="Invalid override" error="Enter a number within the configured range or leave the cell blank." sqref="AM34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4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0">
      <x:formula1>('Quantification_Results'!AA350="")</x:formula1>
    </x:dataValidation>
    <x:dataValidation type="decimal" errorStyle="stop" operator="between" allowBlank="1" showErrorMessage="1" errorTitle="Invalid override" error="Enter a number within the configured range or leave the cell blank." sqref="AM35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1">
      <x:formula1>('Quantification_Results'!AA351="")</x:formula1>
    </x:dataValidation>
    <x:dataValidation type="decimal" errorStyle="stop" operator="between" allowBlank="1" showErrorMessage="1" errorTitle="Invalid override" error="Enter a number within the configured range or leave the cell blank." sqref="AM35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2">
      <x:formula1>('Quantification_Results'!AA352="")</x:formula1>
    </x:dataValidation>
    <x:dataValidation type="decimal" errorStyle="stop" operator="between" allowBlank="1" showErrorMessage="1" errorTitle="Invalid override" error="Enter a number within the configured range or leave the cell blank." sqref="AM35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3">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53">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5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4">
      <x:formula1>('Quantification_Results'!AA354="")</x:formula1>
    </x:dataValidation>
    <x:dataValidation type="decimal" errorStyle="stop" operator="between" allowBlank="1" showErrorMessage="1" errorTitle="Invalid override" error="Enter a number within the configured range or leave the cell blank." sqref="AM35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55">
      <x:formula1>('Quantification_Results'!AA355="")</x:formula1>
    </x:dataValidation>
    <x:dataValidation type="decimal" errorStyle="stop" operator="between" allowBlank="1" showErrorMessage="1" errorTitle="Invalid override" error="Enter a number within the configured range or leave the cell blank." sqref="AM35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6">
      <x:formula1>'Quantification_Config'!$S$6</x:formula1>
      <x:formula2>'Quantification_Config'!$T$6</x:formula2>
    </x:dataValidation>
    <x:dataValidation type="custom" errorStyle="stop" allowBlank="1" showErrorMessage="1" errorTitle="Invalid override" error="This override must remain blank because the source answer is empty." sqref="O356">
      <x:formula1>('Quantification_Results'!O356="")</x:formula1>
    </x:dataValidation>
    <x:dataValidation type="decimal" errorStyle="stop" operator="between" allowBlank="1" showErrorMessage="1" errorTitle="Invalid override" error="Enter a number within the configured range or leave the cell blank." sqref="AA35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5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56">
      <x:formula1>('Quantification_Results'!AY356="")</x:formula1>
    </x:dataValidation>
    <x:dataValidation type="decimal" errorStyle="stop" operator="between" allowBlank="1" showErrorMessage="1" errorTitle="Invalid override" error="Enter a number within the configured range or leave the cell blank." sqref="C35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5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5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8">
      <x:formula1>'Quantification_Config'!$S$6</x:formula1>
      <x:formula2>'Quantification_Config'!$T$6</x:formula2>
    </x:dataValidation>
    <x:dataValidation type="custom" errorStyle="stop" allowBlank="1" showErrorMessage="1" errorTitle="Invalid override" error="This override must remain blank because the source answer is empty." sqref="O358">
      <x:formula1>('Quantification_Results'!O358="")</x:formula1>
    </x:dataValidation>
    <x:dataValidation type="custom" errorStyle="stop" allowBlank="1" showErrorMessage="1" errorTitle="Invalid override" error="This override must remain blank because the source answer is empty." sqref="AA358">
      <x:formula1>('Quantification_Results'!AA358="")</x:formula1>
    </x:dataValidation>
    <x:dataValidation type="decimal" errorStyle="stop" operator="between" allowBlank="1" showErrorMessage="1" errorTitle="Invalid override" error="Enter a number within the configured range or leave the cell blank." sqref="AM35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5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5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5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5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5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0">
      <x:formula1>('Quantification_Results'!AA360="")</x:formula1>
    </x:dataValidation>
    <x:dataValidation type="decimal" errorStyle="stop" operator="between" allowBlank="1" showErrorMessage="1" errorTitle="Invalid override" error="Enter a number within the configured range or leave the cell blank." sqref="AM36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1">
      <x:formula1>('Quantification_Results'!AA361="")</x:formula1>
    </x:dataValidation>
    <x:dataValidation type="decimal" errorStyle="stop" operator="between" allowBlank="1" showErrorMessage="1" errorTitle="Invalid override" error="Enter a number within the configured range or leave the cell blank." sqref="AM36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2">
      <x:formula1>('Quantification_Results'!AA362="")</x:formula1>
    </x:dataValidation>
    <x:dataValidation type="decimal" errorStyle="stop" operator="between" allowBlank="1" showErrorMessage="1" errorTitle="Invalid override" error="Enter a number within the configured range or leave the cell blank." sqref="AM36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3">
      <x:formula1>'Quantification_Config'!$S$6</x:formula1>
      <x:formula2>'Quantification_Config'!$T$6</x:formula2>
    </x:dataValidation>
    <x:dataValidation type="custom" errorStyle="stop" allowBlank="1" showErrorMessage="1" errorTitle="Invalid override" error="This override must remain blank because the source answer is empty." sqref="O363">
      <x:formula1>('Quantification_Results'!O363="")</x:formula1>
    </x:dataValidation>
    <x:dataValidation type="custom" errorStyle="stop" allowBlank="1" showErrorMessage="1" errorTitle="Invalid override" error="This override must remain blank because the source answer is empty." sqref="AA363">
      <x:formula1>('Quantification_Results'!AA363="")</x:formula1>
    </x:dataValidation>
    <x:dataValidation type="decimal" errorStyle="stop" operator="between" allowBlank="1" showErrorMessage="1" errorTitle="Invalid override" error="Enter a number within the configured range or leave the cell blank." sqref="AM36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63">
      <x:formula1>('Quantification_Results'!AY363="")</x:formula1>
    </x:dataValidation>
    <x:dataValidation type="decimal" errorStyle="stop" operator="between" allowBlank="1" showErrorMessage="1" errorTitle="Invalid override" error="Enter a number within the configured range or leave the cell blank." sqref="C36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4">
      <x:formula1>('Quantification_Results'!AA364="")</x:formula1>
    </x:dataValidation>
    <x:dataValidation type="decimal" errorStyle="stop" operator="between" allowBlank="1" showErrorMessage="1" errorTitle="Invalid override" error="Enter a number within the configured range or leave the cell blank." sqref="AM36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5">
      <x:formula1>('Quantification_Results'!AA365="")</x:formula1>
    </x:dataValidation>
    <x:dataValidation type="decimal" errorStyle="stop" operator="between" allowBlank="1" showErrorMessage="1" errorTitle="Invalid override" error="Enter a number within the configured range or leave the cell blank." sqref="AM36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6">
      <x:formula1>'Quantification_Config'!$S$6</x:formula1>
      <x:formula2>'Quantification_Config'!$T$6</x:formula2>
    </x:dataValidation>
    <x:dataValidation type="custom" errorStyle="stop" allowBlank="1" showErrorMessage="1" errorTitle="Invalid override" error="This override must remain blank because the source answer is empty." sqref="O366">
      <x:formula1>('Quantification_Results'!O366="")</x:formula1>
    </x:dataValidation>
    <x:dataValidation type="custom" errorStyle="stop" allowBlank="1" showErrorMessage="1" errorTitle="Invalid override" error="This override must remain blank because the source answer is empty." sqref="AA366">
      <x:formula1>('Quantification_Results'!AA366="")</x:formula1>
    </x:dataValidation>
    <x:dataValidation type="decimal" errorStyle="stop" operator="between" allowBlank="1" showErrorMessage="1" errorTitle="Invalid override" error="Enter a number within the configured range or leave the cell blank." sqref="AM36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7">
      <x:formula1>('Quantification_Results'!AA367="")</x:formula1>
    </x:dataValidation>
    <x:dataValidation type="decimal" errorStyle="stop" operator="between" allowBlank="1" showErrorMessage="1" errorTitle="Invalid override" error="Enter a number within the configured range or leave the cell blank." sqref="AM36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8">
      <x:formula1>('Quantification_Results'!AA368="")</x:formula1>
    </x:dataValidation>
    <x:dataValidation type="decimal" errorStyle="stop" operator="between" allowBlank="1" showErrorMessage="1" errorTitle="Invalid override" error="Enter a number within the configured range or leave the cell blank." sqref="AM36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6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6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69">
      <x:formula1>('Quantification_Results'!AA369="")</x:formula1>
    </x:dataValidation>
    <x:dataValidation type="decimal" errorStyle="stop" operator="between" allowBlank="1" showErrorMessage="1" errorTitle="Invalid override" error="Enter a number within the configured range or leave the cell blank." sqref="AM36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6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0">
      <x:formula1>('Quantification_Results'!AA370="")</x:formula1>
    </x:dataValidation>
    <x:dataValidation type="decimal" errorStyle="stop" operator="between" allowBlank="1" showErrorMessage="1" errorTitle="Invalid override" error="Enter a number within the configured range or leave the cell blank." sqref="AM37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1">
      <x:formula1>('Quantification_Results'!AA371="")</x:formula1>
    </x:dataValidation>
    <x:dataValidation type="decimal" errorStyle="stop" operator="between" allowBlank="1" showErrorMessage="1" errorTitle="Invalid override" error="Enter a number within the configured range or leave the cell blank." sqref="AM37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2">
      <x:formula1>('Quantification_Results'!AA372="")</x:formula1>
    </x:dataValidation>
    <x:dataValidation type="decimal" errorStyle="stop" operator="between" allowBlank="1" showErrorMessage="1" errorTitle="Invalid override" error="Enter a number within the configured range or leave the cell blank." sqref="AM37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3">
      <x:formula1>('Quantification_Results'!AA373="")</x:formula1>
    </x:dataValidation>
    <x:dataValidation type="decimal" errorStyle="stop" operator="between" allowBlank="1" showErrorMessage="1" errorTitle="Invalid override" error="Enter a number within the configured range or leave the cell blank." sqref="AM37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4">
      <x:formula1>'Quantification_Config'!$S$6</x:formula1>
      <x:formula2>'Quantification_Config'!$T$6</x:formula2>
    </x:dataValidation>
    <x:dataValidation type="custom" errorStyle="stop" allowBlank="1" showErrorMessage="1" errorTitle="Invalid override" error="This override must remain blank because the source answer is empty." sqref="O374">
      <x:formula1>('Quantification_Results'!O374="")</x:formula1>
    </x:dataValidation>
    <x:dataValidation type="custom" errorStyle="stop" allowBlank="1" showErrorMessage="1" errorTitle="Invalid override" error="This override must remain blank because the source answer is empty." sqref="AA374">
      <x:formula1>('Quantification_Results'!AA374="")</x:formula1>
    </x:dataValidation>
    <x:dataValidation type="decimal" errorStyle="stop" operator="between" allowBlank="1" showErrorMessage="1" errorTitle="Invalid override" error="Enter a number within the configured range or leave the cell blank." sqref="AM37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5">
      <x:formula1>('Quantification_Results'!AA375="")</x:formula1>
    </x:dataValidation>
    <x:dataValidation type="decimal" errorStyle="stop" operator="between" allowBlank="1" showErrorMessage="1" errorTitle="Invalid override" error="Enter a number within the configured range or leave the cell blank." sqref="AM37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6">
      <x:formula1>'Quantification_Config'!$S$6</x:formula1>
      <x:formula2>'Quantification_Config'!$T$6</x:formula2>
    </x:dataValidation>
    <x:dataValidation type="custom" errorStyle="stop" allowBlank="1" showErrorMessage="1" errorTitle="Invalid override" error="This override must remain blank because the source answer is empty." sqref="O376">
      <x:formula1>('Quantification_Results'!O376="")</x:formula1>
    </x:dataValidation>
    <x:dataValidation type="custom" errorStyle="stop" allowBlank="1" showErrorMessage="1" errorTitle="Invalid override" error="This override must remain blank because the source answer is empty." sqref="AA376">
      <x:formula1>('Quantification_Results'!AA376="")</x:formula1>
    </x:dataValidation>
    <x:dataValidation type="decimal" errorStyle="stop" operator="between" allowBlank="1" showErrorMessage="1" errorTitle="Invalid override" error="Enter a number within the configured range or leave the cell blank." sqref="AM37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76">
      <x:formula1>('Quantification_Results'!AY376="")</x:formula1>
    </x:dataValidation>
    <x:dataValidation type="decimal" errorStyle="stop" operator="between" allowBlank="1" showErrorMessage="1" errorTitle="Invalid override" error="Enter a number within the configured range or leave the cell blank." sqref="C37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77">
      <x:formula1>('Quantification_Results'!AA377="")</x:formula1>
    </x:dataValidation>
    <x:dataValidation type="decimal" errorStyle="stop" operator="between" allowBlank="1" showErrorMessage="1" errorTitle="Invalid override" error="Enter a number within the configured range or leave the cell blank." sqref="AM37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7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7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7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7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7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7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7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0">
      <x:formula1>('Quantification_Results'!AA380="")</x:formula1>
    </x:dataValidation>
    <x:dataValidation type="decimal" errorStyle="stop" operator="between" allowBlank="1" showErrorMessage="1" errorTitle="Invalid override" error="Enter a number within the configured range or leave the cell blank." sqref="AM38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80">
      <x:formula1>('Quantification_Results'!AY380="")</x:formula1>
    </x:dataValidation>
    <x:dataValidation type="decimal" errorStyle="stop" operator="between" allowBlank="1" showErrorMessage="1" errorTitle="Invalid override" error="Enter a number within the configured range or leave the cell blank." sqref="C38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8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8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2">
      <x:formula1>('Quantification_Results'!AA382="")</x:formula1>
    </x:dataValidation>
    <x:dataValidation type="decimal" errorStyle="stop" operator="between" allowBlank="1" showErrorMessage="1" errorTitle="Invalid override" error="Enter a number within the configured range or leave the cell blank." sqref="AM38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3">
      <x:formula1>'Quantification_Config'!$S$6</x:formula1>
      <x:formula2>'Quantification_Config'!$T$6</x:formula2>
    </x:dataValidation>
    <x:dataValidation type="custom" errorStyle="stop" allowBlank="1" showErrorMessage="1" errorTitle="Invalid override" error="This override must remain blank because the source answer is empty." sqref="O383">
      <x:formula1>('Quantification_Results'!O383="")</x:formula1>
    </x:dataValidation>
    <x:dataValidation type="custom" errorStyle="stop" allowBlank="1" showErrorMessage="1" errorTitle="Invalid override" error="This override must remain blank because the source answer is empty." sqref="AA383">
      <x:formula1>('Quantification_Results'!AA383="")</x:formula1>
    </x:dataValidation>
    <x:dataValidation type="decimal" errorStyle="stop" operator="between" allowBlank="1" showErrorMessage="1" errorTitle="Invalid override" error="Enter a number within the configured range or leave the cell blank." sqref="AM38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8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8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5">
      <x:formula1>('Quantification_Results'!AA385="")</x:formula1>
    </x:dataValidation>
    <x:dataValidation type="decimal" errorStyle="stop" operator="between" allowBlank="1" showErrorMessage="1" errorTitle="Invalid override" error="Enter a number within the configured range or leave the cell blank." sqref="AM38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6">
      <x:formula1>('Quantification_Results'!AA386="")</x:formula1>
    </x:dataValidation>
    <x:dataValidation type="decimal" errorStyle="stop" operator="between" allowBlank="1" showErrorMessage="1" errorTitle="Invalid override" error="Enter a number within the configured range or leave the cell blank." sqref="AM38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7">
      <x:formula1>('Quantification_Results'!AA387="")</x:formula1>
    </x:dataValidation>
    <x:dataValidation type="decimal" errorStyle="stop" operator="between" allowBlank="1" showErrorMessage="1" errorTitle="Invalid override" error="Enter a number within the configured range or leave the cell blank." sqref="AM38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8">
      <x:formula1>('Quantification_Results'!AA388="")</x:formula1>
    </x:dataValidation>
    <x:dataValidation type="decimal" errorStyle="stop" operator="between" allowBlank="1" showErrorMessage="1" errorTitle="Invalid override" error="Enter a number within the configured range or leave the cell blank." sqref="AM38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8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8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89">
      <x:formula1>('Quantification_Results'!AA389="")</x:formula1>
    </x:dataValidation>
    <x:dataValidation type="decimal" errorStyle="stop" operator="between" allowBlank="1" showErrorMessage="1" errorTitle="Invalid override" error="Enter a number within the configured range or leave the cell blank." sqref="AM38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8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0">
      <x:formula1>'Quantification_Config'!$S$6</x:formula1>
      <x:formula2>'Quantification_Config'!$T$6</x:formula2>
    </x:dataValidation>
    <x:dataValidation type="custom" errorStyle="stop" allowBlank="1" showErrorMessage="1" errorTitle="Invalid override" error="This override must remain blank because the source answer is empty." sqref="O390">
      <x:formula1>('Quantification_Results'!O390="")</x:formula1>
    </x:dataValidation>
    <x:dataValidation type="custom" errorStyle="stop" allowBlank="1" showErrorMessage="1" errorTitle="Invalid override" error="This override must remain blank because the source answer is empty." sqref="AA390">
      <x:formula1>('Quantification_Results'!AA390="")</x:formula1>
    </x:dataValidation>
    <x:dataValidation type="decimal" errorStyle="stop" operator="between" allowBlank="1" showErrorMessage="1" errorTitle="Invalid override" error="Enter a number within the configured range or leave the cell blank." sqref="AM39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90">
      <x:formula1>('Quantification_Results'!AY390="")</x:formula1>
    </x:dataValidation>
    <x:dataValidation type="decimal" errorStyle="stop" operator="between" allowBlank="1" showErrorMessage="1" errorTitle="Invalid override" error="Enter a number within the configured range or leave the cell blank." sqref="C39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9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9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2">
      <x:formula1>('Quantification_Results'!AA392="")</x:formula1>
    </x:dataValidation>
    <x:dataValidation type="decimal" errorStyle="stop" operator="between" allowBlank="1" showErrorMessage="1" errorTitle="Invalid override" error="Enter a number within the configured range or leave the cell blank." sqref="AM39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3">
      <x:formula1>('Quantification_Results'!AA393="")</x:formula1>
    </x:dataValidation>
    <x:dataValidation type="decimal" errorStyle="stop" operator="between" allowBlank="1" showErrorMessage="1" errorTitle="Invalid override" error="Enter a number within the configured range or leave the cell blank." sqref="AM39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93">
      <x:formula1>('Quantification_Results'!AY393="")</x:formula1>
    </x:dataValidation>
    <x:dataValidation type="decimal" errorStyle="stop" operator="between" allowBlank="1" showErrorMessage="1" errorTitle="Invalid override" error="Enter a number within the configured range or leave the cell blank." sqref="C39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4">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394">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9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5">
      <x:formula1>('Quantification_Results'!AA395="")</x:formula1>
    </x:dataValidation>
    <x:dataValidation type="decimal" errorStyle="stop" operator="between" allowBlank="1" showErrorMessage="1" errorTitle="Invalid override" error="Enter a number within the configured range or leave the cell blank." sqref="AM39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6">
      <x:formula1>'Quantification_Config'!$S$6</x:formula1>
      <x:formula2>'Quantification_Config'!$T$6</x:formula2>
    </x:dataValidation>
    <x:dataValidation type="custom" errorStyle="stop" allowBlank="1" showErrorMessage="1" errorTitle="Invalid override" error="This override must remain blank because the source answer is empty." sqref="O396">
      <x:formula1>('Quantification_Results'!O396="")</x:formula1>
    </x:dataValidation>
    <x:dataValidation type="decimal" errorStyle="stop" operator="between" allowBlank="1" showErrorMessage="1" errorTitle="Invalid override" error="Enter a number within the configured range or leave the cell blank." sqref="AA39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39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396">
      <x:formula1>('Quantification_Results'!AY396="")</x:formula1>
    </x:dataValidation>
    <x:dataValidation type="decimal" errorStyle="stop" operator="between" allowBlank="1" showErrorMessage="1" errorTitle="Invalid override" error="Enter a number within the configured range or leave the cell blank." sqref="C39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7">
      <x:formula1>('Quantification_Results'!AA397="")</x:formula1>
    </x:dataValidation>
    <x:dataValidation type="decimal" errorStyle="stop" operator="between" allowBlank="1" showErrorMessage="1" errorTitle="Invalid override" error="Enter a number within the configured range or leave the cell blank." sqref="AM39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8">
      <x:formula1>'Quantification_Config'!$S$6</x:formula1>
      <x:formula2>'Quantification_Config'!$T$6</x:formula2>
    </x:dataValidation>
    <x:dataValidation type="custom" errorStyle="stop" allowBlank="1" showErrorMessage="1" errorTitle="Invalid override" error="This override must remain blank because the source answer is empty." sqref="O398">
      <x:formula1>('Quantification_Results'!O398="")</x:formula1>
    </x:dataValidation>
    <x:dataValidation type="custom" errorStyle="stop" allowBlank="1" showErrorMessage="1" errorTitle="Invalid override" error="This override must remain blank because the source answer is empty." sqref="AA398">
      <x:formula1>('Quantification_Results'!AA398="")</x:formula1>
    </x:dataValidation>
    <x:dataValidation type="decimal" errorStyle="stop" operator="between" allowBlank="1" showErrorMessage="1" errorTitle="Invalid override" error="Enter a number within the configured range or leave the cell blank." sqref="AM39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39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39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399">
      <x:formula1>('Quantification_Results'!AA399="")</x:formula1>
    </x:dataValidation>
    <x:dataValidation type="decimal" errorStyle="stop" operator="between" allowBlank="1" showErrorMessage="1" errorTitle="Invalid override" error="Enter a number within the configured range or leave the cell blank." sqref="AM39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39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0">
      <x:formula1>('Quantification_Results'!AA400="")</x:formula1>
    </x:dataValidation>
    <x:dataValidation type="decimal" errorStyle="stop" operator="between" allowBlank="1" showErrorMessage="1" errorTitle="Invalid override" error="Enter a number within the configured range or leave the cell blank." sqref="AM40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1">
      <x:formula1>('Quantification_Results'!AA401="")</x:formula1>
    </x:dataValidation>
    <x:dataValidation type="decimal" errorStyle="stop" operator="between" allowBlank="1" showErrorMessage="1" errorTitle="Invalid override" error="Enter a number within the configured range or leave the cell blank." sqref="AM40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2">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02">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0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3">
      <x:formula1>('Quantification_Results'!AA403="")</x:formula1>
    </x:dataValidation>
    <x:dataValidation type="decimal" errorStyle="stop" operator="between" allowBlank="1" showErrorMessage="1" errorTitle="Invalid override" error="Enter a number within the configured range or leave the cell blank." sqref="AM40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4">
      <x:formula1>('Quantification_Results'!AA404="")</x:formula1>
    </x:dataValidation>
    <x:dataValidation type="decimal" errorStyle="stop" operator="between" allowBlank="1" showErrorMessage="1" errorTitle="Invalid override" error="Enter a number within the configured range or leave the cell blank." sqref="AM40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5">
      <x:formula1>('Quantification_Results'!AA405="")</x:formula1>
    </x:dataValidation>
    <x:dataValidation type="decimal" errorStyle="stop" operator="between" allowBlank="1" showErrorMessage="1" errorTitle="Invalid override" error="Enter a number within the configured range or leave the cell blank." sqref="AM40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0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0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07">
      <x:formula1>('Quantification_Results'!AA407="")</x:formula1>
    </x:dataValidation>
    <x:dataValidation type="decimal" errorStyle="stop" operator="between" allowBlank="1" showErrorMessage="1" errorTitle="Invalid override" error="Enter a number within the configured range or leave the cell blank." sqref="AM40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08">
      <x:formula1>'Quantification_Config'!$S$6</x:formula1>
      <x:formula2>'Quantification_Config'!$T$6</x:formula2>
    </x:dataValidation>
    <x:dataValidation type="custom" errorStyle="stop" allowBlank="1" showErrorMessage="1" errorTitle="Invalid override" error="This override must remain blank because the source answer is empty." sqref="O408">
      <x:formula1>('Quantification_Results'!O408="")</x:formula1>
    </x:dataValidation>
    <x:dataValidation type="custom" errorStyle="stop" allowBlank="1" showErrorMessage="1" errorTitle="Invalid override" error="This override must remain blank because the source answer is empty." sqref="AA408">
      <x:formula1>('Quantification_Results'!AA408="")</x:formula1>
    </x:dataValidation>
    <x:dataValidation type="decimal" errorStyle="stop" operator="between" allowBlank="1" showErrorMessage="1" errorTitle="Invalid override" error="Enter a number within the configured range or leave the cell blank." sqref="AM40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08">
      <x:formula1>('Quantification_Results'!AY408="")</x:formula1>
    </x:dataValidation>
    <x:dataValidation type="decimal" errorStyle="stop" operator="between" allowBlank="1" showErrorMessage="1" errorTitle="Invalid override" error="Enter a number within the configured range or leave the cell blank." sqref="C40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0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0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0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0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0">
      <x:formula1>('Quantification_Results'!AA410="")</x:formula1>
    </x:dataValidation>
    <x:dataValidation type="decimal" errorStyle="stop" operator="between" allowBlank="1" showErrorMessage="1" errorTitle="Invalid override" error="Enter a number within the configured range or leave the cell blank." sqref="AM41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1">
      <x:formula1>('Quantification_Results'!AA411="")</x:formula1>
    </x:dataValidation>
    <x:dataValidation type="decimal" errorStyle="stop" operator="between" allowBlank="1" showErrorMessage="1" errorTitle="Invalid override" error="Enter a number within the configured range or leave the cell blank." sqref="AM4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2">
      <x:formula1>'Quantification_Config'!$S$6</x:formula1>
      <x:formula2>'Quantification_Config'!$T$6</x:formula2>
    </x:dataValidation>
    <x:dataValidation type="custom" errorStyle="stop" allowBlank="1" showErrorMessage="1" errorTitle="Invalid override" error="This override must remain blank because the source answer is empty." sqref="O412">
      <x:formula1>('Quantification_Results'!O412="")</x:formula1>
    </x:dataValidation>
    <x:dataValidation type="custom" errorStyle="stop" allowBlank="1" showErrorMessage="1" errorTitle="Invalid override" error="This override must remain blank because the source answer is empty." sqref="AA412">
      <x:formula1>('Quantification_Results'!AA412="")</x:formula1>
    </x:dataValidation>
    <x:dataValidation type="decimal" errorStyle="stop" operator="between" allowBlank="1" showErrorMessage="1" errorTitle="Invalid override" error="Enter a number within the configured range or leave the cell blank." sqref="AM4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3">
      <x:formula1>('Quantification_Results'!AA413="")</x:formula1>
    </x:dataValidation>
    <x:dataValidation type="decimal" errorStyle="stop" operator="between" allowBlank="1" showErrorMessage="1" errorTitle="Invalid override" error="Enter a number within the configured range or leave the cell blank." sqref="AM41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4">
      <x:formula1>'Quantification_Config'!$S$6</x:formula1>
      <x:formula2>'Quantification_Config'!$T$6</x:formula2>
    </x:dataValidation>
    <x:dataValidation type="custom" errorStyle="stop" allowBlank="1" showErrorMessage="1" errorTitle="Invalid override" error="This override must remain blank because the source answer is empty." sqref="O414">
      <x:formula1>('Quantification_Results'!O414="")</x:formula1>
    </x:dataValidation>
    <x:dataValidation type="custom" errorStyle="stop" allowBlank="1" showErrorMessage="1" errorTitle="Invalid override" error="This override must remain blank because the source answer is empty." sqref="AA414">
      <x:formula1>('Quantification_Results'!AA414="")</x:formula1>
    </x:dataValidation>
    <x:dataValidation type="decimal" errorStyle="stop" operator="between" allowBlank="1" showErrorMessage="1" errorTitle="Invalid override" error="Enter a number within the configured range or leave the cell blank." sqref="AM41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14">
      <x:formula1>('Quantification_Results'!AY414="")</x:formula1>
    </x:dataValidation>
    <x:dataValidation type="decimal" errorStyle="stop" operator="between" allowBlank="1" showErrorMessage="1" errorTitle="Invalid override" error="Enter a number within the configured range or leave the cell blank." sqref="C41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1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6">
      <x:formula1>('Quantification_Results'!AA416="")</x:formula1>
    </x:dataValidation>
    <x:dataValidation type="decimal" errorStyle="stop" operator="between" allowBlank="1" showErrorMessage="1" errorTitle="Invalid override" error="Enter a number within the configured range or leave the cell blank." sqref="AM4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7">
      <x:formula1>'Quantification_Config'!$S$6</x:formula1>
      <x:formula2>'Quantification_Config'!$T$6</x:formula2>
    </x:dataValidation>
    <x:dataValidation type="custom" errorStyle="stop" allowBlank="1" showErrorMessage="1" errorTitle="Invalid override" error="This override must remain blank because the source answer is empty." sqref="O417">
      <x:formula1>('Quantification_Results'!O417="")</x:formula1>
    </x:dataValidation>
    <x:dataValidation type="custom" errorStyle="stop" allowBlank="1" showErrorMessage="1" errorTitle="Invalid override" error="This override must remain blank because the source answer is empty." sqref="AA417">
      <x:formula1>('Quantification_Results'!AA417="")</x:formula1>
    </x:dataValidation>
    <x:dataValidation type="decimal" errorStyle="stop" operator="between" allowBlank="1" showErrorMessage="1" errorTitle="Invalid override" error="Enter a number within the configured range or leave the cell blank." sqref="AM41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17">
      <x:formula1>('Quantification_Results'!AY417="")</x:formula1>
    </x:dataValidation>
    <x:dataValidation type="decimal" errorStyle="stop" operator="between" allowBlank="1" showErrorMessage="1" errorTitle="Invalid override" error="Enter a number within the configured range or leave the cell blank." sqref="C4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1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1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1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19">
      <x:formula1>('Quantification_Results'!AA419="")</x:formula1>
    </x:dataValidation>
    <x:dataValidation type="decimal" errorStyle="stop" operator="between" allowBlank="1" showErrorMessage="1" errorTitle="Invalid override" error="Enter a number within the configured range or leave the cell blank." sqref="AM41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1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0">
      <x:formula1>('Quantification_Results'!AA420="")</x:formula1>
    </x:dataValidation>
    <x:dataValidation type="decimal" errorStyle="stop" operator="between" allowBlank="1" showErrorMessage="1" errorTitle="Invalid override" error="Enter a number within the configured range or leave the cell blank." sqref="AM42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2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2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2">
      <x:formula1>('Quantification_Results'!AA422="")</x:formula1>
    </x:dataValidation>
    <x:dataValidation type="decimal" errorStyle="stop" operator="between" allowBlank="1" showErrorMessage="1" errorTitle="Invalid override" error="Enter a number within the configured range or leave the cell blank." sqref="AM4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3">
      <x:formula1>'Quantification_Config'!$S$6</x:formula1>
      <x:formula2>'Quantification_Config'!$T$6</x:formula2>
    </x:dataValidation>
    <x:dataValidation type="custom" errorStyle="stop" allowBlank="1" showErrorMessage="1" errorTitle="Invalid override" error="This override must remain blank because the source answer is empty." sqref="O423">
      <x:formula1>('Quantification_Results'!O423="")</x:formula1>
    </x:dataValidation>
    <x:dataValidation type="custom" errorStyle="stop" allowBlank="1" showErrorMessage="1" errorTitle="Invalid override" error="This override must remain blank because the source answer is empty." sqref="AA423">
      <x:formula1>('Quantification_Results'!AA423="")</x:formula1>
    </x:dataValidation>
    <x:dataValidation type="decimal" errorStyle="stop" operator="between" allowBlank="1" showErrorMessage="1" errorTitle="Invalid override" error="Enter a number within the configured range or leave the cell blank." sqref="AM42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23">
      <x:formula1>('Quantification_Results'!AY423="")</x:formula1>
    </x:dataValidation>
    <x:dataValidation type="decimal" errorStyle="stop" operator="between" allowBlank="1" showErrorMessage="1" errorTitle="Invalid override" error="Enter a number within the configured range or leave the cell blank." sqref="C4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4">
      <x:formula1>('Quantification_Results'!AA424="")</x:formula1>
    </x:dataValidation>
    <x:dataValidation type="decimal" errorStyle="stop" operator="between" allowBlank="1" showErrorMessage="1" errorTitle="Invalid override" error="Enter a number within the configured range or leave the cell blank." sqref="AM42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5">
      <x:formula1>('Quantification_Results'!AA425="")</x:formula1>
    </x:dataValidation>
    <x:dataValidation type="decimal" errorStyle="stop" operator="between" allowBlank="1" showErrorMessage="1" errorTitle="Invalid override" error="Enter a number within the configured range or leave the cell blank." sqref="AM42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6">
      <x:formula1>'Quantification_Config'!$S$6</x:formula1>
      <x:formula2>'Quantification_Config'!$T$6</x:formula2>
    </x:dataValidation>
    <x:dataValidation type="custom" errorStyle="stop" allowBlank="1" showErrorMessage="1" errorTitle="Invalid override" error="This override must remain blank because the source answer is empty." sqref="O426">
      <x:formula1>('Quantification_Results'!O426="")</x:formula1>
    </x:dataValidation>
    <x:dataValidation type="custom" errorStyle="stop" allowBlank="1" showErrorMessage="1" errorTitle="Invalid override" error="This override must remain blank because the source answer is empty." sqref="AA426">
      <x:formula1>('Quantification_Results'!AA426="")</x:formula1>
    </x:dataValidation>
    <x:dataValidation type="decimal" errorStyle="stop" operator="between" allowBlank="1" showErrorMessage="1" errorTitle="Invalid override" error="Enter a number within the configured range or leave the cell blank." sqref="AM42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26">
      <x:formula1>('Quantification_Results'!AY426="")</x:formula1>
    </x:dataValidation>
    <x:dataValidation type="decimal" errorStyle="stop" operator="between" allowBlank="1" showErrorMessage="1" errorTitle="Invalid override" error="Enter a number within the configured range or leave the cell blank." sqref="C42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7">
      <x:formula1>('Quantification_Results'!AA427="")</x:formula1>
    </x:dataValidation>
    <x:dataValidation type="decimal" errorStyle="stop" operator="between" allowBlank="1" showErrorMessage="1" errorTitle="Invalid override" error="Enter a number within the configured range or leave the cell blank." sqref="AM42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8">
      <x:formula1>('Quantification_Results'!AA428="")</x:formula1>
    </x:dataValidation>
    <x:dataValidation type="decimal" errorStyle="stop" operator="between" allowBlank="1" showErrorMessage="1" errorTitle="Invalid override" error="Enter a number within the configured range or leave the cell blank." sqref="AM42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29">
      <x:formula1>('Quantification_Results'!AA429="")</x:formula1>
    </x:dataValidation>
    <x:dataValidation type="decimal" errorStyle="stop" operator="between" allowBlank="1" showErrorMessage="1" errorTitle="Invalid override" error="Enter a number within the configured range or leave the cell blank." sqref="AM42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2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30">
      <x:formula1>('Quantification_Results'!AA430="")</x:formula1>
    </x:dataValidation>
    <x:dataValidation type="decimal" errorStyle="stop" operator="between" allowBlank="1" showErrorMessage="1" errorTitle="Invalid override" error="Enter a number within the configured range or leave the cell blank." sqref="AM43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1">
      <x:formula1>'Quantification_Config'!$S$6</x:formula1>
      <x:formula2>'Quantification_Config'!$T$6</x:formula2>
    </x:dataValidation>
    <x:dataValidation type="custom" errorStyle="stop" allowBlank="1" showErrorMessage="1" errorTitle="Invalid override" error="This override must remain blank because the source answer is empty." sqref="O431">
      <x:formula1>('Quantification_Results'!O431="")</x:formula1>
    </x:dataValidation>
    <x:dataValidation type="custom" errorStyle="stop" allowBlank="1" showErrorMessage="1" errorTitle="Invalid override" error="This override must remain blank because the source answer is empty." sqref="AA431">
      <x:formula1>('Quantification_Results'!AA431="")</x:formula1>
    </x:dataValidation>
    <x:dataValidation type="decimal" errorStyle="stop" operator="between" allowBlank="1" showErrorMessage="1" errorTitle="Invalid override" error="Enter a number within the configured range or leave the cell blank." sqref="AM43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31">
      <x:formula1>('Quantification_Results'!AY431="")</x:formula1>
    </x:dataValidation>
    <x:dataValidation type="decimal" errorStyle="stop" operator="between" allowBlank="1" showErrorMessage="1" errorTitle="Invalid override" error="Enter a number within the configured range or leave the cell blank." sqref="C43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32">
      <x:formula1>('Quantification_Results'!AA432="")</x:formula1>
    </x:dataValidation>
    <x:dataValidation type="decimal" errorStyle="stop" operator="between" allowBlank="1" showErrorMessage="1" errorTitle="Invalid override" error="Enter a number within the configured range or leave the cell blank." sqref="AM43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33">
      <x:formula1>('Quantification_Results'!AA433="")</x:formula1>
    </x:dataValidation>
    <x:dataValidation type="decimal" errorStyle="stop" operator="between" allowBlank="1" showErrorMessage="1" errorTitle="Invalid override" error="Enter a number within the configured range or leave the cell blank." sqref="AM43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4">
      <x:formula1>'Quantification_Config'!$S$6</x:formula1>
      <x:formula2>'Quantification_Config'!$T$6</x:formula2>
    </x:dataValidation>
    <x:dataValidation type="custom" errorStyle="stop" allowBlank="1" showErrorMessage="1" errorTitle="Invalid override" error="This override must remain blank because the source answer is empty." sqref="O434">
      <x:formula1>('Quantification_Results'!O434="")</x:formula1>
    </x:dataValidation>
    <x:dataValidation type="custom" errorStyle="stop" allowBlank="1" showErrorMessage="1" errorTitle="Invalid override" error="This override must remain blank because the source answer is empty." sqref="AA434">
      <x:formula1>('Quantification_Results'!AA434="")</x:formula1>
    </x:dataValidation>
    <x:dataValidation type="decimal" errorStyle="stop" operator="between" allowBlank="1" showErrorMessage="1" errorTitle="Invalid override" error="Enter a number within the configured range or leave the cell blank." sqref="AM43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34">
      <x:formula1>('Quantification_Results'!AY434="")</x:formula1>
    </x:dataValidation>
    <x:dataValidation type="decimal" errorStyle="stop" operator="between" allowBlank="1" showErrorMessage="1" errorTitle="Invalid override" error="Enter a number within the configured range or leave the cell blank." sqref="C43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3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3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3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3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7">
      <x:formula1>'Quantification_Config'!$S$6</x:formula1>
      <x:formula2>'Quantification_Config'!$T$6</x:formula2>
    </x:dataValidation>
    <x:dataValidation type="custom" errorStyle="stop" allowBlank="1" showErrorMessage="1" errorTitle="Invalid override" error="This override must remain blank because the source answer is empty." sqref="O437">
      <x:formula1>('Quantification_Results'!O437="")</x:formula1>
    </x:dataValidation>
    <x:dataValidation type="custom" errorStyle="stop" allowBlank="1" showErrorMessage="1" errorTitle="Invalid override" error="This override must remain blank because the source answer is empty." sqref="AA437">
      <x:formula1>('Quantification_Results'!AA437="")</x:formula1>
    </x:dataValidation>
    <x:dataValidation type="decimal" errorStyle="stop" operator="between" allowBlank="1" showErrorMessage="1" errorTitle="Invalid override" error="Enter a number within the configured range or leave the cell blank." sqref="AM43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37">
      <x:formula1>('Quantification_Results'!AY437="")</x:formula1>
    </x:dataValidation>
    <x:dataValidation type="decimal" errorStyle="stop" operator="between" allowBlank="1" showErrorMessage="1" errorTitle="Invalid override" error="Enter a number within the configured range or leave the cell blank." sqref="C438">
      <x:formula1>'Quantification_Config'!$S$6</x:formula1>
      <x:formula2>'Quantification_Config'!$T$6</x:formula2>
    </x:dataValidation>
    <x:dataValidation type="custom" errorStyle="stop" allowBlank="1" showErrorMessage="1" errorTitle="Invalid override" error="This override must remain blank because the source answer is empty." sqref="O438">
      <x:formula1>('Quantification_Results'!O438="")</x:formula1>
    </x:dataValidation>
    <x:dataValidation type="custom" errorStyle="stop" allowBlank="1" showErrorMessage="1" errorTitle="Invalid override" error="This override must remain blank because the source answer is empty." sqref="AA438">
      <x:formula1>('Quantification_Results'!AA438="")</x:formula1>
    </x:dataValidation>
    <x:dataValidation type="decimal" errorStyle="stop" operator="between" allowBlank="1" showErrorMessage="1" errorTitle="Invalid override" error="Enter a number within the configured range or leave the cell blank." sqref="AM43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3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39">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39">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3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3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0">
      <x:formula1>('Quantification_Results'!AA440="")</x:formula1>
    </x:dataValidation>
    <x:dataValidation type="decimal" errorStyle="stop" operator="between" allowBlank="1" showErrorMessage="1" errorTitle="Invalid override" error="Enter a number within the configured range or leave the cell blank." sqref="AM44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1">
      <x:formula1>('Quantification_Results'!AA441="")</x:formula1>
    </x:dataValidation>
    <x:dataValidation type="decimal" errorStyle="stop" operator="between" allowBlank="1" showErrorMessage="1" errorTitle="Invalid override" error="Enter a number within the configured range or leave the cell blank." sqref="AM44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41">
      <x:formula1>('Quantification_Results'!AY441="")</x:formula1>
    </x:dataValidation>
    <x:dataValidation type="decimal" errorStyle="stop" operator="between" allowBlank="1" showErrorMessage="1" errorTitle="Invalid override" error="Enter a number within the configured range or leave the cell blank." sqref="C442">
      <x:formula1>'Quantification_Config'!$S$6</x:formula1>
      <x:formula2>'Quantification_Config'!$T$6</x:formula2>
    </x:dataValidation>
    <x:dataValidation type="custom" errorStyle="stop" allowBlank="1" showErrorMessage="1" errorTitle="Invalid override" error="This override must remain blank because the source answer is empty." sqref="O442">
      <x:formula1>('Quantification_Results'!O442="")</x:formula1>
    </x:dataValidation>
    <x:dataValidation type="custom" errorStyle="stop" allowBlank="1" showErrorMessage="1" errorTitle="Invalid override" error="This override must remain blank because the source answer is empty." sqref="AA442">
      <x:formula1>('Quantification_Results'!AA442="")</x:formula1>
    </x:dataValidation>
    <x:dataValidation type="decimal" errorStyle="stop" operator="between" allowBlank="1" showErrorMessage="1" errorTitle="Invalid override" error="Enter a number within the configured range or leave the cell blank." sqref="AM44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3">
      <x:formula1>'Quantification_Config'!$S$6</x:formula1>
      <x:formula2>'Quantification_Config'!$T$6</x:formula2>
    </x:dataValidation>
    <x:dataValidation type="custom" errorStyle="stop" allowBlank="1" showErrorMessage="1" errorTitle="Invalid override" error="This override must remain blank because the source answer is empty." sqref="O443">
      <x:formula1>('Quantification_Results'!O443="")</x:formula1>
    </x:dataValidation>
    <x:dataValidation type="custom" errorStyle="stop" allowBlank="1" showErrorMessage="1" errorTitle="Invalid override" error="This override must remain blank because the source answer is empty." sqref="AA443">
      <x:formula1>('Quantification_Results'!AA443="")</x:formula1>
    </x:dataValidation>
    <x:dataValidation type="decimal" errorStyle="stop" operator="between" allowBlank="1" showErrorMessage="1" errorTitle="Invalid override" error="Enter a number within the configured range or leave the cell blank." sqref="AM44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4">
      <x:formula1>'Quantification_Config'!$S$6</x:formula1>
      <x:formula2>'Quantification_Config'!$T$6</x:formula2>
    </x:dataValidation>
    <x:dataValidation type="custom" errorStyle="stop" allowBlank="1" showErrorMessage="1" errorTitle="Invalid override" error="This override must remain blank because the source answer is empty." sqref="O444">
      <x:formula1>('Quantification_Results'!O444="")</x:formula1>
    </x:dataValidation>
    <x:dataValidation type="custom" errorStyle="stop" allowBlank="1" showErrorMessage="1" errorTitle="Invalid override" error="This override must remain blank because the source answer is empty." sqref="AA444">
      <x:formula1>('Quantification_Results'!AA444="")</x:formula1>
    </x:dataValidation>
    <x:dataValidation type="decimal" errorStyle="stop" operator="between" allowBlank="1" showErrorMessage="1" errorTitle="Invalid override" error="Enter a number within the configured range or leave the cell blank." sqref="AM44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5">
      <x:formula1>('Quantification_Results'!AA445="")</x:formula1>
    </x:dataValidation>
    <x:dataValidation type="decimal" errorStyle="stop" operator="between" allowBlank="1" showErrorMessage="1" errorTitle="Invalid override" error="Enter a number within the configured range or leave the cell blank." sqref="AM44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6">
      <x:formula1>'Quantification_Config'!$S$6</x:formula1>
      <x:formula2>'Quantification_Config'!$T$6</x:formula2>
    </x:dataValidation>
    <x:dataValidation type="custom" errorStyle="stop" allowBlank="1" showErrorMessage="1" errorTitle="Invalid override" error="This override must remain blank because the source answer is empty." sqref="O446">
      <x:formula1>('Quantification_Results'!O446="")</x:formula1>
    </x:dataValidation>
    <x:dataValidation type="custom" errorStyle="stop" allowBlank="1" showErrorMessage="1" errorTitle="Invalid override" error="This override must remain blank because the source answer is empty." sqref="AA446">
      <x:formula1>('Quantification_Results'!AA446="")</x:formula1>
    </x:dataValidation>
    <x:dataValidation type="decimal" errorStyle="stop" operator="between" allowBlank="1" showErrorMessage="1" errorTitle="Invalid override" error="Enter a number within the configured range or leave the cell blank." sqref="AM44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46">
      <x:formula1>('Quantification_Results'!AY446="")</x:formula1>
    </x:dataValidation>
    <x:dataValidation type="decimal" errorStyle="stop" operator="between" allowBlank="1" showErrorMessage="1" errorTitle="Invalid override" error="Enter a number within the configured range or leave the cell blank." sqref="C44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4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4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8">
      <x:formula1>('Quantification_Results'!AA448="")</x:formula1>
    </x:dataValidation>
    <x:dataValidation type="decimal" errorStyle="stop" operator="between" allowBlank="1" showErrorMessage="1" errorTitle="Invalid override" error="Enter a number within the configured range or leave the cell blank." sqref="AM44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4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4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49">
      <x:formula1>('Quantification_Results'!AA449="")</x:formula1>
    </x:dataValidation>
    <x:dataValidation type="decimal" errorStyle="stop" operator="between" allowBlank="1" showErrorMessage="1" errorTitle="Invalid override" error="Enter a number within the configured range or leave the cell blank." sqref="AM44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4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0">
      <x:formula1>('Quantification_Results'!AA450="")</x:formula1>
    </x:dataValidation>
    <x:dataValidation type="decimal" errorStyle="stop" operator="between" allowBlank="1" showErrorMessage="1" errorTitle="Invalid override" error="Enter a number within the configured range or leave the cell blank." sqref="AM45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1">
      <x:formula1>'Quantification_Config'!$S$6</x:formula1>
      <x:formula2>'Quantification_Config'!$T$6</x:formula2>
    </x:dataValidation>
    <x:dataValidation type="custom" errorStyle="stop" allowBlank="1" showErrorMessage="1" errorTitle="Invalid override" error="This override must remain blank because the source answer is empty." sqref="O451">
      <x:formula1>('Quantification_Results'!O451="")</x:formula1>
    </x:dataValidation>
    <x:dataValidation type="custom" errorStyle="stop" allowBlank="1" showErrorMessage="1" errorTitle="Invalid override" error="This override must remain blank because the source answer is empty." sqref="AA451">
      <x:formula1>('Quantification_Results'!AA451="")</x:formula1>
    </x:dataValidation>
    <x:dataValidation type="decimal" errorStyle="stop" operator="between" allowBlank="1" showErrorMessage="1" errorTitle="Invalid override" error="Enter a number within the configured range or leave the cell blank." sqref="AM45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51">
      <x:formula1>('Quantification_Results'!AY451="")</x:formula1>
    </x:dataValidation>
    <x:dataValidation type="decimal" errorStyle="stop" operator="between" allowBlank="1" showErrorMessage="1" errorTitle="Invalid override" error="Enter a number within the configured range or leave the cell blank." sqref="C45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2">
      <x:formula1>('Quantification_Results'!AA452="")</x:formula1>
    </x:dataValidation>
    <x:dataValidation type="decimal" errorStyle="stop" operator="between" allowBlank="1" showErrorMessage="1" errorTitle="Invalid override" error="Enter a number within the configured range or leave the cell blank." sqref="AM45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3">
      <x:formula1>'Quantification_Config'!$S$6</x:formula1>
      <x:formula2>'Quantification_Config'!$T$6</x:formula2>
    </x:dataValidation>
    <x:dataValidation type="custom" errorStyle="stop" allowBlank="1" showErrorMessage="1" errorTitle="Invalid override" error="This override must remain blank because the source answer is empty." sqref="O453">
      <x:formula1>('Quantification_Results'!O453="")</x:formula1>
    </x:dataValidation>
    <x:dataValidation type="custom" errorStyle="stop" allowBlank="1" showErrorMessage="1" errorTitle="Invalid override" error="This override must remain blank because the source answer is empty." sqref="AA453">
      <x:formula1>('Quantification_Results'!AA453="")</x:formula1>
    </x:dataValidation>
    <x:dataValidation type="decimal" errorStyle="stop" operator="between" allowBlank="1" showErrorMessage="1" errorTitle="Invalid override" error="Enter a number within the configured range or leave the cell blank." sqref="AM45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53">
      <x:formula1>('Quantification_Results'!AY453="")</x:formula1>
    </x:dataValidation>
    <x:dataValidation type="decimal" errorStyle="stop" operator="between" allowBlank="1" showErrorMessage="1" errorTitle="Invalid override" error="Enter a number within the configured range or leave the cell blank." sqref="C454">
      <x:formula1>'Quantification_Config'!$S$6</x:formula1>
      <x:formula2>'Quantification_Config'!$T$6</x:formula2>
    </x:dataValidation>
    <x:dataValidation type="custom" errorStyle="stop" allowBlank="1" showErrorMessage="1" errorTitle="Invalid override" error="This override must remain blank because the source answer is empty." sqref="O454">
      <x:formula1>('Quantification_Results'!O454="")</x:formula1>
    </x:dataValidation>
    <x:dataValidation type="custom" errorStyle="stop" allowBlank="1" showErrorMessage="1" errorTitle="Invalid override" error="This override must remain blank because the source answer is empty." sqref="AA454">
      <x:formula1>('Quantification_Results'!AA454="")</x:formula1>
    </x:dataValidation>
    <x:dataValidation type="decimal" errorStyle="stop" operator="between" allowBlank="1" showErrorMessage="1" errorTitle="Invalid override" error="Enter a number within the configured range or leave the cell blank." sqref="AM454">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54">
      <x:formula1>('Quantification_Results'!AY454="")</x:formula1>
    </x:dataValidation>
    <x:dataValidation type="decimal" errorStyle="stop" operator="between" allowBlank="1" showErrorMessage="1" errorTitle="Invalid override" error="Enter a number within the configured range or leave the cell blank." sqref="C45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5">
      <x:formula1>('Quantification_Results'!AA455="")</x:formula1>
    </x:dataValidation>
    <x:dataValidation type="decimal" errorStyle="stop" operator="between" allowBlank="1" showErrorMessage="1" errorTitle="Invalid override" error="Enter a number within the configured range or leave the cell blank." sqref="AM45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6">
      <x:formula1>('Quantification_Results'!AA456="")</x:formula1>
    </x:dataValidation>
    <x:dataValidation type="decimal" errorStyle="stop" operator="between" allowBlank="1" showErrorMessage="1" errorTitle="Invalid override" error="Enter a number within the configured range or leave the cell blank." sqref="AM45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7">
      <x:formula1>('Quantification_Results'!AA457="")</x:formula1>
    </x:dataValidation>
    <x:dataValidation type="decimal" errorStyle="stop" operator="between" allowBlank="1" showErrorMessage="1" errorTitle="Invalid override" error="Enter a number within the configured range or leave the cell blank." sqref="AM45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5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8">
      <x:formula1>('Quantification_Results'!AA458="")</x:formula1>
    </x:dataValidation>
    <x:dataValidation type="decimal" errorStyle="stop" operator="between" allowBlank="1" showErrorMessage="1" errorTitle="Invalid override" error="Enter a number within the configured range or leave the cell blank." sqref="AM45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58">
      <x:formula1>('Quantification_Results'!AY458="")</x:formula1>
    </x:dataValidation>
    <x:dataValidation type="decimal" errorStyle="stop" operator="between" allowBlank="1" showErrorMessage="1" errorTitle="Invalid override" error="Enter a number within the configured range or leave the cell blank." sqref="C45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5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59">
      <x:formula1>('Quantification_Results'!AA459="")</x:formula1>
    </x:dataValidation>
    <x:dataValidation type="decimal" errorStyle="stop" operator="between" allowBlank="1" showErrorMessage="1" errorTitle="Invalid override" error="Enter a number within the configured range or leave the cell blank." sqref="AM45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5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0">
      <x:formula1>('Quantification_Results'!AA460="")</x:formula1>
    </x:dataValidation>
    <x:dataValidation type="decimal" errorStyle="stop" operator="between" allowBlank="1" showErrorMessage="1" errorTitle="Invalid override" error="Enter a number within the configured range or leave the cell blank." sqref="AM46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60">
      <x:formula1>('Quantification_Results'!AY460="")</x:formula1>
    </x:dataValidation>
    <x:dataValidation type="decimal" errorStyle="stop" operator="between" allowBlank="1" showErrorMessage="1" errorTitle="Invalid override" error="Enter a number within the configured range or leave the cell blank." sqref="C46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1">
      <x:formula1>('Quantification_Results'!AA461="")</x:formula1>
    </x:dataValidation>
    <x:dataValidation type="decimal" errorStyle="stop" operator="between" allowBlank="1" showErrorMessage="1" errorTitle="Invalid override" error="Enter a number within the configured range or leave the cell blank." sqref="AM46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2">
      <x:formula1>('Quantification_Results'!AA462="")</x:formula1>
    </x:dataValidation>
    <x:dataValidation type="decimal" errorStyle="stop" operator="between" allowBlank="1" showErrorMessage="1" errorTitle="Invalid override" error="Enter a number within the configured range or leave the cell blank." sqref="AM46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3">
      <x:formula1>('Quantification_Results'!AA463="")</x:formula1>
    </x:dataValidation>
    <x:dataValidation type="decimal" errorStyle="stop" operator="between" allowBlank="1" showErrorMessage="1" errorTitle="Invalid override" error="Enter a number within the configured range or leave the cell blank." sqref="AM46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63">
      <x:formula1>('Quantification_Results'!AY463="")</x:formula1>
    </x:dataValidation>
    <x:dataValidation type="decimal" errorStyle="stop" operator="between" allowBlank="1" showErrorMessage="1" errorTitle="Invalid override" error="Enter a number within the configured range or leave the cell blank." sqref="C46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4">
      <x:formula1>('Quantification_Results'!AA464="")</x:formula1>
    </x:dataValidation>
    <x:dataValidation type="decimal" errorStyle="stop" operator="between" allowBlank="1" showErrorMessage="1" errorTitle="Invalid override" error="Enter a number within the configured range or leave the cell blank." sqref="AM46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5">
      <x:formula1>('Quantification_Results'!AA465="")</x:formula1>
    </x:dataValidation>
    <x:dataValidation type="decimal" errorStyle="stop" operator="between" allowBlank="1" showErrorMessage="1" errorTitle="Invalid override" error="Enter a number within the configured range or leave the cell blank." sqref="AM46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6">
      <x:formula1>('Quantification_Results'!AA466="")</x:formula1>
    </x:dataValidation>
    <x:dataValidation type="decimal" errorStyle="stop" operator="between" allowBlank="1" showErrorMessage="1" errorTitle="Invalid override" error="Enter a number within the configured range or leave the cell blank." sqref="AM46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7">
      <x:formula1>'Quantification_Config'!$S$6</x:formula1>
      <x:formula2>'Quantification_Config'!$T$6</x:formula2>
    </x:dataValidation>
    <x:dataValidation type="custom" errorStyle="stop" allowBlank="1" showErrorMessage="1" errorTitle="Invalid override" error="This override must remain blank because the source answer is empty." sqref="O467">
      <x:formula1>('Quantification_Results'!O467="")</x:formula1>
    </x:dataValidation>
    <x:dataValidation type="custom" errorStyle="stop" allowBlank="1" showErrorMessage="1" errorTitle="Invalid override" error="This override must remain blank because the source answer is empty." sqref="AA467">
      <x:formula1>('Quantification_Results'!AA467="")</x:formula1>
    </x:dataValidation>
    <x:dataValidation type="decimal" errorStyle="stop" operator="between" allowBlank="1" showErrorMessage="1" errorTitle="Invalid override" error="Enter a number within the configured range or leave the cell blank." sqref="AM46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8">
      <x:formula1>('Quantification_Results'!AA468="")</x:formula1>
    </x:dataValidation>
    <x:dataValidation type="decimal" errorStyle="stop" operator="between" allowBlank="1" showErrorMessage="1" errorTitle="Invalid override" error="Enter a number within the configured range or leave the cell blank." sqref="AM46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6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6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69">
      <x:formula1>('Quantification_Results'!AA469="")</x:formula1>
    </x:dataValidation>
    <x:dataValidation type="decimal" errorStyle="stop" operator="between" allowBlank="1" showErrorMessage="1" errorTitle="Invalid override" error="Enter a number within the configured range or leave the cell blank." sqref="AM46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6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7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7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7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7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2">
      <x:formula1>('Quantification_Results'!AA472="")</x:formula1>
    </x:dataValidation>
    <x:dataValidation type="decimal" errorStyle="stop" operator="between" allowBlank="1" showErrorMessage="1" errorTitle="Invalid override" error="Enter a number within the configured range or leave the cell blank." sqref="AM47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3">
      <x:formula1>('Quantification_Results'!AA473="")</x:formula1>
    </x:dataValidation>
    <x:dataValidation type="decimal" errorStyle="stop" operator="between" allowBlank="1" showErrorMessage="1" errorTitle="Invalid override" error="Enter a number within the configured range or leave the cell blank." sqref="AM47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4">
      <x:formula1>('Quantification_Results'!AA474="")</x:formula1>
    </x:dataValidation>
    <x:dataValidation type="decimal" errorStyle="stop" operator="between" allowBlank="1" showErrorMessage="1" errorTitle="Invalid override" error="Enter a number within the configured range or leave the cell blank." sqref="AM47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5">
      <x:formula1>('Quantification_Results'!AA475="")</x:formula1>
    </x:dataValidation>
    <x:dataValidation type="decimal" errorStyle="stop" operator="between" allowBlank="1" showErrorMessage="1" errorTitle="Invalid override" error="Enter a number within the configured range or leave the cell blank." sqref="AM47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6">
      <x:formula1>('Quantification_Results'!AA476="")</x:formula1>
    </x:dataValidation>
    <x:dataValidation type="decimal" errorStyle="stop" operator="between" allowBlank="1" showErrorMessage="1" errorTitle="Invalid override" error="Enter a number within the configured range or leave the cell blank." sqref="AM47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7">
      <x:formula1>('Quantification_Results'!AA477="")</x:formula1>
    </x:dataValidation>
    <x:dataValidation type="decimal" errorStyle="stop" operator="between" allowBlank="1" showErrorMessage="1" errorTitle="Invalid override" error="Enter a number within the configured range or leave the cell blank." sqref="AM47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7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78">
      <x:formula1>('Quantification_Results'!AA478="")</x:formula1>
    </x:dataValidation>
    <x:dataValidation type="decimal" errorStyle="stop" operator="between" allowBlank="1" showErrorMessage="1" errorTitle="Invalid override" error="Enter a number within the configured range or leave the cell blank." sqref="AM47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7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79">
      <x:formula1>'Quantification_Config'!$S$6</x:formula1>
      <x:formula2>'Quantification_Config'!$T$6</x:formula2>
    </x:dataValidation>
    <x:dataValidation type="custom" errorStyle="stop" allowBlank="1" showErrorMessage="1" errorTitle="Invalid override" error="This override must remain blank because the source answer is empty." sqref="O479">
      <x:formula1>('Quantification_Results'!O479="")</x:formula1>
    </x:dataValidation>
    <x:dataValidation type="custom" errorStyle="stop" allowBlank="1" showErrorMessage="1" errorTitle="Invalid override" error="This override must remain blank because the source answer is empty." sqref="AA479">
      <x:formula1>('Quantification_Results'!AA479="")</x:formula1>
    </x:dataValidation>
    <x:dataValidation type="decimal" errorStyle="stop" operator="between" allowBlank="1" showErrorMessage="1" errorTitle="Invalid override" error="Enter a number within the configured range or leave the cell blank." sqref="AM47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79">
      <x:formula1>('Quantification_Results'!AY479="")</x:formula1>
    </x:dataValidation>
    <x:dataValidation type="decimal" errorStyle="stop" operator="between" allowBlank="1" showErrorMessage="1" errorTitle="Invalid override" error="Enter a number within the configured range or leave the cell blank." sqref="C480">
      <x:formula1>'Quantification_Config'!$S$6</x:formula1>
      <x:formula2>'Quantification_Config'!$T$6</x:formula2>
    </x:dataValidation>
    <x:dataValidation type="custom" errorStyle="stop" allowBlank="1" showErrorMessage="1" errorTitle="Invalid override" error="This override must remain blank because the source answer is empty." sqref="O480">
      <x:formula1>('Quantification_Results'!O480="")</x:formula1>
    </x:dataValidation>
    <x:dataValidation type="custom" errorStyle="stop" allowBlank="1" showErrorMessage="1" errorTitle="Invalid override" error="This override must remain blank because the source answer is empty." sqref="AA480">
      <x:formula1>('Quantification_Results'!AA480="")</x:formula1>
    </x:dataValidation>
    <x:dataValidation type="decimal" errorStyle="stop" operator="between" allowBlank="1" showErrorMessage="1" errorTitle="Invalid override" error="Enter a number within the configured range or leave the cell blank." sqref="AM48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80">
      <x:formula1>('Quantification_Results'!AY480="")</x:formula1>
    </x:dataValidation>
    <x:dataValidation type="decimal" errorStyle="stop" operator="between" allowBlank="1" showErrorMessage="1" errorTitle="Invalid override" error="Enter a number within the configured range or leave the cell blank." sqref="C48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1">
      <x:formula1>('Quantification_Results'!AA481="")</x:formula1>
    </x:dataValidation>
    <x:dataValidation type="decimal" errorStyle="stop" operator="between" allowBlank="1" showErrorMessage="1" errorTitle="Invalid override" error="Enter a number within the configured range or leave the cell blank." sqref="AM48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81">
      <x:formula1>('Quantification_Results'!AY481="")</x:formula1>
    </x:dataValidation>
    <x:dataValidation type="decimal" errorStyle="stop" operator="between" allowBlank="1" showErrorMessage="1" errorTitle="Invalid override" error="Enter a number within the configured range or leave the cell blank." sqref="C48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2">
      <x:formula1>('Quantification_Results'!AA482="")</x:formula1>
    </x:dataValidation>
    <x:dataValidation type="decimal" errorStyle="stop" operator="between" allowBlank="1" showErrorMessage="1" errorTitle="Invalid override" error="Enter a number within the configured range or leave the cell blank." sqref="AM48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3">
      <x:formula1>('Quantification_Results'!AA483="")</x:formula1>
    </x:dataValidation>
    <x:dataValidation type="decimal" errorStyle="stop" operator="between" allowBlank="1" showErrorMessage="1" errorTitle="Invalid override" error="Enter a number within the configured range or leave the cell blank." sqref="AM48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4">
      <x:formula1>('Quantification_Results'!AA484="")</x:formula1>
    </x:dataValidation>
    <x:dataValidation type="decimal" errorStyle="stop" operator="between" allowBlank="1" showErrorMessage="1" errorTitle="Invalid override" error="Enter a number within the configured range or leave the cell blank." sqref="AM48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8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8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48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48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7">
      <x:formula1>('Quantification_Results'!AA487="")</x:formula1>
    </x:dataValidation>
    <x:dataValidation type="decimal" errorStyle="stop" operator="between" allowBlank="1" showErrorMessage="1" errorTitle="Invalid override" error="Enter a number within the configured range or leave the cell blank." sqref="AM48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8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88">
      <x:formula1>('Quantification_Results'!AA488="")</x:formula1>
    </x:dataValidation>
    <x:dataValidation type="decimal" errorStyle="stop" operator="between" allowBlank="1" showErrorMessage="1" errorTitle="Invalid override" error="Enter a number within the configured range or leave the cell blank." sqref="AM48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8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89">
      <x:formula1>'Quantification_Config'!$S$6</x:formula1>
      <x:formula2>'Quantification_Config'!$T$6</x:formula2>
    </x:dataValidation>
    <x:dataValidation type="custom" errorStyle="stop" allowBlank="1" showErrorMessage="1" errorTitle="Invalid override" error="This override must remain blank because the source answer is empty." sqref="O489">
      <x:formula1>('Quantification_Results'!O489="")</x:formula1>
    </x:dataValidation>
    <x:dataValidation type="custom" errorStyle="stop" allowBlank="1" showErrorMessage="1" errorTitle="Invalid override" error="This override must remain blank because the source answer is empty." sqref="AA489">
      <x:formula1>('Quantification_Results'!AA489="")</x:formula1>
    </x:dataValidation>
    <x:dataValidation type="decimal" errorStyle="stop" operator="between" allowBlank="1" showErrorMessage="1" errorTitle="Invalid override" error="Enter a number within the configured range or leave the cell blank." sqref="AM48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89">
      <x:formula1>('Quantification_Results'!AY489="")</x:formula1>
    </x:dataValidation>
    <x:dataValidation type="decimal" errorStyle="stop" operator="between" allowBlank="1" showErrorMessage="1" errorTitle="Invalid override" error="Enter a number within the configured range or leave the cell blank." sqref="C490">
      <x:formula1>'Quantification_Config'!$S$6</x:formula1>
      <x:formula2>'Quantification_Config'!$T$6</x:formula2>
    </x:dataValidation>
    <x:dataValidation type="custom" errorStyle="stop" allowBlank="1" showErrorMessage="1" errorTitle="Invalid override" error="This override must remain blank because the source answer is empty." sqref="O490">
      <x:formula1>('Quantification_Results'!O490="")</x:formula1>
    </x:dataValidation>
    <x:dataValidation type="custom" errorStyle="stop" allowBlank="1" showErrorMessage="1" errorTitle="Invalid override" error="This override must remain blank because the source answer is empty." sqref="AA490">
      <x:formula1>('Quantification_Results'!AA490="")</x:formula1>
    </x:dataValidation>
    <x:dataValidation type="decimal" errorStyle="stop" operator="between" allowBlank="1" showErrorMessage="1" errorTitle="Invalid override" error="Enter a number within the configured range or leave the cell blank." sqref="AM49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90">
      <x:formula1>('Quantification_Results'!AY490="")</x:formula1>
    </x:dataValidation>
    <x:dataValidation type="decimal" errorStyle="stop" operator="between" allowBlank="1" showErrorMessage="1" errorTitle="Invalid override" error="Enter a number within the configured range or leave the cell blank." sqref="C49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1">
      <x:formula1>('Quantification_Results'!AA491="")</x:formula1>
    </x:dataValidation>
    <x:dataValidation type="decimal" errorStyle="stop" operator="between" allowBlank="1" showErrorMessage="1" errorTitle="Invalid override" error="Enter a number within the configured range or leave the cell blank." sqref="AM49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9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2">
      <x:formula1>('Quantification_Results'!AA492="")</x:formula1>
    </x:dataValidation>
    <x:dataValidation type="decimal" errorStyle="stop" operator="between" allowBlank="1" showErrorMessage="1" errorTitle="Invalid override" error="Enter a number within the configured range or leave the cell blank." sqref="AM492">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92">
      <x:formula1>('Quantification_Results'!AY492="")</x:formula1>
    </x:dataValidation>
    <x:dataValidation type="decimal" errorStyle="stop" operator="between" allowBlank="1" showErrorMessage="1" errorTitle="Invalid override" error="Enter a number within the configured range or leave the cell blank." sqref="C493">
      <x:formula1>'Quantification_Config'!$S$6</x:formula1>
      <x:formula2>'Quantification_Config'!$T$6</x:formula2>
    </x:dataValidation>
    <x:dataValidation type="custom" errorStyle="stop" allowBlank="1" showErrorMessage="1" errorTitle="Invalid override" error="This override must remain blank because the source answer is empty." sqref="O493">
      <x:formula1>('Quantification_Results'!O493="")</x:formula1>
    </x:dataValidation>
    <x:dataValidation type="custom" errorStyle="stop" allowBlank="1" showErrorMessage="1" errorTitle="Invalid override" error="This override must remain blank because the source answer is empty." sqref="AA493">
      <x:formula1>('Quantification_Results'!AA493="")</x:formula1>
    </x:dataValidation>
    <x:dataValidation type="decimal" errorStyle="stop" operator="between" allowBlank="1" showErrorMessage="1" errorTitle="Invalid override" error="Enter a number within the configured range or leave the cell blank." sqref="AM49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93">
      <x:formula1>('Quantification_Results'!AY493="")</x:formula1>
    </x:dataValidation>
    <x:dataValidation type="decimal" errorStyle="stop" operator="between" allowBlank="1" showErrorMessage="1" errorTitle="Invalid override" error="Enter a number within the configured range or leave the cell blank." sqref="C49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4">
      <x:formula1>('Quantification_Results'!AA494="")</x:formula1>
    </x:dataValidation>
    <x:dataValidation type="decimal" errorStyle="stop" operator="between" allowBlank="1" showErrorMessage="1" errorTitle="Invalid override" error="Enter a number within the configured range or leave the cell blank." sqref="AM49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9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5">
      <x:formula1>('Quantification_Results'!AA495="")</x:formula1>
    </x:dataValidation>
    <x:dataValidation type="decimal" errorStyle="stop" operator="between" allowBlank="1" showErrorMessage="1" errorTitle="Invalid override" error="Enter a number within the configured range or leave the cell blank." sqref="AM49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96">
      <x:formula1>'Quantification_Config'!$S$6</x:formula1>
      <x:formula2>'Quantification_Config'!$T$6</x:formula2>
    </x:dataValidation>
    <x:dataValidation type="custom" errorStyle="stop" allowBlank="1" showErrorMessage="1" errorTitle="Invalid override" error="This override must remain blank because the source answer is empty." sqref="O496">
      <x:formula1>('Quantification_Results'!O496="")</x:formula1>
    </x:dataValidation>
    <x:dataValidation type="custom" errorStyle="stop" allowBlank="1" showErrorMessage="1" errorTitle="Invalid override" error="This override must remain blank because the source answer is empty." sqref="AA496">
      <x:formula1>('Quantification_Results'!AA496="")</x:formula1>
    </x:dataValidation>
    <x:dataValidation type="decimal" errorStyle="stop" operator="between" allowBlank="1" showErrorMessage="1" errorTitle="Invalid override" error="Enter a number within the configured range or leave the cell blank." sqref="AM49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96">
      <x:formula1>('Quantification_Results'!AY496="")</x:formula1>
    </x:dataValidation>
    <x:dataValidation type="decimal" errorStyle="stop" operator="between" allowBlank="1" showErrorMessage="1" errorTitle="Invalid override" error="Enter a number within the configured range or leave the cell blank." sqref="C49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7">
      <x:formula1>('Quantification_Results'!AA497="")</x:formula1>
    </x:dataValidation>
    <x:dataValidation type="decimal" errorStyle="stop" operator="between" allowBlank="1" showErrorMessage="1" errorTitle="Invalid override" error="Enter a number within the configured range or leave the cell blank." sqref="AM49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498">
      <x:formula1>'Quantification_Config'!$S$6</x:formula1>
      <x:formula2>'Quantification_Config'!$T$6</x:formula2>
    </x:dataValidation>
    <x:dataValidation type="custom" errorStyle="stop" allowBlank="1" showErrorMessage="1" errorTitle="Invalid override" error="This override must remain blank because the source answer is empty." sqref="O498">
      <x:formula1>('Quantification_Results'!O498="")</x:formula1>
    </x:dataValidation>
    <x:dataValidation type="custom" errorStyle="stop" allowBlank="1" showErrorMessage="1" errorTitle="Invalid override" error="This override must remain blank because the source answer is empty." sqref="AA498">
      <x:formula1>('Quantification_Results'!AA498="")</x:formula1>
    </x:dataValidation>
    <x:dataValidation type="decimal" errorStyle="stop" operator="between" allowBlank="1" showErrorMessage="1" errorTitle="Invalid override" error="Enter a number within the configured range or leave the cell blank." sqref="AM498">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498">
      <x:formula1>('Quantification_Results'!AY498="")</x:formula1>
    </x:dataValidation>
    <x:dataValidation type="decimal" errorStyle="stop" operator="between" allowBlank="1" showErrorMessage="1" errorTitle="Invalid override" error="Enter a number within the configured range or leave the cell blank." sqref="C49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49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499">
      <x:formula1>('Quantification_Results'!AA499="")</x:formula1>
    </x:dataValidation>
    <x:dataValidation type="decimal" errorStyle="stop" operator="between" allowBlank="1" showErrorMessage="1" errorTitle="Invalid override" error="Enter a number within the configured range or leave the cell blank." sqref="AM49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49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0">
      <x:formula1>('Quantification_Results'!AA500="")</x:formula1>
    </x:dataValidation>
    <x:dataValidation type="decimal" errorStyle="stop" operator="between" allowBlank="1" showErrorMessage="1" errorTitle="Invalid override" error="Enter a number within the configured range or leave the cell blank." sqref="AM50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1">
      <x:formula1>'Quantification_Config'!$S$6</x:formula1>
      <x:formula2>'Quantification_Config'!$T$6</x:formula2>
    </x:dataValidation>
    <x:dataValidation type="custom" errorStyle="stop" allowBlank="1" showErrorMessage="1" errorTitle="Invalid override" error="This override must remain blank because the source answer is empty." sqref="O501">
      <x:formula1>('Quantification_Results'!O501="")</x:formula1>
    </x:dataValidation>
    <x:dataValidation type="custom" errorStyle="stop" allowBlank="1" showErrorMessage="1" errorTitle="Invalid override" error="This override must remain blank because the source answer is empty." sqref="AA501">
      <x:formula1>('Quantification_Results'!AA501="")</x:formula1>
    </x:dataValidation>
    <x:dataValidation type="decimal" errorStyle="stop" operator="between" allowBlank="1" showErrorMessage="1" errorTitle="Invalid override" error="Enter a number within the configured range or leave the cell blank." sqref="AM50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2">
      <x:formula1>('Quantification_Results'!AA502="")</x:formula1>
    </x:dataValidation>
    <x:dataValidation type="decimal" errorStyle="stop" operator="between" allowBlank="1" showErrorMessage="1" errorTitle="Invalid override" error="Enter a number within the configured range or leave the cell blank." sqref="AM50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3">
      <x:formula1>('Quantification_Results'!AA503="")</x:formula1>
    </x:dataValidation>
    <x:dataValidation type="decimal" errorStyle="stop" operator="between" allowBlank="1" showErrorMessage="1" errorTitle="Invalid override" error="Enter a number within the configured range or leave the cell blank." sqref="AM50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4">
      <x:formula1>('Quantification_Results'!AA504="")</x:formula1>
    </x:dataValidation>
    <x:dataValidation type="decimal" errorStyle="stop" operator="between" allowBlank="1" showErrorMessage="1" errorTitle="Invalid override" error="Enter a number within the configured range or leave the cell blank." sqref="AM50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5">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05">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0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6">
      <x:formula1>'Quantification_Config'!$S$6</x:formula1>
      <x:formula2>'Quantification_Config'!$T$6</x:formula2>
    </x:dataValidation>
    <x:dataValidation type="custom" errorStyle="stop" allowBlank="1" showErrorMessage="1" errorTitle="Invalid override" error="This override must remain blank because the source answer is empty." sqref="O506">
      <x:formula1>('Quantification_Results'!O506="")</x:formula1>
    </x:dataValidation>
    <x:dataValidation type="custom" errorStyle="stop" allowBlank="1" showErrorMessage="1" errorTitle="Invalid override" error="This override must remain blank because the source answer is empty." sqref="AA506">
      <x:formula1>('Quantification_Results'!AA506="")</x:formula1>
    </x:dataValidation>
    <x:dataValidation type="decimal" errorStyle="stop" operator="between" allowBlank="1" showErrorMessage="1" errorTitle="Invalid override" error="Enter a number within the configured range or leave the cell blank." sqref="AM506">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06">
      <x:formula1>('Quantification_Results'!AY506="")</x:formula1>
    </x:dataValidation>
    <x:dataValidation type="decimal" errorStyle="stop" operator="between" allowBlank="1" showErrorMessage="1" errorTitle="Invalid override" error="Enter a number within the configured range or leave the cell blank." sqref="C50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7">
      <x:formula1>('Quantification_Results'!AA507="")</x:formula1>
    </x:dataValidation>
    <x:dataValidation type="decimal" errorStyle="stop" operator="between" allowBlank="1" showErrorMessage="1" errorTitle="Invalid override" error="Enter a number within the configured range or leave the cell blank." sqref="AM50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8">
      <x:formula1>('Quantification_Results'!AA508="")</x:formula1>
    </x:dataValidation>
    <x:dataValidation type="decimal" errorStyle="stop" operator="between" allowBlank="1" showErrorMessage="1" errorTitle="Invalid override" error="Enter a number within the configured range or leave the cell blank." sqref="AM50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0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0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09">
      <x:formula1>('Quantification_Results'!AA509="")</x:formula1>
    </x:dataValidation>
    <x:dataValidation type="decimal" errorStyle="stop" operator="between" allowBlank="1" showErrorMessage="1" errorTitle="Invalid override" error="Enter a number within the configured range or leave the cell blank." sqref="AM50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0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0">
      <x:formula1>'Quantification_Config'!$S$6</x:formula1>
      <x:formula2>'Quantification_Config'!$T$6</x:formula2>
    </x:dataValidation>
    <x:dataValidation type="custom" errorStyle="stop" allowBlank="1" showErrorMessage="1" errorTitle="Invalid override" error="This override must remain blank because the source answer is empty." sqref="O510">
      <x:formula1>('Quantification_Results'!O510="")</x:formula1>
    </x:dataValidation>
    <x:dataValidation type="custom" errorStyle="stop" allowBlank="1" showErrorMessage="1" errorTitle="Invalid override" error="This override must remain blank because the source answer is empty." sqref="AA510">
      <x:formula1>('Quantification_Results'!AA510="")</x:formula1>
    </x:dataValidation>
    <x:dataValidation type="decimal" errorStyle="stop" operator="between" allowBlank="1" showErrorMessage="1" errorTitle="Invalid override" error="Enter a number within the configured range or leave the cell blank." sqref="AM510">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10">
      <x:formula1>('Quantification_Results'!AY510="")</x:formula1>
    </x:dataValidation>
    <x:dataValidation type="decimal" errorStyle="stop" operator="between" allowBlank="1" showErrorMessage="1" errorTitle="Invalid override" error="Enter a number within the configured range or leave the cell blank." sqref="C51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1">
      <x:formula1>('Quantification_Results'!AA511="")</x:formula1>
    </x:dataValidation>
    <x:dataValidation type="decimal" errorStyle="stop" operator="between" allowBlank="1" showErrorMessage="1" errorTitle="Invalid override" error="Enter a number within the configured range or leave the cell blank." sqref="AM51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2">
      <x:formula1>'Quantification_Config'!$S$6</x:formula1>
      <x:formula2>'Quantification_Config'!$T$6</x:formula2>
    </x:dataValidation>
    <x:dataValidation type="custom" errorStyle="stop" allowBlank="1" showErrorMessage="1" errorTitle="Invalid override" error="This override must remain blank because the source answer is empty." sqref="O512">
      <x:formula1>('Quantification_Results'!O512="")</x:formula1>
    </x:dataValidation>
    <x:dataValidation type="custom" errorStyle="stop" allowBlank="1" showErrorMessage="1" errorTitle="Invalid override" error="This override must remain blank because the source answer is empty." sqref="AA512">
      <x:formula1>('Quantification_Results'!AA512="")</x:formula1>
    </x:dataValidation>
    <x:dataValidation type="decimal" errorStyle="stop" operator="between" allowBlank="1" showErrorMessage="1" errorTitle="Invalid override" error="Enter a number within the configured range or leave the cell blank." sqref="AM51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3">
      <x:formula1>('Quantification_Results'!AA513="")</x:formula1>
    </x:dataValidation>
    <x:dataValidation type="decimal" errorStyle="stop" operator="between" allowBlank="1" showErrorMessage="1" errorTitle="Invalid override" error="Enter a number within the configured range or leave the cell blank." sqref="AM513">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3">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4">
      <x:formula1>('Quantification_Results'!AA514="")</x:formula1>
    </x:dataValidation>
    <x:dataValidation type="decimal" errorStyle="stop" operator="between" allowBlank="1" showErrorMessage="1" errorTitle="Invalid override" error="Enter a number within the configured range or leave the cell blank." sqref="AM51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5">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5">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5">
      <x:formula1>('Quantification_Results'!AA515="")</x:formula1>
    </x:dataValidation>
    <x:dataValidation type="decimal" errorStyle="stop" operator="between" allowBlank="1" showErrorMessage="1" errorTitle="Invalid override" error="Enter a number within the configured range or leave the cell blank." sqref="AM515">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5">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6">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16">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1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7">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7">
      <x:formula1>('Quantification_Results'!AA517="")</x:formula1>
    </x:dataValidation>
    <x:dataValidation type="decimal" errorStyle="stop" operator="between" allowBlank="1" showErrorMessage="1" errorTitle="Invalid override" error="Enter a number within the configured range or leave the cell blank." sqref="AM517">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7">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18">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18">
      <x:formula1>('Quantification_Results'!AA518="")</x:formula1>
    </x:dataValidation>
    <x:dataValidation type="decimal" errorStyle="stop" operator="between" allowBlank="1" showErrorMessage="1" errorTitle="Invalid override" error="Enter a number within the configured range or leave the cell blank." sqref="AM51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1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19">
      <x:formula1>'Quantification_Config'!$S$6</x:formula1>
      <x:formula2>'Quantification_Config'!$T$6</x:formula2>
    </x:dataValidation>
    <x:dataValidation type="custom" errorStyle="stop" allowBlank="1" showErrorMessage="1" errorTitle="Invalid override" error="This override must remain blank because the source answer is empty." sqref="O519">
      <x:formula1>('Quantification_Results'!O519="")</x:formula1>
    </x:dataValidation>
    <x:dataValidation type="custom" errorStyle="stop" allowBlank="1" showErrorMessage="1" errorTitle="Invalid override" error="This override must remain blank because the source answer is empty." sqref="AA519">
      <x:formula1>('Quantification_Results'!AA519="")</x:formula1>
    </x:dataValidation>
    <x:dataValidation type="decimal" errorStyle="stop" operator="between" allowBlank="1" showErrorMessage="1" errorTitle="Invalid override" error="Enter a number within the configured range or leave the cell blank." sqref="AM519">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19">
      <x:formula1>('Quantification_Results'!AY519="")</x:formula1>
    </x:dataValidation>
    <x:dataValidation type="decimal" errorStyle="stop" operator="between" allowBlank="1" showErrorMessage="1" errorTitle="Invalid override" error="Enter a number within the configured range or leave the cell blank." sqref="C52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0">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20">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2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1">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1">
      <x:formula1>('Quantification_Results'!AA521="")</x:formula1>
    </x:dataValidation>
    <x:dataValidation type="decimal" errorStyle="stop" operator="between" allowBlank="1" showErrorMessage="1" errorTitle="Invalid override" error="Enter a number within the configured range or leave the cell blank." sqref="AM521">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1">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2">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2">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2">
      <x:formula1>('Quantification_Results'!AA522="")</x:formula1>
    </x:dataValidation>
    <x:dataValidation type="decimal" errorStyle="stop" operator="between" allowBlank="1" showErrorMessage="1" errorTitle="Invalid override" error="Enter a number within the configured range or leave the cell blank." sqref="AM522">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2">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3">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3">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3">
      <x:formula1>('Quantification_Results'!AA523="")</x:formula1>
    </x:dataValidation>
    <x:dataValidation type="decimal" errorStyle="stop" operator="between" allowBlank="1" showErrorMessage="1" errorTitle="Invalid override" error="Enter a number within the configured range or leave the cell blank." sqref="AM523">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23">
      <x:formula1>('Quantification_Results'!AY523="")</x:formula1>
    </x:dataValidation>
    <x:dataValidation type="decimal" errorStyle="stop" operator="between" allowBlank="1" showErrorMessage="1" errorTitle="Invalid override" error="Enter a number within the configured range or leave the cell blank." sqref="C524">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4">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4">
      <x:formula1>('Quantification_Results'!AA524="")</x:formula1>
    </x:dataValidation>
    <x:dataValidation type="decimal" errorStyle="stop" operator="between" allowBlank="1" showErrorMessage="1" errorTitle="Invalid override" error="Enter a number within the configured range or leave the cell blank." sqref="AM524">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4">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5">
      <x:formula1>'Quantification_Config'!$S$6</x:formula1>
      <x:formula2>'Quantification_Config'!$T$6</x:formula2>
    </x:dataValidation>
    <x:dataValidation type="custom" errorStyle="stop" allowBlank="1" showErrorMessage="1" errorTitle="Invalid override" error="This override must remain blank because the source answer is empty." sqref="O525">
      <x:formula1>('Quantification_Results'!O525="")</x:formula1>
    </x:dataValidation>
    <x:dataValidation type="custom" errorStyle="stop" allowBlank="1" showErrorMessage="1" errorTitle="Invalid override" error="This override must remain blank because the source answer is empty." sqref="AA525">
      <x:formula1>('Quantification_Results'!AA525="")</x:formula1>
    </x:dataValidation>
    <x:dataValidation type="decimal" errorStyle="stop" operator="between" allowBlank="1" showErrorMessage="1" errorTitle="Invalid override" error="Enter a number within the configured range or leave the cell blank." sqref="AM525">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25">
      <x:formula1>('Quantification_Results'!AY525="")</x:formula1>
    </x:dataValidation>
    <x:dataValidation type="decimal" errorStyle="stop" operator="between" allowBlank="1" showErrorMessage="1" errorTitle="Invalid override" error="Enter a number within the configured range or leave the cell blank." sqref="C526">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6">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6">
      <x:formula1>('Quantification_Results'!AA526="")</x:formula1>
    </x:dataValidation>
    <x:dataValidation type="decimal" errorStyle="stop" operator="between" allowBlank="1" showErrorMessage="1" errorTitle="Invalid override" error="Enter a number within the configured range or leave the cell blank." sqref="AM526">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6">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7">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7">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27">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27">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27">
      <x:formula1>('Quantification_Results'!AY527="")</x:formula1>
    </x:dataValidation>
    <x:dataValidation type="decimal" errorStyle="stop" operator="between" allowBlank="1" showErrorMessage="1" errorTitle="Invalid override" error="Enter a number within the configured range or leave the cell blank." sqref="C528">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8">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28">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28">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8">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29">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29">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29">
      <x:formula1>('Quantification_Results'!AA529="")</x:formula1>
    </x:dataValidation>
    <x:dataValidation type="decimal" errorStyle="stop" operator="between" allowBlank="1" showErrorMessage="1" errorTitle="Invalid override" error="Enter a number within the configured range or leave the cell blank." sqref="AM529">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29">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30">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30">
      <x:formula1>'Quantification_Config'!$S$9</x:formula1>
      <x:formula2>'Quantification_Config'!$T$9</x:formula2>
    </x:dataValidation>
    <x:dataValidation type="custom" errorStyle="stop" allowBlank="1" showErrorMessage="1" errorTitle="Invalid override" error="This override must remain blank because the source answer is empty." sqref="AA530">
      <x:formula1>('Quantification_Results'!AA530="")</x:formula1>
    </x:dataValidation>
    <x:dataValidation type="decimal" errorStyle="stop" operator="between" allowBlank="1" showErrorMessage="1" errorTitle="Invalid override" error="Enter a number within the configured range or leave the cell blank." sqref="AM530">
      <x:formula1>'Quantification_Config'!$S$15</x:formula1>
      <x:formula2>'Quantification_Config'!$T$15</x:formula2>
    </x:dataValidation>
    <x:dataValidation type="decimal" errorStyle="stop" operator="between" allowBlank="1" showErrorMessage="1" errorTitle="Invalid override" error="Enter a number within the configured range or leave the cell blank." sqref="AY530">
      <x:formula1>'Quantification_Config'!$S$19</x:formula1>
      <x:formula2>'Quantification_Config'!$T$19</x:formula2>
    </x:dataValidation>
    <x:dataValidation type="decimal" errorStyle="stop" operator="between" allowBlank="1" showErrorMessage="1" errorTitle="Invalid override" error="Enter a number within the configured range or leave the cell blank." sqref="C531">
      <x:formula1>'Quantification_Config'!$S$6</x:formula1>
      <x:formula2>'Quantification_Config'!$T$6</x:formula2>
    </x:dataValidation>
    <x:dataValidation type="decimal" errorStyle="stop" operator="between" allowBlank="1" showErrorMessage="1" errorTitle="Invalid override" error="Enter a number within the configured range or leave the cell blank." sqref="O531">
      <x:formula1>'Quantification_Config'!$S$9</x:formula1>
      <x:formula2>'Quantification_Config'!$T$9</x:formula2>
    </x:dataValidation>
    <x:dataValidation type="decimal" errorStyle="stop" operator="between" allowBlank="1" showErrorMessage="1" errorTitle="Invalid override" error="Enter a number within the configured range or leave the cell blank." sqref="AA531">
      <x:formula1>'Quantification_Config'!$S$12</x:formula1>
      <x:formula2>'Quantification_Config'!$T$12</x:formula2>
    </x:dataValidation>
    <x:dataValidation type="decimal" errorStyle="stop" operator="between" allowBlank="1" showErrorMessage="1" errorTitle="Invalid override" error="Enter a number within the configured range or leave the cell blank." sqref="AM531">
      <x:formula1>'Quantification_Config'!$S$15</x:formula1>
      <x:formula2>'Quantification_Config'!$T$15</x:formula2>
    </x:dataValidation>
    <x:dataValidation type="custom" errorStyle="stop" allowBlank="1" showErrorMessage="1" errorTitle="Invalid override" error="This override must remain blank because the source answer is empty." sqref="AY531">
      <x:formula1>('Quantification_Results'!AY531="")</x:formula1>
    </x:dataValidation>
  </x:dataValidations>
</x:worksheet>
</file>

<file path=xl/worksheets/sheet4.xml><?xml version="1.0" encoding="utf-8"?>
<x:worksheet xmlns:x="http://schemas.openxmlformats.org/spreadsheetml/2006/main">
  <x:sheetData>
    <x:row r="1">
      <x:c r="A1" t="inlineStr">
        <x:is>
          <x:t xml:space="preserve">Field</x:t>
        </x:is>
      </x:c>
      <x:c r="B1" t="inlineStr">
        <x:is>
          <x:t xml:space="preserve">Value</x:t>
        </x:is>
      </x:c>
    </x:row>
    <x:row r="2">
      <x:c r="A2" t="inlineStr">
        <x:is>
          <x:t xml:space="preserve">InputSha256</x:t>
        </x:is>
      </x:c>
      <x:c r="B2" t="inlineStr">
        <x:is>
          <x:t xml:space="preserve">73883CE3BBB86B93AF8825C04F596434CF82A2C6309A7F4CC5835AE8F3E542EA</x:t>
        </x:is>
      </x:c>
    </x:row>
    <x:row r="3">
      <x:c r="A3" t="inlineStr">
        <x:is>
          <x:t xml:space="preserve">InputSizeBytes</x:t>
        </x:is>
      </x:c>
      <x:c r="B3" t="n">
        <x:v>470806</x:v>
      </x:c>
    </x:row>
    <x:row r="4">
      <x:c r="A4" t="inlineStr">
        <x:is>
          <x:t xml:space="preserve">InputLastWriteTimeUtc</x:t>
        </x:is>
      </x:c>
      <x:c r="B4" t="inlineStr">
        <x:is>
          <x:t xml:space="preserve">2026-09-01T08:10:41.1654016+00:00</x:t>
        </x:is>
      </x:c>
    </x:row>
    <x:row r="5">
      <x:c r="A5" t="inlineStr">
        <x:is>
          <x:t xml:space="preserve">DefinitionSha256</x:t>
        </x:is>
      </x:c>
      <x:c r="B5" t="inlineStr">
        <x:is>
          <x:t xml:space="preserve">F98C6ABFC670E764EDCAAADCDEA9DC08F9E055C1C8DB1851C884923229FF4291</x:t>
        </x:is>
      </x:c>
    </x:row>
    <x:row r="6">
      <x:c r="A6" t="inlineStr">
        <x:is>
          <x:t xml:space="preserve">ApplicationIdentity</x:t>
        </x:is>
      </x:c>
      <x:c r="B6" t="inlineStr">
        <x:is>
          <x:t xml:space="preserve">StudyReportEvaluator.App/technical-system-test-not-for-grading</x:t>
        </x:is>
      </x:c>
    </x:row>
    <x:row r="7">
      <x:c r="A7" t="inlineStr">
        <x:is>
          <x:t xml:space="preserve">CopilotSdkIdentity</x:t>
        </x:is>
      </x:c>
      <x:c r="B7" t="inlineStr">
        <x:is>
          <x:t xml:space="preserve">not-invoked/local-no-network</x:t>
        </x:is>
      </x:c>
    </x:row>
    <x:row r="8">
      <x:c r="A8" t="inlineStr">
        <x:is>
          <x:t xml:space="preserve">CopilotCliIdentity</x:t>
        </x:is>
      </x:c>
      <x:c r="B8" t="inlineStr">
        <x:is>
          <x:t xml:space="preserve">not-invoked/local-no-network</x:t>
        </x:is>
      </x:c>
    </x:row>
    <x:row r="9">
      <x:c r="A9" t="inlineStr">
        <x:is>
          <x:t xml:space="preserve">ModelIdentity</x:t>
        </x:is>
      </x:c>
      <x:c r="B9" t="inlineStr">
        <x:is>
          <x:t xml:space="preserve">local-deterministic-midpoint-no-network-not-for-grading</x:t>
        </x:is>
      </x:c>
    </x:row>
    <x:row r="10">
      <x:c r="A10" t="inlineStr">
        <x:is>
          <x:t xml:space="preserve">OpenXmlSdkIdentity</x:t>
        </x:is>
      </x:c>
      <x:c r="B10" t="inlineStr">
        <x:is>
          <x:t xml:space="preserve">DocumentFormat.OpenXml/3.5.1</x:t>
        </x:is>
      </x:c>
    </x:row>
    <x:row r="11">
      <x:c r="A11" t="inlineStr">
        <x:is>
          <x:t xml:space="preserve">StartedAtUtc</x:t>
        </x:is>
      </x:c>
      <x:c r="B11" t="inlineStr">
        <x:is>
          <x:t xml:space="preserve">2026-09-01T09:17:31.8273551+00:00</x:t>
        </x:is>
      </x:c>
    </x:row>
    <x:row r="12">
      <x:c r="A12" t="inlineStr">
        <x:is>
          <x:t xml:space="preserve">EndedAtUtc</x:t>
        </x:is>
      </x:c>
      <x:c r="B12" t="inlineStr">
        <x:is>
          <x:t xml:space="preserve">2026-09-01T09:18:50.3141229+00:00</x:t>
        </x:is>
      </x:c>
    </x:row>
    <x:row r="13">
      <x:c r="A13" t="inlineStr">
        <x:is>
          <x:t xml:space="preserve">PlannedEvaluationCount</x:t>
        </x:is>
      </x:c>
      <x:c r="B13" t="n">
        <x:v>2650</x:v>
      </x:c>
    </x:row>
    <x:row r="14">
      <x:c r="A14" t="inlineStr">
        <x:is>
          <x:t xml:space="preserve">CompletedEvaluationCount</x:t>
        </x:is>
      </x:c>
      <x:c r="B14" t="n">
        <x:v>2650</x:v>
      </x:c>
    </x:row>
    <x:row r="15">
      <x:c r="A15" t="inlineStr">
        <x:is>
          <x:t xml:space="preserve">ErrorCount</x:t>
        </x:is>
      </x:c>
      <x:c r="B15" t="n">
        <x:v>0</x:v>
      </x:c>
    </x:row>
    <x:row r="16">
      <x:c r="A16" t="inlineStr">
        <x:is>
          <x:t xml:space="preserve">UsageObservedUnitCount</x:t>
        </x:is>
      </x:c>
      <x:c r="B16" t="n">
        <x:v>0</x:v>
      </x:c>
    </x:row>
    <x:row r="17">
      <x:c r="A17" t="inlineStr">
        <x:is>
          <x:t xml:space="preserve">InputTokenCount</x:t>
        </x:is>
      </x:c>
      <x:c r="B17" t="n">
        <x:v>0</x:v>
      </x:c>
    </x:row>
    <x:row r="18">
      <x:c r="A18" t="inlineStr">
        <x:is>
          <x:t xml:space="preserve">OutputTokenCount</x:t>
        </x:is>
      </x:c>
      <x:c r="B18" t="n">
        <x:v>0</x:v>
      </x:c>
    </x:row>
    <x:row r="19">
      <x:c r="A19" t="inlineStr">
        <x:is>
          <x:t xml:space="preserve">ReasoningTokenCount</x:t>
        </x:is>
      </x:c>
      <x:c r="B19" t="n">
        <x:v>0</x:v>
      </x:c>
    </x:row>
    <x:row r="20">
      <x:c r="A20" t="inlineStr">
        <x:is>
          <x:t xml:space="preserve">CacheReadTokenCount</x:t>
        </x:is>
      </x:c>
      <x:c r="B20" t="n">
        <x:v>0</x:v>
      </x:c>
    </x:row>
    <x:row r="21">
      <x:c r="A21" t="inlineStr">
        <x:is>
          <x:t xml:space="preserve">CacheWriteTokenCount</x:t>
        </x:is>
      </x:c>
      <x:c r="B21" t="n">
        <x:v>0</x:v>
      </x:c>
    </x:row>
    <x:row r="22">
      <x:c r="A22" t="inlineStr">
        <x:is>
          <x:t xml:space="preserve">ConfigSheetName</x:t>
        </x:is>
      </x:c>
      <x:c r="B22" t="inlineStr">
        <x:is>
          <x:t xml:space="preserve">Quantification_Config</x:t>
        </x:is>
      </x:c>
    </x:row>
    <x:row r="23">
      <x:c r="A23" t="inlineStr">
        <x:is>
          <x:t xml:space="preserve">ResultsSheetName</x:t>
        </x:is>
      </x:c>
      <x:c r="B23" t="inlineStr">
        <x:is>
          <x:t xml:space="preserve">Quantification_Results</x:t>
        </x:is>
      </x:c>
    </x:row>
    <x:row r="24">
      <x:c r="A24" t="inlineStr">
        <x:is>
          <x:t xml:space="preserve">RunSheetName</x:t>
        </x:is>
      </x:c>
      <x:c r="B24" t="inlineStr">
        <x:is>
          <x:t xml:space="preserve">Quantification_Run</x:t>
        </x:is>
      </x:c>
    </x:row>
  </x:sheetData>
</x:worksheet>
</file>

<file path=docMetadata/LabelInfo.xml><?xml version="1.0" encoding="utf-8"?>
<clbl:labelList xmlns:clbl="http://schemas.microsoft.com/office/2020/mipLabelMetadata">
  <clbl:label id="{87ba5c36-b7cf-4793-bbc2-bd5b3a9f95ca}"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Daiyu Hatakeyama</cp:lastModifiedBy>
  <dcterms:created xsi:type="dcterms:W3CDTF">2025-10-12T06:56:13Z</dcterms:created>
  <dcterms:modified xsi:type="dcterms:W3CDTF">2026-09-01T08:10:41Z</dcterms:modified>
</cp:coreProperties>
</file>